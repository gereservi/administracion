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67a5079a5540b37/servipilas/"/>
    </mc:Choice>
  </mc:AlternateContent>
  <xr:revisionPtr revIDLastSave="35" documentId="13_ncr:1_{F066E5C8-5E8A-4EF4-BAA1-3FFB8712F37D}" xr6:coauthVersionLast="47" xr6:coauthVersionMax="47" xr10:uidLastSave="{147DD6C6-7F98-490D-B8E1-A22654997B5F}"/>
  <bookViews>
    <workbookView xWindow="-108" yWindow="-108" windowWidth="23256" windowHeight="12456" activeTab="4" xr2:uid="{0A1BB7F4-7D1A-443D-984C-CC8A9EE4FEA7}"/>
  </bookViews>
  <sheets>
    <sheet name="inicio" sheetId="64" r:id="rId1"/>
    <sheet name="pagos" sheetId="699" r:id="rId2"/>
    <sheet name="Fecha de hoy" sheetId="12" state="hidden" r:id="rId3"/>
    <sheet name="Retenciones" sheetId="11" state="hidden" r:id="rId4"/>
    <sheet name="Terceros" sheetId="10" r:id="rId5"/>
    <sheet name="Palabra que no opera y Listas d" sheetId="128" state="hidden" r:id="rId6"/>
    <sheet name="F.Proveedores" sheetId="697" r:id="rId7"/>
    <sheet name="USD" sheetId="104" r:id="rId8"/>
    <sheet name="Reporte" sheetId="16" r:id="rId9"/>
    <sheet name="Financiación" sheetId="6" r:id="rId10"/>
    <sheet name="Financiadores" sheetId="15" r:id="rId11"/>
    <sheet name="F.Vencidas" sheetId="157" r:id="rId12"/>
  </sheets>
  <externalReferences>
    <externalReference r:id="rId13"/>
  </externalReferences>
  <definedNames>
    <definedName name="_xlnm._FilterDatabase" localSheetId="6" hidden="1">F.Proveedores!$A$1:$Z$1593</definedName>
    <definedName name="_xlnm._FilterDatabase" localSheetId="11" hidden="1">F.Vencidas!#REF!</definedName>
    <definedName name="_xlnm._FilterDatabase" localSheetId="8" hidden="1">Reporte!#REF!</definedName>
    <definedName name="_xlnm._FilterDatabase" localSheetId="4" hidden="1">Terceros!#REF!</definedName>
    <definedName name="_xlnm._FilterDatabase" localSheetId="7" hidden="1">USD!$A$1:$F$2</definedName>
    <definedName name="area" localSheetId="7">#REF!</definedName>
    <definedName name="area">#REF!</definedName>
    <definedName name="Correo" localSheetId="7">#REF!</definedName>
    <definedName name="Correo">#REF!</definedName>
    <definedName name="_xlnm.Criteria" localSheetId="1">pagos!#REF!</definedName>
    <definedName name="_xlnm.Criteria" localSheetId="7">USD!#REF!</definedName>
    <definedName name="depend">[1]vicep!$B$2:$B$3100</definedName>
    <definedName name="_xlnm.Extract" localSheetId="1">pagos!$A$1:$M$1</definedName>
    <definedName name="_xlnm.Extract" localSheetId="7">USD!#REF!</definedName>
    <definedName name="info">pagos!$A$1:$M$5</definedName>
    <definedName name="_xlnm.Print_Area" localSheetId="1">pagos!$A$1:$N$6</definedName>
    <definedName name="_xlnm.Print_Area" localSheetId="4">Terceros!$A$1:$G$330</definedName>
    <definedName name="VICEP">'[1]vicep ppto'!$B$2:$B$23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6" l="1"/>
  <c r="AA7" i="157"/>
  <c r="AB7" i="157"/>
  <c r="AC7" i="157"/>
  <c r="AD7" i="157" l="1"/>
  <c r="A1292" i="697"/>
  <c r="A103" i="697"/>
  <c r="A104" i="697"/>
  <c r="A22" i="697"/>
  <c r="A23" i="697"/>
  <c r="A12" i="697"/>
  <c r="A196" i="697"/>
  <c r="A4" i="697"/>
  <c r="A24" i="697"/>
  <c r="A208" i="697"/>
  <c r="A6" i="697"/>
  <c r="A13" i="697"/>
  <c r="A14" i="697"/>
  <c r="A2" i="697"/>
  <c r="A15" i="697"/>
  <c r="A16" i="697"/>
  <c r="A34" i="697"/>
  <c r="A17" i="697"/>
  <c r="A45" i="697"/>
  <c r="A77" i="697"/>
  <c r="A117" i="697"/>
  <c r="A78" i="697"/>
  <c r="A79" i="697"/>
  <c r="A80" i="697"/>
  <c r="A40" i="697"/>
  <c r="A3" i="697"/>
  <c r="A209" i="697"/>
  <c r="A5" i="697"/>
  <c r="A18" i="697"/>
  <c r="A19" i="697"/>
  <c r="A20" i="697"/>
  <c r="A7" i="697"/>
  <c r="A8" i="697"/>
  <c r="A10" i="697"/>
  <c r="A105" i="697"/>
  <c r="A106" i="697"/>
  <c r="A107" i="697"/>
  <c r="A11" i="697"/>
  <c r="A81" i="697"/>
  <c r="A174" i="697"/>
  <c r="A175" i="697"/>
  <c r="A82" i="697"/>
  <c r="A83" i="697"/>
  <c r="A118" i="697"/>
  <c r="A84" i="697"/>
  <c r="A85" i="697"/>
  <c r="A86" i="697"/>
  <c r="A87" i="697"/>
  <c r="A21" i="697"/>
  <c r="A210" i="697"/>
  <c r="A88" i="697"/>
  <c r="A27" i="697"/>
  <c r="A28" i="697"/>
  <c r="A29" i="697"/>
  <c r="A30" i="697"/>
  <c r="A31" i="697"/>
  <c r="A32" i="697"/>
  <c r="A33" i="697"/>
  <c r="A219" i="697"/>
  <c r="A89" i="697"/>
  <c r="A90" i="697"/>
  <c r="A96" i="697"/>
  <c r="A114" i="697"/>
  <c r="A125" i="697"/>
  <c r="A67" i="697"/>
  <c r="A171" i="697"/>
  <c r="A76" i="697"/>
  <c r="A46" i="697"/>
  <c r="A47" i="697"/>
  <c r="A48" i="697"/>
  <c r="A37" i="697"/>
  <c r="A49" i="697"/>
  <c r="A50" i="697"/>
  <c r="A51" i="697"/>
  <c r="A52" i="697"/>
  <c r="A53" i="697"/>
  <c r="A54" i="697"/>
  <c r="A55" i="697"/>
  <c r="A56" i="697"/>
  <c r="A119" i="697"/>
  <c r="A57" i="697"/>
  <c r="A115" i="697"/>
  <c r="A35" i="697"/>
  <c r="A58" i="697"/>
  <c r="A59" i="697"/>
  <c r="A60" i="697"/>
  <c r="A61" i="697"/>
  <c r="A62" i="697"/>
  <c r="A63" i="697"/>
  <c r="A126" i="697"/>
  <c r="A116" i="697"/>
  <c r="A120" i="697"/>
  <c r="A91" i="697"/>
  <c r="A133" i="697"/>
  <c r="A92" i="697"/>
  <c r="A93" i="697"/>
  <c r="A36" i="697"/>
  <c r="A108" i="697"/>
  <c r="A109" i="697"/>
  <c r="A110" i="697"/>
  <c r="A111" i="697"/>
  <c r="A64" i="697"/>
  <c r="A213" i="697"/>
  <c r="A134" i="697"/>
  <c r="A131" i="697"/>
  <c r="A140" i="697"/>
  <c r="A38" i="697"/>
  <c r="A399" i="697"/>
  <c r="A68" i="697"/>
  <c r="A65" i="697"/>
  <c r="A176" i="697"/>
  <c r="A127" i="697"/>
  <c r="A129" i="697"/>
  <c r="A97" i="697"/>
  <c r="A206" i="697"/>
  <c r="A39" i="697"/>
  <c r="A66" i="697"/>
  <c r="A230" i="697"/>
  <c r="A254" i="697"/>
  <c r="A160" i="697"/>
  <c r="A41" i="697"/>
  <c r="A42" i="697"/>
  <c r="A75" i="697"/>
  <c r="A44" i="697"/>
  <c r="A121" i="697"/>
  <c r="A43" i="697"/>
  <c r="A236" i="697"/>
  <c r="A255" i="697"/>
  <c r="A25" i="697"/>
  <c r="A26" i="697"/>
  <c r="A94" i="697"/>
  <c r="A237" i="697"/>
  <c r="A214" i="697"/>
  <c r="A256" i="697"/>
  <c r="A135" i="697"/>
  <c r="A161" i="697"/>
  <c r="A257" i="697"/>
  <c r="A207" i="697"/>
  <c r="A162" i="697"/>
  <c r="A177" i="697"/>
  <c r="A122" i="697"/>
  <c r="A163" i="697"/>
  <c r="A69" i="697"/>
  <c r="A70" i="697"/>
  <c r="A71" i="697"/>
  <c r="A72" i="697"/>
  <c r="A73" i="697"/>
  <c r="A74" i="697"/>
  <c r="A258" i="697"/>
  <c r="A178" i="697"/>
  <c r="A150" i="697"/>
  <c r="A141" i="697"/>
  <c r="A151" i="697"/>
  <c r="A152" i="697"/>
  <c r="A211" i="697"/>
  <c r="A142" i="697"/>
  <c r="A153" i="697"/>
  <c r="A154" i="697"/>
  <c r="A155" i="697"/>
  <c r="A156" i="697"/>
  <c r="A143" i="697"/>
  <c r="A144" i="697"/>
  <c r="A145" i="697"/>
  <c r="A146" i="697"/>
  <c r="A157" i="697"/>
  <c r="A158" i="697"/>
  <c r="A229" i="697"/>
  <c r="A95" i="697"/>
  <c r="A159" i="697"/>
  <c r="A240" i="697"/>
  <c r="A98" i="697"/>
  <c r="A99" i="697"/>
  <c r="A100" i="697"/>
  <c r="A101" i="697"/>
  <c r="A284" i="697"/>
  <c r="A102" i="697"/>
  <c r="A275" i="697"/>
  <c r="A197" i="697"/>
  <c r="A231" i="697"/>
  <c r="A147" i="697"/>
  <c r="A112" i="697"/>
  <c r="A148" i="697"/>
  <c r="A113" i="697"/>
  <c r="A259" i="697"/>
  <c r="A123" i="697"/>
  <c r="A252" i="697"/>
  <c r="A238" i="697"/>
  <c r="A232" i="697"/>
  <c r="A253" i="697"/>
  <c r="A233" i="697"/>
  <c r="A835" i="697"/>
  <c r="A124" i="697"/>
  <c r="A234" i="697"/>
  <c r="A244" i="697"/>
  <c r="A260" i="697"/>
  <c r="A181" i="697"/>
  <c r="A182" i="697"/>
  <c r="A183" i="697"/>
  <c r="A184" i="697"/>
  <c r="A172" i="697"/>
  <c r="A330" i="697"/>
  <c r="A245" i="697"/>
  <c r="A128" i="697"/>
  <c r="A285" i="697"/>
  <c r="A130" i="697"/>
  <c r="A132" i="697"/>
  <c r="A198" i="697"/>
  <c r="A349" i="697"/>
  <c r="A185" i="697"/>
  <c r="A312" i="697"/>
  <c r="A136" i="697"/>
  <c r="A276" i="697"/>
  <c r="A241" i="697"/>
  <c r="A277" i="697"/>
  <c r="A408" i="697"/>
  <c r="A286" i="697"/>
  <c r="A278" i="697"/>
  <c r="A279" i="697"/>
  <c r="A280" i="697"/>
  <c r="A149" i="697"/>
  <c r="A261" i="697"/>
  <c r="A137" i="697"/>
  <c r="A220" i="697"/>
  <c r="A394" i="697"/>
  <c r="A305" i="697"/>
  <c r="A164" i="697"/>
  <c r="A138" i="697"/>
  <c r="A139" i="697"/>
  <c r="A186" i="697"/>
  <c r="A221" i="697"/>
  <c r="A281" i="697"/>
  <c r="A331" i="697"/>
  <c r="A262" i="697"/>
  <c r="A263" i="697"/>
  <c r="A306" i="697"/>
  <c r="A320" i="697"/>
  <c r="A332" i="697"/>
  <c r="A199" i="697"/>
  <c r="A373" i="697"/>
  <c r="A357" i="697"/>
  <c r="A282" i="697"/>
  <c r="A165" i="697"/>
  <c r="A166" i="697"/>
  <c r="A167" i="697"/>
  <c r="A168" i="697"/>
  <c r="A169" i="697"/>
  <c r="A170" i="697"/>
  <c r="A333" i="697"/>
  <c r="A374" i="697"/>
  <c r="A187" i="697"/>
  <c r="A200" i="697"/>
  <c r="A173" i="697"/>
  <c r="A201" i="697"/>
  <c r="A265" i="697"/>
  <c r="A266" i="697"/>
  <c r="A235" i="697"/>
  <c r="A188" i="697"/>
  <c r="A189" i="697"/>
  <c r="A190" i="697"/>
  <c r="A191" i="697"/>
  <c r="A192" i="697"/>
  <c r="A193" i="697"/>
  <c r="A194" i="697"/>
  <c r="A195" i="697"/>
  <c r="A215" i="697"/>
  <c r="A307" i="697"/>
  <c r="A179" i="697"/>
  <c r="A180" i="697"/>
  <c r="A313" i="697"/>
  <c r="A267" i="697"/>
  <c r="A268" i="697"/>
  <c r="A269" i="697"/>
  <c r="A222" i="697"/>
  <c r="A334" i="697"/>
  <c r="A375" i="697"/>
  <c r="A202" i="697"/>
  <c r="A335" i="697"/>
  <c r="A442" i="697"/>
  <c r="A203" i="697"/>
  <c r="A204" i="697"/>
  <c r="A301" i="697"/>
  <c r="A376" i="697"/>
  <c r="A223" i="697"/>
  <c r="A224" i="697"/>
  <c r="A225" i="697"/>
  <c r="A226" i="697"/>
  <c r="A205" i="697"/>
  <c r="A303" i="697"/>
  <c r="A336" i="697"/>
  <c r="A337" i="697"/>
  <c r="A308" i="697"/>
  <c r="A216" i="697"/>
  <c r="A212" i="697"/>
  <c r="A338" i="697"/>
  <c r="A530" i="697"/>
  <c r="A395" i="697"/>
  <c r="A217" i="697"/>
  <c r="A377" i="697"/>
  <c r="A218" i="697"/>
  <c r="A227" i="697"/>
  <c r="A297" i="697"/>
  <c r="A339" i="697"/>
  <c r="A340" i="697"/>
  <c r="A228" i="697"/>
  <c r="A298" i="697"/>
  <c r="A504" i="697"/>
  <c r="A242" i="697"/>
  <c r="A341" i="697"/>
  <c r="A314" i="697"/>
  <c r="A361" i="697"/>
  <c r="A342" i="697"/>
  <c r="A283" i="697"/>
  <c r="A531" i="697"/>
  <c r="A270" i="697"/>
  <c r="A271" i="697"/>
  <c r="A343" i="697"/>
  <c r="A315" i="697"/>
  <c r="A239" i="697"/>
  <c r="A344" i="697"/>
  <c r="A345" i="697"/>
  <c r="A346" i="697"/>
  <c r="A411" i="697"/>
  <c r="A378" i="697"/>
  <c r="A347" i="697"/>
  <c r="A379" i="697"/>
  <c r="A406" i="697"/>
  <c r="A362" i="697"/>
  <c r="A363" i="697"/>
  <c r="A243" i="697"/>
  <c r="A364" i="697"/>
  <c r="A407" i="697"/>
  <c r="A348" i="697"/>
  <c r="A380" i="697"/>
  <c r="A272" i="697"/>
  <c r="A246" i="697"/>
  <c r="A287" i="697"/>
  <c r="A365" i="697"/>
  <c r="A274" i="697"/>
  <c r="A247" i="697"/>
  <c r="A248" i="697"/>
  <c r="A249" i="697"/>
  <c r="A250" i="697"/>
  <c r="A251" i="697"/>
  <c r="A273" i="697"/>
  <c r="A288" i="697"/>
  <c r="A289" i="697"/>
  <c r="A422" i="697"/>
  <c r="A388" i="697"/>
  <c r="A302" i="697"/>
  <c r="A290" i="697"/>
  <c r="A316" i="697"/>
  <c r="A317" i="697"/>
  <c r="A291" i="697"/>
  <c r="A292" i="697"/>
  <c r="A293" i="697"/>
  <c r="A294" i="697"/>
  <c r="A264" i="697"/>
  <c r="A389" i="697"/>
  <c r="A460" i="697"/>
  <c r="A461" i="697"/>
  <c r="A462" i="697"/>
  <c r="A463" i="697"/>
  <c r="A464" i="697"/>
  <c r="A505" i="697"/>
  <c r="A669" i="697"/>
  <c r="A423" i="697"/>
  <c r="A396" i="697"/>
  <c r="A409" i="697"/>
  <c r="A381" i="697"/>
  <c r="A424" i="697"/>
  <c r="A382" i="697"/>
  <c r="A443" i="697"/>
  <c r="A506" i="697"/>
  <c r="A507" i="697"/>
  <c r="A523" i="697"/>
  <c r="A485" i="697"/>
  <c r="A295" i="697"/>
  <c r="A296" i="697"/>
  <c r="A524" i="697"/>
  <c r="A425" i="697"/>
  <c r="A410" i="697"/>
  <c r="A444" i="697"/>
  <c r="A352" i="697"/>
  <c r="A397" i="697"/>
  <c r="A299" i="697"/>
  <c r="A300" i="697"/>
  <c r="A383" i="697"/>
  <c r="A508" i="697"/>
  <c r="A509" i="697"/>
  <c r="A510" i="697"/>
  <c r="A384" i="697"/>
  <c r="A426" i="697"/>
  <c r="A532" i="697"/>
  <c r="A304" i="697"/>
  <c r="A614" i="697"/>
  <c r="A360" i="697"/>
  <c r="A427" i="697"/>
  <c r="A428" i="697"/>
  <c r="A309" i="697"/>
  <c r="A465" i="697"/>
  <c r="A466" i="697"/>
  <c r="A310" i="697"/>
  <c r="A543" i="697"/>
  <c r="A544" i="697"/>
  <c r="A311" i="697"/>
  <c r="A445" i="697"/>
  <c r="A413" i="697"/>
  <c r="A450" i="697"/>
  <c r="A487" i="697"/>
  <c r="A318" i="697"/>
  <c r="A319" i="697"/>
  <c r="A518" i="697"/>
  <c r="A519" i="697"/>
  <c r="A451" i="697"/>
  <c r="A452" i="697"/>
  <c r="A429" i="697"/>
  <c r="A467" i="697"/>
  <c r="A468" i="697"/>
  <c r="A390" i="697"/>
  <c r="A326" i="697"/>
  <c r="A321" i="697"/>
  <c r="A322" i="697"/>
  <c r="A323" i="697"/>
  <c r="A324" i="697"/>
  <c r="A325" i="697"/>
  <c r="A391" i="697"/>
  <c r="A353" i="697"/>
  <c r="A385" i="697"/>
  <c r="A671" i="697"/>
  <c r="A327" i="697"/>
  <c r="A328" i="697"/>
  <c r="A386" i="697"/>
  <c r="A400" i="697"/>
  <c r="A401" i="697"/>
  <c r="A329" i="697"/>
  <c r="A354" i="697"/>
  <c r="A355" i="697"/>
  <c r="A469" i="697"/>
  <c r="A358" i="697"/>
  <c r="A520" i="697"/>
  <c r="A430" i="697"/>
  <c r="A367" i="697"/>
  <c r="A453" i="697"/>
  <c r="A623" i="697"/>
  <c r="A546" i="697"/>
  <c r="A624" i="697"/>
  <c r="A625" i="697"/>
  <c r="A431" i="697"/>
  <c r="A350" i="697"/>
  <c r="A446" i="697"/>
  <c r="A414" i="697"/>
  <c r="A432" i="697"/>
  <c r="A454" i="697"/>
  <c r="A351" i="697"/>
  <c r="A455" i="697"/>
  <c r="A488" i="697"/>
  <c r="A502" i="697"/>
  <c r="A369" i="697"/>
  <c r="A370" i="697"/>
  <c r="A470" i="697"/>
  <c r="A402" i="697"/>
  <c r="A356" i="697"/>
  <c r="A371" i="697"/>
  <c r="A489" i="697"/>
  <c r="A626" i="697"/>
  <c r="A627" i="697"/>
  <c r="A490" i="697"/>
  <c r="A359" i="697"/>
  <c r="A471" i="697"/>
  <c r="A368" i="697"/>
  <c r="A525" i="697"/>
  <c r="A472" i="697"/>
  <c r="A366" i="697"/>
  <c r="A491" i="697"/>
  <c r="A492" i="697"/>
  <c r="A433" i="697"/>
  <c r="A473" i="697"/>
  <c r="A493" i="697"/>
  <c r="A372" i="697"/>
  <c r="A526" i="697"/>
  <c r="A387" i="697"/>
  <c r="A474" i="697"/>
  <c r="A475" i="697"/>
  <c r="A476" i="697"/>
  <c r="A477" i="697"/>
  <c r="A398" i="697"/>
  <c r="A434" i="697"/>
  <c r="A628" i="697"/>
  <c r="A527" i="697"/>
  <c r="A545" i="697"/>
  <c r="A392" i="697"/>
  <c r="A435" i="697"/>
  <c r="A436" i="697"/>
  <c r="A393" i="697"/>
  <c r="A403" i="697"/>
  <c r="A404" i="697"/>
  <c r="A511" i="697"/>
  <c r="A512" i="697"/>
  <c r="A513" i="697"/>
  <c r="A514" i="697"/>
  <c r="A670" i="697"/>
  <c r="A478" i="697"/>
  <c r="A494" i="697"/>
  <c r="A629" i="697"/>
  <c r="A584" i="697"/>
  <c r="A405" i="697"/>
  <c r="A538" i="697"/>
  <c r="A539" i="697"/>
  <c r="A528" i="697"/>
  <c r="A554" i="697"/>
  <c r="A555" i="697"/>
  <c r="A412" i="697"/>
  <c r="A637" i="697"/>
  <c r="A415" i="697"/>
  <c r="A479" i="697"/>
  <c r="A480" i="697"/>
  <c r="A615" i="697"/>
  <c r="A592" i="697"/>
  <c r="A441" i="697"/>
  <c r="A662" i="697"/>
  <c r="A447" i="697"/>
  <c r="A416" i="697"/>
  <c r="A417" i="697"/>
  <c r="A418" i="697"/>
  <c r="A419" i="697"/>
  <c r="A420" i="697"/>
  <c r="A421" i="697"/>
  <c r="A486" i="697"/>
  <c r="A498" i="697"/>
  <c r="A499" i="697"/>
  <c r="A448" i="697"/>
  <c r="A449" i="697"/>
  <c r="A457" i="697"/>
  <c r="A481" i="697"/>
  <c r="A515" i="697"/>
  <c r="A677" i="697"/>
  <c r="A439" i="697"/>
  <c r="A672" i="697"/>
  <c r="A616" i="697"/>
  <c r="A617" i="697"/>
  <c r="A529" i="697"/>
  <c r="A437" i="697"/>
  <c r="A438" i="697"/>
  <c r="A547" i="697"/>
  <c r="A548" i="697"/>
  <c r="A714" i="697"/>
  <c r="A673" i="697"/>
  <c r="A440" i="697"/>
  <c r="A500" i="697"/>
  <c r="A715" i="697"/>
  <c r="A716" i="697"/>
  <c r="A657" i="697"/>
  <c r="A638" i="697"/>
  <c r="A456" i="697"/>
  <c r="A639" i="697"/>
  <c r="A593" i="697"/>
  <c r="A674" i="697"/>
  <c r="A556" i="697"/>
  <c r="A594" i="697"/>
  <c r="A459" i="697"/>
  <c r="A458" i="697"/>
  <c r="A645" i="697"/>
  <c r="A482" i="697"/>
  <c r="A675" i="697"/>
  <c r="A676" i="697"/>
  <c r="A483" i="697"/>
  <c r="A663" i="697"/>
  <c r="A682" i="697"/>
  <c r="A557" i="697"/>
  <c r="A558" i="697"/>
  <c r="A559" i="697"/>
  <c r="A560" i="697"/>
  <c r="A678" i="697"/>
  <c r="A595" i="697"/>
  <c r="A484" i="697"/>
  <c r="A495" i="697"/>
  <c r="A561" i="697"/>
  <c r="A562" i="697"/>
  <c r="A563" i="697"/>
  <c r="A564" i="697"/>
  <c r="A731" i="697"/>
  <c r="A658" i="697"/>
  <c r="A590" i="697"/>
  <c r="A497" i="697"/>
  <c r="A496" i="697"/>
  <c r="A516" i="697"/>
  <c r="A517" i="697"/>
  <c r="A618" i="697"/>
  <c r="A619" i="697"/>
  <c r="A679" i="697"/>
  <c r="A501" i="697"/>
  <c r="A503" i="697"/>
  <c r="A620" i="697"/>
  <c r="A596" i="697"/>
  <c r="A701" i="697"/>
  <c r="A664" i="697"/>
  <c r="A659" i="697"/>
  <c r="A680" i="697"/>
  <c r="A565" i="697"/>
  <c r="A566" i="697"/>
  <c r="A567" i="697"/>
  <c r="A568" i="697"/>
  <c r="A621" i="697"/>
  <c r="A702" i="697"/>
  <c r="A732" i="697"/>
  <c r="A751" i="697"/>
  <c r="A717" i="697"/>
  <c r="A646" i="697"/>
  <c r="A521" i="697"/>
  <c r="A681" i="697"/>
  <c r="A522" i="697"/>
  <c r="A533" i="697"/>
  <c r="A549" i="697"/>
  <c r="A577" i="697"/>
  <c r="A610" i="697"/>
  <c r="A752" i="697"/>
  <c r="A534" i="697"/>
  <c r="A581" i="697"/>
  <c r="A587" i="697"/>
  <c r="A588" i="697"/>
  <c r="A660" i="697"/>
  <c r="A718" i="697"/>
  <c r="A550" i="697"/>
  <c r="A551" i="697"/>
  <c r="A552" i="697"/>
  <c r="A753" i="697"/>
  <c r="A782" i="697"/>
  <c r="A536" i="697"/>
  <c r="A683" i="697"/>
  <c r="A866" i="697"/>
  <c r="A578" i="697"/>
  <c r="A535" i="697"/>
  <c r="A684" i="697"/>
  <c r="A754" i="697"/>
  <c r="A537" i="697"/>
  <c r="A540" i="697"/>
  <c r="A755" i="697"/>
  <c r="A685" i="697"/>
  <c r="A686" i="697"/>
  <c r="A705" i="697"/>
  <c r="A541" i="697"/>
  <c r="A542" i="697"/>
  <c r="A687" i="697"/>
  <c r="A733" i="697"/>
  <c r="A836" i="697"/>
  <c r="A756" i="697"/>
  <c r="A569" i="697"/>
  <c r="A706" i="697"/>
  <c r="A707" i="697"/>
  <c r="A734" i="697"/>
  <c r="A735" i="697"/>
  <c r="A580" i="697"/>
  <c r="A585" i="697"/>
  <c r="A630" i="697"/>
  <c r="A553" i="697"/>
  <c r="A749" i="697"/>
  <c r="A688" i="697"/>
  <c r="A837" i="697"/>
  <c r="A634" i="697"/>
  <c r="A757" i="697"/>
  <c r="A783" i="697"/>
  <c r="A689" i="697"/>
  <c r="A576" i="697"/>
  <c r="A758" i="697"/>
  <c r="A759" i="697"/>
  <c r="A760" i="697"/>
  <c r="A690" i="697"/>
  <c r="A579" i="697"/>
  <c r="A784" i="697"/>
  <c r="A838" i="697"/>
  <c r="A761" i="697"/>
  <c r="A811" i="697"/>
  <c r="A691" i="697"/>
  <c r="A815" i="697"/>
  <c r="A889" i="697"/>
  <c r="A582" i="697"/>
  <c r="A665" i="697"/>
  <c r="A583" i="697"/>
  <c r="A586" i="697"/>
  <c r="A692" i="697"/>
  <c r="A719" i="697"/>
  <c r="A661" i="697"/>
  <c r="A762" i="697"/>
  <c r="A763" i="697"/>
  <c r="A611" i="697"/>
  <c r="A816" i="697"/>
  <c r="A720" i="697"/>
  <c r="A693" i="697"/>
  <c r="A589" i="697"/>
  <c r="A839" i="697"/>
  <c r="A591" i="697"/>
  <c r="A721" i="697"/>
  <c r="A597" i="697"/>
  <c r="A598" i="697"/>
  <c r="A764" i="697"/>
  <c r="A694" i="697"/>
  <c r="A840" i="697"/>
  <c r="A793" i="697"/>
  <c r="A765" i="697"/>
  <c r="A601" i="697"/>
  <c r="A695" i="697"/>
  <c r="A599" i="697"/>
  <c r="A600" i="697"/>
  <c r="A812" i="697"/>
  <c r="A785" i="697"/>
  <c r="A722" i="697"/>
  <c r="A602" i="697"/>
  <c r="A603" i="697"/>
  <c r="A604" i="697"/>
  <c r="A605" i="697"/>
  <c r="A606" i="697"/>
  <c r="A607" i="697"/>
  <c r="A608" i="697"/>
  <c r="A609" i="697"/>
  <c r="A738" i="697"/>
  <c r="A739" i="697"/>
  <c r="A740" i="697"/>
  <c r="A741" i="697"/>
  <c r="A742" i="697"/>
  <c r="A766" i="697"/>
  <c r="A923" i="697"/>
  <c r="A902" i="697"/>
  <c r="A654" i="697"/>
  <c r="A723" i="697"/>
  <c r="A647" i="697"/>
  <c r="A854" i="697"/>
  <c r="A648" i="697"/>
  <c r="A696" i="697"/>
  <c r="A697" i="697"/>
  <c r="A649" i="697"/>
  <c r="A650" i="697"/>
  <c r="A698" i="697"/>
  <c r="A612" i="697"/>
  <c r="A613" i="697"/>
  <c r="A651" i="697"/>
  <c r="A767" i="697"/>
  <c r="A768" i="697"/>
  <c r="A631" i="697"/>
  <c r="A743" i="697"/>
  <c r="A622" i="697"/>
  <c r="A841" i="697"/>
  <c r="A769" i="697"/>
  <c r="A632" i="697"/>
  <c r="A633" i="697"/>
  <c r="A770" i="697"/>
  <c r="A640" i="697"/>
  <c r="A744" i="697"/>
  <c r="A890" i="697"/>
  <c r="A867" i="697"/>
  <c r="A855" i="697"/>
  <c r="A635" i="697"/>
  <c r="A891" i="697"/>
  <c r="A699" i="697"/>
  <c r="A903" i="697"/>
  <c r="A773" i="697"/>
  <c r="A636" i="697"/>
  <c r="A641" i="697"/>
  <c r="A652" i="697"/>
  <c r="A642" i="697"/>
  <c r="A643" i="697"/>
  <c r="A868" i="697"/>
  <c r="A892" i="697"/>
  <c r="A856" i="697"/>
  <c r="A842" i="697"/>
  <c r="A893" i="697"/>
  <c r="A843" i="697"/>
  <c r="A644" i="697"/>
  <c r="A799" i="697"/>
  <c r="A844" i="697"/>
  <c r="A857" i="697"/>
  <c r="A653" i="697"/>
  <c r="A655" i="697"/>
  <c r="A858" i="697"/>
  <c r="A656" i="697"/>
  <c r="A745" i="697"/>
  <c r="A746" i="697"/>
  <c r="A666" i="697"/>
  <c r="A859" i="697"/>
  <c r="A747" i="697"/>
  <c r="A924" i="697"/>
  <c r="A925" i="697"/>
  <c r="A926" i="697"/>
  <c r="A869" i="697"/>
  <c r="A667" i="697"/>
  <c r="A750" i="697"/>
  <c r="A668" i="697"/>
  <c r="A845" i="697"/>
  <c r="A1029" i="697"/>
  <c r="A700" i="697"/>
  <c r="A703" i="697"/>
  <c r="A704" i="697"/>
  <c r="A927" i="697"/>
  <c r="A928" i="697"/>
  <c r="A879" i="697"/>
  <c r="A846" i="697"/>
  <c r="A929" i="697"/>
  <c r="A860" i="697"/>
  <c r="A794" i="697"/>
  <c r="A861" i="697"/>
  <c r="A930" i="697"/>
  <c r="A894" i="697"/>
  <c r="A870" i="697"/>
  <c r="A862" i="697"/>
  <c r="A931" i="697"/>
  <c r="A932" i="697"/>
  <c r="A933" i="697"/>
  <c r="A708" i="697"/>
  <c r="A709" i="697"/>
  <c r="A710" i="697"/>
  <c r="A711" i="697"/>
  <c r="A712" i="697"/>
  <c r="A713" i="697"/>
  <c r="A786" i="697"/>
  <c r="A787" i="697"/>
  <c r="A952" i="697"/>
  <c r="A788" i="697"/>
  <c r="A809" i="697"/>
  <c r="A810" i="697"/>
  <c r="A736" i="697"/>
  <c r="A748" i="697"/>
  <c r="A774" i="697"/>
  <c r="A775" i="697"/>
  <c r="A776" i="697"/>
  <c r="A789" i="697"/>
  <c r="A934" i="697"/>
  <c r="A724" i="697"/>
  <c r="A725" i="697"/>
  <c r="A726" i="697"/>
  <c r="A727" i="697"/>
  <c r="A790" i="697"/>
  <c r="A1021" i="697"/>
  <c r="A728" i="697"/>
  <c r="A729" i="697"/>
  <c r="A730" i="697"/>
  <c r="A953" i="697"/>
  <c r="A871" i="697"/>
  <c r="A817" i="697"/>
  <c r="A737" i="697"/>
  <c r="A1084" i="697"/>
  <c r="A880" i="697"/>
  <c r="A863" i="697"/>
  <c r="A570" i="697"/>
  <c r="A571" i="697"/>
  <c r="A572" i="697"/>
  <c r="A573" i="697"/>
  <c r="A574" i="697"/>
  <c r="A575" i="697"/>
  <c r="A771" i="697"/>
  <c r="A772" i="697"/>
  <c r="A954" i="697"/>
  <c r="A955" i="697"/>
  <c r="A980" i="697"/>
  <c r="A777" i="697"/>
  <c r="A956" i="697"/>
  <c r="A981" i="697"/>
  <c r="A982" i="697"/>
  <c r="A983" i="697"/>
  <c r="A904" i="697"/>
  <c r="A984" i="697"/>
  <c r="A912" i="697"/>
  <c r="A913" i="697"/>
  <c r="A778" i="697"/>
  <c r="A957" i="697"/>
  <c r="A881" i="697"/>
  <c r="A779" i="697"/>
  <c r="A780" i="697"/>
  <c r="A905" i="697"/>
  <c r="A985" i="697"/>
  <c r="A781" i="697"/>
  <c r="A906" i="697"/>
  <c r="A948" i="697"/>
  <c r="A935" i="697"/>
  <c r="A936" i="697"/>
  <c r="A791" i="697"/>
  <c r="A795" i="697"/>
  <c r="A937" i="697"/>
  <c r="A986" i="697"/>
  <c r="A895" i="697"/>
  <c r="A896" i="697"/>
  <c r="A914" i="697"/>
  <c r="A958" i="697"/>
  <c r="A792" i="697"/>
  <c r="A987" i="697"/>
  <c r="A800" i="697"/>
  <c r="A988" i="697"/>
  <c r="A959" i="697"/>
  <c r="A801" i="697"/>
  <c r="A796" i="697"/>
  <c r="A989" i="697"/>
  <c r="A797" i="697"/>
  <c r="A798" i="697"/>
  <c r="A802" i="697"/>
  <c r="A990" i="697"/>
  <c r="A803" i="697"/>
  <c r="A804" i="697"/>
  <c r="A805" i="697"/>
  <c r="A806" i="697"/>
  <c r="A807" i="697"/>
  <c r="A808" i="697"/>
  <c r="A1022" i="697"/>
  <c r="A1005" i="697"/>
  <c r="A813" i="697"/>
  <c r="A814" i="697"/>
  <c r="A991" i="697"/>
  <c r="A992" i="697"/>
  <c r="A993" i="697"/>
  <c r="A818" i="697"/>
  <c r="A938" i="697"/>
  <c r="A819" i="697"/>
  <c r="A820" i="697"/>
  <c r="A821" i="697"/>
  <c r="A822" i="697"/>
  <c r="A823" i="697"/>
  <c r="A824" i="697"/>
  <c r="A825" i="697"/>
  <c r="A826" i="697"/>
  <c r="A939" i="697"/>
  <c r="A827" i="697"/>
  <c r="A828" i="697"/>
  <c r="A915" i="697"/>
  <c r="A897" i="697"/>
  <c r="A829" i="697"/>
  <c r="A830" i="697"/>
  <c r="A847" i="697"/>
  <c r="A831" i="697"/>
  <c r="A832" i="697"/>
  <c r="A833" i="697"/>
  <c r="A1000" i="697"/>
  <c r="A960" i="697"/>
  <c r="A834" i="697"/>
  <c r="A1030" i="697"/>
  <c r="A875" i="697"/>
  <c r="A898" i="697"/>
  <c r="A916" i="697"/>
  <c r="A917" i="697"/>
  <c r="A852" i="697"/>
  <c r="A872" i="697"/>
  <c r="A886" i="697"/>
  <c r="A848" i="697"/>
  <c r="A918" i="697"/>
  <c r="A1143" i="697"/>
  <c r="A876" i="697"/>
  <c r="A877" i="697"/>
  <c r="A878" i="697"/>
  <c r="A994" i="697"/>
  <c r="A850" i="697"/>
  <c r="A849" i="697"/>
  <c r="A1001" i="697"/>
  <c r="A899" i="697"/>
  <c r="A1002" i="697"/>
  <c r="A1006" i="697"/>
  <c r="A851" i="697"/>
  <c r="A940" i="697"/>
  <c r="A941" i="697"/>
  <c r="A1007" i="697"/>
  <c r="A995" i="697"/>
  <c r="A1213" i="697"/>
  <c r="A853" i="697"/>
  <c r="A1023" i="697"/>
  <c r="A1008" i="697"/>
  <c r="A1044" i="697"/>
  <c r="A864" i="697"/>
  <c r="A865" i="697"/>
  <c r="A942" i="697"/>
  <c r="A1024" i="697"/>
  <c r="A873" i="697"/>
  <c r="A943" i="697"/>
  <c r="A1045" i="697"/>
  <c r="A1046" i="697"/>
  <c r="A1047" i="697"/>
  <c r="A874" i="697"/>
  <c r="A1025" i="697"/>
  <c r="A1031" i="697"/>
  <c r="A1048" i="697"/>
  <c r="A882" i="697"/>
  <c r="A883" i="697"/>
  <c r="A884" i="697"/>
  <c r="A885" i="697"/>
  <c r="A1049" i="697"/>
  <c r="A1050" i="697"/>
  <c r="A900" i="697"/>
  <c r="A887" i="697"/>
  <c r="A888" i="697"/>
  <c r="A1091" i="697"/>
  <c r="A1068" i="697"/>
  <c r="A1075" i="697"/>
  <c r="A901" i="697"/>
  <c r="A1096" i="697"/>
  <c r="A907" i="697"/>
  <c r="A908" i="697"/>
  <c r="A909" i="697"/>
  <c r="A910" i="697"/>
  <c r="A911" i="697"/>
  <c r="A1168" i="697"/>
  <c r="A944" i="697"/>
  <c r="A1097" i="697"/>
  <c r="A1069" i="697"/>
  <c r="A1051" i="697"/>
  <c r="A919" i="697"/>
  <c r="A920" i="697"/>
  <c r="A921" i="697"/>
  <c r="A922" i="697"/>
  <c r="A1076" i="697"/>
  <c r="A945" i="697"/>
  <c r="A1162" i="697"/>
  <c r="A1169" i="697"/>
  <c r="A1082" i="697"/>
  <c r="A946" i="697"/>
  <c r="A1083" i="697"/>
  <c r="A1131" i="697"/>
  <c r="A1077" i="697"/>
  <c r="A1052" i="697"/>
  <c r="A1098" i="697"/>
  <c r="A1070" i="697"/>
  <c r="A1085" i="697"/>
  <c r="A947" i="697"/>
  <c r="A9" i="697"/>
  <c r="A1032" i="697"/>
  <c r="A1053" i="697"/>
  <c r="A949" i="697"/>
  <c r="A950" i="697"/>
  <c r="A1092" i="697"/>
  <c r="A1099" i="697"/>
  <c r="A1130" i="697"/>
  <c r="A1078" i="697"/>
  <c r="A951" i="697"/>
  <c r="A1037" i="697"/>
  <c r="A1071" i="697"/>
  <c r="A1100" i="697"/>
  <c r="A1086" i="697"/>
  <c r="A1087" i="697"/>
  <c r="A1101" i="697"/>
  <c r="A1088" i="697"/>
  <c r="A1239" i="697"/>
  <c r="A1089" i="697"/>
  <c r="A1009" i="697"/>
  <c r="A972" i="697"/>
  <c r="A1054" i="697"/>
  <c r="A1033" i="697"/>
  <c r="A1102" i="697"/>
  <c r="A1010" i="697"/>
  <c r="A961" i="697"/>
  <c r="A962" i="697"/>
  <c r="A963" i="697"/>
  <c r="A964" i="697"/>
  <c r="A965" i="697"/>
  <c r="A966" i="697"/>
  <c r="A967" i="697"/>
  <c r="A968" i="697"/>
  <c r="A969" i="697"/>
  <c r="A970" i="697"/>
  <c r="A971" i="697"/>
  <c r="A1055" i="697"/>
  <c r="A1056" i="697"/>
  <c r="A1057" i="697"/>
  <c r="A1058" i="697"/>
  <c r="A1059" i="697"/>
  <c r="A1060" i="697"/>
  <c r="A1011" i="697"/>
  <c r="A1190" i="697"/>
  <c r="A1012" i="697"/>
  <c r="A973" i="697"/>
  <c r="A974" i="697"/>
  <c r="A1124" i="697"/>
  <c r="A996" i="697"/>
  <c r="A1118" i="697"/>
  <c r="A1013" i="697"/>
  <c r="A1191" i="697"/>
  <c r="A1014" i="697"/>
  <c r="A975" i="697"/>
  <c r="A1015" i="697"/>
  <c r="A1016" i="697"/>
  <c r="A976" i="697"/>
  <c r="A1040" i="697"/>
  <c r="A977" i="697"/>
  <c r="A1093" i="697"/>
  <c r="A1112" i="697"/>
  <c r="A1017" i="697"/>
  <c r="A1103" i="697"/>
  <c r="A1018" i="697"/>
  <c r="A1019" i="697"/>
  <c r="A978" i="697"/>
  <c r="A1214" i="697"/>
  <c r="A1061" i="697"/>
  <c r="A1104" i="697"/>
  <c r="A1320" i="697"/>
  <c r="A1293" i="697"/>
  <c r="A1192" i="697"/>
  <c r="A1207" i="697"/>
  <c r="A1289" i="697"/>
  <c r="A1253" i="697"/>
  <c r="A1321" i="697"/>
  <c r="A1240" i="697"/>
  <c r="A1157" i="697"/>
  <c r="A997" i="697"/>
  <c r="A998" i="697"/>
  <c r="A999" i="697"/>
  <c r="A1520" i="697"/>
  <c r="A1158" i="697"/>
  <c r="A1132" i="697"/>
  <c r="A1003" i="697"/>
  <c r="A1062" i="697"/>
  <c r="A1063" i="697"/>
  <c r="A1004" i="697"/>
  <c r="A1170" i="697"/>
  <c r="A1020" i="697"/>
  <c r="A1274" i="697"/>
  <c r="A1278" i="697"/>
  <c r="A1176" i="697"/>
  <c r="A1294" i="697"/>
  <c r="A1034" i="697"/>
  <c r="A1163" i="697"/>
  <c r="A1026" i="697"/>
  <c r="A1027" i="697"/>
  <c r="A1028" i="697"/>
  <c r="A1521" i="697"/>
  <c r="A1133" i="697"/>
  <c r="A1177" i="697"/>
  <c r="A1035" i="697"/>
  <c r="A1036" i="697"/>
  <c r="A1249" i="697"/>
  <c r="A1171" i="697"/>
  <c r="A1193" i="697"/>
  <c r="A1038" i="697"/>
  <c r="A1079" i="697"/>
  <c r="A1178" i="697"/>
  <c r="A1039" i="697"/>
  <c r="A1230" i="697"/>
  <c r="A1179" i="697"/>
  <c r="A1113" i="697"/>
  <c r="A1080" i="697"/>
  <c r="A1180" i="697"/>
  <c r="A1295" i="697"/>
  <c r="A1041" i="697"/>
  <c r="A1215" i="697"/>
  <c r="A1042" i="697"/>
  <c r="A1043" i="697"/>
  <c r="A1072" i="697"/>
  <c r="A1064" i="697"/>
  <c r="A1065" i="697"/>
  <c r="A1372" i="697"/>
  <c r="A1066" i="697"/>
  <c r="A1296" i="697"/>
  <c r="A1067" i="697"/>
  <c r="A1144" i="697"/>
  <c r="A1181" i="697"/>
  <c r="A1182" i="697"/>
  <c r="A1204" i="697"/>
  <c r="A1073" i="697"/>
  <c r="A1074" i="697"/>
  <c r="A1081" i="697"/>
  <c r="A1183" i="697"/>
  <c r="A1090" i="697"/>
  <c r="A1322" i="697"/>
  <c r="A1184" i="697"/>
  <c r="A1229" i="697"/>
  <c r="A1270" i="697"/>
  <c r="A1194" i="697"/>
  <c r="A1094" i="697"/>
  <c r="A1323" i="697"/>
  <c r="A1290" i="697"/>
  <c r="A1216" i="697"/>
  <c r="A1241" i="697"/>
  <c r="A1105" i="697"/>
  <c r="A1095" i="697"/>
  <c r="A1217" i="697"/>
  <c r="A1231" i="697"/>
  <c r="A979" i="697"/>
  <c r="A1106" i="697"/>
  <c r="A1107" i="697"/>
  <c r="A1271" i="697"/>
  <c r="A1108" i="697"/>
  <c r="A1297" i="697"/>
  <c r="A1110" i="697"/>
  <c r="A1138" i="697"/>
  <c r="A1109" i="697"/>
  <c r="A1111" i="697"/>
  <c r="A1126" i="697"/>
  <c r="A1145" i="697"/>
  <c r="A1146" i="697"/>
  <c r="A1134" i="697"/>
  <c r="A1272" i="697"/>
  <c r="A1273" i="697"/>
  <c r="A1147" i="697"/>
  <c r="A1148" i="697"/>
  <c r="A1149" i="697"/>
  <c r="A1150" i="697"/>
  <c r="A1151" i="697"/>
  <c r="A1114" i="697"/>
  <c r="A1135" i="697"/>
  <c r="A1127" i="697"/>
  <c r="A1128" i="697"/>
  <c r="A1266" i="697"/>
  <c r="A1115" i="697"/>
  <c r="A1116" i="697"/>
  <c r="A1117" i="697"/>
  <c r="A1152" i="697"/>
  <c r="A1242" i="697"/>
  <c r="A1119" i="697"/>
  <c r="A1120" i="697"/>
  <c r="A1218" i="697"/>
  <c r="A1121" i="697"/>
  <c r="A1122" i="697"/>
  <c r="A1123" i="697"/>
  <c r="A1195" i="697"/>
  <c r="A1125" i="697"/>
  <c r="A1129" i="697"/>
  <c r="A1174" i="697"/>
  <c r="A1136" i="697"/>
  <c r="A1236" i="697"/>
  <c r="A1326" i="697"/>
  <c r="A1208" i="697"/>
  <c r="A1254" i="697"/>
  <c r="A1137" i="697"/>
  <c r="A1365" i="697"/>
  <c r="A1327" i="697"/>
  <c r="A1139" i="697"/>
  <c r="A1140" i="697"/>
  <c r="A1141" i="697"/>
  <c r="A1159" i="697"/>
  <c r="A1153" i="697"/>
  <c r="A1142" i="697"/>
  <c r="A1160" i="697"/>
  <c r="A1154" i="697"/>
  <c r="A1155" i="697"/>
  <c r="A1156" i="697"/>
  <c r="A1366" i="697"/>
  <c r="A1185" i="697"/>
  <c r="A1161" i="697"/>
  <c r="A1334" i="697"/>
  <c r="A1255" i="697"/>
  <c r="A1298" i="697"/>
  <c r="A1267" i="697"/>
  <c r="A1196" i="697"/>
  <c r="A1197" i="697"/>
  <c r="A1268" i="697"/>
  <c r="A1164" i="697"/>
  <c r="A1335" i="697"/>
  <c r="A1328" i="697"/>
  <c r="A1165" i="697"/>
  <c r="A1166" i="697"/>
  <c r="A1275" i="697"/>
  <c r="A1276" i="697"/>
  <c r="A1256" i="697"/>
  <c r="A1172" i="697"/>
  <c r="A1329" i="697"/>
  <c r="A1324" i="697"/>
  <c r="A1299" i="697"/>
  <c r="A1186" i="697"/>
  <c r="A1175" i="697"/>
  <c r="A1173" i="697"/>
  <c r="A1330" i="697"/>
  <c r="A1300" i="697"/>
  <c r="A1367" i="697"/>
  <c r="A1368" i="697"/>
  <c r="A1378" i="697"/>
  <c r="A1377" i="697"/>
  <c r="A1301" i="697"/>
  <c r="A1331" i="697"/>
  <c r="A1187" i="697"/>
  <c r="A1188" i="697"/>
  <c r="A1357" i="697"/>
  <c r="A1369" i="697"/>
  <c r="A1439" i="697"/>
  <c r="A1302" i="697"/>
  <c r="A1189" i="697"/>
  <c r="A1277" i="697"/>
  <c r="A1358" i="697"/>
  <c r="A1198" i="697"/>
  <c r="A1199" i="697"/>
  <c r="A1200" i="697"/>
  <c r="A1201" i="697"/>
  <c r="A1202" i="697"/>
  <c r="A1203" i="697"/>
  <c r="A1209" i="697"/>
  <c r="A1244" i="697"/>
  <c r="A1359" i="697"/>
  <c r="A1219" i="697"/>
  <c r="A1220" i="697"/>
  <c r="A1205" i="697"/>
  <c r="A1167" i="697"/>
  <c r="A1221" i="697"/>
  <c r="A1222" i="697"/>
  <c r="A1257" i="697"/>
  <c r="A1206" i="697"/>
  <c r="A1223" i="697"/>
  <c r="A1224" i="697"/>
  <c r="A1225" i="697"/>
  <c r="A1210" i="697"/>
  <c r="A1336" i="697"/>
  <c r="A1337" i="697"/>
  <c r="A1338" i="697"/>
  <c r="A1339" i="697"/>
  <c r="A1373" i="697"/>
  <c r="A1258" i="697"/>
  <c r="A1340" i="697"/>
  <c r="A1211" i="697"/>
  <c r="A1212" i="697"/>
  <c r="A1226" i="697"/>
  <c r="A1227" i="697"/>
  <c r="A1285" i="697"/>
  <c r="A1259" i="697"/>
  <c r="A1228" i="697"/>
  <c r="A1476" i="697"/>
  <c r="A1379" i="697"/>
  <c r="A1303" i="697"/>
  <c r="A1345" i="697"/>
  <c r="A1360" i="697"/>
  <c r="A1440" i="697"/>
  <c r="A1401" i="697"/>
  <c r="A1344" i="697"/>
  <c r="A1232" i="697"/>
  <c r="A1361" i="697"/>
  <c r="A1269" i="697"/>
  <c r="A1233" i="697"/>
  <c r="A1234" i="697"/>
  <c r="A1423" i="697"/>
  <c r="A1325" i="697"/>
  <c r="A1245" i="697"/>
  <c r="A1491" i="697"/>
  <c r="A1235" i="697"/>
  <c r="A1380" i="697"/>
  <c r="A1495" i="697"/>
  <c r="A1250" i="697"/>
  <c r="A1363" i="697"/>
  <c r="A1237" i="697"/>
  <c r="A1238" i="697"/>
  <c r="A1463" i="697"/>
  <c r="A1374" i="697"/>
  <c r="A1246" i="697"/>
  <c r="A1243" i="697"/>
  <c r="A1247" i="697"/>
  <c r="A1410" i="697"/>
  <c r="A1411" i="697"/>
  <c r="A1370" i="697"/>
  <c r="A1417" i="697"/>
  <c r="A1381" i="697"/>
  <c r="A1248" i="697"/>
  <c r="A1251" i="697"/>
  <c r="A1252" i="697"/>
  <c r="A1432" i="697"/>
  <c r="A1375" i="697"/>
  <c r="A1382" i="697"/>
  <c r="A1260" i="697"/>
  <c r="A1280" i="697"/>
  <c r="A1281" i="697"/>
  <c r="A1282" i="697"/>
  <c r="A1283" i="697"/>
  <c r="A1284" i="697"/>
  <c r="A1433" i="697"/>
  <c r="A1434" i="697"/>
  <c r="A1261" i="697"/>
  <c r="A1264" i="697"/>
  <c r="A1262" i="697"/>
  <c r="A1263" i="697"/>
  <c r="A1383" i="697"/>
  <c r="A1265" i="697"/>
  <c r="A1522" i="697"/>
  <c r="A1394" i="697"/>
  <c r="A1441" i="697"/>
  <c r="A1305" i="697"/>
  <c r="A1286" i="697"/>
  <c r="A1306" i="697"/>
  <c r="A1451" i="697"/>
  <c r="A1455" i="697"/>
  <c r="A1319" i="697"/>
  <c r="A1435" i="697"/>
  <c r="A1279" i="697"/>
  <c r="A1287" i="697"/>
  <c r="A1442" i="697"/>
  <c r="A1412" i="697"/>
  <c r="A1395" i="697"/>
  <c r="A1288" i="697"/>
  <c r="A1396" i="697"/>
  <c r="A1510" i="697"/>
  <c r="A1413" i="697"/>
  <c r="A1389" i="697"/>
  <c r="A1291" i="697"/>
  <c r="A1492" i="697"/>
  <c r="A1496" i="697"/>
  <c r="A1390" i="697"/>
  <c r="A1304" i="697"/>
  <c r="A1397" i="697"/>
  <c r="A1418" i="697"/>
  <c r="A1317" i="697"/>
  <c r="A1307" i="697"/>
  <c r="A1308" i="697"/>
  <c r="A1309" i="697"/>
  <c r="A1310" i="697"/>
  <c r="A1311" i="697"/>
  <c r="A1312" i="697"/>
  <c r="A1313" i="697"/>
  <c r="A1314" i="697"/>
  <c r="A1315" i="697"/>
  <c r="A1316" i="697"/>
  <c r="A1398" i="697"/>
  <c r="A1414" i="697"/>
  <c r="A1346" i="697"/>
  <c r="A1347" i="697"/>
  <c r="A1464" i="697"/>
  <c r="A1348" i="697"/>
  <c r="A1349" i="697"/>
  <c r="A1350" i="697"/>
  <c r="A1399" i="697"/>
  <c r="A1400" i="697"/>
  <c r="A1351" i="697"/>
  <c r="A1352" i="697"/>
  <c r="A1386" i="697"/>
  <c r="A1318" i="697"/>
  <c r="A1353" i="697"/>
  <c r="A1354" i="697"/>
  <c r="A1429" i="697"/>
  <c r="A1477" i="697"/>
  <c r="A1523" i="697"/>
  <c r="A1524" i="697"/>
  <c r="A1355" i="697"/>
  <c r="A1332" i="697"/>
  <c r="A1333" i="697"/>
  <c r="A1525" i="697"/>
  <c r="A1478" i="697"/>
  <c r="A1472" i="697"/>
  <c r="A1511" i="697"/>
  <c r="A1342" i="697"/>
  <c r="A1341" i="697"/>
  <c r="A1424" i="697"/>
  <c r="A1343" i="697"/>
  <c r="A1474" i="697"/>
  <c r="A1516" i="697"/>
  <c r="A1479" i="697"/>
  <c r="A1526" i="697"/>
  <c r="A1465" i="697"/>
  <c r="A1425" i="697"/>
  <c r="A1480" i="697"/>
  <c r="A1356" i="697"/>
  <c r="A1481" i="697"/>
  <c r="A1512" i="697"/>
  <c r="A1473" i="697"/>
  <c r="A1482" i="697"/>
  <c r="A1362" i="697"/>
  <c r="A1483" i="697"/>
  <c r="A1484" i="697"/>
  <c r="A1391" i="697"/>
  <c r="A1364" i="697"/>
  <c r="A1527" i="697"/>
  <c r="A1513" i="697"/>
  <c r="A1376" i="697"/>
  <c r="A1402" i="697"/>
  <c r="A1403" i="697"/>
  <c r="A1404" i="697"/>
  <c r="A1405" i="697"/>
  <c r="A1371" i="697"/>
  <c r="A1528" i="697"/>
  <c r="A1436" i="697"/>
  <c r="A1529" i="697"/>
  <c r="A1437" i="697"/>
  <c r="A1530" i="697"/>
  <c r="A1485" i="697"/>
  <c r="A1531" i="697"/>
  <c r="A1514" i="697"/>
  <c r="A1532" i="697"/>
  <c r="A1486" i="697"/>
  <c r="A1533" i="697"/>
  <c r="A1384" i="697"/>
  <c r="A1385" i="697"/>
  <c r="A1387" i="697"/>
  <c r="A1534" i="697"/>
  <c r="A1535" i="697"/>
  <c r="A1536" i="697"/>
  <c r="A1388" i="697"/>
  <c r="A1392" i="697"/>
  <c r="A1393" i="697"/>
  <c r="A1416" i="697"/>
  <c r="A1537" i="697"/>
  <c r="A1406" i="697"/>
  <c r="A1538" i="697"/>
  <c r="A1407" i="697"/>
  <c r="A1539" i="697"/>
  <c r="A1438" i="697"/>
  <c r="A1487" i="697"/>
  <c r="A1540" i="697"/>
  <c r="A1443" i="697"/>
  <c r="A1444" i="697"/>
  <c r="A1445" i="697"/>
  <c r="A1420" i="697"/>
  <c r="A1408" i="697"/>
  <c r="A1497" i="697"/>
  <c r="A1498" i="697"/>
  <c r="A1499" i="697"/>
  <c r="A1446" i="697"/>
  <c r="A1517" i="697"/>
  <c r="A1518" i="697"/>
  <c r="A1489" i="697"/>
  <c r="A1541" i="697"/>
  <c r="A1447" i="697"/>
  <c r="A1448" i="697"/>
  <c r="A1542" i="697"/>
  <c r="A1415" i="697"/>
  <c r="A1488" i="697"/>
  <c r="A1543" i="697"/>
  <c r="A1544" i="697"/>
  <c r="A1545" i="697"/>
  <c r="A1419" i="697"/>
  <c r="A1546" i="697"/>
  <c r="A1547" i="697"/>
  <c r="A1421" i="697"/>
  <c r="A1422" i="697"/>
  <c r="A1548" i="697"/>
  <c r="A1459" i="697"/>
  <c r="A1549" i="697"/>
  <c r="A1426" i="697"/>
  <c r="A1460" i="697"/>
  <c r="A1461" i="697"/>
  <c r="A1427" i="697"/>
  <c r="A1428" i="697"/>
  <c r="A1449" i="697"/>
  <c r="A1431" i="697"/>
  <c r="A1430" i="697"/>
  <c r="A1490" i="697"/>
  <c r="A1452" i="697"/>
  <c r="A1550" i="697"/>
  <c r="A1456" i="697"/>
  <c r="A1450" i="697"/>
  <c r="A1551" i="697"/>
  <c r="A1552" i="697"/>
  <c r="A1519" i="697"/>
  <c r="A1457" i="697"/>
  <c r="A1458" i="697"/>
  <c r="A1462" i="697"/>
  <c r="A1453" i="697"/>
  <c r="A1409" i="697"/>
  <c r="A1454" i="697"/>
  <c r="A1553" i="697"/>
  <c r="A1554" i="697"/>
  <c r="A1555" i="697"/>
  <c r="A1556" i="697"/>
  <c r="A1557" i="697"/>
  <c r="A1558" i="697"/>
  <c r="A1466" i="697"/>
  <c r="A1467" i="697"/>
  <c r="A1468" i="697"/>
  <c r="A1469" i="697"/>
  <c r="A1559" i="697"/>
  <c r="A1475" i="697"/>
  <c r="A1470" i="697"/>
  <c r="A1471" i="697"/>
  <c r="A1560" i="697"/>
  <c r="A1561" i="697"/>
  <c r="A1562" i="697"/>
  <c r="A1563" i="697"/>
  <c r="A1564" i="697"/>
  <c r="A1565" i="697"/>
  <c r="A1566" i="697"/>
  <c r="A1567" i="697"/>
  <c r="A1568" i="697"/>
  <c r="A1569" i="697"/>
  <c r="A1570" i="697"/>
  <c r="A1571" i="697"/>
  <c r="A1572" i="697"/>
  <c r="A1493" i="697"/>
  <c r="A1494" i="697"/>
  <c r="A1573" i="697"/>
  <c r="A1574" i="697"/>
  <c r="A1575" i="697"/>
  <c r="A1576" i="697"/>
  <c r="A1577" i="697"/>
  <c r="A1578" i="697"/>
  <c r="A1579" i="697"/>
  <c r="A1580" i="697"/>
  <c r="A1581" i="697"/>
  <c r="A1582" i="697"/>
  <c r="A1583" i="697"/>
  <c r="A1584" i="697"/>
  <c r="A1585" i="697"/>
  <c r="A1500" i="697"/>
  <c r="A1501" i="697"/>
  <c r="A1502" i="697"/>
  <c r="A1503" i="697"/>
  <c r="A1504" i="697"/>
  <c r="A1505" i="697"/>
  <c r="A1506" i="697"/>
  <c r="A1586" i="697"/>
  <c r="A1587" i="697"/>
  <c r="A1588" i="697"/>
  <c r="A1589" i="697"/>
  <c r="A1507" i="697"/>
  <c r="A1590" i="697"/>
  <c r="A1508" i="697"/>
  <c r="A1591" i="697"/>
  <c r="A1592" i="697"/>
  <c r="A1593" i="697"/>
  <c r="A1509" i="697"/>
  <c r="A1515" i="697"/>
  <c r="C1292" i="697"/>
  <c r="B1292" i="697" s="1"/>
  <c r="C103" i="697"/>
  <c r="B103" i="697" s="1"/>
  <c r="C104" i="697"/>
  <c r="B104" i="697" s="1"/>
  <c r="C22" i="697"/>
  <c r="B22" i="697" s="1"/>
  <c r="C23" i="697"/>
  <c r="B23" i="697" s="1"/>
  <c r="C12" i="697"/>
  <c r="B12" i="697" s="1"/>
  <c r="C196" i="697"/>
  <c r="B196" i="697" s="1"/>
  <c r="C4" i="697"/>
  <c r="B4" i="697" s="1"/>
  <c r="C24" i="697"/>
  <c r="B24" i="697" s="1"/>
  <c r="C208" i="697"/>
  <c r="B208" i="697" s="1"/>
  <c r="C6" i="697"/>
  <c r="B6" i="697" s="1"/>
  <c r="C13" i="697"/>
  <c r="B13" i="697" s="1"/>
  <c r="C14" i="697"/>
  <c r="B14" i="697" s="1"/>
  <c r="C2" i="697"/>
  <c r="B2" i="697" s="1"/>
  <c r="C15" i="697"/>
  <c r="B15" i="697" s="1"/>
  <c r="C16" i="697"/>
  <c r="B16" i="697" s="1"/>
  <c r="C34" i="697"/>
  <c r="B34" i="697" s="1"/>
  <c r="C17" i="697"/>
  <c r="B17" i="697" s="1"/>
  <c r="C45" i="697"/>
  <c r="B45" i="697" s="1"/>
  <c r="C77" i="697"/>
  <c r="B77" i="697" s="1"/>
  <c r="C117" i="697"/>
  <c r="B117" i="697" s="1"/>
  <c r="C78" i="697"/>
  <c r="B78" i="697" s="1"/>
  <c r="C79" i="697"/>
  <c r="B79" i="697" s="1"/>
  <c r="C80" i="697"/>
  <c r="B80" i="697" s="1"/>
  <c r="C40" i="697"/>
  <c r="B40" i="697" s="1"/>
  <c r="C3" i="697"/>
  <c r="B3" i="697" s="1"/>
  <c r="C209" i="697"/>
  <c r="B209" i="697" s="1"/>
  <c r="C5" i="697"/>
  <c r="B5" i="697" s="1"/>
  <c r="C18" i="697"/>
  <c r="B18" i="697" s="1"/>
  <c r="C19" i="697"/>
  <c r="B19" i="697" s="1"/>
  <c r="C20" i="697"/>
  <c r="B20" i="697" s="1"/>
  <c r="C7" i="697"/>
  <c r="B7" i="697" s="1"/>
  <c r="C8" i="697"/>
  <c r="B8" i="697" s="1"/>
  <c r="C10" i="697"/>
  <c r="B10" i="697" s="1"/>
  <c r="C105" i="697"/>
  <c r="B105" i="697" s="1"/>
  <c r="C106" i="697"/>
  <c r="B106" i="697" s="1"/>
  <c r="C107" i="697"/>
  <c r="B107" i="697" s="1"/>
  <c r="C11" i="697"/>
  <c r="B11" i="697" s="1"/>
  <c r="C81" i="697"/>
  <c r="B81" i="697" s="1"/>
  <c r="C174" i="697"/>
  <c r="B174" i="697" s="1"/>
  <c r="C175" i="697"/>
  <c r="B175" i="697" s="1"/>
  <c r="C82" i="697"/>
  <c r="B82" i="697" s="1"/>
  <c r="C83" i="697"/>
  <c r="B83" i="697" s="1"/>
  <c r="C118" i="697"/>
  <c r="B118" i="697" s="1"/>
  <c r="C84" i="697"/>
  <c r="B84" i="697" s="1"/>
  <c r="C85" i="697"/>
  <c r="B85" i="697" s="1"/>
  <c r="C86" i="697"/>
  <c r="B86" i="697" s="1"/>
  <c r="C87" i="697"/>
  <c r="B87" i="697" s="1"/>
  <c r="C21" i="697"/>
  <c r="B21" i="697" s="1"/>
  <c r="C210" i="697"/>
  <c r="B210" i="697" s="1"/>
  <c r="C88" i="697"/>
  <c r="B88" i="697" s="1"/>
  <c r="C27" i="697"/>
  <c r="B27" i="697" s="1"/>
  <c r="C28" i="697"/>
  <c r="B28" i="697" s="1"/>
  <c r="C29" i="697"/>
  <c r="B29" i="697" s="1"/>
  <c r="C30" i="697"/>
  <c r="B30" i="697" s="1"/>
  <c r="C31" i="697"/>
  <c r="B31" i="697" s="1"/>
  <c r="C32" i="697"/>
  <c r="B32" i="697" s="1"/>
  <c r="C33" i="697"/>
  <c r="B33" i="697" s="1"/>
  <c r="C219" i="697"/>
  <c r="B219" i="697" s="1"/>
  <c r="C89" i="697"/>
  <c r="B89" i="697" s="1"/>
  <c r="C90" i="697"/>
  <c r="B90" i="697" s="1"/>
  <c r="C96" i="697"/>
  <c r="B96" i="697" s="1"/>
  <c r="C114" i="697"/>
  <c r="B114" i="697" s="1"/>
  <c r="C125" i="697"/>
  <c r="B125" i="697" s="1"/>
  <c r="C67" i="697"/>
  <c r="B67" i="697" s="1"/>
  <c r="C171" i="697"/>
  <c r="B171" i="697" s="1"/>
  <c r="C76" i="697"/>
  <c r="B76" i="697" s="1"/>
  <c r="C46" i="697"/>
  <c r="B46" i="697" s="1"/>
  <c r="C47" i="697"/>
  <c r="B47" i="697" s="1"/>
  <c r="C48" i="697"/>
  <c r="B48" i="697" s="1"/>
  <c r="C37" i="697"/>
  <c r="B37" i="697" s="1"/>
  <c r="C49" i="697"/>
  <c r="B49" i="697" s="1"/>
  <c r="C50" i="697"/>
  <c r="B50" i="697" s="1"/>
  <c r="C51" i="697"/>
  <c r="B51" i="697" s="1"/>
  <c r="C52" i="697"/>
  <c r="B52" i="697" s="1"/>
  <c r="C53" i="697"/>
  <c r="B53" i="697" s="1"/>
  <c r="C54" i="697"/>
  <c r="B54" i="697" s="1"/>
  <c r="C55" i="697"/>
  <c r="B55" i="697" s="1"/>
  <c r="C56" i="697"/>
  <c r="B56" i="697" s="1"/>
  <c r="C119" i="697"/>
  <c r="B119" i="697" s="1"/>
  <c r="C57" i="697"/>
  <c r="B57" i="697" s="1"/>
  <c r="C115" i="697"/>
  <c r="B115" i="697" s="1"/>
  <c r="C35" i="697"/>
  <c r="B35" i="697" s="1"/>
  <c r="C58" i="697"/>
  <c r="B58" i="697" s="1"/>
  <c r="C59" i="697"/>
  <c r="B59" i="697" s="1"/>
  <c r="C60" i="697"/>
  <c r="B60" i="697" s="1"/>
  <c r="C61" i="697"/>
  <c r="B61" i="697" s="1"/>
  <c r="C62" i="697"/>
  <c r="B62" i="697" s="1"/>
  <c r="C63" i="697"/>
  <c r="B63" i="697" s="1"/>
  <c r="C126" i="697"/>
  <c r="B126" i="697" s="1"/>
  <c r="C116" i="697"/>
  <c r="B116" i="697" s="1"/>
  <c r="C120" i="697"/>
  <c r="B120" i="697" s="1"/>
  <c r="C91" i="697"/>
  <c r="B91" i="697" s="1"/>
  <c r="C133" i="697"/>
  <c r="B133" i="697" s="1"/>
  <c r="C92" i="697"/>
  <c r="B92" i="697" s="1"/>
  <c r="C93" i="697"/>
  <c r="B93" i="697" s="1"/>
  <c r="C36" i="697"/>
  <c r="B36" i="697" s="1"/>
  <c r="C108" i="697"/>
  <c r="B108" i="697" s="1"/>
  <c r="C109" i="697"/>
  <c r="B109" i="697" s="1"/>
  <c r="C110" i="697"/>
  <c r="B110" i="697" s="1"/>
  <c r="C111" i="697"/>
  <c r="B111" i="697" s="1"/>
  <c r="C64" i="697"/>
  <c r="B64" i="697" s="1"/>
  <c r="C213" i="697"/>
  <c r="B213" i="697" s="1"/>
  <c r="C134" i="697"/>
  <c r="B134" i="697" s="1"/>
  <c r="C131" i="697"/>
  <c r="B131" i="697" s="1"/>
  <c r="C140" i="697"/>
  <c r="B140" i="697" s="1"/>
  <c r="C38" i="697"/>
  <c r="B38" i="697" s="1"/>
  <c r="C399" i="697"/>
  <c r="B399" i="697" s="1"/>
  <c r="C68" i="697"/>
  <c r="B68" i="697" s="1"/>
  <c r="C65" i="697"/>
  <c r="B65" i="697" s="1"/>
  <c r="C176" i="697"/>
  <c r="B176" i="697" s="1"/>
  <c r="C127" i="697"/>
  <c r="B127" i="697" s="1"/>
  <c r="C129" i="697"/>
  <c r="B129" i="697" s="1"/>
  <c r="C97" i="697"/>
  <c r="B97" i="697" s="1"/>
  <c r="C206" i="697"/>
  <c r="B206" i="697" s="1"/>
  <c r="C39" i="697"/>
  <c r="B39" i="697" s="1"/>
  <c r="C66" i="697"/>
  <c r="B66" i="697" s="1"/>
  <c r="C230" i="697"/>
  <c r="B230" i="697" s="1"/>
  <c r="C254" i="697"/>
  <c r="B254" i="697" s="1"/>
  <c r="C160" i="697"/>
  <c r="B160" i="697" s="1"/>
  <c r="C41" i="697"/>
  <c r="B41" i="697" s="1"/>
  <c r="C42" i="697"/>
  <c r="B42" i="697" s="1"/>
  <c r="C75" i="697"/>
  <c r="B75" i="697" s="1"/>
  <c r="C44" i="697"/>
  <c r="B44" i="697" s="1"/>
  <c r="C121" i="697"/>
  <c r="B121" i="697" s="1"/>
  <c r="C43" i="697"/>
  <c r="B43" i="697" s="1"/>
  <c r="C236" i="697"/>
  <c r="B236" i="697" s="1"/>
  <c r="C255" i="697"/>
  <c r="B255" i="697" s="1"/>
  <c r="C25" i="697"/>
  <c r="B25" i="697" s="1"/>
  <c r="C26" i="697"/>
  <c r="B26" i="697" s="1"/>
  <c r="C94" i="697"/>
  <c r="B94" i="697" s="1"/>
  <c r="C237" i="697"/>
  <c r="B237" i="697" s="1"/>
  <c r="C214" i="697"/>
  <c r="B214" i="697" s="1"/>
  <c r="C256" i="697"/>
  <c r="B256" i="697" s="1"/>
  <c r="C135" i="697"/>
  <c r="B135" i="697" s="1"/>
  <c r="C161" i="697"/>
  <c r="B161" i="697" s="1"/>
  <c r="C257" i="697"/>
  <c r="B257" i="697" s="1"/>
  <c r="C207" i="697"/>
  <c r="B207" i="697" s="1"/>
  <c r="C162" i="697"/>
  <c r="B162" i="697" s="1"/>
  <c r="C177" i="697"/>
  <c r="B177" i="697" s="1"/>
  <c r="C122" i="697"/>
  <c r="B122" i="697" s="1"/>
  <c r="C163" i="697"/>
  <c r="B163" i="697" s="1"/>
  <c r="C69" i="697"/>
  <c r="B69" i="697" s="1"/>
  <c r="C70" i="697"/>
  <c r="B70" i="697" s="1"/>
  <c r="C71" i="697"/>
  <c r="B71" i="697" s="1"/>
  <c r="C72" i="697"/>
  <c r="B72" i="697" s="1"/>
  <c r="C73" i="697"/>
  <c r="B73" i="697" s="1"/>
  <c r="C74" i="697"/>
  <c r="B74" i="697" s="1"/>
  <c r="C258" i="697"/>
  <c r="B258" i="697" s="1"/>
  <c r="C178" i="697"/>
  <c r="B178" i="697" s="1"/>
  <c r="C150" i="697"/>
  <c r="B150" i="697" s="1"/>
  <c r="C141" i="697"/>
  <c r="B141" i="697" s="1"/>
  <c r="C151" i="697"/>
  <c r="B151" i="697" s="1"/>
  <c r="C152" i="697"/>
  <c r="B152" i="697" s="1"/>
  <c r="C211" i="697"/>
  <c r="B211" i="697" s="1"/>
  <c r="C142" i="697"/>
  <c r="B142" i="697" s="1"/>
  <c r="C153" i="697"/>
  <c r="B153" i="697" s="1"/>
  <c r="C154" i="697"/>
  <c r="B154" i="697" s="1"/>
  <c r="C155" i="697"/>
  <c r="B155" i="697" s="1"/>
  <c r="C156" i="697"/>
  <c r="B156" i="697" s="1"/>
  <c r="C143" i="697"/>
  <c r="B143" i="697" s="1"/>
  <c r="C144" i="697"/>
  <c r="B144" i="697" s="1"/>
  <c r="C145" i="697"/>
  <c r="B145" i="697" s="1"/>
  <c r="C146" i="697"/>
  <c r="B146" i="697" s="1"/>
  <c r="C157" i="697"/>
  <c r="B157" i="697" s="1"/>
  <c r="C158" i="697"/>
  <c r="B158" i="697" s="1"/>
  <c r="C229" i="697"/>
  <c r="B229" i="697" s="1"/>
  <c r="C95" i="697"/>
  <c r="B95" i="697" s="1"/>
  <c r="C159" i="697"/>
  <c r="B159" i="697" s="1"/>
  <c r="C240" i="697"/>
  <c r="B240" i="697" s="1"/>
  <c r="C98" i="697"/>
  <c r="B98" i="697" s="1"/>
  <c r="C99" i="697"/>
  <c r="B99" i="697" s="1"/>
  <c r="C100" i="697"/>
  <c r="B100" i="697" s="1"/>
  <c r="C101" i="697"/>
  <c r="B101" i="697" s="1"/>
  <c r="C284" i="697"/>
  <c r="B284" i="697" s="1"/>
  <c r="C102" i="697"/>
  <c r="B102" i="697" s="1"/>
  <c r="C275" i="697"/>
  <c r="B275" i="697" s="1"/>
  <c r="C197" i="697"/>
  <c r="B197" i="697" s="1"/>
  <c r="C231" i="697"/>
  <c r="B231" i="697" s="1"/>
  <c r="C147" i="697"/>
  <c r="B147" i="697" s="1"/>
  <c r="C112" i="697"/>
  <c r="B112" i="697" s="1"/>
  <c r="C148" i="697"/>
  <c r="B148" i="697" s="1"/>
  <c r="C113" i="697"/>
  <c r="B113" i="697" s="1"/>
  <c r="C259" i="697"/>
  <c r="B259" i="697" s="1"/>
  <c r="C123" i="697"/>
  <c r="B123" i="697" s="1"/>
  <c r="C252" i="697"/>
  <c r="B252" i="697" s="1"/>
  <c r="C238" i="697"/>
  <c r="B238" i="697" s="1"/>
  <c r="C232" i="697"/>
  <c r="B232" i="697" s="1"/>
  <c r="C253" i="697"/>
  <c r="B253" i="697" s="1"/>
  <c r="C233" i="697"/>
  <c r="B233" i="697" s="1"/>
  <c r="C835" i="697"/>
  <c r="B835" i="697" s="1"/>
  <c r="C124" i="697"/>
  <c r="B124" i="697" s="1"/>
  <c r="C234" i="697"/>
  <c r="B234" i="697" s="1"/>
  <c r="C244" i="697"/>
  <c r="B244" i="697" s="1"/>
  <c r="C260" i="697"/>
  <c r="B260" i="697" s="1"/>
  <c r="C181" i="697"/>
  <c r="B181" i="697" s="1"/>
  <c r="C182" i="697"/>
  <c r="B182" i="697" s="1"/>
  <c r="C183" i="697"/>
  <c r="B183" i="697" s="1"/>
  <c r="C184" i="697"/>
  <c r="B184" i="697" s="1"/>
  <c r="C172" i="697"/>
  <c r="B172" i="697" s="1"/>
  <c r="C330" i="697"/>
  <c r="B330" i="697" s="1"/>
  <c r="C245" i="697"/>
  <c r="B245" i="697" s="1"/>
  <c r="C128" i="697"/>
  <c r="B128" i="697" s="1"/>
  <c r="C285" i="697"/>
  <c r="B285" i="697" s="1"/>
  <c r="C130" i="697"/>
  <c r="B130" i="697" s="1"/>
  <c r="C132" i="697"/>
  <c r="B132" i="697" s="1"/>
  <c r="C198" i="697"/>
  <c r="B198" i="697" s="1"/>
  <c r="C349" i="697"/>
  <c r="B349" i="697" s="1"/>
  <c r="C185" i="697"/>
  <c r="B185" i="697" s="1"/>
  <c r="C312" i="697"/>
  <c r="B312" i="697" s="1"/>
  <c r="C136" i="697"/>
  <c r="B136" i="697" s="1"/>
  <c r="C276" i="697"/>
  <c r="B276" i="697" s="1"/>
  <c r="C241" i="697"/>
  <c r="B241" i="697" s="1"/>
  <c r="C277" i="697"/>
  <c r="B277" i="697" s="1"/>
  <c r="C408" i="697"/>
  <c r="B408" i="697" s="1"/>
  <c r="C286" i="697"/>
  <c r="B286" i="697" s="1"/>
  <c r="C278" i="697"/>
  <c r="B278" i="697" s="1"/>
  <c r="C279" i="697"/>
  <c r="B279" i="697" s="1"/>
  <c r="C280" i="697"/>
  <c r="B280" i="697" s="1"/>
  <c r="C149" i="697"/>
  <c r="B149" i="697" s="1"/>
  <c r="C261" i="697"/>
  <c r="B261" i="697" s="1"/>
  <c r="C137" i="697"/>
  <c r="B137" i="697" s="1"/>
  <c r="C220" i="697"/>
  <c r="B220" i="697" s="1"/>
  <c r="C394" i="697"/>
  <c r="B394" i="697" s="1"/>
  <c r="C305" i="697"/>
  <c r="B305" i="697" s="1"/>
  <c r="C164" i="697"/>
  <c r="B164" i="697" s="1"/>
  <c r="C138" i="697"/>
  <c r="B138" i="697" s="1"/>
  <c r="C139" i="697"/>
  <c r="B139" i="697" s="1"/>
  <c r="C186" i="697"/>
  <c r="B186" i="697" s="1"/>
  <c r="C221" i="697"/>
  <c r="B221" i="697" s="1"/>
  <c r="C281" i="697"/>
  <c r="B281" i="697" s="1"/>
  <c r="C331" i="697"/>
  <c r="B331" i="697" s="1"/>
  <c r="C262" i="697"/>
  <c r="B262" i="697" s="1"/>
  <c r="C263" i="697"/>
  <c r="B263" i="697" s="1"/>
  <c r="C306" i="697"/>
  <c r="B306" i="697" s="1"/>
  <c r="C320" i="697"/>
  <c r="B320" i="697" s="1"/>
  <c r="C332" i="697"/>
  <c r="B332" i="697" s="1"/>
  <c r="C199" i="697"/>
  <c r="B199" i="697" s="1"/>
  <c r="C373" i="697"/>
  <c r="B373" i="697" s="1"/>
  <c r="C357" i="697"/>
  <c r="B357" i="697" s="1"/>
  <c r="C282" i="697"/>
  <c r="B282" i="697" s="1"/>
  <c r="C165" i="697"/>
  <c r="B165" i="697" s="1"/>
  <c r="C166" i="697"/>
  <c r="B166" i="697" s="1"/>
  <c r="C167" i="697"/>
  <c r="B167" i="697" s="1"/>
  <c r="C168" i="697"/>
  <c r="B168" i="697" s="1"/>
  <c r="C169" i="697"/>
  <c r="B169" i="697" s="1"/>
  <c r="C170" i="697"/>
  <c r="B170" i="697" s="1"/>
  <c r="C333" i="697"/>
  <c r="B333" i="697" s="1"/>
  <c r="C374" i="697"/>
  <c r="B374" i="697" s="1"/>
  <c r="C187" i="697"/>
  <c r="B187" i="697" s="1"/>
  <c r="C200" i="697"/>
  <c r="B200" i="697" s="1"/>
  <c r="C173" i="697"/>
  <c r="B173" i="697" s="1"/>
  <c r="C201" i="697"/>
  <c r="B201" i="697" s="1"/>
  <c r="C265" i="697"/>
  <c r="B265" i="697" s="1"/>
  <c r="C266" i="697"/>
  <c r="B266" i="697" s="1"/>
  <c r="C235" i="697"/>
  <c r="B235" i="697" s="1"/>
  <c r="C188" i="697"/>
  <c r="B188" i="697" s="1"/>
  <c r="C189" i="697"/>
  <c r="B189" i="697" s="1"/>
  <c r="C190" i="697"/>
  <c r="B190" i="697" s="1"/>
  <c r="C191" i="697"/>
  <c r="B191" i="697" s="1"/>
  <c r="C192" i="697"/>
  <c r="B192" i="697" s="1"/>
  <c r="C193" i="697"/>
  <c r="B193" i="697" s="1"/>
  <c r="C194" i="697"/>
  <c r="B194" i="697" s="1"/>
  <c r="C195" i="697"/>
  <c r="B195" i="697" s="1"/>
  <c r="C215" i="697"/>
  <c r="B215" i="697" s="1"/>
  <c r="C307" i="697"/>
  <c r="B307" i="697" s="1"/>
  <c r="C179" i="697"/>
  <c r="B179" i="697" s="1"/>
  <c r="C180" i="697"/>
  <c r="B180" i="697" s="1"/>
  <c r="C313" i="697"/>
  <c r="B313" i="697" s="1"/>
  <c r="C267" i="697"/>
  <c r="B267" i="697" s="1"/>
  <c r="C268" i="697"/>
  <c r="B268" i="697" s="1"/>
  <c r="C269" i="697"/>
  <c r="B269" i="697" s="1"/>
  <c r="C222" i="697"/>
  <c r="B222" i="697" s="1"/>
  <c r="C334" i="697"/>
  <c r="B334" i="697" s="1"/>
  <c r="C375" i="697"/>
  <c r="B375" i="697" s="1"/>
  <c r="C202" i="697"/>
  <c r="B202" i="697" s="1"/>
  <c r="C335" i="697"/>
  <c r="B335" i="697" s="1"/>
  <c r="C442" i="697"/>
  <c r="B442" i="697" s="1"/>
  <c r="C203" i="697"/>
  <c r="B203" i="697" s="1"/>
  <c r="C204" i="697"/>
  <c r="B204" i="697" s="1"/>
  <c r="C301" i="697"/>
  <c r="B301" i="697" s="1"/>
  <c r="C376" i="697"/>
  <c r="B376" i="697" s="1"/>
  <c r="C223" i="697"/>
  <c r="B223" i="697" s="1"/>
  <c r="C224" i="697"/>
  <c r="B224" i="697" s="1"/>
  <c r="C225" i="697"/>
  <c r="B225" i="697" s="1"/>
  <c r="C226" i="697"/>
  <c r="B226" i="697" s="1"/>
  <c r="C205" i="697"/>
  <c r="B205" i="697" s="1"/>
  <c r="C303" i="697"/>
  <c r="B303" i="697" s="1"/>
  <c r="C336" i="697"/>
  <c r="B336" i="697" s="1"/>
  <c r="C337" i="697"/>
  <c r="B337" i="697" s="1"/>
  <c r="C308" i="697"/>
  <c r="B308" i="697" s="1"/>
  <c r="C216" i="697"/>
  <c r="B216" i="697" s="1"/>
  <c r="C212" i="697"/>
  <c r="B212" i="697" s="1"/>
  <c r="C338" i="697"/>
  <c r="B338" i="697" s="1"/>
  <c r="C530" i="697"/>
  <c r="B530" i="697" s="1"/>
  <c r="C395" i="697"/>
  <c r="B395" i="697" s="1"/>
  <c r="C217" i="697"/>
  <c r="B217" i="697" s="1"/>
  <c r="C377" i="697"/>
  <c r="B377" i="697" s="1"/>
  <c r="C218" i="697"/>
  <c r="B218" i="697" s="1"/>
  <c r="C227" i="697"/>
  <c r="B227" i="697" s="1"/>
  <c r="C297" i="697"/>
  <c r="B297" i="697" s="1"/>
  <c r="C339" i="697"/>
  <c r="B339" i="697" s="1"/>
  <c r="C340" i="697"/>
  <c r="B340" i="697" s="1"/>
  <c r="C228" i="697"/>
  <c r="B228" i="697" s="1"/>
  <c r="C298" i="697"/>
  <c r="B298" i="697" s="1"/>
  <c r="C504" i="697"/>
  <c r="B504" i="697" s="1"/>
  <c r="C242" i="697"/>
  <c r="B242" i="697" s="1"/>
  <c r="C341" i="697"/>
  <c r="B341" i="697" s="1"/>
  <c r="C314" i="697"/>
  <c r="B314" i="697" s="1"/>
  <c r="C361" i="697"/>
  <c r="B361" i="697" s="1"/>
  <c r="C342" i="697"/>
  <c r="B342" i="697" s="1"/>
  <c r="C283" i="697"/>
  <c r="B283" i="697" s="1"/>
  <c r="C531" i="697"/>
  <c r="B531" i="697" s="1"/>
  <c r="C270" i="697"/>
  <c r="B270" i="697" s="1"/>
  <c r="C271" i="697"/>
  <c r="B271" i="697" s="1"/>
  <c r="C343" i="697"/>
  <c r="B343" i="697" s="1"/>
  <c r="C315" i="697"/>
  <c r="B315" i="697" s="1"/>
  <c r="C239" i="697"/>
  <c r="B239" i="697" s="1"/>
  <c r="C344" i="697"/>
  <c r="B344" i="697" s="1"/>
  <c r="C345" i="697"/>
  <c r="B345" i="697" s="1"/>
  <c r="C346" i="697"/>
  <c r="B346" i="697" s="1"/>
  <c r="C411" i="697"/>
  <c r="B411" i="697" s="1"/>
  <c r="C378" i="697"/>
  <c r="B378" i="697" s="1"/>
  <c r="C347" i="697"/>
  <c r="B347" i="697" s="1"/>
  <c r="C379" i="697"/>
  <c r="B379" i="697" s="1"/>
  <c r="C406" i="697"/>
  <c r="B406" i="697" s="1"/>
  <c r="C362" i="697"/>
  <c r="B362" i="697" s="1"/>
  <c r="C363" i="697"/>
  <c r="B363" i="697" s="1"/>
  <c r="C243" i="697"/>
  <c r="B243" i="697" s="1"/>
  <c r="C364" i="697"/>
  <c r="B364" i="697" s="1"/>
  <c r="C407" i="697"/>
  <c r="B407" i="697" s="1"/>
  <c r="C348" i="697"/>
  <c r="B348" i="697" s="1"/>
  <c r="C380" i="697"/>
  <c r="B380" i="697" s="1"/>
  <c r="C272" i="697"/>
  <c r="B272" i="697" s="1"/>
  <c r="C246" i="697"/>
  <c r="B246" i="697" s="1"/>
  <c r="C287" i="697"/>
  <c r="B287" i="697" s="1"/>
  <c r="C365" i="697"/>
  <c r="B365" i="697" s="1"/>
  <c r="C274" i="697"/>
  <c r="B274" i="697" s="1"/>
  <c r="C247" i="697"/>
  <c r="B247" i="697" s="1"/>
  <c r="C248" i="697"/>
  <c r="B248" i="697" s="1"/>
  <c r="C249" i="697"/>
  <c r="B249" i="697" s="1"/>
  <c r="C250" i="697"/>
  <c r="B250" i="697" s="1"/>
  <c r="C251" i="697"/>
  <c r="B251" i="697" s="1"/>
  <c r="C273" i="697"/>
  <c r="B273" i="697" s="1"/>
  <c r="C288" i="697"/>
  <c r="B288" i="697" s="1"/>
  <c r="C289" i="697"/>
  <c r="B289" i="697" s="1"/>
  <c r="C422" i="697"/>
  <c r="B422" i="697" s="1"/>
  <c r="C388" i="697"/>
  <c r="B388" i="697" s="1"/>
  <c r="C302" i="697"/>
  <c r="B302" i="697" s="1"/>
  <c r="C290" i="697"/>
  <c r="B290" i="697" s="1"/>
  <c r="C316" i="697"/>
  <c r="B316" i="697" s="1"/>
  <c r="C317" i="697"/>
  <c r="B317" i="697" s="1"/>
  <c r="C291" i="697"/>
  <c r="B291" i="697" s="1"/>
  <c r="C292" i="697"/>
  <c r="B292" i="697" s="1"/>
  <c r="C293" i="697"/>
  <c r="B293" i="697" s="1"/>
  <c r="C294" i="697"/>
  <c r="B294" i="697" s="1"/>
  <c r="C264" i="697"/>
  <c r="B264" i="697" s="1"/>
  <c r="C389" i="697"/>
  <c r="B389" i="697" s="1"/>
  <c r="C460" i="697"/>
  <c r="B460" i="697" s="1"/>
  <c r="C461" i="697"/>
  <c r="B461" i="697" s="1"/>
  <c r="C462" i="697"/>
  <c r="B462" i="697" s="1"/>
  <c r="C463" i="697"/>
  <c r="B463" i="697" s="1"/>
  <c r="C464" i="697"/>
  <c r="B464" i="697" s="1"/>
  <c r="C505" i="697"/>
  <c r="B505" i="697" s="1"/>
  <c r="C669" i="697"/>
  <c r="B669" i="697" s="1"/>
  <c r="C423" i="697"/>
  <c r="B423" i="697" s="1"/>
  <c r="C396" i="697"/>
  <c r="B396" i="697" s="1"/>
  <c r="C409" i="697"/>
  <c r="B409" i="697" s="1"/>
  <c r="C381" i="697"/>
  <c r="B381" i="697" s="1"/>
  <c r="C424" i="697"/>
  <c r="B424" i="697" s="1"/>
  <c r="C382" i="697"/>
  <c r="B382" i="697" s="1"/>
  <c r="C443" i="697"/>
  <c r="B443" i="697" s="1"/>
  <c r="C506" i="697"/>
  <c r="B506" i="697" s="1"/>
  <c r="C507" i="697"/>
  <c r="B507" i="697" s="1"/>
  <c r="C523" i="697"/>
  <c r="B523" i="697" s="1"/>
  <c r="C485" i="697"/>
  <c r="B485" i="697" s="1"/>
  <c r="C295" i="697"/>
  <c r="B295" i="697" s="1"/>
  <c r="C296" i="697"/>
  <c r="B296" i="697" s="1"/>
  <c r="C524" i="697"/>
  <c r="B524" i="697" s="1"/>
  <c r="C425" i="697"/>
  <c r="B425" i="697" s="1"/>
  <c r="C410" i="697"/>
  <c r="B410" i="697" s="1"/>
  <c r="C444" i="697"/>
  <c r="B444" i="697" s="1"/>
  <c r="C352" i="697"/>
  <c r="B352" i="697" s="1"/>
  <c r="C397" i="697"/>
  <c r="B397" i="697" s="1"/>
  <c r="C299" i="697"/>
  <c r="B299" i="697" s="1"/>
  <c r="C300" i="697"/>
  <c r="B300" i="697" s="1"/>
  <c r="C383" i="697"/>
  <c r="B383" i="697" s="1"/>
  <c r="C508" i="697"/>
  <c r="B508" i="697" s="1"/>
  <c r="C509" i="697"/>
  <c r="B509" i="697" s="1"/>
  <c r="C510" i="697"/>
  <c r="B510" i="697" s="1"/>
  <c r="C384" i="697"/>
  <c r="B384" i="697" s="1"/>
  <c r="C426" i="697"/>
  <c r="B426" i="697" s="1"/>
  <c r="C532" i="697"/>
  <c r="B532" i="697" s="1"/>
  <c r="C304" i="697"/>
  <c r="B304" i="697" s="1"/>
  <c r="C614" i="697"/>
  <c r="B614" i="697" s="1"/>
  <c r="C360" i="697"/>
  <c r="B360" i="697" s="1"/>
  <c r="C427" i="697"/>
  <c r="B427" i="697" s="1"/>
  <c r="C428" i="697"/>
  <c r="B428" i="697" s="1"/>
  <c r="C309" i="697"/>
  <c r="B309" i="697" s="1"/>
  <c r="C465" i="697"/>
  <c r="B465" i="697" s="1"/>
  <c r="C466" i="697"/>
  <c r="B466" i="697" s="1"/>
  <c r="C310" i="697"/>
  <c r="B310" i="697" s="1"/>
  <c r="C543" i="697"/>
  <c r="B543" i="697" s="1"/>
  <c r="C544" i="697"/>
  <c r="B544" i="697" s="1"/>
  <c r="C311" i="697"/>
  <c r="B311" i="697" s="1"/>
  <c r="C445" i="697"/>
  <c r="B445" i="697" s="1"/>
  <c r="C413" i="697"/>
  <c r="B413" i="697" s="1"/>
  <c r="C450" i="697"/>
  <c r="B450" i="697" s="1"/>
  <c r="C487" i="697"/>
  <c r="B487" i="697" s="1"/>
  <c r="C318" i="697"/>
  <c r="B318" i="697" s="1"/>
  <c r="C319" i="697"/>
  <c r="B319" i="697" s="1"/>
  <c r="C518" i="697"/>
  <c r="B518" i="697" s="1"/>
  <c r="C519" i="697"/>
  <c r="B519" i="697" s="1"/>
  <c r="C451" i="697"/>
  <c r="B451" i="697" s="1"/>
  <c r="C452" i="697"/>
  <c r="B452" i="697" s="1"/>
  <c r="C429" i="697"/>
  <c r="B429" i="697" s="1"/>
  <c r="C467" i="697"/>
  <c r="B467" i="697" s="1"/>
  <c r="C468" i="697"/>
  <c r="B468" i="697" s="1"/>
  <c r="C390" i="697"/>
  <c r="B390" i="697" s="1"/>
  <c r="C326" i="697"/>
  <c r="B326" i="697" s="1"/>
  <c r="C321" i="697"/>
  <c r="B321" i="697" s="1"/>
  <c r="C322" i="697"/>
  <c r="B322" i="697" s="1"/>
  <c r="C323" i="697"/>
  <c r="B323" i="697" s="1"/>
  <c r="C324" i="697"/>
  <c r="B324" i="697" s="1"/>
  <c r="C325" i="697"/>
  <c r="B325" i="697" s="1"/>
  <c r="C391" i="697"/>
  <c r="B391" i="697" s="1"/>
  <c r="C353" i="697"/>
  <c r="B353" i="697" s="1"/>
  <c r="C385" i="697"/>
  <c r="B385" i="697" s="1"/>
  <c r="C671" i="697"/>
  <c r="B671" i="697" s="1"/>
  <c r="C327" i="697"/>
  <c r="B327" i="697" s="1"/>
  <c r="C328" i="697"/>
  <c r="B328" i="697" s="1"/>
  <c r="C386" i="697"/>
  <c r="B386" i="697" s="1"/>
  <c r="C400" i="697"/>
  <c r="B400" i="697" s="1"/>
  <c r="C401" i="697"/>
  <c r="B401" i="697" s="1"/>
  <c r="C329" i="697"/>
  <c r="B329" i="697" s="1"/>
  <c r="C354" i="697"/>
  <c r="B354" i="697" s="1"/>
  <c r="C355" i="697"/>
  <c r="B355" i="697" s="1"/>
  <c r="C469" i="697"/>
  <c r="B469" i="697" s="1"/>
  <c r="C358" i="697"/>
  <c r="B358" i="697" s="1"/>
  <c r="C520" i="697"/>
  <c r="B520" i="697" s="1"/>
  <c r="C430" i="697"/>
  <c r="B430" i="697" s="1"/>
  <c r="C367" i="697"/>
  <c r="B367" i="697" s="1"/>
  <c r="C453" i="697"/>
  <c r="B453" i="697" s="1"/>
  <c r="C623" i="697"/>
  <c r="B623" i="697" s="1"/>
  <c r="C546" i="697"/>
  <c r="B546" i="697" s="1"/>
  <c r="C624" i="697"/>
  <c r="B624" i="697" s="1"/>
  <c r="C625" i="697"/>
  <c r="B625" i="697" s="1"/>
  <c r="C431" i="697"/>
  <c r="B431" i="697" s="1"/>
  <c r="C350" i="697"/>
  <c r="B350" i="697" s="1"/>
  <c r="C446" i="697"/>
  <c r="B446" i="697" s="1"/>
  <c r="C414" i="697"/>
  <c r="B414" i="697" s="1"/>
  <c r="C432" i="697"/>
  <c r="B432" i="697" s="1"/>
  <c r="C454" i="697"/>
  <c r="B454" i="697" s="1"/>
  <c r="C351" i="697"/>
  <c r="B351" i="697" s="1"/>
  <c r="C455" i="697"/>
  <c r="B455" i="697" s="1"/>
  <c r="C488" i="697"/>
  <c r="B488" i="697" s="1"/>
  <c r="C502" i="697"/>
  <c r="B502" i="697" s="1"/>
  <c r="C369" i="697"/>
  <c r="B369" i="697" s="1"/>
  <c r="C370" i="697"/>
  <c r="B370" i="697" s="1"/>
  <c r="C470" i="697"/>
  <c r="B470" i="697" s="1"/>
  <c r="C402" i="697"/>
  <c r="B402" i="697" s="1"/>
  <c r="C356" i="697"/>
  <c r="B356" i="697" s="1"/>
  <c r="C371" i="697"/>
  <c r="B371" i="697" s="1"/>
  <c r="C489" i="697"/>
  <c r="B489" i="697" s="1"/>
  <c r="C626" i="697"/>
  <c r="B626" i="697" s="1"/>
  <c r="C627" i="697"/>
  <c r="B627" i="697" s="1"/>
  <c r="C490" i="697"/>
  <c r="B490" i="697" s="1"/>
  <c r="C359" i="697"/>
  <c r="B359" i="697" s="1"/>
  <c r="C471" i="697"/>
  <c r="B471" i="697" s="1"/>
  <c r="C368" i="697"/>
  <c r="B368" i="697" s="1"/>
  <c r="C525" i="697"/>
  <c r="B525" i="697" s="1"/>
  <c r="C472" i="697"/>
  <c r="B472" i="697" s="1"/>
  <c r="C366" i="697"/>
  <c r="B366" i="697" s="1"/>
  <c r="C491" i="697"/>
  <c r="B491" i="697" s="1"/>
  <c r="C492" i="697"/>
  <c r="B492" i="697" s="1"/>
  <c r="C433" i="697"/>
  <c r="B433" i="697" s="1"/>
  <c r="C473" i="697"/>
  <c r="B473" i="697" s="1"/>
  <c r="C493" i="697"/>
  <c r="B493" i="697" s="1"/>
  <c r="C372" i="697"/>
  <c r="B372" i="697" s="1"/>
  <c r="C526" i="697"/>
  <c r="B526" i="697" s="1"/>
  <c r="C387" i="697"/>
  <c r="B387" i="697" s="1"/>
  <c r="C474" i="697"/>
  <c r="B474" i="697" s="1"/>
  <c r="C475" i="697"/>
  <c r="B475" i="697" s="1"/>
  <c r="C476" i="697"/>
  <c r="B476" i="697" s="1"/>
  <c r="C477" i="697"/>
  <c r="B477" i="697" s="1"/>
  <c r="C398" i="697"/>
  <c r="B398" i="697" s="1"/>
  <c r="C434" i="697"/>
  <c r="B434" i="697" s="1"/>
  <c r="C628" i="697"/>
  <c r="B628" i="697" s="1"/>
  <c r="C527" i="697"/>
  <c r="B527" i="697" s="1"/>
  <c r="C545" i="697"/>
  <c r="B545" i="697" s="1"/>
  <c r="C392" i="697"/>
  <c r="B392" i="697" s="1"/>
  <c r="C435" i="697"/>
  <c r="B435" i="697" s="1"/>
  <c r="C436" i="697"/>
  <c r="B436" i="697" s="1"/>
  <c r="C393" i="697"/>
  <c r="B393" i="697" s="1"/>
  <c r="C403" i="697"/>
  <c r="B403" i="697" s="1"/>
  <c r="C404" i="697"/>
  <c r="B404" i="697" s="1"/>
  <c r="C511" i="697"/>
  <c r="B511" i="697" s="1"/>
  <c r="C512" i="697"/>
  <c r="B512" i="697" s="1"/>
  <c r="C513" i="697"/>
  <c r="B513" i="697" s="1"/>
  <c r="C514" i="697"/>
  <c r="B514" i="697" s="1"/>
  <c r="C670" i="697"/>
  <c r="B670" i="697" s="1"/>
  <c r="C478" i="697"/>
  <c r="B478" i="697" s="1"/>
  <c r="C494" i="697"/>
  <c r="B494" i="697" s="1"/>
  <c r="C629" i="697"/>
  <c r="B629" i="697" s="1"/>
  <c r="C584" i="697"/>
  <c r="B584" i="697" s="1"/>
  <c r="C405" i="697"/>
  <c r="B405" i="697" s="1"/>
  <c r="C538" i="697"/>
  <c r="B538" i="697" s="1"/>
  <c r="C539" i="697"/>
  <c r="B539" i="697" s="1"/>
  <c r="C528" i="697"/>
  <c r="B528" i="697" s="1"/>
  <c r="C554" i="697"/>
  <c r="B554" i="697" s="1"/>
  <c r="C555" i="697"/>
  <c r="B555" i="697" s="1"/>
  <c r="C412" i="697"/>
  <c r="B412" i="697" s="1"/>
  <c r="C637" i="697"/>
  <c r="B637" i="697" s="1"/>
  <c r="C415" i="697"/>
  <c r="B415" i="697" s="1"/>
  <c r="C479" i="697"/>
  <c r="B479" i="697" s="1"/>
  <c r="C480" i="697"/>
  <c r="B480" i="697" s="1"/>
  <c r="C615" i="697"/>
  <c r="B615" i="697" s="1"/>
  <c r="C592" i="697"/>
  <c r="B592" i="697" s="1"/>
  <c r="C441" i="697"/>
  <c r="B441" i="697" s="1"/>
  <c r="C662" i="697"/>
  <c r="B662" i="697" s="1"/>
  <c r="C447" i="697"/>
  <c r="B447" i="697" s="1"/>
  <c r="C416" i="697"/>
  <c r="B416" i="697" s="1"/>
  <c r="C417" i="697"/>
  <c r="B417" i="697" s="1"/>
  <c r="C418" i="697"/>
  <c r="B418" i="697" s="1"/>
  <c r="C419" i="697"/>
  <c r="B419" i="697" s="1"/>
  <c r="C420" i="697"/>
  <c r="B420" i="697" s="1"/>
  <c r="C421" i="697"/>
  <c r="B421" i="697" s="1"/>
  <c r="C486" i="697"/>
  <c r="B486" i="697" s="1"/>
  <c r="C498" i="697"/>
  <c r="B498" i="697" s="1"/>
  <c r="C499" i="697"/>
  <c r="B499" i="697" s="1"/>
  <c r="C448" i="697"/>
  <c r="B448" i="697" s="1"/>
  <c r="C449" i="697"/>
  <c r="B449" i="697" s="1"/>
  <c r="C457" i="697"/>
  <c r="B457" i="697" s="1"/>
  <c r="C481" i="697"/>
  <c r="B481" i="697" s="1"/>
  <c r="C515" i="697"/>
  <c r="B515" i="697" s="1"/>
  <c r="C677" i="697"/>
  <c r="B677" i="697" s="1"/>
  <c r="C439" i="697"/>
  <c r="B439" i="697" s="1"/>
  <c r="C672" i="697"/>
  <c r="B672" i="697" s="1"/>
  <c r="C616" i="697"/>
  <c r="B616" i="697" s="1"/>
  <c r="C617" i="697"/>
  <c r="B617" i="697" s="1"/>
  <c r="C529" i="697"/>
  <c r="B529" i="697" s="1"/>
  <c r="C437" i="697"/>
  <c r="B437" i="697" s="1"/>
  <c r="C438" i="697"/>
  <c r="B438" i="697" s="1"/>
  <c r="C547" i="697"/>
  <c r="B547" i="697" s="1"/>
  <c r="C548" i="697"/>
  <c r="B548" i="697" s="1"/>
  <c r="C714" i="697"/>
  <c r="B714" i="697" s="1"/>
  <c r="C673" i="697"/>
  <c r="B673" i="697" s="1"/>
  <c r="C440" i="697"/>
  <c r="B440" i="697" s="1"/>
  <c r="C500" i="697"/>
  <c r="B500" i="697" s="1"/>
  <c r="C715" i="697"/>
  <c r="B715" i="697" s="1"/>
  <c r="C716" i="697"/>
  <c r="B716" i="697" s="1"/>
  <c r="C657" i="697"/>
  <c r="B657" i="697" s="1"/>
  <c r="C638" i="697"/>
  <c r="B638" i="697" s="1"/>
  <c r="C456" i="697"/>
  <c r="B456" i="697" s="1"/>
  <c r="C639" i="697"/>
  <c r="B639" i="697" s="1"/>
  <c r="C593" i="697"/>
  <c r="B593" i="697" s="1"/>
  <c r="C674" i="697"/>
  <c r="B674" i="697" s="1"/>
  <c r="C556" i="697"/>
  <c r="B556" i="697" s="1"/>
  <c r="C594" i="697"/>
  <c r="B594" i="697" s="1"/>
  <c r="C459" i="697"/>
  <c r="B459" i="697" s="1"/>
  <c r="C458" i="697"/>
  <c r="B458" i="697" s="1"/>
  <c r="C645" i="697"/>
  <c r="B645" i="697" s="1"/>
  <c r="C482" i="697"/>
  <c r="B482" i="697" s="1"/>
  <c r="C675" i="697"/>
  <c r="B675" i="697" s="1"/>
  <c r="C676" i="697"/>
  <c r="B676" i="697" s="1"/>
  <c r="C483" i="697"/>
  <c r="B483" i="697" s="1"/>
  <c r="C663" i="697"/>
  <c r="B663" i="697" s="1"/>
  <c r="C682" i="697"/>
  <c r="B682" i="697" s="1"/>
  <c r="C557" i="697"/>
  <c r="B557" i="697" s="1"/>
  <c r="C558" i="697"/>
  <c r="B558" i="697" s="1"/>
  <c r="C559" i="697"/>
  <c r="B559" i="697" s="1"/>
  <c r="C560" i="697"/>
  <c r="B560" i="697" s="1"/>
  <c r="C678" i="697"/>
  <c r="B678" i="697" s="1"/>
  <c r="C595" i="697"/>
  <c r="B595" i="697" s="1"/>
  <c r="C484" i="697"/>
  <c r="B484" i="697" s="1"/>
  <c r="C495" i="697"/>
  <c r="B495" i="697" s="1"/>
  <c r="C561" i="697"/>
  <c r="B561" i="697" s="1"/>
  <c r="C562" i="697"/>
  <c r="B562" i="697" s="1"/>
  <c r="C563" i="697"/>
  <c r="B563" i="697" s="1"/>
  <c r="C564" i="697"/>
  <c r="B564" i="697" s="1"/>
  <c r="C731" i="697"/>
  <c r="B731" i="697" s="1"/>
  <c r="C658" i="697"/>
  <c r="B658" i="697" s="1"/>
  <c r="C590" i="697"/>
  <c r="B590" i="697" s="1"/>
  <c r="C497" i="697"/>
  <c r="B497" i="697" s="1"/>
  <c r="C496" i="697"/>
  <c r="B496" i="697" s="1"/>
  <c r="C516" i="697"/>
  <c r="B516" i="697" s="1"/>
  <c r="C517" i="697"/>
  <c r="B517" i="697" s="1"/>
  <c r="C618" i="697"/>
  <c r="B618" i="697" s="1"/>
  <c r="C619" i="697"/>
  <c r="B619" i="697" s="1"/>
  <c r="C679" i="697"/>
  <c r="B679" i="697" s="1"/>
  <c r="C501" i="697"/>
  <c r="B501" i="697" s="1"/>
  <c r="C503" i="697"/>
  <c r="B503" i="697" s="1"/>
  <c r="C620" i="697"/>
  <c r="B620" i="697" s="1"/>
  <c r="C596" i="697"/>
  <c r="B596" i="697" s="1"/>
  <c r="C701" i="697"/>
  <c r="B701" i="697" s="1"/>
  <c r="C664" i="697"/>
  <c r="B664" i="697" s="1"/>
  <c r="C659" i="697"/>
  <c r="B659" i="697" s="1"/>
  <c r="C680" i="697"/>
  <c r="B680" i="697" s="1"/>
  <c r="C565" i="697"/>
  <c r="B565" i="697" s="1"/>
  <c r="C566" i="697"/>
  <c r="B566" i="697" s="1"/>
  <c r="C567" i="697"/>
  <c r="B567" i="697" s="1"/>
  <c r="C568" i="697"/>
  <c r="B568" i="697" s="1"/>
  <c r="C621" i="697"/>
  <c r="B621" i="697" s="1"/>
  <c r="C702" i="697"/>
  <c r="B702" i="697" s="1"/>
  <c r="C732" i="697"/>
  <c r="B732" i="697" s="1"/>
  <c r="C751" i="697"/>
  <c r="B751" i="697" s="1"/>
  <c r="C717" i="697"/>
  <c r="B717" i="697" s="1"/>
  <c r="C646" i="697"/>
  <c r="B646" i="697" s="1"/>
  <c r="C521" i="697"/>
  <c r="B521" i="697" s="1"/>
  <c r="C681" i="697"/>
  <c r="B681" i="697" s="1"/>
  <c r="C522" i="697"/>
  <c r="B522" i="697" s="1"/>
  <c r="C533" i="697"/>
  <c r="B533" i="697" s="1"/>
  <c r="C549" i="697"/>
  <c r="B549" i="697" s="1"/>
  <c r="C577" i="697"/>
  <c r="B577" i="697" s="1"/>
  <c r="C610" i="697"/>
  <c r="B610" i="697" s="1"/>
  <c r="C752" i="697"/>
  <c r="B752" i="697" s="1"/>
  <c r="C534" i="697"/>
  <c r="B534" i="697" s="1"/>
  <c r="C581" i="697"/>
  <c r="B581" i="697" s="1"/>
  <c r="C587" i="697"/>
  <c r="B587" i="697" s="1"/>
  <c r="C588" i="697"/>
  <c r="B588" i="697" s="1"/>
  <c r="C660" i="697"/>
  <c r="B660" i="697" s="1"/>
  <c r="C718" i="697"/>
  <c r="B718" i="697" s="1"/>
  <c r="C550" i="697"/>
  <c r="B550" i="697" s="1"/>
  <c r="C551" i="697"/>
  <c r="B551" i="697" s="1"/>
  <c r="C552" i="697"/>
  <c r="B552" i="697" s="1"/>
  <c r="C753" i="697"/>
  <c r="B753" i="697" s="1"/>
  <c r="C782" i="697"/>
  <c r="B782" i="697" s="1"/>
  <c r="C536" i="697"/>
  <c r="B536" i="697" s="1"/>
  <c r="C683" i="697"/>
  <c r="B683" i="697" s="1"/>
  <c r="C866" i="697"/>
  <c r="B866" i="697" s="1"/>
  <c r="C578" i="697"/>
  <c r="B578" i="697" s="1"/>
  <c r="C535" i="697"/>
  <c r="B535" i="697" s="1"/>
  <c r="C684" i="697"/>
  <c r="B684" i="697" s="1"/>
  <c r="C754" i="697"/>
  <c r="B754" i="697" s="1"/>
  <c r="C537" i="697"/>
  <c r="B537" i="697" s="1"/>
  <c r="C540" i="697"/>
  <c r="B540" i="697" s="1"/>
  <c r="C755" i="697"/>
  <c r="B755" i="697" s="1"/>
  <c r="C685" i="697"/>
  <c r="B685" i="697" s="1"/>
  <c r="C686" i="697"/>
  <c r="B686" i="697" s="1"/>
  <c r="C705" i="697"/>
  <c r="B705" i="697" s="1"/>
  <c r="C541" i="697"/>
  <c r="B541" i="697" s="1"/>
  <c r="C542" i="697"/>
  <c r="B542" i="697" s="1"/>
  <c r="C687" i="697"/>
  <c r="B687" i="697" s="1"/>
  <c r="C733" i="697"/>
  <c r="B733" i="697" s="1"/>
  <c r="C836" i="697"/>
  <c r="B836" i="697" s="1"/>
  <c r="C756" i="697"/>
  <c r="B756" i="697" s="1"/>
  <c r="C569" i="697"/>
  <c r="B569" i="697" s="1"/>
  <c r="C706" i="697"/>
  <c r="B706" i="697" s="1"/>
  <c r="C707" i="697"/>
  <c r="B707" i="697" s="1"/>
  <c r="C734" i="697"/>
  <c r="B734" i="697" s="1"/>
  <c r="C735" i="697"/>
  <c r="B735" i="697" s="1"/>
  <c r="C580" i="697"/>
  <c r="B580" i="697" s="1"/>
  <c r="C585" i="697"/>
  <c r="B585" i="697" s="1"/>
  <c r="C630" i="697"/>
  <c r="B630" i="697" s="1"/>
  <c r="C553" i="697"/>
  <c r="B553" i="697" s="1"/>
  <c r="C749" i="697"/>
  <c r="B749" i="697" s="1"/>
  <c r="C688" i="697"/>
  <c r="B688" i="697" s="1"/>
  <c r="C837" i="697"/>
  <c r="B837" i="697" s="1"/>
  <c r="C634" i="697"/>
  <c r="B634" i="697" s="1"/>
  <c r="C757" i="697"/>
  <c r="B757" i="697" s="1"/>
  <c r="C783" i="697"/>
  <c r="B783" i="697" s="1"/>
  <c r="C689" i="697"/>
  <c r="B689" i="697" s="1"/>
  <c r="C576" i="697"/>
  <c r="B576" i="697" s="1"/>
  <c r="C758" i="697"/>
  <c r="B758" i="697" s="1"/>
  <c r="C759" i="697"/>
  <c r="B759" i="697" s="1"/>
  <c r="C760" i="697"/>
  <c r="B760" i="697" s="1"/>
  <c r="C690" i="697"/>
  <c r="B690" i="697" s="1"/>
  <c r="C579" i="697"/>
  <c r="B579" i="697" s="1"/>
  <c r="C784" i="697"/>
  <c r="B784" i="697" s="1"/>
  <c r="C838" i="697"/>
  <c r="B838" i="697" s="1"/>
  <c r="C761" i="697"/>
  <c r="B761" i="697" s="1"/>
  <c r="C811" i="697"/>
  <c r="B811" i="697" s="1"/>
  <c r="C691" i="697"/>
  <c r="B691" i="697" s="1"/>
  <c r="C815" i="697"/>
  <c r="B815" i="697" s="1"/>
  <c r="C889" i="697"/>
  <c r="B889" i="697" s="1"/>
  <c r="C582" i="697"/>
  <c r="B582" i="697" s="1"/>
  <c r="C665" i="697"/>
  <c r="B665" i="697" s="1"/>
  <c r="C583" i="697"/>
  <c r="B583" i="697" s="1"/>
  <c r="C586" i="697"/>
  <c r="B586" i="697" s="1"/>
  <c r="C692" i="697"/>
  <c r="B692" i="697" s="1"/>
  <c r="C719" i="697"/>
  <c r="B719" i="697" s="1"/>
  <c r="C661" i="697"/>
  <c r="B661" i="697" s="1"/>
  <c r="C762" i="697"/>
  <c r="B762" i="697" s="1"/>
  <c r="C763" i="697"/>
  <c r="B763" i="697" s="1"/>
  <c r="C611" i="697"/>
  <c r="B611" i="697" s="1"/>
  <c r="C816" i="697"/>
  <c r="B816" i="697" s="1"/>
  <c r="C720" i="697"/>
  <c r="B720" i="697" s="1"/>
  <c r="C693" i="697"/>
  <c r="B693" i="697" s="1"/>
  <c r="C589" i="697"/>
  <c r="B589" i="697" s="1"/>
  <c r="C839" i="697"/>
  <c r="B839" i="697" s="1"/>
  <c r="C591" i="697"/>
  <c r="B591" i="697" s="1"/>
  <c r="C721" i="697"/>
  <c r="B721" i="697" s="1"/>
  <c r="C597" i="697"/>
  <c r="B597" i="697" s="1"/>
  <c r="C598" i="697"/>
  <c r="B598" i="697" s="1"/>
  <c r="C764" i="697"/>
  <c r="B764" i="697" s="1"/>
  <c r="C694" i="697"/>
  <c r="B694" i="697" s="1"/>
  <c r="C840" i="697"/>
  <c r="B840" i="697" s="1"/>
  <c r="C793" i="697"/>
  <c r="B793" i="697" s="1"/>
  <c r="C765" i="697"/>
  <c r="B765" i="697" s="1"/>
  <c r="C601" i="697"/>
  <c r="B601" i="697" s="1"/>
  <c r="C695" i="697"/>
  <c r="B695" i="697" s="1"/>
  <c r="C599" i="697"/>
  <c r="B599" i="697" s="1"/>
  <c r="C600" i="697"/>
  <c r="B600" i="697" s="1"/>
  <c r="C812" i="697"/>
  <c r="B812" i="697" s="1"/>
  <c r="C785" i="697"/>
  <c r="B785" i="697" s="1"/>
  <c r="C722" i="697"/>
  <c r="B722" i="697" s="1"/>
  <c r="C602" i="697"/>
  <c r="B602" i="697" s="1"/>
  <c r="C603" i="697"/>
  <c r="B603" i="697" s="1"/>
  <c r="C604" i="697"/>
  <c r="B604" i="697" s="1"/>
  <c r="C605" i="697"/>
  <c r="B605" i="697" s="1"/>
  <c r="C606" i="697"/>
  <c r="B606" i="697" s="1"/>
  <c r="C607" i="697"/>
  <c r="B607" i="697" s="1"/>
  <c r="C608" i="697"/>
  <c r="B608" i="697" s="1"/>
  <c r="C609" i="697"/>
  <c r="B609" i="697" s="1"/>
  <c r="C738" i="697"/>
  <c r="B738" i="697" s="1"/>
  <c r="C739" i="697"/>
  <c r="B739" i="697" s="1"/>
  <c r="C740" i="697"/>
  <c r="B740" i="697" s="1"/>
  <c r="C741" i="697"/>
  <c r="B741" i="697" s="1"/>
  <c r="C742" i="697"/>
  <c r="B742" i="697" s="1"/>
  <c r="C766" i="697"/>
  <c r="B766" i="697" s="1"/>
  <c r="C923" i="697"/>
  <c r="B923" i="697" s="1"/>
  <c r="C902" i="697"/>
  <c r="B902" i="697" s="1"/>
  <c r="C654" i="697"/>
  <c r="B654" i="697" s="1"/>
  <c r="C723" i="697"/>
  <c r="B723" i="697" s="1"/>
  <c r="C647" i="697"/>
  <c r="B647" i="697" s="1"/>
  <c r="C854" i="697"/>
  <c r="B854" i="697" s="1"/>
  <c r="C648" i="697"/>
  <c r="B648" i="697" s="1"/>
  <c r="C696" i="697"/>
  <c r="B696" i="697" s="1"/>
  <c r="C697" i="697"/>
  <c r="B697" i="697" s="1"/>
  <c r="C649" i="697"/>
  <c r="B649" i="697" s="1"/>
  <c r="C650" i="697"/>
  <c r="B650" i="697" s="1"/>
  <c r="C698" i="697"/>
  <c r="B698" i="697" s="1"/>
  <c r="C612" i="697"/>
  <c r="B612" i="697" s="1"/>
  <c r="C613" i="697"/>
  <c r="B613" i="697" s="1"/>
  <c r="C651" i="697"/>
  <c r="B651" i="697" s="1"/>
  <c r="C767" i="697"/>
  <c r="B767" i="697" s="1"/>
  <c r="C768" i="697"/>
  <c r="B768" i="697" s="1"/>
  <c r="C631" i="697"/>
  <c r="B631" i="697" s="1"/>
  <c r="C743" i="697"/>
  <c r="B743" i="697" s="1"/>
  <c r="C622" i="697"/>
  <c r="B622" i="697" s="1"/>
  <c r="C841" i="697"/>
  <c r="B841" i="697" s="1"/>
  <c r="C769" i="697"/>
  <c r="B769" i="697" s="1"/>
  <c r="C632" i="697"/>
  <c r="B632" i="697" s="1"/>
  <c r="C633" i="697"/>
  <c r="B633" i="697" s="1"/>
  <c r="C770" i="697"/>
  <c r="B770" i="697" s="1"/>
  <c r="C640" i="697"/>
  <c r="B640" i="697" s="1"/>
  <c r="C744" i="697"/>
  <c r="B744" i="697" s="1"/>
  <c r="C890" i="697"/>
  <c r="B890" i="697" s="1"/>
  <c r="C867" i="697"/>
  <c r="B867" i="697" s="1"/>
  <c r="C855" i="697"/>
  <c r="B855" i="697" s="1"/>
  <c r="C635" i="697"/>
  <c r="B635" i="697" s="1"/>
  <c r="C891" i="697"/>
  <c r="B891" i="697" s="1"/>
  <c r="C699" i="697"/>
  <c r="B699" i="697" s="1"/>
  <c r="C903" i="697"/>
  <c r="B903" i="697" s="1"/>
  <c r="C773" i="697"/>
  <c r="B773" i="697" s="1"/>
  <c r="C636" i="697"/>
  <c r="B636" i="697" s="1"/>
  <c r="C641" i="697"/>
  <c r="B641" i="697" s="1"/>
  <c r="C652" i="697"/>
  <c r="B652" i="697" s="1"/>
  <c r="C642" i="697"/>
  <c r="B642" i="697" s="1"/>
  <c r="C643" i="697"/>
  <c r="B643" i="697" s="1"/>
  <c r="C868" i="697"/>
  <c r="B868" i="697" s="1"/>
  <c r="C892" i="697"/>
  <c r="B892" i="697" s="1"/>
  <c r="C856" i="697"/>
  <c r="B856" i="697" s="1"/>
  <c r="C842" i="697"/>
  <c r="B842" i="697" s="1"/>
  <c r="C893" i="697"/>
  <c r="B893" i="697" s="1"/>
  <c r="C843" i="697"/>
  <c r="B843" i="697" s="1"/>
  <c r="C644" i="697"/>
  <c r="B644" i="697" s="1"/>
  <c r="C799" i="697"/>
  <c r="B799" i="697" s="1"/>
  <c r="C844" i="697"/>
  <c r="B844" i="697" s="1"/>
  <c r="C857" i="697"/>
  <c r="B857" i="697" s="1"/>
  <c r="C653" i="697"/>
  <c r="B653" i="697" s="1"/>
  <c r="C655" i="697"/>
  <c r="B655" i="697" s="1"/>
  <c r="C858" i="697"/>
  <c r="B858" i="697" s="1"/>
  <c r="C656" i="697"/>
  <c r="B656" i="697" s="1"/>
  <c r="C745" i="697"/>
  <c r="B745" i="697" s="1"/>
  <c r="C746" i="697"/>
  <c r="B746" i="697" s="1"/>
  <c r="C666" i="697"/>
  <c r="B666" i="697" s="1"/>
  <c r="C859" i="697"/>
  <c r="B859" i="697" s="1"/>
  <c r="C747" i="697"/>
  <c r="B747" i="697" s="1"/>
  <c r="C924" i="697"/>
  <c r="B924" i="697" s="1"/>
  <c r="C925" i="697"/>
  <c r="B925" i="697" s="1"/>
  <c r="C926" i="697"/>
  <c r="B926" i="697" s="1"/>
  <c r="C869" i="697"/>
  <c r="B869" i="697" s="1"/>
  <c r="C667" i="697"/>
  <c r="B667" i="697" s="1"/>
  <c r="C750" i="697"/>
  <c r="B750" i="697" s="1"/>
  <c r="C668" i="697"/>
  <c r="B668" i="697" s="1"/>
  <c r="C845" i="697"/>
  <c r="B845" i="697" s="1"/>
  <c r="C1029" i="697"/>
  <c r="B1029" i="697" s="1"/>
  <c r="C700" i="697"/>
  <c r="B700" i="697" s="1"/>
  <c r="C703" i="697"/>
  <c r="B703" i="697" s="1"/>
  <c r="C704" i="697"/>
  <c r="B704" i="697" s="1"/>
  <c r="C927" i="697"/>
  <c r="B927" i="697" s="1"/>
  <c r="C928" i="697"/>
  <c r="B928" i="697" s="1"/>
  <c r="C879" i="697"/>
  <c r="B879" i="697" s="1"/>
  <c r="C846" i="697"/>
  <c r="B846" i="697" s="1"/>
  <c r="C929" i="697"/>
  <c r="B929" i="697" s="1"/>
  <c r="C860" i="697"/>
  <c r="B860" i="697" s="1"/>
  <c r="C794" i="697"/>
  <c r="B794" i="697" s="1"/>
  <c r="C861" i="697"/>
  <c r="B861" i="697" s="1"/>
  <c r="C930" i="697"/>
  <c r="B930" i="697" s="1"/>
  <c r="C894" i="697"/>
  <c r="B894" i="697" s="1"/>
  <c r="C870" i="697"/>
  <c r="B870" i="697" s="1"/>
  <c r="C862" i="697"/>
  <c r="B862" i="697" s="1"/>
  <c r="C931" i="697"/>
  <c r="B931" i="697" s="1"/>
  <c r="C932" i="697"/>
  <c r="B932" i="697" s="1"/>
  <c r="C933" i="697"/>
  <c r="B933" i="697" s="1"/>
  <c r="C708" i="697"/>
  <c r="B708" i="697" s="1"/>
  <c r="C709" i="697"/>
  <c r="B709" i="697" s="1"/>
  <c r="C710" i="697"/>
  <c r="B710" i="697" s="1"/>
  <c r="C711" i="697"/>
  <c r="B711" i="697" s="1"/>
  <c r="C712" i="697"/>
  <c r="B712" i="697" s="1"/>
  <c r="C713" i="697"/>
  <c r="B713" i="697" s="1"/>
  <c r="C786" i="697"/>
  <c r="B786" i="697" s="1"/>
  <c r="C787" i="697"/>
  <c r="B787" i="697" s="1"/>
  <c r="C952" i="697"/>
  <c r="B952" i="697" s="1"/>
  <c r="C788" i="697"/>
  <c r="B788" i="697" s="1"/>
  <c r="C809" i="697"/>
  <c r="B809" i="697" s="1"/>
  <c r="C810" i="697"/>
  <c r="B810" i="697" s="1"/>
  <c r="C736" i="697"/>
  <c r="B736" i="697" s="1"/>
  <c r="C748" i="697"/>
  <c r="B748" i="697" s="1"/>
  <c r="C774" i="697"/>
  <c r="B774" i="697" s="1"/>
  <c r="C775" i="697"/>
  <c r="B775" i="697" s="1"/>
  <c r="C776" i="697"/>
  <c r="B776" i="697" s="1"/>
  <c r="C789" i="697"/>
  <c r="B789" i="697" s="1"/>
  <c r="C934" i="697"/>
  <c r="B934" i="697" s="1"/>
  <c r="C724" i="697"/>
  <c r="B724" i="697" s="1"/>
  <c r="C725" i="697"/>
  <c r="B725" i="697" s="1"/>
  <c r="C726" i="697"/>
  <c r="B726" i="697" s="1"/>
  <c r="C727" i="697"/>
  <c r="B727" i="697" s="1"/>
  <c r="C790" i="697"/>
  <c r="B790" i="697" s="1"/>
  <c r="C1021" i="697"/>
  <c r="B1021" i="697" s="1"/>
  <c r="C728" i="697"/>
  <c r="B728" i="697" s="1"/>
  <c r="C729" i="697"/>
  <c r="B729" i="697" s="1"/>
  <c r="C730" i="697"/>
  <c r="B730" i="697" s="1"/>
  <c r="C953" i="697"/>
  <c r="B953" i="697" s="1"/>
  <c r="C871" i="697"/>
  <c r="B871" i="697" s="1"/>
  <c r="C817" i="697"/>
  <c r="B817" i="697" s="1"/>
  <c r="C737" i="697"/>
  <c r="B737" i="697" s="1"/>
  <c r="C1084" i="697"/>
  <c r="B1084" i="697" s="1"/>
  <c r="C880" i="697"/>
  <c r="B880" i="697" s="1"/>
  <c r="C863" i="697"/>
  <c r="B863" i="697" s="1"/>
  <c r="C570" i="697"/>
  <c r="B570" i="697" s="1"/>
  <c r="C571" i="697"/>
  <c r="B571" i="697" s="1"/>
  <c r="C572" i="697"/>
  <c r="B572" i="697" s="1"/>
  <c r="C573" i="697"/>
  <c r="B573" i="697" s="1"/>
  <c r="C574" i="697"/>
  <c r="B574" i="697" s="1"/>
  <c r="C575" i="697"/>
  <c r="B575" i="697" s="1"/>
  <c r="C771" i="697"/>
  <c r="B771" i="697" s="1"/>
  <c r="C772" i="697"/>
  <c r="B772" i="697" s="1"/>
  <c r="C954" i="697"/>
  <c r="B954" i="697" s="1"/>
  <c r="C955" i="697"/>
  <c r="B955" i="697" s="1"/>
  <c r="C980" i="697"/>
  <c r="B980" i="697" s="1"/>
  <c r="C777" i="697"/>
  <c r="B777" i="697" s="1"/>
  <c r="C956" i="697"/>
  <c r="B956" i="697" s="1"/>
  <c r="C981" i="697"/>
  <c r="B981" i="697" s="1"/>
  <c r="C982" i="697"/>
  <c r="B982" i="697" s="1"/>
  <c r="C983" i="697"/>
  <c r="B983" i="697" s="1"/>
  <c r="C904" i="697"/>
  <c r="B904" i="697" s="1"/>
  <c r="C984" i="697"/>
  <c r="B984" i="697" s="1"/>
  <c r="C912" i="697"/>
  <c r="B912" i="697" s="1"/>
  <c r="C913" i="697"/>
  <c r="B913" i="697" s="1"/>
  <c r="C778" i="697"/>
  <c r="B778" i="697" s="1"/>
  <c r="C957" i="697"/>
  <c r="B957" i="697" s="1"/>
  <c r="C881" i="697"/>
  <c r="B881" i="697" s="1"/>
  <c r="C779" i="697"/>
  <c r="B779" i="697" s="1"/>
  <c r="C780" i="697"/>
  <c r="B780" i="697" s="1"/>
  <c r="C905" i="697"/>
  <c r="B905" i="697" s="1"/>
  <c r="C985" i="697"/>
  <c r="B985" i="697" s="1"/>
  <c r="C781" i="697"/>
  <c r="B781" i="697" s="1"/>
  <c r="C906" i="697"/>
  <c r="B906" i="697" s="1"/>
  <c r="C948" i="697"/>
  <c r="B948" i="697" s="1"/>
  <c r="C935" i="697"/>
  <c r="B935" i="697" s="1"/>
  <c r="C936" i="697"/>
  <c r="B936" i="697" s="1"/>
  <c r="C791" i="697"/>
  <c r="B791" i="697" s="1"/>
  <c r="C795" i="697"/>
  <c r="B795" i="697" s="1"/>
  <c r="C937" i="697"/>
  <c r="B937" i="697" s="1"/>
  <c r="C986" i="697"/>
  <c r="B986" i="697" s="1"/>
  <c r="C895" i="697"/>
  <c r="B895" i="697" s="1"/>
  <c r="C896" i="697"/>
  <c r="B896" i="697" s="1"/>
  <c r="C914" i="697"/>
  <c r="B914" i="697" s="1"/>
  <c r="C958" i="697"/>
  <c r="B958" i="697" s="1"/>
  <c r="C792" i="697"/>
  <c r="B792" i="697" s="1"/>
  <c r="C987" i="697"/>
  <c r="B987" i="697" s="1"/>
  <c r="C800" i="697"/>
  <c r="B800" i="697" s="1"/>
  <c r="C988" i="697"/>
  <c r="B988" i="697" s="1"/>
  <c r="C959" i="697"/>
  <c r="B959" i="697" s="1"/>
  <c r="C801" i="697"/>
  <c r="B801" i="697" s="1"/>
  <c r="C796" i="697"/>
  <c r="B796" i="697" s="1"/>
  <c r="C989" i="697"/>
  <c r="B989" i="697" s="1"/>
  <c r="C797" i="697"/>
  <c r="B797" i="697" s="1"/>
  <c r="C798" i="697"/>
  <c r="B798" i="697" s="1"/>
  <c r="C802" i="697"/>
  <c r="B802" i="697" s="1"/>
  <c r="C990" i="697"/>
  <c r="B990" i="697" s="1"/>
  <c r="C803" i="697"/>
  <c r="B803" i="697" s="1"/>
  <c r="C804" i="697"/>
  <c r="B804" i="697" s="1"/>
  <c r="C805" i="697"/>
  <c r="B805" i="697" s="1"/>
  <c r="C806" i="697"/>
  <c r="B806" i="697" s="1"/>
  <c r="C807" i="697"/>
  <c r="B807" i="697" s="1"/>
  <c r="C808" i="697"/>
  <c r="B808" i="697" s="1"/>
  <c r="C1022" i="697"/>
  <c r="B1022" i="697" s="1"/>
  <c r="C1005" i="697"/>
  <c r="B1005" i="697" s="1"/>
  <c r="C813" i="697"/>
  <c r="B813" i="697" s="1"/>
  <c r="C814" i="697"/>
  <c r="B814" i="697" s="1"/>
  <c r="C991" i="697"/>
  <c r="B991" i="697" s="1"/>
  <c r="C992" i="697"/>
  <c r="B992" i="697" s="1"/>
  <c r="C993" i="697"/>
  <c r="B993" i="697" s="1"/>
  <c r="C818" i="697"/>
  <c r="B818" i="697" s="1"/>
  <c r="C938" i="697"/>
  <c r="B938" i="697" s="1"/>
  <c r="C819" i="697"/>
  <c r="B819" i="697" s="1"/>
  <c r="C820" i="697"/>
  <c r="B820" i="697" s="1"/>
  <c r="C821" i="697"/>
  <c r="B821" i="697" s="1"/>
  <c r="C822" i="697"/>
  <c r="B822" i="697" s="1"/>
  <c r="C823" i="697"/>
  <c r="B823" i="697" s="1"/>
  <c r="C824" i="697"/>
  <c r="B824" i="697" s="1"/>
  <c r="C825" i="697"/>
  <c r="B825" i="697" s="1"/>
  <c r="C826" i="697"/>
  <c r="B826" i="697" s="1"/>
  <c r="C939" i="697"/>
  <c r="B939" i="697" s="1"/>
  <c r="C827" i="697"/>
  <c r="B827" i="697" s="1"/>
  <c r="C828" i="697"/>
  <c r="B828" i="697" s="1"/>
  <c r="C915" i="697"/>
  <c r="B915" i="697" s="1"/>
  <c r="C897" i="697"/>
  <c r="B897" i="697" s="1"/>
  <c r="C829" i="697"/>
  <c r="B829" i="697" s="1"/>
  <c r="C830" i="697"/>
  <c r="B830" i="697" s="1"/>
  <c r="C847" i="697"/>
  <c r="B847" i="697" s="1"/>
  <c r="C831" i="697"/>
  <c r="B831" i="697" s="1"/>
  <c r="C832" i="697"/>
  <c r="B832" i="697" s="1"/>
  <c r="C833" i="697"/>
  <c r="B833" i="697" s="1"/>
  <c r="C1000" i="697"/>
  <c r="B1000" i="697" s="1"/>
  <c r="C960" i="697"/>
  <c r="B960" i="697" s="1"/>
  <c r="C834" i="697"/>
  <c r="B834" i="697" s="1"/>
  <c r="C1030" i="697"/>
  <c r="B1030" i="697" s="1"/>
  <c r="C875" i="697"/>
  <c r="B875" i="697" s="1"/>
  <c r="C898" i="697"/>
  <c r="B898" i="697" s="1"/>
  <c r="C916" i="697"/>
  <c r="B916" i="697" s="1"/>
  <c r="C917" i="697"/>
  <c r="B917" i="697" s="1"/>
  <c r="C852" i="697"/>
  <c r="B852" i="697" s="1"/>
  <c r="C872" i="697"/>
  <c r="B872" i="697" s="1"/>
  <c r="C886" i="697"/>
  <c r="B886" i="697" s="1"/>
  <c r="C848" i="697"/>
  <c r="B848" i="697" s="1"/>
  <c r="C918" i="697"/>
  <c r="B918" i="697" s="1"/>
  <c r="C1143" i="697"/>
  <c r="B1143" i="697" s="1"/>
  <c r="C876" i="697"/>
  <c r="B876" i="697" s="1"/>
  <c r="C877" i="697"/>
  <c r="B877" i="697" s="1"/>
  <c r="C878" i="697"/>
  <c r="B878" i="697" s="1"/>
  <c r="C994" i="697"/>
  <c r="B994" i="697" s="1"/>
  <c r="C850" i="697"/>
  <c r="B850" i="697" s="1"/>
  <c r="C849" i="697"/>
  <c r="B849" i="697" s="1"/>
  <c r="C1001" i="697"/>
  <c r="B1001" i="697" s="1"/>
  <c r="C899" i="697"/>
  <c r="B899" i="697" s="1"/>
  <c r="C1002" i="697"/>
  <c r="B1002" i="697" s="1"/>
  <c r="C1006" i="697"/>
  <c r="B1006" i="697" s="1"/>
  <c r="C851" i="697"/>
  <c r="B851" i="697" s="1"/>
  <c r="C940" i="697"/>
  <c r="B940" i="697" s="1"/>
  <c r="C941" i="697"/>
  <c r="B941" i="697" s="1"/>
  <c r="C1007" i="697"/>
  <c r="B1007" i="697" s="1"/>
  <c r="C995" i="697"/>
  <c r="B995" i="697" s="1"/>
  <c r="C1213" i="697"/>
  <c r="B1213" i="697" s="1"/>
  <c r="C853" i="697"/>
  <c r="B853" i="697" s="1"/>
  <c r="C1023" i="697"/>
  <c r="B1023" i="697" s="1"/>
  <c r="C1008" i="697"/>
  <c r="B1008" i="697" s="1"/>
  <c r="C1044" i="697"/>
  <c r="B1044" i="697" s="1"/>
  <c r="C864" i="697"/>
  <c r="B864" i="697" s="1"/>
  <c r="C865" i="697"/>
  <c r="B865" i="697" s="1"/>
  <c r="C942" i="697"/>
  <c r="B942" i="697" s="1"/>
  <c r="C1024" i="697"/>
  <c r="B1024" i="697" s="1"/>
  <c r="C873" i="697"/>
  <c r="B873" i="697" s="1"/>
  <c r="C943" i="697"/>
  <c r="B943" i="697" s="1"/>
  <c r="C1045" i="697"/>
  <c r="B1045" i="697" s="1"/>
  <c r="C1046" i="697"/>
  <c r="B1046" i="697" s="1"/>
  <c r="C1047" i="697"/>
  <c r="B1047" i="697" s="1"/>
  <c r="C874" i="697"/>
  <c r="B874" i="697" s="1"/>
  <c r="C1025" i="697"/>
  <c r="B1025" i="697" s="1"/>
  <c r="C1031" i="697"/>
  <c r="B1031" i="697" s="1"/>
  <c r="C1048" i="697"/>
  <c r="B1048" i="697" s="1"/>
  <c r="C882" i="697"/>
  <c r="B882" i="697" s="1"/>
  <c r="C883" i="697"/>
  <c r="B883" i="697" s="1"/>
  <c r="C884" i="697"/>
  <c r="B884" i="697" s="1"/>
  <c r="C885" i="697"/>
  <c r="B885" i="697" s="1"/>
  <c r="C1049" i="697"/>
  <c r="B1049" i="697" s="1"/>
  <c r="C1050" i="697"/>
  <c r="B1050" i="697" s="1"/>
  <c r="C900" i="697"/>
  <c r="B900" i="697" s="1"/>
  <c r="C887" i="697"/>
  <c r="B887" i="697" s="1"/>
  <c r="C888" i="697"/>
  <c r="B888" i="697" s="1"/>
  <c r="C1091" i="697"/>
  <c r="B1091" i="697" s="1"/>
  <c r="C1068" i="697"/>
  <c r="B1068" i="697" s="1"/>
  <c r="C1075" i="697"/>
  <c r="B1075" i="697" s="1"/>
  <c r="C901" i="697"/>
  <c r="B901" i="697" s="1"/>
  <c r="C1096" i="697"/>
  <c r="B1096" i="697" s="1"/>
  <c r="C907" i="697"/>
  <c r="B907" i="697" s="1"/>
  <c r="C908" i="697"/>
  <c r="B908" i="697" s="1"/>
  <c r="C909" i="697"/>
  <c r="B909" i="697" s="1"/>
  <c r="C910" i="697"/>
  <c r="B910" i="697" s="1"/>
  <c r="C911" i="697"/>
  <c r="B911" i="697" s="1"/>
  <c r="C1168" i="697"/>
  <c r="B1168" i="697" s="1"/>
  <c r="C944" i="697"/>
  <c r="B944" i="697" s="1"/>
  <c r="C1097" i="697"/>
  <c r="B1097" i="697" s="1"/>
  <c r="C1069" i="697"/>
  <c r="B1069" i="697" s="1"/>
  <c r="C1051" i="697"/>
  <c r="B1051" i="697" s="1"/>
  <c r="C919" i="697"/>
  <c r="B919" i="697" s="1"/>
  <c r="C920" i="697"/>
  <c r="B920" i="697" s="1"/>
  <c r="C921" i="697"/>
  <c r="B921" i="697" s="1"/>
  <c r="C922" i="697"/>
  <c r="B922" i="697" s="1"/>
  <c r="C1076" i="697"/>
  <c r="B1076" i="697" s="1"/>
  <c r="C945" i="697"/>
  <c r="B945" i="697" s="1"/>
  <c r="C1162" i="697"/>
  <c r="B1162" i="697" s="1"/>
  <c r="C1169" i="697"/>
  <c r="B1169" i="697" s="1"/>
  <c r="C1082" i="697"/>
  <c r="B1082" i="697" s="1"/>
  <c r="C946" i="697"/>
  <c r="B946" i="697" s="1"/>
  <c r="C1083" i="697"/>
  <c r="B1083" i="697" s="1"/>
  <c r="C1131" i="697"/>
  <c r="B1131" i="697" s="1"/>
  <c r="C1077" i="697"/>
  <c r="B1077" i="697" s="1"/>
  <c r="C1052" i="697"/>
  <c r="B1052" i="697" s="1"/>
  <c r="C1098" i="697"/>
  <c r="B1098" i="697" s="1"/>
  <c r="C1070" i="697"/>
  <c r="B1070" i="697" s="1"/>
  <c r="C1085" i="697"/>
  <c r="B1085" i="697" s="1"/>
  <c r="C947" i="697"/>
  <c r="B947" i="697" s="1"/>
  <c r="C9" i="697"/>
  <c r="B9" i="697" s="1"/>
  <c r="C1032" i="697"/>
  <c r="B1032" i="697" s="1"/>
  <c r="C1053" i="697"/>
  <c r="B1053" i="697" s="1"/>
  <c r="C949" i="697"/>
  <c r="B949" i="697" s="1"/>
  <c r="C950" i="697"/>
  <c r="B950" i="697" s="1"/>
  <c r="C1092" i="697"/>
  <c r="B1092" i="697" s="1"/>
  <c r="C1099" i="697"/>
  <c r="B1099" i="697" s="1"/>
  <c r="C1130" i="697"/>
  <c r="B1130" i="697" s="1"/>
  <c r="C1078" i="697"/>
  <c r="B1078" i="697" s="1"/>
  <c r="C951" i="697"/>
  <c r="B951" i="697" s="1"/>
  <c r="C1037" i="697"/>
  <c r="B1037" i="697" s="1"/>
  <c r="C1071" i="697"/>
  <c r="B1071" i="697" s="1"/>
  <c r="C1100" i="697"/>
  <c r="B1100" i="697" s="1"/>
  <c r="C1086" i="697"/>
  <c r="B1086" i="697" s="1"/>
  <c r="C1087" i="697"/>
  <c r="B1087" i="697" s="1"/>
  <c r="C1101" i="697"/>
  <c r="B1101" i="697" s="1"/>
  <c r="C1088" i="697"/>
  <c r="B1088" i="697" s="1"/>
  <c r="C1239" i="697"/>
  <c r="B1239" i="697" s="1"/>
  <c r="C1089" i="697"/>
  <c r="B1089" i="697" s="1"/>
  <c r="C1009" i="697"/>
  <c r="B1009" i="697" s="1"/>
  <c r="C972" i="697"/>
  <c r="B972" i="697" s="1"/>
  <c r="C1054" i="697"/>
  <c r="B1054" i="697" s="1"/>
  <c r="C1033" i="697"/>
  <c r="B1033" i="697" s="1"/>
  <c r="C1102" i="697"/>
  <c r="B1102" i="697" s="1"/>
  <c r="C1010" i="697"/>
  <c r="B1010" i="697" s="1"/>
  <c r="C961" i="697"/>
  <c r="B961" i="697" s="1"/>
  <c r="C962" i="697"/>
  <c r="B962" i="697" s="1"/>
  <c r="C963" i="697"/>
  <c r="B963" i="697" s="1"/>
  <c r="C964" i="697"/>
  <c r="B964" i="697" s="1"/>
  <c r="C965" i="697"/>
  <c r="B965" i="697" s="1"/>
  <c r="C966" i="697"/>
  <c r="B966" i="697" s="1"/>
  <c r="C967" i="697"/>
  <c r="B967" i="697" s="1"/>
  <c r="C968" i="697"/>
  <c r="B968" i="697" s="1"/>
  <c r="C969" i="697"/>
  <c r="B969" i="697" s="1"/>
  <c r="C970" i="697"/>
  <c r="B970" i="697" s="1"/>
  <c r="C971" i="697"/>
  <c r="B971" i="697" s="1"/>
  <c r="C1055" i="697"/>
  <c r="B1055" i="697" s="1"/>
  <c r="C1056" i="697"/>
  <c r="B1056" i="697" s="1"/>
  <c r="C1057" i="697"/>
  <c r="B1057" i="697" s="1"/>
  <c r="C1058" i="697"/>
  <c r="B1058" i="697" s="1"/>
  <c r="C1059" i="697"/>
  <c r="B1059" i="697" s="1"/>
  <c r="C1060" i="697"/>
  <c r="B1060" i="697" s="1"/>
  <c r="C1011" i="697"/>
  <c r="B1011" i="697" s="1"/>
  <c r="C1190" i="697"/>
  <c r="B1190" i="697" s="1"/>
  <c r="C1012" i="697"/>
  <c r="B1012" i="697" s="1"/>
  <c r="C973" i="697"/>
  <c r="B973" i="697" s="1"/>
  <c r="C974" i="697"/>
  <c r="B974" i="697" s="1"/>
  <c r="C1124" i="697"/>
  <c r="B1124" i="697" s="1"/>
  <c r="C996" i="697"/>
  <c r="B996" i="697" s="1"/>
  <c r="C1118" i="697"/>
  <c r="B1118" i="697" s="1"/>
  <c r="C1013" i="697"/>
  <c r="B1013" i="697" s="1"/>
  <c r="C1191" i="697"/>
  <c r="B1191" i="697" s="1"/>
  <c r="C1014" i="697"/>
  <c r="B1014" i="697" s="1"/>
  <c r="C975" i="697"/>
  <c r="B975" i="697" s="1"/>
  <c r="C1015" i="697"/>
  <c r="B1015" i="697" s="1"/>
  <c r="C1016" i="697"/>
  <c r="B1016" i="697" s="1"/>
  <c r="C976" i="697"/>
  <c r="B976" i="697" s="1"/>
  <c r="C1040" i="697"/>
  <c r="B1040" i="697" s="1"/>
  <c r="C977" i="697"/>
  <c r="B977" i="697" s="1"/>
  <c r="C1093" i="697"/>
  <c r="B1093" i="697" s="1"/>
  <c r="C1112" i="697"/>
  <c r="B1112" i="697" s="1"/>
  <c r="C1017" i="697"/>
  <c r="B1017" i="697" s="1"/>
  <c r="C1103" i="697"/>
  <c r="B1103" i="697" s="1"/>
  <c r="C1018" i="697"/>
  <c r="B1018" i="697" s="1"/>
  <c r="C1019" i="697"/>
  <c r="B1019" i="697" s="1"/>
  <c r="C978" i="697"/>
  <c r="B978" i="697" s="1"/>
  <c r="C1214" i="697"/>
  <c r="B1214" i="697" s="1"/>
  <c r="C1061" i="697"/>
  <c r="B1061" i="697" s="1"/>
  <c r="C1104" i="697"/>
  <c r="B1104" i="697" s="1"/>
  <c r="C1320" i="697"/>
  <c r="B1320" i="697" s="1"/>
  <c r="C1293" i="697"/>
  <c r="B1293" i="697" s="1"/>
  <c r="C1192" i="697"/>
  <c r="B1192" i="697" s="1"/>
  <c r="C1207" i="697"/>
  <c r="B1207" i="697" s="1"/>
  <c r="C1289" i="697"/>
  <c r="B1289" i="697" s="1"/>
  <c r="C1253" i="697"/>
  <c r="B1253" i="697" s="1"/>
  <c r="C1321" i="697"/>
  <c r="B1321" i="697" s="1"/>
  <c r="C1240" i="697"/>
  <c r="B1240" i="697" s="1"/>
  <c r="C1157" i="697"/>
  <c r="B1157" i="697" s="1"/>
  <c r="C997" i="697"/>
  <c r="B997" i="697" s="1"/>
  <c r="C998" i="697"/>
  <c r="B998" i="697" s="1"/>
  <c r="C999" i="697"/>
  <c r="B999" i="697" s="1"/>
  <c r="C1520" i="697"/>
  <c r="B1520" i="697" s="1"/>
  <c r="C1158" i="697"/>
  <c r="B1158" i="697" s="1"/>
  <c r="C1132" i="697"/>
  <c r="B1132" i="697" s="1"/>
  <c r="C1003" i="697"/>
  <c r="B1003" i="697" s="1"/>
  <c r="C1062" i="697"/>
  <c r="B1062" i="697" s="1"/>
  <c r="C1063" i="697"/>
  <c r="B1063" i="697" s="1"/>
  <c r="C1004" i="697"/>
  <c r="B1004" i="697" s="1"/>
  <c r="C1170" i="697"/>
  <c r="B1170" i="697" s="1"/>
  <c r="C1020" i="697"/>
  <c r="B1020" i="697" s="1"/>
  <c r="C1274" i="697"/>
  <c r="B1274" i="697" s="1"/>
  <c r="C1278" i="697"/>
  <c r="B1278" i="697" s="1"/>
  <c r="C1176" i="697"/>
  <c r="B1176" i="697" s="1"/>
  <c r="C1294" i="697"/>
  <c r="B1294" i="697" s="1"/>
  <c r="C1034" i="697"/>
  <c r="B1034" i="697" s="1"/>
  <c r="C1163" i="697"/>
  <c r="B1163" i="697" s="1"/>
  <c r="C1026" i="697"/>
  <c r="B1026" i="697" s="1"/>
  <c r="C1027" i="697"/>
  <c r="B1027" i="697" s="1"/>
  <c r="C1028" i="697"/>
  <c r="B1028" i="697" s="1"/>
  <c r="C1521" i="697"/>
  <c r="B1521" i="697" s="1"/>
  <c r="C1133" i="697"/>
  <c r="B1133" i="697" s="1"/>
  <c r="C1177" i="697"/>
  <c r="B1177" i="697" s="1"/>
  <c r="C1035" i="697"/>
  <c r="B1035" i="697" s="1"/>
  <c r="C1036" i="697"/>
  <c r="B1036" i="697" s="1"/>
  <c r="C1249" i="697"/>
  <c r="B1249" i="697" s="1"/>
  <c r="C1171" i="697"/>
  <c r="B1171" i="697" s="1"/>
  <c r="C1193" i="697"/>
  <c r="B1193" i="697" s="1"/>
  <c r="C1038" i="697"/>
  <c r="B1038" i="697" s="1"/>
  <c r="C1079" i="697"/>
  <c r="B1079" i="697" s="1"/>
  <c r="C1178" i="697"/>
  <c r="B1178" i="697" s="1"/>
  <c r="C1039" i="697"/>
  <c r="B1039" i="697" s="1"/>
  <c r="C1230" i="697"/>
  <c r="B1230" i="697" s="1"/>
  <c r="C1179" i="697"/>
  <c r="B1179" i="697" s="1"/>
  <c r="C1113" i="697"/>
  <c r="B1113" i="697" s="1"/>
  <c r="C1080" i="697"/>
  <c r="B1080" i="697" s="1"/>
  <c r="C1180" i="697"/>
  <c r="B1180" i="697" s="1"/>
  <c r="C1295" i="697"/>
  <c r="B1295" i="697" s="1"/>
  <c r="C1041" i="697"/>
  <c r="B1041" i="697" s="1"/>
  <c r="C1215" i="697"/>
  <c r="B1215" i="697" s="1"/>
  <c r="C1042" i="697"/>
  <c r="B1042" i="697" s="1"/>
  <c r="C1043" i="697"/>
  <c r="B1043" i="697" s="1"/>
  <c r="C1072" i="697"/>
  <c r="B1072" i="697" s="1"/>
  <c r="C1064" i="697"/>
  <c r="B1064" i="697" s="1"/>
  <c r="C1065" i="697"/>
  <c r="B1065" i="697" s="1"/>
  <c r="C1372" i="697"/>
  <c r="B1372" i="697" s="1"/>
  <c r="C1066" i="697"/>
  <c r="B1066" i="697" s="1"/>
  <c r="C1296" i="697"/>
  <c r="B1296" i="697" s="1"/>
  <c r="C1067" i="697"/>
  <c r="B1067" i="697" s="1"/>
  <c r="C1144" i="697"/>
  <c r="B1144" i="697" s="1"/>
  <c r="C1181" i="697"/>
  <c r="B1181" i="697" s="1"/>
  <c r="C1182" i="697"/>
  <c r="B1182" i="697" s="1"/>
  <c r="C1204" i="697"/>
  <c r="B1204" i="697" s="1"/>
  <c r="C1073" i="697"/>
  <c r="B1073" i="697" s="1"/>
  <c r="C1074" i="697"/>
  <c r="B1074" i="697" s="1"/>
  <c r="C1081" i="697"/>
  <c r="B1081" i="697" s="1"/>
  <c r="C1183" i="697"/>
  <c r="B1183" i="697" s="1"/>
  <c r="C1090" i="697"/>
  <c r="B1090" i="697" s="1"/>
  <c r="C1322" i="697"/>
  <c r="B1322" i="697" s="1"/>
  <c r="C1184" i="697"/>
  <c r="B1184" i="697" s="1"/>
  <c r="C1229" i="697"/>
  <c r="B1229" i="697" s="1"/>
  <c r="C1270" i="697"/>
  <c r="B1270" i="697" s="1"/>
  <c r="C1194" i="697"/>
  <c r="B1194" i="697" s="1"/>
  <c r="C1094" i="697"/>
  <c r="B1094" i="697" s="1"/>
  <c r="C1323" i="697"/>
  <c r="B1323" i="697" s="1"/>
  <c r="C1290" i="697"/>
  <c r="B1290" i="697" s="1"/>
  <c r="C1216" i="697"/>
  <c r="B1216" i="697" s="1"/>
  <c r="C1241" i="697"/>
  <c r="B1241" i="697" s="1"/>
  <c r="C1105" i="697"/>
  <c r="B1105" i="697" s="1"/>
  <c r="C1095" i="697"/>
  <c r="B1095" i="697" s="1"/>
  <c r="C1217" i="697"/>
  <c r="B1217" i="697" s="1"/>
  <c r="C1231" i="697"/>
  <c r="B1231" i="697" s="1"/>
  <c r="C979" i="697"/>
  <c r="B979" i="697" s="1"/>
  <c r="C1106" i="697"/>
  <c r="B1106" i="697" s="1"/>
  <c r="C1107" i="697"/>
  <c r="B1107" i="697" s="1"/>
  <c r="C1271" i="697"/>
  <c r="B1271" i="697" s="1"/>
  <c r="C1108" i="697"/>
  <c r="B1108" i="697" s="1"/>
  <c r="C1297" i="697"/>
  <c r="B1297" i="697" s="1"/>
  <c r="C1110" i="697"/>
  <c r="B1110" i="697" s="1"/>
  <c r="C1138" i="697"/>
  <c r="B1138" i="697" s="1"/>
  <c r="C1109" i="697"/>
  <c r="B1109" i="697" s="1"/>
  <c r="C1111" i="697"/>
  <c r="B1111" i="697" s="1"/>
  <c r="C1126" i="697"/>
  <c r="B1126" i="697" s="1"/>
  <c r="C1145" i="697"/>
  <c r="B1145" i="697" s="1"/>
  <c r="C1146" i="697"/>
  <c r="B1146" i="697" s="1"/>
  <c r="C1134" i="697"/>
  <c r="B1134" i="697" s="1"/>
  <c r="C1272" i="697"/>
  <c r="B1272" i="697" s="1"/>
  <c r="C1273" i="697"/>
  <c r="B1273" i="697" s="1"/>
  <c r="C1147" i="697"/>
  <c r="B1147" i="697" s="1"/>
  <c r="C1148" i="697"/>
  <c r="B1148" i="697" s="1"/>
  <c r="C1149" i="697"/>
  <c r="B1149" i="697" s="1"/>
  <c r="C1150" i="697"/>
  <c r="B1150" i="697" s="1"/>
  <c r="C1151" i="697"/>
  <c r="B1151" i="697" s="1"/>
  <c r="C1114" i="697"/>
  <c r="B1114" i="697" s="1"/>
  <c r="C1135" i="697"/>
  <c r="B1135" i="697" s="1"/>
  <c r="C1127" i="697"/>
  <c r="B1127" i="697" s="1"/>
  <c r="C1128" i="697"/>
  <c r="B1128" i="697" s="1"/>
  <c r="C1266" i="697"/>
  <c r="B1266" i="697" s="1"/>
  <c r="C1115" i="697"/>
  <c r="B1115" i="697" s="1"/>
  <c r="C1116" i="697"/>
  <c r="B1116" i="697" s="1"/>
  <c r="C1117" i="697"/>
  <c r="B1117" i="697" s="1"/>
  <c r="C1152" i="697"/>
  <c r="B1152" i="697" s="1"/>
  <c r="C1242" i="697"/>
  <c r="B1242" i="697" s="1"/>
  <c r="C1119" i="697"/>
  <c r="B1119" i="697" s="1"/>
  <c r="C1120" i="697"/>
  <c r="B1120" i="697" s="1"/>
  <c r="C1218" i="697"/>
  <c r="B1218" i="697" s="1"/>
  <c r="C1121" i="697"/>
  <c r="B1121" i="697" s="1"/>
  <c r="C1122" i="697"/>
  <c r="B1122" i="697" s="1"/>
  <c r="C1123" i="697"/>
  <c r="B1123" i="697" s="1"/>
  <c r="C1195" i="697"/>
  <c r="B1195" i="697" s="1"/>
  <c r="C1125" i="697"/>
  <c r="B1125" i="697" s="1"/>
  <c r="C1129" i="697"/>
  <c r="B1129" i="697" s="1"/>
  <c r="C1174" i="697"/>
  <c r="B1174" i="697" s="1"/>
  <c r="C1136" i="697"/>
  <c r="B1136" i="697" s="1"/>
  <c r="C1236" i="697"/>
  <c r="B1236" i="697" s="1"/>
  <c r="C1326" i="697"/>
  <c r="B1326" i="697" s="1"/>
  <c r="C1208" i="697"/>
  <c r="B1208" i="697" s="1"/>
  <c r="C1254" i="697"/>
  <c r="B1254" i="697" s="1"/>
  <c r="C1137" i="697"/>
  <c r="B1137" i="697" s="1"/>
  <c r="C1365" i="697"/>
  <c r="B1365" i="697" s="1"/>
  <c r="C1327" i="697"/>
  <c r="B1327" i="697" s="1"/>
  <c r="C1139" i="697"/>
  <c r="B1139" i="697" s="1"/>
  <c r="C1140" i="697"/>
  <c r="B1140" i="697" s="1"/>
  <c r="C1141" i="697"/>
  <c r="B1141" i="697" s="1"/>
  <c r="C1159" i="697"/>
  <c r="B1159" i="697" s="1"/>
  <c r="C1153" i="697"/>
  <c r="B1153" i="697" s="1"/>
  <c r="C1142" i="697"/>
  <c r="B1142" i="697" s="1"/>
  <c r="C1160" i="697"/>
  <c r="B1160" i="697" s="1"/>
  <c r="C1154" i="697"/>
  <c r="B1154" i="697" s="1"/>
  <c r="C1155" i="697"/>
  <c r="B1155" i="697" s="1"/>
  <c r="C1156" i="697"/>
  <c r="B1156" i="697" s="1"/>
  <c r="C1366" i="697"/>
  <c r="B1366" i="697" s="1"/>
  <c r="C1185" i="697"/>
  <c r="B1185" i="697" s="1"/>
  <c r="C1161" i="697"/>
  <c r="B1161" i="697" s="1"/>
  <c r="C1334" i="697"/>
  <c r="B1334" i="697" s="1"/>
  <c r="C1255" i="697"/>
  <c r="B1255" i="697" s="1"/>
  <c r="C1298" i="697"/>
  <c r="B1298" i="697" s="1"/>
  <c r="C1267" i="697"/>
  <c r="B1267" i="697" s="1"/>
  <c r="C1196" i="697"/>
  <c r="B1196" i="697" s="1"/>
  <c r="C1197" i="697"/>
  <c r="B1197" i="697" s="1"/>
  <c r="C1268" i="697"/>
  <c r="B1268" i="697" s="1"/>
  <c r="C1164" i="697"/>
  <c r="B1164" i="697" s="1"/>
  <c r="C1335" i="697"/>
  <c r="B1335" i="697" s="1"/>
  <c r="C1328" i="697"/>
  <c r="B1328" i="697" s="1"/>
  <c r="C1165" i="697"/>
  <c r="B1165" i="697" s="1"/>
  <c r="C1166" i="697"/>
  <c r="B1166" i="697" s="1"/>
  <c r="C1275" i="697"/>
  <c r="B1275" i="697" s="1"/>
  <c r="C1276" i="697"/>
  <c r="B1276" i="697" s="1"/>
  <c r="C1256" i="697"/>
  <c r="B1256" i="697" s="1"/>
  <c r="C1172" i="697"/>
  <c r="B1172" i="697" s="1"/>
  <c r="C1329" i="697"/>
  <c r="B1329" i="697" s="1"/>
  <c r="C1324" i="697"/>
  <c r="B1324" i="697" s="1"/>
  <c r="C1299" i="697"/>
  <c r="B1299" i="697" s="1"/>
  <c r="C1186" i="697"/>
  <c r="B1186" i="697" s="1"/>
  <c r="C1175" i="697"/>
  <c r="B1175" i="697" s="1"/>
  <c r="C1173" i="697"/>
  <c r="B1173" i="697" s="1"/>
  <c r="C1330" i="697"/>
  <c r="B1330" i="697" s="1"/>
  <c r="C1300" i="697"/>
  <c r="B1300" i="697" s="1"/>
  <c r="C1367" i="697"/>
  <c r="B1367" i="697" s="1"/>
  <c r="C1368" i="697"/>
  <c r="B1368" i="697" s="1"/>
  <c r="C1378" i="697"/>
  <c r="B1378" i="697" s="1"/>
  <c r="C1377" i="697"/>
  <c r="B1377" i="697" s="1"/>
  <c r="C1301" i="697"/>
  <c r="B1301" i="697" s="1"/>
  <c r="C1331" i="697"/>
  <c r="B1331" i="697" s="1"/>
  <c r="C1187" i="697"/>
  <c r="B1187" i="697" s="1"/>
  <c r="C1188" i="697"/>
  <c r="B1188" i="697" s="1"/>
  <c r="C1357" i="697"/>
  <c r="B1357" i="697" s="1"/>
  <c r="C1369" i="697"/>
  <c r="B1369" i="697" s="1"/>
  <c r="C1439" i="697"/>
  <c r="B1439" i="697" s="1"/>
  <c r="C1302" i="697"/>
  <c r="B1302" i="697" s="1"/>
  <c r="C1189" i="697"/>
  <c r="B1189" i="697" s="1"/>
  <c r="C1277" i="697"/>
  <c r="B1277" i="697" s="1"/>
  <c r="C1358" i="697"/>
  <c r="B1358" i="697" s="1"/>
  <c r="C1198" i="697"/>
  <c r="B1198" i="697" s="1"/>
  <c r="C1199" i="697"/>
  <c r="B1199" i="697" s="1"/>
  <c r="C1200" i="697"/>
  <c r="B1200" i="697" s="1"/>
  <c r="C1201" i="697"/>
  <c r="B1201" i="697" s="1"/>
  <c r="C1202" i="697"/>
  <c r="B1202" i="697" s="1"/>
  <c r="C1203" i="697"/>
  <c r="B1203" i="697" s="1"/>
  <c r="C1209" i="697"/>
  <c r="B1209" i="697" s="1"/>
  <c r="C1244" i="697"/>
  <c r="B1244" i="697" s="1"/>
  <c r="C1359" i="697"/>
  <c r="B1359" i="697" s="1"/>
  <c r="C1219" i="697"/>
  <c r="B1219" i="697" s="1"/>
  <c r="C1220" i="697"/>
  <c r="B1220" i="697" s="1"/>
  <c r="C1205" i="697"/>
  <c r="B1205" i="697" s="1"/>
  <c r="C1167" i="697"/>
  <c r="B1167" i="697" s="1"/>
  <c r="C1221" i="697"/>
  <c r="B1221" i="697" s="1"/>
  <c r="C1222" i="697"/>
  <c r="B1222" i="697" s="1"/>
  <c r="C1257" i="697"/>
  <c r="B1257" i="697" s="1"/>
  <c r="C1206" i="697"/>
  <c r="B1206" i="697" s="1"/>
  <c r="C1223" i="697"/>
  <c r="B1223" i="697" s="1"/>
  <c r="C1224" i="697"/>
  <c r="B1224" i="697" s="1"/>
  <c r="C1225" i="697"/>
  <c r="B1225" i="697" s="1"/>
  <c r="C1210" i="697"/>
  <c r="B1210" i="697" s="1"/>
  <c r="C1336" i="697"/>
  <c r="B1336" i="697" s="1"/>
  <c r="C1337" i="697"/>
  <c r="B1337" i="697" s="1"/>
  <c r="C1338" i="697"/>
  <c r="B1338" i="697" s="1"/>
  <c r="C1339" i="697"/>
  <c r="B1339" i="697" s="1"/>
  <c r="C1373" i="697"/>
  <c r="B1373" i="697" s="1"/>
  <c r="C1258" i="697"/>
  <c r="B1258" i="697" s="1"/>
  <c r="C1340" i="697"/>
  <c r="B1340" i="697" s="1"/>
  <c r="C1211" i="697"/>
  <c r="B1211" i="697" s="1"/>
  <c r="C1212" i="697"/>
  <c r="B1212" i="697" s="1"/>
  <c r="C1226" i="697"/>
  <c r="B1226" i="697" s="1"/>
  <c r="C1227" i="697"/>
  <c r="B1227" i="697" s="1"/>
  <c r="C1285" i="697"/>
  <c r="B1285" i="697" s="1"/>
  <c r="C1259" i="697"/>
  <c r="B1259" i="697" s="1"/>
  <c r="C1228" i="697"/>
  <c r="B1228" i="697" s="1"/>
  <c r="C1476" i="697"/>
  <c r="B1476" i="697" s="1"/>
  <c r="C1379" i="697"/>
  <c r="B1379" i="697" s="1"/>
  <c r="C1303" i="697"/>
  <c r="B1303" i="697" s="1"/>
  <c r="C1345" i="697"/>
  <c r="B1345" i="697" s="1"/>
  <c r="C1360" i="697"/>
  <c r="B1360" i="697" s="1"/>
  <c r="C1440" i="697"/>
  <c r="B1440" i="697" s="1"/>
  <c r="C1401" i="697"/>
  <c r="B1401" i="697" s="1"/>
  <c r="C1344" i="697"/>
  <c r="B1344" i="697" s="1"/>
  <c r="C1232" i="697"/>
  <c r="B1232" i="697" s="1"/>
  <c r="C1361" i="697"/>
  <c r="B1361" i="697" s="1"/>
  <c r="C1269" i="697"/>
  <c r="B1269" i="697" s="1"/>
  <c r="C1233" i="697"/>
  <c r="B1233" i="697" s="1"/>
  <c r="C1234" i="697"/>
  <c r="B1234" i="697" s="1"/>
  <c r="C1423" i="697"/>
  <c r="B1423" i="697" s="1"/>
  <c r="C1325" i="697"/>
  <c r="B1325" i="697" s="1"/>
  <c r="C1245" i="697"/>
  <c r="B1245" i="697" s="1"/>
  <c r="C1491" i="697"/>
  <c r="B1491" i="697" s="1"/>
  <c r="C1235" i="697"/>
  <c r="B1235" i="697" s="1"/>
  <c r="C1380" i="697"/>
  <c r="B1380" i="697" s="1"/>
  <c r="C1495" i="697"/>
  <c r="B1495" i="697" s="1"/>
  <c r="C1250" i="697"/>
  <c r="B1250" i="697" s="1"/>
  <c r="C1363" i="697"/>
  <c r="B1363" i="697" s="1"/>
  <c r="C1237" i="697"/>
  <c r="B1237" i="697" s="1"/>
  <c r="C1238" i="697"/>
  <c r="B1238" i="697" s="1"/>
  <c r="C1463" i="697"/>
  <c r="B1463" i="697" s="1"/>
  <c r="C1374" i="697"/>
  <c r="B1374" i="697" s="1"/>
  <c r="C1246" i="697"/>
  <c r="B1246" i="697" s="1"/>
  <c r="C1243" i="697"/>
  <c r="B1243" i="697" s="1"/>
  <c r="C1247" i="697"/>
  <c r="B1247" i="697" s="1"/>
  <c r="C1410" i="697"/>
  <c r="B1410" i="697" s="1"/>
  <c r="C1411" i="697"/>
  <c r="B1411" i="697" s="1"/>
  <c r="C1370" i="697"/>
  <c r="B1370" i="697" s="1"/>
  <c r="C1417" i="697"/>
  <c r="B1417" i="697" s="1"/>
  <c r="C1381" i="697"/>
  <c r="B1381" i="697" s="1"/>
  <c r="C1248" i="697"/>
  <c r="B1248" i="697" s="1"/>
  <c r="C1251" i="697"/>
  <c r="B1251" i="697" s="1"/>
  <c r="C1252" i="697"/>
  <c r="B1252" i="697" s="1"/>
  <c r="C1432" i="697"/>
  <c r="B1432" i="697" s="1"/>
  <c r="C1375" i="697"/>
  <c r="B1375" i="697" s="1"/>
  <c r="C1382" i="697"/>
  <c r="B1382" i="697" s="1"/>
  <c r="C1260" i="697"/>
  <c r="B1260" i="697" s="1"/>
  <c r="C1280" i="697"/>
  <c r="B1280" i="697" s="1"/>
  <c r="C1281" i="697"/>
  <c r="B1281" i="697" s="1"/>
  <c r="C1282" i="697"/>
  <c r="B1282" i="697" s="1"/>
  <c r="C1283" i="697"/>
  <c r="B1283" i="697" s="1"/>
  <c r="C1284" i="697"/>
  <c r="B1284" i="697" s="1"/>
  <c r="C1433" i="697"/>
  <c r="B1433" i="697" s="1"/>
  <c r="C1434" i="697"/>
  <c r="B1434" i="697" s="1"/>
  <c r="C1261" i="697"/>
  <c r="B1261" i="697" s="1"/>
  <c r="C1264" i="697"/>
  <c r="B1264" i="697" s="1"/>
  <c r="C1262" i="697"/>
  <c r="B1262" i="697" s="1"/>
  <c r="C1263" i="697"/>
  <c r="B1263" i="697" s="1"/>
  <c r="C1383" i="697"/>
  <c r="B1383" i="697" s="1"/>
  <c r="C1265" i="697"/>
  <c r="B1265" i="697" s="1"/>
  <c r="C1522" i="697"/>
  <c r="B1522" i="697" s="1"/>
  <c r="C1394" i="697"/>
  <c r="B1394" i="697" s="1"/>
  <c r="C1441" i="697"/>
  <c r="B1441" i="697" s="1"/>
  <c r="C1305" i="697"/>
  <c r="B1305" i="697" s="1"/>
  <c r="C1286" i="697"/>
  <c r="B1286" i="697" s="1"/>
  <c r="C1306" i="697"/>
  <c r="B1306" i="697" s="1"/>
  <c r="C1451" i="697"/>
  <c r="B1451" i="697" s="1"/>
  <c r="C1455" i="697"/>
  <c r="B1455" i="697" s="1"/>
  <c r="C1319" i="697"/>
  <c r="B1319" i="697" s="1"/>
  <c r="C1435" i="697"/>
  <c r="B1435" i="697" s="1"/>
  <c r="C1279" i="697"/>
  <c r="B1279" i="697" s="1"/>
  <c r="C1287" i="697"/>
  <c r="B1287" i="697" s="1"/>
  <c r="C1442" i="697"/>
  <c r="B1442" i="697" s="1"/>
  <c r="C1412" i="697"/>
  <c r="B1412" i="697" s="1"/>
  <c r="C1395" i="697"/>
  <c r="B1395" i="697" s="1"/>
  <c r="C1288" i="697"/>
  <c r="B1288" i="697" s="1"/>
  <c r="C1396" i="697"/>
  <c r="B1396" i="697" s="1"/>
  <c r="C1510" i="697"/>
  <c r="B1510" i="697" s="1"/>
  <c r="C1413" i="697"/>
  <c r="B1413" i="697" s="1"/>
  <c r="C1389" i="697"/>
  <c r="B1389" i="697" s="1"/>
  <c r="C1291" i="697"/>
  <c r="B1291" i="697" s="1"/>
  <c r="C1492" i="697"/>
  <c r="B1492" i="697" s="1"/>
  <c r="C1496" i="697"/>
  <c r="B1496" i="697" s="1"/>
  <c r="C1390" i="697"/>
  <c r="B1390" i="697" s="1"/>
  <c r="C1304" i="697"/>
  <c r="B1304" i="697" s="1"/>
  <c r="C1397" i="697"/>
  <c r="B1397" i="697" s="1"/>
  <c r="C1418" i="697"/>
  <c r="B1418" i="697" s="1"/>
  <c r="C1317" i="697"/>
  <c r="B1317" i="697" s="1"/>
  <c r="C1307" i="697"/>
  <c r="B1307" i="697" s="1"/>
  <c r="C1308" i="697"/>
  <c r="B1308" i="697" s="1"/>
  <c r="C1309" i="697"/>
  <c r="B1309" i="697" s="1"/>
  <c r="C1310" i="697"/>
  <c r="B1310" i="697" s="1"/>
  <c r="C1311" i="697"/>
  <c r="B1311" i="697" s="1"/>
  <c r="C1312" i="697"/>
  <c r="B1312" i="697" s="1"/>
  <c r="C1313" i="697"/>
  <c r="B1313" i="697" s="1"/>
  <c r="C1314" i="697"/>
  <c r="B1314" i="697" s="1"/>
  <c r="C1315" i="697"/>
  <c r="B1315" i="697" s="1"/>
  <c r="C1316" i="697"/>
  <c r="B1316" i="697" s="1"/>
  <c r="C1398" i="697"/>
  <c r="B1398" i="697" s="1"/>
  <c r="C1414" i="697"/>
  <c r="B1414" i="697" s="1"/>
  <c r="C1346" i="697"/>
  <c r="B1346" i="697" s="1"/>
  <c r="C1347" i="697"/>
  <c r="B1347" i="697" s="1"/>
  <c r="C1464" i="697"/>
  <c r="B1464" i="697" s="1"/>
  <c r="C1348" i="697"/>
  <c r="B1348" i="697" s="1"/>
  <c r="C1349" i="697"/>
  <c r="B1349" i="697" s="1"/>
  <c r="C1350" i="697"/>
  <c r="B1350" i="697" s="1"/>
  <c r="C1399" i="697"/>
  <c r="B1399" i="697" s="1"/>
  <c r="C1400" i="697"/>
  <c r="B1400" i="697" s="1"/>
  <c r="C1351" i="697"/>
  <c r="B1351" i="697" s="1"/>
  <c r="C1352" i="697"/>
  <c r="B1352" i="697" s="1"/>
  <c r="C1386" i="697"/>
  <c r="B1386" i="697" s="1"/>
  <c r="C1318" i="697"/>
  <c r="B1318" i="697" s="1"/>
  <c r="C1353" i="697"/>
  <c r="B1353" i="697" s="1"/>
  <c r="C1354" i="697"/>
  <c r="B1354" i="697" s="1"/>
  <c r="C1429" i="697"/>
  <c r="B1429" i="697" s="1"/>
  <c r="C1477" i="697"/>
  <c r="B1477" i="697" s="1"/>
  <c r="C1523" i="697"/>
  <c r="B1523" i="697" s="1"/>
  <c r="C1524" i="697"/>
  <c r="B1524" i="697" s="1"/>
  <c r="C1355" i="697"/>
  <c r="B1355" i="697" s="1"/>
  <c r="C1332" i="697"/>
  <c r="B1332" i="697" s="1"/>
  <c r="C1333" i="697"/>
  <c r="B1333" i="697" s="1"/>
  <c r="C1525" i="697"/>
  <c r="B1525" i="697" s="1"/>
  <c r="C1478" i="697"/>
  <c r="B1478" i="697" s="1"/>
  <c r="C1472" i="697"/>
  <c r="B1472" i="697" s="1"/>
  <c r="C1511" i="697"/>
  <c r="B1511" i="697" s="1"/>
  <c r="C1342" i="697"/>
  <c r="B1342" i="697" s="1"/>
  <c r="C1341" i="697"/>
  <c r="B1341" i="697" s="1"/>
  <c r="C1424" i="697"/>
  <c r="B1424" i="697" s="1"/>
  <c r="C1343" i="697"/>
  <c r="B1343" i="697" s="1"/>
  <c r="C1474" i="697"/>
  <c r="B1474" i="697" s="1"/>
  <c r="C1516" i="697"/>
  <c r="B1516" i="697" s="1"/>
  <c r="C1479" i="697"/>
  <c r="B1479" i="697" s="1"/>
  <c r="C1526" i="697"/>
  <c r="B1526" i="697" s="1"/>
  <c r="C1465" i="697"/>
  <c r="B1465" i="697" s="1"/>
  <c r="C1425" i="697"/>
  <c r="B1425" i="697" s="1"/>
  <c r="C1480" i="697"/>
  <c r="B1480" i="697" s="1"/>
  <c r="C1356" i="697"/>
  <c r="B1356" i="697" s="1"/>
  <c r="C1481" i="697"/>
  <c r="B1481" i="697" s="1"/>
  <c r="C1512" i="697"/>
  <c r="B1512" i="697" s="1"/>
  <c r="C1473" i="697"/>
  <c r="B1473" i="697" s="1"/>
  <c r="C1482" i="697"/>
  <c r="B1482" i="697" s="1"/>
  <c r="C1362" i="697"/>
  <c r="B1362" i="697" s="1"/>
  <c r="C1483" i="697"/>
  <c r="B1483" i="697" s="1"/>
  <c r="C1484" i="697"/>
  <c r="B1484" i="697" s="1"/>
  <c r="C1391" i="697"/>
  <c r="B1391" i="697" s="1"/>
  <c r="C1364" i="697"/>
  <c r="B1364" i="697" s="1"/>
  <c r="C1527" i="697"/>
  <c r="B1527" i="697" s="1"/>
  <c r="C1513" i="697"/>
  <c r="B1513" i="697" s="1"/>
  <c r="C1376" i="697"/>
  <c r="B1376" i="697" s="1"/>
  <c r="C1402" i="697"/>
  <c r="B1402" i="697" s="1"/>
  <c r="C1403" i="697"/>
  <c r="B1403" i="697" s="1"/>
  <c r="C1404" i="697"/>
  <c r="B1404" i="697" s="1"/>
  <c r="C1405" i="697"/>
  <c r="B1405" i="697" s="1"/>
  <c r="C1371" i="697"/>
  <c r="B1371" i="697" s="1"/>
  <c r="C1528" i="697"/>
  <c r="B1528" i="697" s="1"/>
  <c r="C1436" i="697"/>
  <c r="B1436" i="697" s="1"/>
  <c r="C1529" i="697"/>
  <c r="B1529" i="697" s="1"/>
  <c r="C1437" i="697"/>
  <c r="B1437" i="697" s="1"/>
  <c r="C1530" i="697"/>
  <c r="B1530" i="697" s="1"/>
  <c r="C1485" i="697"/>
  <c r="B1485" i="697" s="1"/>
  <c r="C1531" i="697"/>
  <c r="B1531" i="697" s="1"/>
  <c r="C1514" i="697"/>
  <c r="B1514" i="697" s="1"/>
  <c r="C1532" i="697"/>
  <c r="B1532" i="697" s="1"/>
  <c r="C1486" i="697"/>
  <c r="B1486" i="697" s="1"/>
  <c r="C1533" i="697"/>
  <c r="B1533" i="697" s="1"/>
  <c r="C1384" i="697"/>
  <c r="B1384" i="697" s="1"/>
  <c r="C1385" i="697"/>
  <c r="B1385" i="697" s="1"/>
  <c r="C1387" i="697"/>
  <c r="B1387" i="697" s="1"/>
  <c r="C1534" i="697"/>
  <c r="B1534" i="697" s="1"/>
  <c r="C1535" i="697"/>
  <c r="B1535" i="697" s="1"/>
  <c r="C1536" i="697"/>
  <c r="B1536" i="697" s="1"/>
  <c r="C1388" i="697"/>
  <c r="B1388" i="697" s="1"/>
  <c r="C1392" i="697"/>
  <c r="B1392" i="697" s="1"/>
  <c r="C1393" i="697"/>
  <c r="B1393" i="697" s="1"/>
  <c r="C1416" i="697"/>
  <c r="B1416" i="697" s="1"/>
  <c r="C1537" i="697"/>
  <c r="B1537" i="697" s="1"/>
  <c r="C1406" i="697"/>
  <c r="B1406" i="697" s="1"/>
  <c r="C1538" i="697"/>
  <c r="B1538" i="697" s="1"/>
  <c r="C1407" i="697"/>
  <c r="B1407" i="697" s="1"/>
  <c r="C1539" i="697"/>
  <c r="B1539" i="697" s="1"/>
  <c r="C1438" i="697"/>
  <c r="B1438" i="697" s="1"/>
  <c r="C1487" i="697"/>
  <c r="B1487" i="697" s="1"/>
  <c r="C1540" i="697"/>
  <c r="B1540" i="697" s="1"/>
  <c r="C1443" i="697"/>
  <c r="B1443" i="697" s="1"/>
  <c r="C1444" i="697"/>
  <c r="B1444" i="697" s="1"/>
  <c r="C1445" i="697"/>
  <c r="B1445" i="697" s="1"/>
  <c r="C1420" i="697"/>
  <c r="B1420" i="697" s="1"/>
  <c r="C1408" i="697"/>
  <c r="B1408" i="697" s="1"/>
  <c r="C1497" i="697"/>
  <c r="B1497" i="697" s="1"/>
  <c r="C1498" i="697"/>
  <c r="B1498" i="697" s="1"/>
  <c r="C1499" i="697"/>
  <c r="B1499" i="697" s="1"/>
  <c r="C1446" i="697"/>
  <c r="B1446" i="697" s="1"/>
  <c r="C1517" i="697"/>
  <c r="B1517" i="697" s="1"/>
  <c r="C1518" i="697"/>
  <c r="B1518" i="697" s="1"/>
  <c r="C1489" i="697"/>
  <c r="B1489" i="697" s="1"/>
  <c r="C1541" i="697"/>
  <c r="B1541" i="697" s="1"/>
  <c r="C1447" i="697"/>
  <c r="B1447" i="697" s="1"/>
  <c r="C1448" i="697"/>
  <c r="B1448" i="697" s="1"/>
  <c r="C1542" i="697"/>
  <c r="B1542" i="697" s="1"/>
  <c r="C1415" i="697"/>
  <c r="B1415" i="697" s="1"/>
  <c r="C1488" i="697"/>
  <c r="B1488" i="697" s="1"/>
  <c r="C1543" i="697"/>
  <c r="B1543" i="697" s="1"/>
  <c r="C1544" i="697"/>
  <c r="B1544" i="697" s="1"/>
  <c r="C1545" i="697"/>
  <c r="B1545" i="697" s="1"/>
  <c r="C1419" i="697"/>
  <c r="B1419" i="697" s="1"/>
  <c r="C1546" i="697"/>
  <c r="B1546" i="697" s="1"/>
  <c r="C1547" i="697"/>
  <c r="B1547" i="697" s="1"/>
  <c r="C1421" i="697"/>
  <c r="B1421" i="697" s="1"/>
  <c r="C1422" i="697"/>
  <c r="B1422" i="697" s="1"/>
  <c r="C1548" i="697"/>
  <c r="B1548" i="697" s="1"/>
  <c r="C1459" i="697"/>
  <c r="B1459" i="697" s="1"/>
  <c r="C1549" i="697"/>
  <c r="B1549" i="697" s="1"/>
  <c r="C1426" i="697"/>
  <c r="B1426" i="697" s="1"/>
  <c r="C1460" i="697"/>
  <c r="B1460" i="697" s="1"/>
  <c r="C1461" i="697"/>
  <c r="B1461" i="697" s="1"/>
  <c r="C1427" i="697"/>
  <c r="B1427" i="697" s="1"/>
  <c r="C1428" i="697"/>
  <c r="B1428" i="697" s="1"/>
  <c r="C1449" i="697"/>
  <c r="B1449" i="697" s="1"/>
  <c r="C1431" i="697"/>
  <c r="B1431" i="697" s="1"/>
  <c r="C1430" i="697"/>
  <c r="B1430" i="697" s="1"/>
  <c r="C1490" i="697"/>
  <c r="B1490" i="697" s="1"/>
  <c r="C1452" i="697"/>
  <c r="B1452" i="697" s="1"/>
  <c r="C1550" i="697"/>
  <c r="B1550" i="697" s="1"/>
  <c r="C1456" i="697"/>
  <c r="B1456" i="697" s="1"/>
  <c r="C1450" i="697"/>
  <c r="B1450" i="697" s="1"/>
  <c r="C1551" i="697"/>
  <c r="B1551" i="697" s="1"/>
  <c r="C1552" i="697"/>
  <c r="B1552" i="697" s="1"/>
  <c r="C1519" i="697"/>
  <c r="B1519" i="697" s="1"/>
  <c r="C1457" i="697"/>
  <c r="B1457" i="697" s="1"/>
  <c r="C1458" i="697"/>
  <c r="B1458" i="697" s="1"/>
  <c r="C1462" i="697"/>
  <c r="B1462" i="697" s="1"/>
  <c r="C1453" i="697"/>
  <c r="B1453" i="697" s="1"/>
  <c r="C1409" i="697"/>
  <c r="B1409" i="697" s="1"/>
  <c r="C1454" i="697"/>
  <c r="B1454" i="697" s="1"/>
  <c r="C1553" i="697"/>
  <c r="B1553" i="697" s="1"/>
  <c r="C1554" i="697"/>
  <c r="B1554" i="697" s="1"/>
  <c r="C1555" i="697"/>
  <c r="B1555" i="697" s="1"/>
  <c r="C1556" i="697"/>
  <c r="B1556" i="697" s="1"/>
  <c r="C1557" i="697"/>
  <c r="B1557" i="697" s="1"/>
  <c r="C1558" i="697"/>
  <c r="B1558" i="697" s="1"/>
  <c r="C1466" i="697"/>
  <c r="B1466" i="697" s="1"/>
  <c r="C1467" i="697"/>
  <c r="B1467" i="697" s="1"/>
  <c r="C1468" i="697"/>
  <c r="B1468" i="697" s="1"/>
  <c r="C1469" i="697"/>
  <c r="B1469" i="697" s="1"/>
  <c r="C1559" i="697"/>
  <c r="B1559" i="697" s="1"/>
  <c r="C1475" i="697"/>
  <c r="B1475" i="697" s="1"/>
  <c r="C1470" i="697"/>
  <c r="B1470" i="697" s="1"/>
  <c r="C1471" i="697"/>
  <c r="B1471" i="697" s="1"/>
  <c r="C1560" i="697"/>
  <c r="B1560" i="697" s="1"/>
  <c r="C1561" i="697"/>
  <c r="B1561" i="697" s="1"/>
  <c r="C1562" i="697"/>
  <c r="B1562" i="697" s="1"/>
  <c r="C1563" i="697"/>
  <c r="B1563" i="697" s="1"/>
  <c r="C1564" i="697"/>
  <c r="B1564" i="697" s="1"/>
  <c r="C1565" i="697"/>
  <c r="B1565" i="697" s="1"/>
  <c r="C1566" i="697"/>
  <c r="B1566" i="697" s="1"/>
  <c r="C1567" i="697"/>
  <c r="B1567" i="697" s="1"/>
  <c r="C1568" i="697"/>
  <c r="B1568" i="697" s="1"/>
  <c r="C1569" i="697"/>
  <c r="B1569" i="697" s="1"/>
  <c r="C1570" i="697"/>
  <c r="B1570" i="697" s="1"/>
  <c r="C1571" i="697"/>
  <c r="B1571" i="697" s="1"/>
  <c r="C1572" i="697"/>
  <c r="B1572" i="697" s="1"/>
  <c r="C1493" i="697"/>
  <c r="B1493" i="697" s="1"/>
  <c r="C1494" i="697"/>
  <c r="B1494" i="697" s="1"/>
  <c r="C1573" i="697"/>
  <c r="B1573" i="697" s="1"/>
  <c r="C1574" i="697"/>
  <c r="B1574" i="697" s="1"/>
  <c r="C1575" i="697"/>
  <c r="B1575" i="697" s="1"/>
  <c r="C1576" i="697"/>
  <c r="B1576" i="697" s="1"/>
  <c r="C1577" i="697"/>
  <c r="B1577" i="697" s="1"/>
  <c r="C1578" i="697"/>
  <c r="B1578" i="697" s="1"/>
  <c r="C1579" i="697"/>
  <c r="B1579" i="697" s="1"/>
  <c r="C1580" i="697"/>
  <c r="B1580" i="697" s="1"/>
  <c r="C1581" i="697"/>
  <c r="B1581" i="697" s="1"/>
  <c r="C1582" i="697"/>
  <c r="B1582" i="697" s="1"/>
  <c r="C1583" i="697"/>
  <c r="B1583" i="697" s="1"/>
  <c r="C1584" i="697"/>
  <c r="B1584" i="697" s="1"/>
  <c r="C1585" i="697"/>
  <c r="B1585" i="697" s="1"/>
  <c r="C1500" i="697"/>
  <c r="B1500" i="697" s="1"/>
  <c r="C1501" i="697"/>
  <c r="B1501" i="697" s="1"/>
  <c r="C1502" i="697"/>
  <c r="B1502" i="697" s="1"/>
  <c r="C1503" i="697"/>
  <c r="B1503" i="697" s="1"/>
  <c r="C1504" i="697"/>
  <c r="B1504" i="697" s="1"/>
  <c r="C1505" i="697"/>
  <c r="B1505" i="697" s="1"/>
  <c r="C1506" i="697"/>
  <c r="B1506" i="697" s="1"/>
  <c r="C1586" i="697"/>
  <c r="B1586" i="697" s="1"/>
  <c r="C1587" i="697"/>
  <c r="B1587" i="697" s="1"/>
  <c r="C1588" i="697"/>
  <c r="B1588" i="697" s="1"/>
  <c r="C1589" i="697"/>
  <c r="B1589" i="697" s="1"/>
  <c r="C1507" i="697"/>
  <c r="B1507" i="697" s="1"/>
  <c r="C1590" i="697"/>
  <c r="B1590" i="697" s="1"/>
  <c r="C1508" i="697"/>
  <c r="B1508" i="697" s="1"/>
  <c r="C1591" i="697"/>
  <c r="B1591" i="697" s="1"/>
  <c r="C1592" i="697"/>
  <c r="B1592" i="697" s="1"/>
  <c r="C1593" i="697"/>
  <c r="B1593" i="697" s="1"/>
  <c r="C1509" i="697"/>
  <c r="B1509" i="697" s="1"/>
  <c r="C1515" i="697"/>
  <c r="B1515" i="697" s="1"/>
  <c r="D1292" i="697"/>
  <c r="D23" i="697"/>
  <c r="D12" i="697"/>
  <c r="D196" i="697"/>
  <c r="D4" i="697"/>
  <c r="D24" i="697"/>
  <c r="D208" i="697"/>
  <c r="D6" i="697"/>
  <c r="D13" i="697"/>
  <c r="D14" i="697"/>
  <c r="D15" i="697"/>
  <c r="D16" i="697"/>
  <c r="D34" i="697"/>
  <c r="D40" i="697"/>
  <c r="D3" i="697"/>
  <c r="D209" i="697"/>
  <c r="D5" i="697"/>
  <c r="D18" i="697"/>
  <c r="D19" i="697"/>
  <c r="D20" i="697"/>
  <c r="D7" i="697"/>
  <c r="D10" i="697"/>
  <c r="D107" i="697"/>
  <c r="D11" i="697"/>
  <c r="D83" i="697"/>
  <c r="D87" i="697"/>
  <c r="D21" i="697"/>
  <c r="D27" i="697"/>
  <c r="D28" i="697"/>
  <c r="D29" i="697"/>
  <c r="D30" i="697"/>
  <c r="D31" i="697"/>
  <c r="D32" i="697"/>
  <c r="D33" i="697"/>
  <c r="D219" i="697"/>
  <c r="D96" i="697"/>
  <c r="D114" i="697"/>
  <c r="D125" i="697"/>
  <c r="D67" i="697"/>
  <c r="D171" i="697"/>
  <c r="D37" i="697"/>
  <c r="D49" i="697"/>
  <c r="D50" i="697"/>
  <c r="D51" i="697"/>
  <c r="D52" i="697"/>
  <c r="D53" i="697"/>
  <c r="D35" i="697"/>
  <c r="D116" i="697"/>
  <c r="D133" i="697"/>
  <c r="D36" i="697"/>
  <c r="D64" i="697"/>
  <c r="D131" i="697"/>
  <c r="D140" i="697"/>
  <c r="D38" i="697"/>
  <c r="D399" i="697"/>
  <c r="D68" i="697"/>
  <c r="D65" i="697"/>
  <c r="D127" i="697"/>
  <c r="D129" i="697"/>
  <c r="D97" i="697"/>
  <c r="D206" i="697"/>
  <c r="D39" i="697"/>
  <c r="D66" i="697"/>
  <c r="D160" i="697"/>
  <c r="D42" i="697"/>
  <c r="D44" i="697"/>
  <c r="D43" i="697"/>
  <c r="D236" i="697"/>
  <c r="D25" i="697"/>
  <c r="D26" i="697"/>
  <c r="D94" i="697"/>
  <c r="D237" i="697"/>
  <c r="D214" i="697"/>
  <c r="D161" i="697"/>
  <c r="D162" i="697"/>
  <c r="D163" i="697"/>
  <c r="D69" i="697"/>
  <c r="D70" i="697"/>
  <c r="D71" i="697"/>
  <c r="D72" i="697"/>
  <c r="D73" i="697"/>
  <c r="D74" i="697"/>
  <c r="D150" i="697"/>
  <c r="D141" i="697"/>
  <c r="D151" i="697"/>
  <c r="D152" i="697"/>
  <c r="D211" i="697"/>
  <c r="D142" i="697"/>
  <c r="D153" i="697"/>
  <c r="D154" i="697"/>
  <c r="D155" i="697"/>
  <c r="D156" i="697"/>
  <c r="D158" i="697"/>
  <c r="D229" i="697"/>
  <c r="D95" i="697"/>
  <c r="D159" i="697"/>
  <c r="D98" i="697"/>
  <c r="D99" i="697"/>
  <c r="D100" i="697"/>
  <c r="D101" i="697"/>
  <c r="D147" i="697"/>
  <c r="D112" i="697"/>
  <c r="D148" i="697"/>
  <c r="D113" i="697"/>
  <c r="D238" i="697"/>
  <c r="D124" i="697"/>
  <c r="D244" i="697"/>
  <c r="D184" i="697"/>
  <c r="D330" i="697"/>
  <c r="D245" i="697"/>
  <c r="D130" i="697"/>
  <c r="D132" i="697"/>
  <c r="D198" i="697"/>
  <c r="D349" i="697"/>
  <c r="D277" i="697"/>
  <c r="D408" i="697"/>
  <c r="D149" i="697"/>
  <c r="D261" i="697"/>
  <c r="D137" i="697"/>
  <c r="D220" i="697"/>
  <c r="D164" i="697"/>
  <c r="D138" i="697"/>
  <c r="D221" i="697"/>
  <c r="D306" i="697"/>
  <c r="D320" i="697"/>
  <c r="D199" i="697"/>
  <c r="D357" i="697"/>
  <c r="D282" i="697"/>
  <c r="D165" i="697"/>
  <c r="D166" i="697"/>
  <c r="D167" i="697"/>
  <c r="D168" i="697"/>
  <c r="D169" i="697"/>
  <c r="D170" i="697"/>
  <c r="D187" i="697"/>
  <c r="D200" i="697"/>
  <c r="D173" i="697"/>
  <c r="D201" i="697"/>
  <c r="D266" i="697"/>
  <c r="D235" i="697"/>
  <c r="D188" i="697"/>
  <c r="D189" i="697"/>
  <c r="D195" i="697"/>
  <c r="D215" i="697"/>
  <c r="D179" i="697"/>
  <c r="D313" i="697"/>
  <c r="D222" i="697"/>
  <c r="D334" i="697"/>
  <c r="D375" i="697"/>
  <c r="D202" i="697"/>
  <c r="D335" i="697"/>
  <c r="D442" i="697"/>
  <c r="D203" i="697"/>
  <c r="D204" i="697"/>
  <c r="D376" i="697"/>
  <c r="D223" i="697"/>
  <c r="D224" i="697"/>
  <c r="D225" i="697"/>
  <c r="D226" i="697"/>
  <c r="D205" i="697"/>
  <c r="D336" i="697"/>
  <c r="D216" i="697"/>
  <c r="D212" i="697"/>
  <c r="D218" i="697"/>
  <c r="D297" i="697"/>
  <c r="D340" i="697"/>
  <c r="D298" i="697"/>
  <c r="D242" i="697"/>
  <c r="D345" i="697"/>
  <c r="D411" i="697"/>
  <c r="D378" i="697"/>
  <c r="D379" i="697"/>
  <c r="D243" i="697"/>
  <c r="D272" i="697"/>
  <c r="D246" i="697"/>
  <c r="D274" i="697"/>
  <c r="D247" i="697"/>
  <c r="D248" i="697"/>
  <c r="D249" i="697"/>
  <c r="D250" i="697"/>
  <c r="D251" i="697"/>
  <c r="D273" i="697"/>
  <c r="D288" i="697"/>
  <c r="D289" i="697"/>
  <c r="D388" i="697"/>
  <c r="D302" i="697"/>
  <c r="D290" i="697"/>
  <c r="D316" i="697"/>
  <c r="D317" i="697"/>
  <c r="D293" i="697"/>
  <c r="D294" i="697"/>
  <c r="D264" i="697"/>
  <c r="D389" i="697"/>
  <c r="D382" i="697"/>
  <c r="D506" i="697"/>
  <c r="D507" i="697"/>
  <c r="D295" i="697"/>
  <c r="D296" i="697"/>
  <c r="D524" i="697"/>
  <c r="D425" i="697"/>
  <c r="D383" i="697"/>
  <c r="D508" i="697"/>
  <c r="D509" i="697"/>
  <c r="D510" i="697"/>
  <c r="D384" i="697"/>
  <c r="D532" i="697"/>
  <c r="D304" i="697"/>
  <c r="D360" i="697"/>
  <c r="D309" i="697"/>
  <c r="D465" i="697"/>
  <c r="D466" i="697"/>
  <c r="D310" i="697"/>
  <c r="D543" i="697"/>
  <c r="D544" i="697"/>
  <c r="D311" i="697"/>
  <c r="D413" i="697"/>
  <c r="D318" i="697"/>
  <c r="D518" i="697"/>
  <c r="D519" i="697"/>
  <c r="D452" i="697"/>
  <c r="D390" i="697"/>
  <c r="D326" i="697"/>
  <c r="D321" i="697"/>
  <c r="D322" i="697"/>
  <c r="D323" i="697"/>
  <c r="D324" i="697"/>
  <c r="D325" i="697"/>
  <c r="D353" i="697"/>
  <c r="D385" i="697"/>
  <c r="D327" i="697"/>
  <c r="D328" i="697"/>
  <c r="D386" i="697"/>
  <c r="D400" i="697"/>
  <c r="D401" i="697"/>
  <c r="D329" i="697"/>
  <c r="D358" i="697"/>
  <c r="D520" i="697"/>
  <c r="D367" i="697"/>
  <c r="D546" i="697"/>
  <c r="D350" i="697"/>
  <c r="D414" i="697"/>
  <c r="D351" i="697"/>
  <c r="D369" i="697"/>
  <c r="D370" i="697"/>
  <c r="D402" i="697"/>
  <c r="D371" i="697"/>
  <c r="D626" i="697"/>
  <c r="D359" i="697"/>
  <c r="D368" i="697"/>
  <c r="D366" i="697"/>
  <c r="D372" i="697"/>
  <c r="D387" i="697"/>
  <c r="D398" i="697"/>
  <c r="D628" i="697"/>
  <c r="D545" i="697"/>
  <c r="D392" i="697"/>
  <c r="D393" i="697"/>
  <c r="D403" i="697"/>
  <c r="D404" i="697"/>
  <c r="D511" i="697"/>
  <c r="D512" i="697"/>
  <c r="D513" i="697"/>
  <c r="D514" i="697"/>
  <c r="D478" i="697"/>
  <c r="D584" i="697"/>
  <c r="D412" i="697"/>
  <c r="D415" i="697"/>
  <c r="D441" i="697"/>
  <c r="D447" i="697"/>
  <c r="D416" i="697"/>
  <c r="D417" i="697"/>
  <c r="D418" i="697"/>
  <c r="D419" i="697"/>
  <c r="D420" i="697"/>
  <c r="D421" i="697"/>
  <c r="D486" i="697"/>
  <c r="D498" i="697"/>
  <c r="D499" i="697"/>
  <c r="D457" i="697"/>
  <c r="D481" i="697"/>
  <c r="D439" i="697"/>
  <c r="D529" i="697"/>
  <c r="D437" i="697"/>
  <c r="D438" i="697"/>
  <c r="D547" i="697"/>
  <c r="D548" i="697"/>
  <c r="D714" i="697"/>
  <c r="D500" i="697"/>
  <c r="D715" i="697"/>
  <c r="D716" i="697"/>
  <c r="D657" i="697"/>
  <c r="D456" i="697"/>
  <c r="D674" i="697"/>
  <c r="D556" i="697"/>
  <c r="D459" i="697"/>
  <c r="D458" i="697"/>
  <c r="D482" i="697"/>
  <c r="D483" i="697"/>
  <c r="D663" i="697"/>
  <c r="D484" i="697"/>
  <c r="D495" i="697"/>
  <c r="D731" i="697"/>
  <c r="D590" i="697"/>
  <c r="D497" i="697"/>
  <c r="D496" i="697"/>
  <c r="D516" i="697"/>
  <c r="D517" i="697"/>
  <c r="D501" i="697"/>
  <c r="D503" i="697"/>
  <c r="D680" i="697"/>
  <c r="D702" i="697"/>
  <c r="D732" i="697"/>
  <c r="D522" i="697"/>
  <c r="D533" i="697"/>
  <c r="D549" i="697"/>
  <c r="D577" i="697"/>
  <c r="D752" i="697"/>
  <c r="D534" i="697"/>
  <c r="D581" i="697"/>
  <c r="D587" i="697"/>
  <c r="D588" i="697"/>
  <c r="D552" i="697"/>
  <c r="D753" i="697"/>
  <c r="D782" i="697"/>
  <c r="D536" i="697"/>
  <c r="D866" i="697"/>
  <c r="D578" i="697"/>
  <c r="D535" i="697"/>
  <c r="D541" i="697"/>
  <c r="D542" i="697"/>
  <c r="D733" i="697"/>
  <c r="D569" i="697"/>
  <c r="D734" i="697"/>
  <c r="D735" i="697"/>
  <c r="D580" i="697"/>
  <c r="D585" i="697"/>
  <c r="D630" i="697"/>
  <c r="D553" i="697"/>
  <c r="D634" i="697"/>
  <c r="D783" i="697"/>
  <c r="D576" i="697"/>
  <c r="D758" i="697"/>
  <c r="D579" i="697"/>
  <c r="D784" i="697"/>
  <c r="D811" i="697"/>
  <c r="D691" i="697"/>
  <c r="D582" i="697"/>
  <c r="D583" i="697"/>
  <c r="D586" i="697"/>
  <c r="D719" i="697"/>
  <c r="D611" i="697"/>
  <c r="D720" i="697"/>
  <c r="D589" i="697"/>
  <c r="D597" i="697"/>
  <c r="D598" i="697"/>
  <c r="D764" i="697"/>
  <c r="D601" i="697"/>
  <c r="D599" i="697"/>
  <c r="D600" i="697"/>
  <c r="D812" i="697"/>
  <c r="D602" i="697"/>
  <c r="D603" i="697"/>
  <c r="D604" i="697"/>
  <c r="D605" i="697"/>
  <c r="D606" i="697"/>
  <c r="D607" i="697"/>
  <c r="D608" i="697"/>
  <c r="D609" i="697"/>
  <c r="D738" i="697"/>
  <c r="D740" i="697"/>
  <c r="D741" i="697"/>
  <c r="D742" i="697"/>
  <c r="D923" i="697"/>
  <c r="D902" i="697"/>
  <c r="D654" i="697"/>
  <c r="D647" i="697"/>
  <c r="D648" i="697"/>
  <c r="D696" i="697"/>
  <c r="D697" i="697"/>
  <c r="D698" i="697"/>
  <c r="D613" i="697"/>
  <c r="D651" i="697"/>
  <c r="D768" i="697"/>
  <c r="D631" i="697"/>
  <c r="D743" i="697"/>
  <c r="D622" i="697"/>
  <c r="D640" i="697"/>
  <c r="D744" i="697"/>
  <c r="D867" i="697"/>
  <c r="D635" i="697"/>
  <c r="D891" i="697"/>
  <c r="D699" i="697"/>
  <c r="D903" i="697"/>
  <c r="D773" i="697"/>
  <c r="D636" i="697"/>
  <c r="D641" i="697"/>
  <c r="D652" i="697"/>
  <c r="D642" i="697"/>
  <c r="D643" i="697"/>
  <c r="D856" i="697"/>
  <c r="D644" i="697"/>
  <c r="D799" i="697"/>
  <c r="D857" i="697"/>
  <c r="D653" i="697"/>
  <c r="D655" i="697"/>
  <c r="D656" i="697"/>
  <c r="D745" i="697"/>
  <c r="D746" i="697"/>
  <c r="D666" i="697"/>
  <c r="D924" i="697"/>
  <c r="D925" i="697"/>
  <c r="D926" i="697"/>
  <c r="D667" i="697"/>
  <c r="D750" i="697"/>
  <c r="D700" i="697"/>
  <c r="D703" i="697"/>
  <c r="D704" i="697"/>
  <c r="D927" i="697"/>
  <c r="D928" i="697"/>
  <c r="D929" i="697"/>
  <c r="D931" i="697"/>
  <c r="D932" i="697"/>
  <c r="D708" i="697"/>
  <c r="D709" i="697"/>
  <c r="D710" i="697"/>
  <c r="D711" i="697"/>
  <c r="D712" i="697"/>
  <c r="D713" i="697"/>
  <c r="D786" i="697"/>
  <c r="D787" i="697"/>
  <c r="D788" i="697"/>
  <c r="D809" i="697"/>
  <c r="D810" i="697"/>
  <c r="D736" i="697"/>
  <c r="D748" i="697"/>
  <c r="D789" i="697"/>
  <c r="D934" i="697"/>
  <c r="D724" i="697"/>
  <c r="D725" i="697"/>
  <c r="D726" i="697"/>
  <c r="D790" i="697"/>
  <c r="D728" i="697"/>
  <c r="D729" i="697"/>
  <c r="D730" i="697"/>
  <c r="D737" i="697"/>
  <c r="D863" i="697"/>
  <c r="D771" i="697"/>
  <c r="D772" i="697"/>
  <c r="D954" i="697"/>
  <c r="D955" i="697"/>
  <c r="D980" i="697"/>
  <c r="D956" i="697"/>
  <c r="D904" i="697"/>
  <c r="D912" i="697"/>
  <c r="D913" i="697"/>
  <c r="D778" i="697"/>
  <c r="D957" i="697"/>
  <c r="D779" i="697"/>
  <c r="D780" i="697"/>
  <c r="D905" i="697"/>
  <c r="D781" i="697"/>
  <c r="D936" i="697"/>
  <c r="D791" i="697"/>
  <c r="D795" i="697"/>
  <c r="D895" i="697"/>
  <c r="D896" i="697"/>
  <c r="D958" i="697"/>
  <c r="D792" i="697"/>
  <c r="D800" i="697"/>
  <c r="D959" i="697"/>
  <c r="D801" i="697"/>
  <c r="D796" i="697"/>
  <c r="D797" i="697"/>
  <c r="D802" i="697"/>
  <c r="D803" i="697"/>
  <c r="D804" i="697"/>
  <c r="D805" i="697"/>
  <c r="D806" i="697"/>
  <c r="D807" i="697"/>
  <c r="D808" i="697"/>
  <c r="D1005" i="697"/>
  <c r="D813" i="697"/>
  <c r="D814" i="697"/>
  <c r="D991" i="697"/>
  <c r="D992" i="697"/>
  <c r="D818" i="697"/>
  <c r="D819" i="697"/>
  <c r="D820" i="697"/>
  <c r="D821" i="697"/>
  <c r="D822" i="697"/>
  <c r="D823" i="697"/>
  <c r="D824" i="697"/>
  <c r="D825" i="697"/>
  <c r="D826" i="697"/>
  <c r="D939" i="697"/>
  <c r="D827" i="697"/>
  <c r="D828" i="697"/>
  <c r="D915" i="697"/>
  <c r="D897" i="697"/>
  <c r="D847" i="697"/>
  <c r="D831" i="697"/>
  <c r="D832" i="697"/>
  <c r="D960" i="697"/>
  <c r="D875" i="697"/>
  <c r="D898" i="697"/>
  <c r="D916" i="697"/>
  <c r="D917" i="697"/>
  <c r="D852" i="697"/>
  <c r="D872" i="697"/>
  <c r="D886" i="697"/>
  <c r="D848" i="697"/>
  <c r="D878" i="697"/>
  <c r="D850" i="697"/>
  <c r="D849" i="697"/>
  <c r="D1001" i="697"/>
  <c r="D899" i="697"/>
  <c r="D1002" i="697"/>
  <c r="D1006" i="697"/>
  <c r="D851" i="697"/>
  <c r="D1007" i="697"/>
  <c r="D1213" i="697"/>
  <c r="D1008" i="697"/>
  <c r="D864" i="697"/>
  <c r="D942" i="697"/>
  <c r="D873" i="697"/>
  <c r="D943" i="697"/>
  <c r="D1046" i="697"/>
  <c r="D874" i="697"/>
  <c r="D882" i="697"/>
  <c r="D883" i="697"/>
  <c r="D884" i="697"/>
  <c r="D885" i="697"/>
  <c r="D900" i="697"/>
  <c r="D887" i="697"/>
  <c r="D1075" i="697"/>
  <c r="D901" i="697"/>
  <c r="D907" i="697"/>
  <c r="D908" i="697"/>
  <c r="D909" i="697"/>
  <c r="D910" i="697"/>
  <c r="D911" i="697"/>
  <c r="D944" i="697"/>
  <c r="D919" i="697"/>
  <c r="D920" i="697"/>
  <c r="D921" i="697"/>
  <c r="D922" i="697"/>
  <c r="D945" i="697"/>
  <c r="D1169" i="697"/>
  <c r="D1082" i="697"/>
  <c r="D946" i="697"/>
  <c r="D1083" i="697"/>
  <c r="D1131" i="697"/>
  <c r="D1077" i="697"/>
  <c r="D1098" i="697"/>
  <c r="D947" i="697"/>
  <c r="D9" i="697"/>
  <c r="D949" i="697"/>
  <c r="D950" i="697"/>
  <c r="D1078" i="697"/>
  <c r="D951" i="697"/>
  <c r="D1037" i="697"/>
  <c r="D1239" i="697"/>
  <c r="D1009" i="697"/>
  <c r="D1033" i="697"/>
  <c r="D1010" i="697"/>
  <c r="D961" i="697"/>
  <c r="D962" i="697"/>
  <c r="D963" i="697"/>
  <c r="D964" i="697"/>
  <c r="D965" i="697"/>
  <c r="D966" i="697"/>
  <c r="D967" i="697"/>
  <c r="D968" i="697"/>
  <c r="D969" i="697"/>
  <c r="D970" i="697"/>
  <c r="D971" i="697"/>
  <c r="D1011" i="697"/>
  <c r="D1012" i="697"/>
  <c r="D973" i="697"/>
  <c r="D974" i="697"/>
  <c r="D1124" i="697"/>
  <c r="D996" i="697"/>
  <c r="D1118" i="697"/>
  <c r="D1013" i="697"/>
  <c r="D1191" i="697"/>
  <c r="D1014" i="697"/>
  <c r="D975" i="697"/>
  <c r="D1015" i="697"/>
  <c r="D1016" i="697"/>
  <c r="D976" i="697"/>
  <c r="D1040" i="697"/>
  <c r="D977" i="697"/>
  <c r="D1019" i="697"/>
  <c r="D978" i="697"/>
  <c r="D1214" i="697"/>
  <c r="D1289" i="697"/>
  <c r="D1253" i="697"/>
  <c r="D997" i="697"/>
  <c r="D1132" i="697"/>
  <c r="D1003" i="697"/>
  <c r="D1004" i="697"/>
  <c r="D1170" i="697"/>
  <c r="D1020" i="697"/>
  <c r="D1034" i="697"/>
  <c r="D1026" i="697"/>
  <c r="D1028" i="697"/>
  <c r="D1133" i="697"/>
  <c r="D1177" i="697"/>
  <c r="D1035" i="697"/>
  <c r="D1036" i="697"/>
  <c r="D1249" i="697"/>
  <c r="D1171" i="697"/>
  <c r="D1038" i="697"/>
  <c r="D1079" i="697"/>
  <c r="D1178" i="697"/>
  <c r="D1039" i="697"/>
  <c r="D1080" i="697"/>
  <c r="D1295" i="697"/>
  <c r="D1041" i="697"/>
  <c r="D1042" i="697"/>
  <c r="D1043" i="697"/>
  <c r="D1072" i="697"/>
  <c r="D1066" i="697"/>
  <c r="D1067" i="697"/>
  <c r="D1204" i="697"/>
  <c r="D1073" i="697"/>
  <c r="D1074" i="697"/>
  <c r="D1081" i="697"/>
  <c r="D1229" i="697"/>
  <c r="D1290" i="697"/>
  <c r="D1105" i="697"/>
  <c r="D1095" i="697"/>
  <c r="D1231" i="697"/>
  <c r="D979" i="697"/>
  <c r="D1106" i="697"/>
  <c r="D1107" i="697"/>
  <c r="D1271" i="697"/>
  <c r="D1108" i="697"/>
  <c r="D1110" i="697"/>
  <c r="D1138" i="697"/>
  <c r="D1109" i="697"/>
  <c r="D1111" i="697"/>
  <c r="D1146" i="697"/>
  <c r="D1134" i="697"/>
  <c r="D1147" i="697"/>
  <c r="D1148" i="697"/>
  <c r="D1149" i="697"/>
  <c r="D1150" i="697"/>
  <c r="D1151" i="697"/>
  <c r="D1114" i="697"/>
  <c r="D1135" i="697"/>
  <c r="D1128" i="697"/>
  <c r="D1266" i="697"/>
  <c r="D1115" i="697"/>
  <c r="D1116" i="697"/>
  <c r="D1117" i="697"/>
  <c r="D1152" i="697"/>
  <c r="D1242" i="697"/>
  <c r="D1120" i="697"/>
  <c r="D1121" i="697"/>
  <c r="D1122" i="697"/>
  <c r="D1123" i="697"/>
  <c r="D1129" i="697"/>
  <c r="D1136" i="697"/>
  <c r="D1208" i="697"/>
  <c r="D1137" i="697"/>
  <c r="D1365" i="697"/>
  <c r="D1140" i="697"/>
  <c r="D1141" i="697"/>
  <c r="D1159" i="697"/>
  <c r="D1142" i="697"/>
  <c r="D1160" i="697"/>
  <c r="D1154" i="697"/>
  <c r="D1155" i="697"/>
  <c r="D1156" i="697"/>
  <c r="D1161" i="697"/>
  <c r="D1334" i="697"/>
  <c r="D1196" i="697"/>
  <c r="D1197" i="697"/>
  <c r="D1268" i="697"/>
  <c r="D1164" i="697"/>
  <c r="D1335" i="697"/>
  <c r="D1324" i="697"/>
  <c r="D1175" i="697"/>
  <c r="D1173" i="697"/>
  <c r="D1378" i="697"/>
  <c r="D1377" i="697"/>
  <c r="D1188" i="697"/>
  <c r="D1302" i="697"/>
  <c r="D1198" i="697"/>
  <c r="D1199" i="697"/>
  <c r="D1200" i="697"/>
  <c r="D1201" i="697"/>
  <c r="D1202" i="697"/>
  <c r="D1203" i="697"/>
  <c r="D1209" i="697"/>
  <c r="D1244" i="697"/>
  <c r="D1220" i="697"/>
  <c r="D1205" i="697"/>
  <c r="D1167" i="697"/>
  <c r="D1221" i="697"/>
  <c r="D1222" i="697"/>
  <c r="D1257" i="697"/>
  <c r="D1206" i="697"/>
  <c r="D1224" i="697"/>
  <c r="D1210" i="697"/>
  <c r="D1336" i="697"/>
  <c r="D1337" i="697"/>
  <c r="D1338" i="697"/>
  <c r="D1339" i="697"/>
  <c r="D1373" i="697"/>
  <c r="D1258" i="697"/>
  <c r="D1340" i="697"/>
  <c r="D1211" i="697"/>
  <c r="D1212" i="697"/>
  <c r="D1226" i="697"/>
  <c r="D1227" i="697"/>
  <c r="D1285" i="697"/>
  <c r="D1259" i="697"/>
  <c r="D1228" i="697"/>
  <c r="D1440" i="697"/>
  <c r="D1269" i="697"/>
  <c r="D1233" i="697"/>
  <c r="D1234" i="697"/>
  <c r="D1423" i="697"/>
  <c r="D1325" i="697"/>
  <c r="D1245" i="697"/>
  <c r="D1495" i="697"/>
  <c r="D1250" i="697"/>
  <c r="D1363" i="697"/>
  <c r="D1463" i="697"/>
  <c r="D1246" i="697"/>
  <c r="D1247" i="697"/>
  <c r="D1410" i="697"/>
  <c r="D1411" i="697"/>
  <c r="D1248" i="697"/>
  <c r="D1251" i="697"/>
  <c r="D1252" i="697"/>
  <c r="D1375" i="697"/>
  <c r="D1260" i="697"/>
  <c r="D1261" i="697"/>
  <c r="D1264" i="697"/>
  <c r="D1262" i="697"/>
  <c r="D1263" i="697"/>
  <c r="D1394" i="697"/>
  <c r="D1305" i="697"/>
  <c r="D1286" i="697"/>
  <c r="D1306" i="697"/>
  <c r="D1451" i="697"/>
  <c r="D1455" i="697"/>
  <c r="D1319" i="697"/>
  <c r="D1287" i="697"/>
  <c r="D1442" i="697"/>
  <c r="D1412" i="697"/>
  <c r="D1395" i="697"/>
  <c r="D1288" i="697"/>
  <c r="D1510" i="697"/>
  <c r="D1413" i="697"/>
  <c r="D1291" i="697"/>
  <c r="D1418" i="697"/>
  <c r="D1317" i="697"/>
  <c r="D1307" i="697"/>
  <c r="D1308" i="697"/>
  <c r="D1309" i="697"/>
  <c r="D1310" i="697"/>
  <c r="D1311" i="697"/>
  <c r="D1312" i="697"/>
  <c r="D1313" i="697"/>
  <c r="D1314" i="697"/>
  <c r="D1315" i="697"/>
  <c r="D1316" i="697"/>
  <c r="D1347" i="697"/>
  <c r="D1349" i="697"/>
  <c r="D1350" i="697"/>
  <c r="D1351" i="697"/>
  <c r="D1352" i="697"/>
  <c r="D1386" i="697"/>
  <c r="D1318" i="697"/>
  <c r="D1354" i="697"/>
  <c r="D1355" i="697"/>
  <c r="D1332" i="697"/>
  <c r="D1333" i="697"/>
  <c r="D1472" i="697"/>
  <c r="D1511" i="697"/>
  <c r="D1342" i="697"/>
  <c r="D1341" i="697"/>
  <c r="D1343" i="697"/>
  <c r="D1465" i="697"/>
  <c r="D1356" i="697"/>
  <c r="D1512" i="697"/>
  <c r="D1362" i="697"/>
  <c r="D1391" i="697"/>
  <c r="D1364" i="697"/>
  <c r="D1513" i="697"/>
  <c r="D1376" i="697"/>
  <c r="D1514" i="697"/>
  <c r="D1384" i="697"/>
  <c r="D1385" i="697"/>
  <c r="D1387" i="697"/>
  <c r="D1392" i="697"/>
  <c r="D1393" i="697"/>
  <c r="D1416" i="697"/>
  <c r="D1406" i="697"/>
  <c r="D1487" i="697"/>
  <c r="D1444" i="697"/>
  <c r="D1445" i="697"/>
  <c r="D1420" i="697"/>
  <c r="D1408" i="697"/>
  <c r="D1497" i="697"/>
  <c r="D1498" i="697"/>
  <c r="D1499" i="697"/>
  <c r="D1446" i="697"/>
  <c r="D1489" i="697"/>
  <c r="D1448" i="697"/>
  <c r="D1421" i="697"/>
  <c r="D1422" i="697"/>
  <c r="D1426" i="697"/>
  <c r="D1449" i="697"/>
  <c r="D1431" i="697"/>
  <c r="D1490" i="697"/>
  <c r="D1452" i="697"/>
  <c r="D1456" i="697"/>
  <c r="D1450" i="697"/>
  <c r="D1457" i="697"/>
  <c r="D1458" i="697"/>
  <c r="D1453" i="697"/>
  <c r="D1409" i="697"/>
  <c r="D1454" i="697"/>
  <c r="D1466" i="697"/>
  <c r="D1467" i="697"/>
  <c r="D1468" i="697"/>
  <c r="D1469" i="697"/>
  <c r="D1475" i="697"/>
  <c r="D1470" i="697"/>
  <c r="D1493" i="697"/>
  <c r="D1494" i="697"/>
  <c r="D1500" i="697"/>
  <c r="D1501" i="697"/>
  <c r="D1502" i="697"/>
  <c r="D1503" i="697"/>
  <c r="D1504" i="697"/>
  <c r="D1505" i="697"/>
  <c r="D1506" i="697"/>
  <c r="D1507" i="697"/>
  <c r="D1508" i="697"/>
  <c r="D1509" i="697"/>
  <c r="D1515" i="697"/>
  <c r="F1292" i="697"/>
  <c r="F103" i="697"/>
  <c r="F104" i="697"/>
  <c r="F22" i="697"/>
  <c r="F23" i="697"/>
  <c r="F12" i="697"/>
  <c r="F196" i="697"/>
  <c r="F4" i="697"/>
  <c r="F24" i="697"/>
  <c r="F208" i="697"/>
  <c r="F6" i="697"/>
  <c r="F13" i="697"/>
  <c r="F14" i="697"/>
  <c r="F2" i="697"/>
  <c r="F15" i="697"/>
  <c r="F16" i="697"/>
  <c r="F34" i="697"/>
  <c r="F17" i="697"/>
  <c r="F45" i="697"/>
  <c r="F77" i="697"/>
  <c r="F117" i="697"/>
  <c r="F78" i="697"/>
  <c r="F79" i="697"/>
  <c r="F80" i="697"/>
  <c r="F40" i="697"/>
  <c r="F3" i="697"/>
  <c r="F209" i="697"/>
  <c r="F5" i="697"/>
  <c r="F18" i="697"/>
  <c r="F19" i="697"/>
  <c r="F20" i="697"/>
  <c r="F7" i="697"/>
  <c r="F8" i="697"/>
  <c r="F10" i="697"/>
  <c r="F105" i="697"/>
  <c r="F106" i="697"/>
  <c r="F107" i="697"/>
  <c r="F11" i="697"/>
  <c r="F81" i="697"/>
  <c r="F174" i="697"/>
  <c r="F175" i="697"/>
  <c r="F82" i="697"/>
  <c r="F83" i="697"/>
  <c r="F118" i="697"/>
  <c r="F84" i="697"/>
  <c r="F85" i="697"/>
  <c r="F86" i="697"/>
  <c r="F87" i="697"/>
  <c r="F21" i="697"/>
  <c r="F210" i="697"/>
  <c r="F88" i="697"/>
  <c r="F27" i="697"/>
  <c r="F28" i="697"/>
  <c r="F29" i="697"/>
  <c r="F30" i="697"/>
  <c r="F31" i="697"/>
  <c r="F32" i="697"/>
  <c r="F33" i="697"/>
  <c r="F219" i="697"/>
  <c r="F89" i="697"/>
  <c r="F90" i="697"/>
  <c r="F96" i="697"/>
  <c r="F114" i="697"/>
  <c r="F125" i="697"/>
  <c r="F67" i="697"/>
  <c r="F171" i="697"/>
  <c r="F76" i="697"/>
  <c r="F46" i="697"/>
  <c r="F47" i="697"/>
  <c r="F48" i="697"/>
  <c r="F37" i="697"/>
  <c r="F49" i="697"/>
  <c r="F50" i="697"/>
  <c r="F51" i="697"/>
  <c r="F52" i="697"/>
  <c r="F53" i="697"/>
  <c r="F54" i="697"/>
  <c r="F55" i="697"/>
  <c r="F56" i="697"/>
  <c r="F119" i="697"/>
  <c r="F57" i="697"/>
  <c r="F115" i="697"/>
  <c r="F35" i="697"/>
  <c r="F58" i="697"/>
  <c r="F59" i="697"/>
  <c r="F60" i="697"/>
  <c r="F61" i="697"/>
  <c r="F62" i="697"/>
  <c r="F63" i="697"/>
  <c r="F126" i="697"/>
  <c r="F116" i="697"/>
  <c r="F120" i="697"/>
  <c r="F91" i="697"/>
  <c r="F133" i="697"/>
  <c r="F92" i="697"/>
  <c r="F93" i="697"/>
  <c r="F36" i="697"/>
  <c r="F108" i="697"/>
  <c r="F109" i="697"/>
  <c r="F110" i="697"/>
  <c r="F111" i="697"/>
  <c r="F64" i="697"/>
  <c r="F213" i="697"/>
  <c r="F134" i="697"/>
  <c r="F131" i="697"/>
  <c r="F140" i="697"/>
  <c r="F38" i="697"/>
  <c r="F399" i="697"/>
  <c r="F68" i="697"/>
  <c r="F65" i="697"/>
  <c r="F176" i="697"/>
  <c r="F127" i="697"/>
  <c r="F129" i="697"/>
  <c r="F97" i="697"/>
  <c r="F206" i="697"/>
  <c r="F39" i="697"/>
  <c r="F66" i="697"/>
  <c r="F230" i="697"/>
  <c r="F254" i="697"/>
  <c r="F160" i="697"/>
  <c r="F41" i="697"/>
  <c r="F42" i="697"/>
  <c r="F75" i="697"/>
  <c r="F44" i="697"/>
  <c r="F121" i="697"/>
  <c r="F43" i="697"/>
  <c r="F236" i="697"/>
  <c r="F255" i="697"/>
  <c r="F25" i="697"/>
  <c r="F26" i="697"/>
  <c r="F94" i="697"/>
  <c r="F237" i="697"/>
  <c r="F214" i="697"/>
  <c r="F256" i="697"/>
  <c r="F135" i="697"/>
  <c r="F161" i="697"/>
  <c r="F257" i="697"/>
  <c r="F207" i="697"/>
  <c r="F162" i="697"/>
  <c r="F177" i="697"/>
  <c r="F122" i="697"/>
  <c r="F163" i="697"/>
  <c r="F69" i="697"/>
  <c r="F70" i="697"/>
  <c r="F71" i="697"/>
  <c r="F72" i="697"/>
  <c r="F73" i="697"/>
  <c r="F74" i="697"/>
  <c r="F258" i="697"/>
  <c r="F178" i="697"/>
  <c r="F150" i="697"/>
  <c r="F141" i="697"/>
  <c r="F151" i="697"/>
  <c r="F152" i="697"/>
  <c r="F211" i="697"/>
  <c r="F142" i="697"/>
  <c r="F153" i="697"/>
  <c r="F154" i="697"/>
  <c r="F155" i="697"/>
  <c r="F156" i="697"/>
  <c r="F143" i="697"/>
  <c r="F144" i="697"/>
  <c r="F145" i="697"/>
  <c r="F146" i="697"/>
  <c r="F157" i="697"/>
  <c r="F158" i="697"/>
  <c r="F229" i="697"/>
  <c r="F95" i="697"/>
  <c r="F159" i="697"/>
  <c r="F240" i="697"/>
  <c r="F98" i="697"/>
  <c r="F99" i="697"/>
  <c r="F100" i="697"/>
  <c r="F101" i="697"/>
  <c r="F284" i="697"/>
  <c r="F102" i="697"/>
  <c r="F275" i="697"/>
  <c r="F197" i="697"/>
  <c r="F231" i="697"/>
  <c r="F147" i="697"/>
  <c r="F112" i="697"/>
  <c r="F148" i="697"/>
  <c r="F113" i="697"/>
  <c r="F259" i="697"/>
  <c r="F123" i="697"/>
  <c r="F252" i="697"/>
  <c r="F238" i="697"/>
  <c r="F232" i="697"/>
  <c r="F253" i="697"/>
  <c r="F233" i="697"/>
  <c r="F835" i="697"/>
  <c r="F124" i="697"/>
  <c r="F234" i="697"/>
  <c r="F244" i="697"/>
  <c r="F260" i="697"/>
  <c r="F181" i="697"/>
  <c r="F182" i="697"/>
  <c r="F183" i="697"/>
  <c r="F184" i="697"/>
  <c r="F172" i="697"/>
  <c r="F330" i="697"/>
  <c r="F245" i="697"/>
  <c r="F128" i="697"/>
  <c r="F285" i="697"/>
  <c r="F130" i="697"/>
  <c r="F132" i="697"/>
  <c r="F198" i="697"/>
  <c r="F349" i="697"/>
  <c r="F185" i="697"/>
  <c r="F312" i="697"/>
  <c r="F136" i="697"/>
  <c r="F276" i="697"/>
  <c r="F241" i="697"/>
  <c r="F277" i="697"/>
  <c r="F408" i="697"/>
  <c r="F286" i="697"/>
  <c r="F278" i="697"/>
  <c r="F279" i="697"/>
  <c r="F280" i="697"/>
  <c r="F149" i="697"/>
  <c r="F261" i="697"/>
  <c r="F137" i="697"/>
  <c r="F220" i="697"/>
  <c r="F394" i="697"/>
  <c r="F305" i="697"/>
  <c r="F164" i="697"/>
  <c r="F138" i="697"/>
  <c r="F139" i="697"/>
  <c r="F186" i="697"/>
  <c r="F221" i="697"/>
  <c r="F281" i="697"/>
  <c r="F331" i="697"/>
  <c r="F262" i="697"/>
  <c r="F263" i="697"/>
  <c r="F306" i="697"/>
  <c r="F320" i="697"/>
  <c r="F332" i="697"/>
  <c r="F199" i="697"/>
  <c r="F373" i="697"/>
  <c r="F357" i="697"/>
  <c r="F282" i="697"/>
  <c r="F165" i="697"/>
  <c r="F166" i="697"/>
  <c r="F167" i="697"/>
  <c r="F168" i="697"/>
  <c r="F169" i="697"/>
  <c r="F170" i="697"/>
  <c r="F333" i="697"/>
  <c r="F374" i="697"/>
  <c r="F187" i="697"/>
  <c r="F200" i="697"/>
  <c r="F173" i="697"/>
  <c r="F201" i="697"/>
  <c r="F265" i="697"/>
  <c r="F266" i="697"/>
  <c r="F235" i="697"/>
  <c r="F188" i="697"/>
  <c r="F189" i="697"/>
  <c r="F190" i="697"/>
  <c r="F191" i="697"/>
  <c r="F192" i="697"/>
  <c r="F193" i="697"/>
  <c r="F194" i="697"/>
  <c r="F195" i="697"/>
  <c r="F215" i="697"/>
  <c r="F307" i="697"/>
  <c r="F179" i="697"/>
  <c r="F180" i="697"/>
  <c r="F313" i="697"/>
  <c r="F267" i="697"/>
  <c r="F268" i="697"/>
  <c r="F269" i="697"/>
  <c r="F222" i="697"/>
  <c r="F334" i="697"/>
  <c r="F375" i="697"/>
  <c r="F202" i="697"/>
  <c r="F335" i="697"/>
  <c r="F442" i="697"/>
  <c r="F203" i="697"/>
  <c r="F204" i="697"/>
  <c r="F301" i="697"/>
  <c r="F376" i="697"/>
  <c r="F223" i="697"/>
  <c r="F224" i="697"/>
  <c r="F225" i="697"/>
  <c r="F226" i="697"/>
  <c r="F205" i="697"/>
  <c r="F303" i="697"/>
  <c r="F336" i="697"/>
  <c r="F337" i="697"/>
  <c r="F308" i="697"/>
  <c r="F216" i="697"/>
  <c r="F212" i="697"/>
  <c r="F338" i="697"/>
  <c r="F530" i="697"/>
  <c r="F395" i="697"/>
  <c r="F217" i="697"/>
  <c r="F377" i="697"/>
  <c r="F218" i="697"/>
  <c r="F227" i="697"/>
  <c r="F297" i="697"/>
  <c r="F339" i="697"/>
  <c r="F340" i="697"/>
  <c r="F228" i="697"/>
  <c r="F298" i="697"/>
  <c r="F504" i="697"/>
  <c r="F242" i="697"/>
  <c r="F341" i="697"/>
  <c r="F314" i="697"/>
  <c r="F361" i="697"/>
  <c r="F342" i="697"/>
  <c r="F283" i="697"/>
  <c r="F531" i="697"/>
  <c r="F270" i="697"/>
  <c r="F271" i="697"/>
  <c r="F343" i="697"/>
  <c r="F315" i="697"/>
  <c r="F239" i="697"/>
  <c r="F344" i="697"/>
  <c r="F345" i="697"/>
  <c r="F346" i="697"/>
  <c r="F411" i="697"/>
  <c r="F378" i="697"/>
  <c r="F347" i="697"/>
  <c r="F379" i="697"/>
  <c r="F406" i="697"/>
  <c r="F362" i="697"/>
  <c r="F363" i="697"/>
  <c r="F243" i="697"/>
  <c r="F364" i="697"/>
  <c r="F407" i="697"/>
  <c r="F348" i="697"/>
  <c r="F380" i="697"/>
  <c r="F272" i="697"/>
  <c r="F246" i="697"/>
  <c r="F287" i="697"/>
  <c r="F365" i="697"/>
  <c r="F274" i="697"/>
  <c r="F247" i="697"/>
  <c r="F248" i="697"/>
  <c r="F249" i="697"/>
  <c r="F250" i="697"/>
  <c r="F251" i="697"/>
  <c r="F273" i="697"/>
  <c r="F288" i="697"/>
  <c r="F289" i="697"/>
  <c r="F422" i="697"/>
  <c r="F388" i="697"/>
  <c r="F302" i="697"/>
  <c r="F290" i="697"/>
  <c r="F316" i="697"/>
  <c r="F317" i="697"/>
  <c r="F291" i="697"/>
  <c r="F292" i="697"/>
  <c r="F293" i="697"/>
  <c r="F294" i="697"/>
  <c r="F264" i="697"/>
  <c r="F389" i="697"/>
  <c r="F460" i="697"/>
  <c r="F461" i="697"/>
  <c r="F462" i="697"/>
  <c r="F463" i="697"/>
  <c r="F464" i="697"/>
  <c r="F505" i="697"/>
  <c r="F669" i="697"/>
  <c r="F423" i="697"/>
  <c r="F396" i="697"/>
  <c r="F409" i="697"/>
  <c r="F381" i="697"/>
  <c r="F424" i="697"/>
  <c r="F382" i="697"/>
  <c r="F443" i="697"/>
  <c r="F506" i="697"/>
  <c r="F507" i="697"/>
  <c r="F523" i="697"/>
  <c r="F485" i="697"/>
  <c r="F295" i="697"/>
  <c r="F296" i="697"/>
  <c r="F524" i="697"/>
  <c r="F425" i="697"/>
  <c r="F410" i="697"/>
  <c r="F444" i="697"/>
  <c r="F352" i="697"/>
  <c r="F397" i="697"/>
  <c r="F299" i="697"/>
  <c r="F300" i="697"/>
  <c r="F383" i="697"/>
  <c r="F508" i="697"/>
  <c r="F509" i="697"/>
  <c r="F510" i="697"/>
  <c r="F384" i="697"/>
  <c r="F426" i="697"/>
  <c r="F532" i="697"/>
  <c r="F304" i="697"/>
  <c r="F614" i="697"/>
  <c r="F360" i="697"/>
  <c r="F427" i="697"/>
  <c r="F428" i="697"/>
  <c r="F309" i="697"/>
  <c r="F465" i="697"/>
  <c r="F466" i="697"/>
  <c r="F310" i="697"/>
  <c r="F543" i="697"/>
  <c r="F544" i="697"/>
  <c r="F311" i="697"/>
  <c r="F445" i="697"/>
  <c r="F413" i="697"/>
  <c r="F450" i="697"/>
  <c r="F487" i="697"/>
  <c r="F318" i="697"/>
  <c r="F319" i="697"/>
  <c r="F518" i="697"/>
  <c r="F519" i="697"/>
  <c r="F451" i="697"/>
  <c r="F452" i="697"/>
  <c r="F429" i="697"/>
  <c r="F467" i="697"/>
  <c r="F468" i="697"/>
  <c r="F390" i="697"/>
  <c r="F326" i="697"/>
  <c r="F321" i="697"/>
  <c r="F322" i="697"/>
  <c r="F323" i="697"/>
  <c r="F324" i="697"/>
  <c r="F325" i="697"/>
  <c r="F391" i="697"/>
  <c r="F353" i="697"/>
  <c r="F385" i="697"/>
  <c r="F671" i="697"/>
  <c r="F327" i="697"/>
  <c r="F328" i="697"/>
  <c r="F386" i="697"/>
  <c r="F400" i="697"/>
  <c r="F401" i="697"/>
  <c r="F329" i="697"/>
  <c r="F354" i="697"/>
  <c r="F355" i="697"/>
  <c r="F469" i="697"/>
  <c r="F358" i="697"/>
  <c r="F520" i="697"/>
  <c r="F430" i="697"/>
  <c r="F367" i="697"/>
  <c r="F453" i="697"/>
  <c r="F623" i="697"/>
  <c r="F546" i="697"/>
  <c r="F624" i="697"/>
  <c r="F625" i="697"/>
  <c r="F431" i="697"/>
  <c r="F350" i="697"/>
  <c r="F446" i="697"/>
  <c r="F414" i="697"/>
  <c r="F432" i="697"/>
  <c r="F454" i="697"/>
  <c r="F351" i="697"/>
  <c r="F455" i="697"/>
  <c r="F488" i="697"/>
  <c r="F502" i="697"/>
  <c r="F369" i="697"/>
  <c r="F370" i="697"/>
  <c r="F470" i="697"/>
  <c r="F402" i="697"/>
  <c r="F356" i="697"/>
  <c r="F371" i="697"/>
  <c r="F489" i="697"/>
  <c r="F626" i="697"/>
  <c r="F627" i="697"/>
  <c r="F490" i="697"/>
  <c r="F359" i="697"/>
  <c r="F471" i="697"/>
  <c r="F368" i="697"/>
  <c r="F525" i="697"/>
  <c r="F472" i="697"/>
  <c r="F366" i="697"/>
  <c r="F491" i="697"/>
  <c r="F492" i="697"/>
  <c r="F433" i="697"/>
  <c r="F473" i="697"/>
  <c r="F493" i="697"/>
  <c r="F372" i="697"/>
  <c r="F526" i="697"/>
  <c r="F387" i="697"/>
  <c r="F474" i="697"/>
  <c r="F475" i="697"/>
  <c r="F476" i="697"/>
  <c r="F477" i="697"/>
  <c r="F398" i="697"/>
  <c r="F434" i="697"/>
  <c r="F628" i="697"/>
  <c r="F527" i="697"/>
  <c r="F545" i="697"/>
  <c r="F392" i="697"/>
  <c r="F435" i="697"/>
  <c r="F436" i="697"/>
  <c r="F393" i="697"/>
  <c r="F403" i="697"/>
  <c r="F404" i="697"/>
  <c r="F511" i="697"/>
  <c r="F512" i="697"/>
  <c r="F513" i="697"/>
  <c r="F514" i="697"/>
  <c r="F670" i="697"/>
  <c r="F478" i="697"/>
  <c r="F494" i="697"/>
  <c r="F629" i="697"/>
  <c r="F584" i="697"/>
  <c r="F405" i="697"/>
  <c r="F538" i="697"/>
  <c r="F539" i="697"/>
  <c r="F528" i="697"/>
  <c r="F554" i="697"/>
  <c r="F555" i="697"/>
  <c r="F412" i="697"/>
  <c r="F637" i="697"/>
  <c r="F415" i="697"/>
  <c r="F479" i="697"/>
  <c r="F480" i="697"/>
  <c r="F615" i="697"/>
  <c r="F592" i="697"/>
  <c r="F441" i="697"/>
  <c r="F662" i="697"/>
  <c r="F447" i="697"/>
  <c r="F416" i="697"/>
  <c r="F417" i="697"/>
  <c r="F418" i="697"/>
  <c r="F419" i="697"/>
  <c r="F420" i="697"/>
  <c r="F421" i="697"/>
  <c r="F486" i="697"/>
  <c r="F498" i="697"/>
  <c r="F499" i="697"/>
  <c r="F448" i="697"/>
  <c r="F449" i="697"/>
  <c r="F457" i="697"/>
  <c r="F481" i="697"/>
  <c r="F515" i="697"/>
  <c r="F677" i="697"/>
  <c r="F439" i="697"/>
  <c r="F672" i="697"/>
  <c r="F616" i="697"/>
  <c r="F617" i="697"/>
  <c r="F529" i="697"/>
  <c r="F437" i="697"/>
  <c r="F438" i="697"/>
  <c r="F547" i="697"/>
  <c r="F548" i="697"/>
  <c r="F714" i="697"/>
  <c r="F673" i="697"/>
  <c r="F440" i="697"/>
  <c r="F500" i="697"/>
  <c r="F715" i="697"/>
  <c r="F716" i="697"/>
  <c r="F657" i="697"/>
  <c r="F638" i="697"/>
  <c r="F456" i="697"/>
  <c r="F639" i="697"/>
  <c r="F593" i="697"/>
  <c r="F674" i="697"/>
  <c r="F556" i="697"/>
  <c r="F594" i="697"/>
  <c r="F459" i="697"/>
  <c r="F458" i="697"/>
  <c r="F645" i="697"/>
  <c r="F482" i="697"/>
  <c r="F675" i="697"/>
  <c r="F676" i="697"/>
  <c r="F483" i="697"/>
  <c r="F663" i="697"/>
  <c r="F682" i="697"/>
  <c r="F557" i="697"/>
  <c r="F558" i="697"/>
  <c r="F559" i="697"/>
  <c r="F560" i="697"/>
  <c r="F678" i="697"/>
  <c r="F595" i="697"/>
  <c r="F484" i="697"/>
  <c r="F495" i="697"/>
  <c r="F561" i="697"/>
  <c r="F562" i="697"/>
  <c r="F563" i="697"/>
  <c r="F564" i="697"/>
  <c r="F731" i="697"/>
  <c r="F658" i="697"/>
  <c r="F590" i="697"/>
  <c r="F497" i="697"/>
  <c r="F496" i="697"/>
  <c r="F516" i="697"/>
  <c r="F517" i="697"/>
  <c r="F618" i="697"/>
  <c r="F619" i="697"/>
  <c r="F679" i="697"/>
  <c r="F501" i="697"/>
  <c r="F503" i="697"/>
  <c r="F620" i="697"/>
  <c r="F596" i="697"/>
  <c r="F701" i="697"/>
  <c r="F664" i="697"/>
  <c r="F659" i="697"/>
  <c r="F680" i="697"/>
  <c r="F565" i="697"/>
  <c r="F566" i="697"/>
  <c r="F567" i="697"/>
  <c r="F568" i="697"/>
  <c r="F621" i="697"/>
  <c r="F702" i="697"/>
  <c r="F732" i="697"/>
  <c r="F751" i="697"/>
  <c r="F717" i="697"/>
  <c r="F646" i="697"/>
  <c r="F521" i="697"/>
  <c r="F681" i="697"/>
  <c r="F522" i="697"/>
  <c r="F533" i="697"/>
  <c r="F549" i="697"/>
  <c r="F577" i="697"/>
  <c r="F610" i="697"/>
  <c r="F752" i="697"/>
  <c r="F534" i="697"/>
  <c r="F581" i="697"/>
  <c r="F587" i="697"/>
  <c r="F588" i="697"/>
  <c r="F660" i="697"/>
  <c r="F718" i="697"/>
  <c r="F550" i="697"/>
  <c r="F551" i="697"/>
  <c r="F552" i="697"/>
  <c r="F753" i="697"/>
  <c r="F782" i="697"/>
  <c r="F536" i="697"/>
  <c r="F683" i="697"/>
  <c r="F866" i="697"/>
  <c r="F578" i="697"/>
  <c r="F535" i="697"/>
  <c r="F684" i="697"/>
  <c r="F754" i="697"/>
  <c r="F537" i="697"/>
  <c r="F540" i="697"/>
  <c r="F755" i="697"/>
  <c r="F685" i="697"/>
  <c r="F686" i="697"/>
  <c r="F705" i="697"/>
  <c r="F541" i="697"/>
  <c r="F542" i="697"/>
  <c r="F687" i="697"/>
  <c r="F733" i="697"/>
  <c r="F836" i="697"/>
  <c r="F756" i="697"/>
  <c r="F569" i="697"/>
  <c r="F706" i="697"/>
  <c r="F707" i="697"/>
  <c r="F734" i="697"/>
  <c r="F735" i="697"/>
  <c r="F580" i="697"/>
  <c r="F585" i="697"/>
  <c r="F630" i="697"/>
  <c r="F553" i="697"/>
  <c r="F749" i="697"/>
  <c r="F688" i="697"/>
  <c r="F837" i="697"/>
  <c r="F634" i="697"/>
  <c r="F757" i="697"/>
  <c r="F783" i="697"/>
  <c r="F689" i="697"/>
  <c r="F576" i="697"/>
  <c r="F758" i="697"/>
  <c r="F759" i="697"/>
  <c r="F760" i="697"/>
  <c r="F690" i="697"/>
  <c r="F579" i="697"/>
  <c r="F784" i="697"/>
  <c r="F838" i="697"/>
  <c r="F761" i="697"/>
  <c r="F811" i="697"/>
  <c r="F691" i="697"/>
  <c r="F815" i="697"/>
  <c r="F889" i="697"/>
  <c r="F582" i="697"/>
  <c r="F665" i="697"/>
  <c r="F583" i="697"/>
  <c r="F586" i="697"/>
  <c r="F692" i="697"/>
  <c r="F719" i="697"/>
  <c r="F661" i="697"/>
  <c r="F762" i="697"/>
  <c r="F763" i="697"/>
  <c r="F611" i="697"/>
  <c r="F816" i="697"/>
  <c r="F720" i="697"/>
  <c r="F693" i="697"/>
  <c r="F589" i="697"/>
  <c r="F839" i="697"/>
  <c r="F591" i="697"/>
  <c r="F721" i="697"/>
  <c r="F597" i="697"/>
  <c r="F598" i="697"/>
  <c r="F764" i="697"/>
  <c r="F694" i="697"/>
  <c r="F840" i="697"/>
  <c r="F793" i="697"/>
  <c r="F765" i="697"/>
  <c r="F601" i="697"/>
  <c r="F695" i="697"/>
  <c r="F599" i="697"/>
  <c r="F600" i="697"/>
  <c r="F812" i="697"/>
  <c r="F785" i="697"/>
  <c r="F722" i="697"/>
  <c r="F602" i="697"/>
  <c r="F603" i="697"/>
  <c r="F604" i="697"/>
  <c r="F605" i="697"/>
  <c r="F606" i="697"/>
  <c r="F607" i="697"/>
  <c r="F608" i="697"/>
  <c r="F609" i="697"/>
  <c r="F738" i="697"/>
  <c r="F739" i="697"/>
  <c r="F740" i="697"/>
  <c r="F741" i="697"/>
  <c r="F742" i="697"/>
  <c r="F766" i="697"/>
  <c r="F923" i="697"/>
  <c r="F902" i="697"/>
  <c r="F654" i="697"/>
  <c r="F723" i="697"/>
  <c r="F647" i="697"/>
  <c r="F854" i="697"/>
  <c r="F648" i="697"/>
  <c r="F696" i="697"/>
  <c r="F697" i="697"/>
  <c r="F649" i="697"/>
  <c r="F650" i="697"/>
  <c r="F698" i="697"/>
  <c r="F612" i="697"/>
  <c r="F613" i="697"/>
  <c r="F651" i="697"/>
  <c r="F767" i="697"/>
  <c r="F768" i="697"/>
  <c r="F631" i="697"/>
  <c r="F743" i="697"/>
  <c r="F622" i="697"/>
  <c r="F841" i="697"/>
  <c r="F769" i="697"/>
  <c r="F632" i="697"/>
  <c r="F633" i="697"/>
  <c r="F770" i="697"/>
  <c r="F640" i="697"/>
  <c r="F744" i="697"/>
  <c r="F890" i="697"/>
  <c r="F867" i="697"/>
  <c r="F855" i="697"/>
  <c r="F635" i="697"/>
  <c r="F891" i="697"/>
  <c r="F699" i="697"/>
  <c r="F903" i="697"/>
  <c r="F773" i="697"/>
  <c r="F636" i="697"/>
  <c r="F641" i="697"/>
  <c r="F652" i="697"/>
  <c r="F642" i="697"/>
  <c r="F643" i="697"/>
  <c r="F868" i="697"/>
  <c r="F892" i="697"/>
  <c r="F856" i="697"/>
  <c r="F842" i="697"/>
  <c r="F893" i="697"/>
  <c r="F843" i="697"/>
  <c r="F644" i="697"/>
  <c r="F799" i="697"/>
  <c r="F844" i="697"/>
  <c r="F857" i="697"/>
  <c r="F653" i="697"/>
  <c r="F655" i="697"/>
  <c r="F858" i="697"/>
  <c r="F656" i="697"/>
  <c r="F745" i="697"/>
  <c r="F746" i="697"/>
  <c r="F666" i="697"/>
  <c r="F859" i="697"/>
  <c r="F747" i="697"/>
  <c r="F924" i="697"/>
  <c r="F925" i="697"/>
  <c r="F926" i="697"/>
  <c r="F869" i="697"/>
  <c r="F667" i="697"/>
  <c r="F750" i="697"/>
  <c r="F668" i="697"/>
  <c r="F845" i="697"/>
  <c r="F1029" i="697"/>
  <c r="F700" i="697"/>
  <c r="F703" i="697"/>
  <c r="F704" i="697"/>
  <c r="F927" i="697"/>
  <c r="F928" i="697"/>
  <c r="F879" i="697"/>
  <c r="F846" i="697"/>
  <c r="F929" i="697"/>
  <c r="F860" i="697"/>
  <c r="F794" i="697"/>
  <c r="F861" i="697"/>
  <c r="F930" i="697"/>
  <c r="F894" i="697"/>
  <c r="F870" i="697"/>
  <c r="F862" i="697"/>
  <c r="F931" i="697"/>
  <c r="F932" i="697"/>
  <c r="F933" i="697"/>
  <c r="F708" i="697"/>
  <c r="F709" i="697"/>
  <c r="F710" i="697"/>
  <c r="F711" i="697"/>
  <c r="F712" i="697"/>
  <c r="F713" i="697"/>
  <c r="F786" i="697"/>
  <c r="F787" i="697"/>
  <c r="F952" i="697"/>
  <c r="F788" i="697"/>
  <c r="F809" i="697"/>
  <c r="F810" i="697"/>
  <c r="F736" i="697"/>
  <c r="F748" i="697"/>
  <c r="F774" i="697"/>
  <c r="F775" i="697"/>
  <c r="F776" i="697"/>
  <c r="F789" i="697"/>
  <c r="F934" i="697"/>
  <c r="F724" i="697"/>
  <c r="F725" i="697"/>
  <c r="F726" i="697"/>
  <c r="F727" i="697"/>
  <c r="F790" i="697"/>
  <c r="F1021" i="697"/>
  <c r="F728" i="697"/>
  <c r="F729" i="697"/>
  <c r="F730" i="697"/>
  <c r="F953" i="697"/>
  <c r="F871" i="697"/>
  <c r="F817" i="697"/>
  <c r="F737" i="697"/>
  <c r="F1084" i="697"/>
  <c r="F880" i="697"/>
  <c r="F863" i="697"/>
  <c r="F570" i="697"/>
  <c r="F571" i="697"/>
  <c r="F572" i="697"/>
  <c r="F573" i="697"/>
  <c r="F574" i="697"/>
  <c r="F575" i="697"/>
  <c r="F771" i="697"/>
  <c r="F772" i="697"/>
  <c r="F954" i="697"/>
  <c r="F955" i="697"/>
  <c r="F980" i="697"/>
  <c r="F777" i="697"/>
  <c r="F956" i="697"/>
  <c r="F981" i="697"/>
  <c r="F982" i="697"/>
  <c r="F983" i="697"/>
  <c r="F904" i="697"/>
  <c r="F984" i="697"/>
  <c r="F912" i="697"/>
  <c r="F913" i="697"/>
  <c r="F778" i="697"/>
  <c r="F957" i="697"/>
  <c r="F881" i="697"/>
  <c r="F779" i="697"/>
  <c r="F780" i="697"/>
  <c r="F905" i="697"/>
  <c r="F985" i="697"/>
  <c r="F781" i="697"/>
  <c r="F906" i="697"/>
  <c r="F948" i="697"/>
  <c r="F935" i="697"/>
  <c r="F936" i="697"/>
  <c r="F791" i="697"/>
  <c r="F795" i="697"/>
  <c r="F937" i="697"/>
  <c r="F986" i="697"/>
  <c r="F895" i="697"/>
  <c r="F896" i="697"/>
  <c r="F914" i="697"/>
  <c r="F958" i="697"/>
  <c r="F792" i="697"/>
  <c r="F987" i="697"/>
  <c r="F800" i="697"/>
  <c r="F988" i="697"/>
  <c r="F959" i="697"/>
  <c r="F801" i="697"/>
  <c r="F796" i="697"/>
  <c r="F989" i="697"/>
  <c r="F797" i="697"/>
  <c r="F798" i="697"/>
  <c r="F802" i="697"/>
  <c r="F990" i="697"/>
  <c r="F803" i="697"/>
  <c r="F804" i="697"/>
  <c r="F805" i="697"/>
  <c r="F806" i="697"/>
  <c r="F807" i="697"/>
  <c r="F808" i="697"/>
  <c r="F1022" i="697"/>
  <c r="F1005" i="697"/>
  <c r="F813" i="697"/>
  <c r="F814" i="697"/>
  <c r="F991" i="697"/>
  <c r="F992" i="697"/>
  <c r="F993" i="697"/>
  <c r="F818" i="697"/>
  <c r="F938" i="697"/>
  <c r="F819" i="697"/>
  <c r="F820" i="697"/>
  <c r="F821" i="697"/>
  <c r="F822" i="697"/>
  <c r="F823" i="697"/>
  <c r="F824" i="697"/>
  <c r="F825" i="697"/>
  <c r="F826" i="697"/>
  <c r="F939" i="697"/>
  <c r="F827" i="697"/>
  <c r="F828" i="697"/>
  <c r="F915" i="697"/>
  <c r="F897" i="697"/>
  <c r="F829" i="697"/>
  <c r="F830" i="697"/>
  <c r="F847" i="697"/>
  <c r="F831" i="697"/>
  <c r="F832" i="697"/>
  <c r="F833" i="697"/>
  <c r="F1000" i="697"/>
  <c r="F960" i="697"/>
  <c r="F834" i="697"/>
  <c r="F1030" i="697"/>
  <c r="F875" i="697"/>
  <c r="F898" i="697"/>
  <c r="F916" i="697"/>
  <c r="F917" i="697"/>
  <c r="F852" i="697"/>
  <c r="F872" i="697"/>
  <c r="F886" i="697"/>
  <c r="F848" i="697"/>
  <c r="F918" i="697"/>
  <c r="F1143" i="697"/>
  <c r="F876" i="697"/>
  <c r="F877" i="697"/>
  <c r="F878" i="697"/>
  <c r="F994" i="697"/>
  <c r="F850" i="697"/>
  <c r="F849" i="697"/>
  <c r="F1001" i="697"/>
  <c r="F899" i="697"/>
  <c r="F1002" i="697"/>
  <c r="F1006" i="697"/>
  <c r="F851" i="697"/>
  <c r="F940" i="697"/>
  <c r="F941" i="697"/>
  <c r="F1007" i="697"/>
  <c r="F995" i="697"/>
  <c r="F1213" i="697"/>
  <c r="F853" i="697"/>
  <c r="F1023" i="697"/>
  <c r="F1008" i="697"/>
  <c r="F1044" i="697"/>
  <c r="F864" i="697"/>
  <c r="F865" i="697"/>
  <c r="F942" i="697"/>
  <c r="F1024" i="697"/>
  <c r="F873" i="697"/>
  <c r="F943" i="697"/>
  <c r="F1045" i="697"/>
  <c r="F1046" i="697"/>
  <c r="F1047" i="697"/>
  <c r="F874" i="697"/>
  <c r="F1025" i="697"/>
  <c r="F1031" i="697"/>
  <c r="F1048" i="697"/>
  <c r="F882" i="697"/>
  <c r="F883" i="697"/>
  <c r="F884" i="697"/>
  <c r="F885" i="697"/>
  <c r="F1049" i="697"/>
  <c r="F1050" i="697"/>
  <c r="F900" i="697"/>
  <c r="F887" i="697"/>
  <c r="F888" i="697"/>
  <c r="F1091" i="697"/>
  <c r="F1068" i="697"/>
  <c r="F1075" i="697"/>
  <c r="F901" i="697"/>
  <c r="F1096" i="697"/>
  <c r="F907" i="697"/>
  <c r="F908" i="697"/>
  <c r="F909" i="697"/>
  <c r="F910" i="697"/>
  <c r="F911" i="697"/>
  <c r="F1168" i="697"/>
  <c r="F944" i="697"/>
  <c r="F1097" i="697"/>
  <c r="F1069" i="697"/>
  <c r="F1051" i="697"/>
  <c r="F919" i="697"/>
  <c r="F920" i="697"/>
  <c r="F921" i="697"/>
  <c r="F922" i="697"/>
  <c r="F1076" i="697"/>
  <c r="F945" i="697"/>
  <c r="F1162" i="697"/>
  <c r="F1169" i="697"/>
  <c r="F1082" i="697"/>
  <c r="F946" i="697"/>
  <c r="F1083" i="697"/>
  <c r="F1131" i="697"/>
  <c r="F1077" i="697"/>
  <c r="F1052" i="697"/>
  <c r="F1098" i="697"/>
  <c r="F1070" i="697"/>
  <c r="F1085" i="697"/>
  <c r="F947" i="697"/>
  <c r="F9" i="697"/>
  <c r="F1032" i="697"/>
  <c r="F1053" i="697"/>
  <c r="F949" i="697"/>
  <c r="F950" i="697"/>
  <c r="F1092" i="697"/>
  <c r="F1099" i="697"/>
  <c r="F1130" i="697"/>
  <c r="F1078" i="697"/>
  <c r="F951" i="697"/>
  <c r="F1037" i="697"/>
  <c r="F1071" i="697"/>
  <c r="F1100" i="697"/>
  <c r="F1086" i="697"/>
  <c r="F1087" i="697"/>
  <c r="F1101" i="697"/>
  <c r="F1088" i="697"/>
  <c r="F1239" i="697"/>
  <c r="F1089" i="697"/>
  <c r="F1009" i="697"/>
  <c r="F972" i="697"/>
  <c r="F1054" i="697"/>
  <c r="F1033" i="697"/>
  <c r="F1102" i="697"/>
  <c r="F1010" i="697"/>
  <c r="F961" i="697"/>
  <c r="F962" i="697"/>
  <c r="F963" i="697"/>
  <c r="F964" i="697"/>
  <c r="F965" i="697"/>
  <c r="F966" i="697"/>
  <c r="F967" i="697"/>
  <c r="F968" i="697"/>
  <c r="F969" i="697"/>
  <c r="F970" i="697"/>
  <c r="F971" i="697"/>
  <c r="F1055" i="697"/>
  <c r="F1056" i="697"/>
  <c r="F1057" i="697"/>
  <c r="F1058" i="697"/>
  <c r="F1059" i="697"/>
  <c r="F1060" i="697"/>
  <c r="F1011" i="697"/>
  <c r="F1190" i="697"/>
  <c r="F1012" i="697"/>
  <c r="F973" i="697"/>
  <c r="F974" i="697"/>
  <c r="F1124" i="697"/>
  <c r="F996" i="697"/>
  <c r="F1118" i="697"/>
  <c r="F1013" i="697"/>
  <c r="F1191" i="697"/>
  <c r="F1014" i="697"/>
  <c r="F975" i="697"/>
  <c r="F1015" i="697"/>
  <c r="F1016" i="697"/>
  <c r="F976" i="697"/>
  <c r="F1040" i="697"/>
  <c r="F977" i="697"/>
  <c r="F1093" i="697"/>
  <c r="F1112" i="697"/>
  <c r="F1017" i="697"/>
  <c r="F1103" i="697"/>
  <c r="F1018" i="697"/>
  <c r="F1019" i="697"/>
  <c r="F978" i="697"/>
  <c r="F1214" i="697"/>
  <c r="F1061" i="697"/>
  <c r="F1104" i="697"/>
  <c r="F1320" i="697"/>
  <c r="F1293" i="697"/>
  <c r="F1192" i="697"/>
  <c r="F1207" i="697"/>
  <c r="F1289" i="697"/>
  <c r="F1253" i="697"/>
  <c r="F1321" i="697"/>
  <c r="F1240" i="697"/>
  <c r="F1157" i="697"/>
  <c r="F997" i="697"/>
  <c r="F998" i="697"/>
  <c r="F999" i="697"/>
  <c r="F1520" i="697"/>
  <c r="F1158" i="697"/>
  <c r="F1132" i="697"/>
  <c r="F1003" i="697"/>
  <c r="F1062" i="697"/>
  <c r="F1063" i="697"/>
  <c r="F1004" i="697"/>
  <c r="F1170" i="697"/>
  <c r="F1020" i="697"/>
  <c r="F1274" i="697"/>
  <c r="F1278" i="697"/>
  <c r="F1176" i="697"/>
  <c r="F1294" i="697"/>
  <c r="F1034" i="697"/>
  <c r="F1163" i="697"/>
  <c r="F1026" i="697"/>
  <c r="F1027" i="697"/>
  <c r="F1028" i="697"/>
  <c r="F1521" i="697"/>
  <c r="F1133" i="697"/>
  <c r="F1177" i="697"/>
  <c r="F1035" i="697"/>
  <c r="F1036" i="697"/>
  <c r="F1249" i="697"/>
  <c r="F1171" i="697"/>
  <c r="F1193" i="697"/>
  <c r="F1038" i="697"/>
  <c r="F1079" i="697"/>
  <c r="F1178" i="697"/>
  <c r="F1039" i="697"/>
  <c r="F1230" i="697"/>
  <c r="F1179" i="697"/>
  <c r="F1113" i="697"/>
  <c r="F1080" i="697"/>
  <c r="F1180" i="697"/>
  <c r="F1295" i="697"/>
  <c r="F1041" i="697"/>
  <c r="F1215" i="697"/>
  <c r="F1042" i="697"/>
  <c r="F1043" i="697"/>
  <c r="F1072" i="697"/>
  <c r="F1064" i="697"/>
  <c r="F1065" i="697"/>
  <c r="F1372" i="697"/>
  <c r="F1066" i="697"/>
  <c r="F1296" i="697"/>
  <c r="F1067" i="697"/>
  <c r="F1144" i="697"/>
  <c r="F1181" i="697"/>
  <c r="F1182" i="697"/>
  <c r="F1204" i="697"/>
  <c r="F1073" i="697"/>
  <c r="F1074" i="697"/>
  <c r="F1081" i="697"/>
  <c r="F1183" i="697"/>
  <c r="F1090" i="697"/>
  <c r="F1322" i="697"/>
  <c r="F1184" i="697"/>
  <c r="F1229" i="697"/>
  <c r="F1270" i="697"/>
  <c r="F1194" i="697"/>
  <c r="F1094" i="697"/>
  <c r="F1323" i="697"/>
  <c r="F1290" i="697"/>
  <c r="F1216" i="697"/>
  <c r="F1241" i="697"/>
  <c r="F1105" i="697"/>
  <c r="F1095" i="697"/>
  <c r="F1217" i="697"/>
  <c r="F1231" i="697"/>
  <c r="F979" i="697"/>
  <c r="F1106" i="697"/>
  <c r="F1107" i="697"/>
  <c r="F1271" i="697"/>
  <c r="F1108" i="697"/>
  <c r="F1297" i="697"/>
  <c r="F1110" i="697"/>
  <c r="F1138" i="697"/>
  <c r="F1109" i="697"/>
  <c r="F1111" i="697"/>
  <c r="F1126" i="697"/>
  <c r="F1145" i="697"/>
  <c r="F1146" i="697"/>
  <c r="F1134" i="697"/>
  <c r="F1272" i="697"/>
  <c r="F1273" i="697"/>
  <c r="F1147" i="697"/>
  <c r="F1148" i="697"/>
  <c r="F1149" i="697"/>
  <c r="F1150" i="697"/>
  <c r="F1151" i="697"/>
  <c r="F1114" i="697"/>
  <c r="F1135" i="697"/>
  <c r="F1127" i="697"/>
  <c r="F1128" i="697"/>
  <c r="F1266" i="697"/>
  <c r="F1115" i="697"/>
  <c r="F1116" i="697"/>
  <c r="F1117" i="697"/>
  <c r="F1152" i="697"/>
  <c r="F1242" i="697"/>
  <c r="F1119" i="697"/>
  <c r="F1120" i="697"/>
  <c r="F1218" i="697"/>
  <c r="F1121" i="697"/>
  <c r="F1122" i="697"/>
  <c r="F1123" i="697"/>
  <c r="F1195" i="697"/>
  <c r="F1125" i="697"/>
  <c r="F1129" i="697"/>
  <c r="F1174" i="697"/>
  <c r="F1136" i="697"/>
  <c r="F1236" i="697"/>
  <c r="F1326" i="697"/>
  <c r="F1208" i="697"/>
  <c r="F1254" i="697"/>
  <c r="F1137" i="697"/>
  <c r="F1365" i="697"/>
  <c r="F1327" i="697"/>
  <c r="F1139" i="697"/>
  <c r="F1140" i="697"/>
  <c r="F1141" i="697"/>
  <c r="F1159" i="697"/>
  <c r="F1153" i="697"/>
  <c r="F1142" i="697"/>
  <c r="F1160" i="697"/>
  <c r="F1154" i="697"/>
  <c r="F1155" i="697"/>
  <c r="F1156" i="697"/>
  <c r="F1366" i="697"/>
  <c r="F1185" i="697"/>
  <c r="F1161" i="697"/>
  <c r="F1334" i="697"/>
  <c r="F1255" i="697"/>
  <c r="F1298" i="697"/>
  <c r="F1267" i="697"/>
  <c r="F1196" i="697"/>
  <c r="F1197" i="697"/>
  <c r="F1268" i="697"/>
  <c r="F1164" i="697"/>
  <c r="F1335" i="697"/>
  <c r="F1328" i="697"/>
  <c r="F1165" i="697"/>
  <c r="F1166" i="697"/>
  <c r="F1275" i="697"/>
  <c r="F1276" i="697"/>
  <c r="F1256" i="697"/>
  <c r="F1172" i="697"/>
  <c r="F1329" i="697"/>
  <c r="F1324" i="697"/>
  <c r="F1299" i="697"/>
  <c r="F1186" i="697"/>
  <c r="F1175" i="697"/>
  <c r="F1173" i="697"/>
  <c r="F1330" i="697"/>
  <c r="F1300" i="697"/>
  <c r="F1367" i="697"/>
  <c r="F1368" i="697"/>
  <c r="F1378" i="697"/>
  <c r="F1377" i="697"/>
  <c r="F1301" i="697"/>
  <c r="F1331" i="697"/>
  <c r="F1187" i="697"/>
  <c r="F1188" i="697"/>
  <c r="F1357" i="697"/>
  <c r="F1369" i="697"/>
  <c r="F1439" i="697"/>
  <c r="F1302" i="697"/>
  <c r="F1189" i="697"/>
  <c r="F1277" i="697"/>
  <c r="F1358" i="697"/>
  <c r="F1198" i="697"/>
  <c r="F1199" i="697"/>
  <c r="F1200" i="697"/>
  <c r="F1201" i="697"/>
  <c r="F1202" i="697"/>
  <c r="F1203" i="697"/>
  <c r="F1209" i="697"/>
  <c r="F1244" i="697"/>
  <c r="F1359" i="697"/>
  <c r="F1219" i="697"/>
  <c r="F1220" i="697"/>
  <c r="F1205" i="697"/>
  <c r="F1167" i="697"/>
  <c r="F1221" i="697"/>
  <c r="F1222" i="697"/>
  <c r="F1257" i="697"/>
  <c r="F1206" i="697"/>
  <c r="F1223" i="697"/>
  <c r="F1224" i="697"/>
  <c r="F1225" i="697"/>
  <c r="F1210" i="697"/>
  <c r="F1336" i="697"/>
  <c r="F1337" i="697"/>
  <c r="F1338" i="697"/>
  <c r="F1339" i="697"/>
  <c r="F1373" i="697"/>
  <c r="F1258" i="697"/>
  <c r="F1340" i="697"/>
  <c r="F1211" i="697"/>
  <c r="F1212" i="697"/>
  <c r="F1226" i="697"/>
  <c r="F1227" i="697"/>
  <c r="F1285" i="697"/>
  <c r="F1259" i="697"/>
  <c r="F1228" i="697"/>
  <c r="F1476" i="697"/>
  <c r="F1379" i="697"/>
  <c r="F1303" i="697"/>
  <c r="F1345" i="697"/>
  <c r="F1360" i="697"/>
  <c r="F1440" i="697"/>
  <c r="F1401" i="697"/>
  <c r="F1344" i="697"/>
  <c r="F1232" i="697"/>
  <c r="F1361" i="697"/>
  <c r="F1269" i="697"/>
  <c r="F1233" i="697"/>
  <c r="F1234" i="697"/>
  <c r="F1423" i="697"/>
  <c r="F1325" i="697"/>
  <c r="F1245" i="697"/>
  <c r="F1491" i="697"/>
  <c r="F1235" i="697"/>
  <c r="F1380" i="697"/>
  <c r="F1495" i="697"/>
  <c r="F1250" i="697"/>
  <c r="F1363" i="697"/>
  <c r="F1237" i="697"/>
  <c r="F1238" i="697"/>
  <c r="F1463" i="697"/>
  <c r="F1374" i="697"/>
  <c r="F1246" i="697"/>
  <c r="F1243" i="697"/>
  <c r="F1247" i="697"/>
  <c r="F1410" i="697"/>
  <c r="F1411" i="697"/>
  <c r="F1370" i="697"/>
  <c r="F1417" i="697"/>
  <c r="F1381" i="697"/>
  <c r="F1248" i="697"/>
  <c r="F1251" i="697"/>
  <c r="F1252" i="697"/>
  <c r="F1432" i="697"/>
  <c r="F1375" i="697"/>
  <c r="F1382" i="697"/>
  <c r="F1260" i="697"/>
  <c r="F1280" i="697"/>
  <c r="F1281" i="697"/>
  <c r="F1282" i="697"/>
  <c r="F1283" i="697"/>
  <c r="F1284" i="697"/>
  <c r="F1433" i="697"/>
  <c r="F1434" i="697"/>
  <c r="F1261" i="697"/>
  <c r="F1264" i="697"/>
  <c r="F1262" i="697"/>
  <c r="F1263" i="697"/>
  <c r="F1383" i="697"/>
  <c r="F1265" i="697"/>
  <c r="F1522" i="697"/>
  <c r="F1394" i="697"/>
  <c r="F1441" i="697"/>
  <c r="F1305" i="697"/>
  <c r="F1286" i="697"/>
  <c r="F1306" i="697"/>
  <c r="F1451" i="697"/>
  <c r="F1455" i="697"/>
  <c r="F1319" i="697"/>
  <c r="F1435" i="697"/>
  <c r="F1279" i="697"/>
  <c r="F1287" i="697"/>
  <c r="F1442" i="697"/>
  <c r="F1412" i="697"/>
  <c r="F1395" i="697"/>
  <c r="F1288" i="697"/>
  <c r="F1396" i="697"/>
  <c r="F1510" i="697"/>
  <c r="F1413" i="697"/>
  <c r="F1389" i="697"/>
  <c r="F1291" i="697"/>
  <c r="F1492" i="697"/>
  <c r="F1496" i="697"/>
  <c r="F1390" i="697"/>
  <c r="F1304" i="697"/>
  <c r="F1397" i="697"/>
  <c r="F1418" i="697"/>
  <c r="F1317" i="697"/>
  <c r="F1307" i="697"/>
  <c r="F1308" i="697"/>
  <c r="F1309" i="697"/>
  <c r="F1310" i="697"/>
  <c r="F1311" i="697"/>
  <c r="F1312" i="697"/>
  <c r="F1313" i="697"/>
  <c r="F1314" i="697"/>
  <c r="F1315" i="697"/>
  <c r="F1316" i="697"/>
  <c r="F1398" i="697"/>
  <c r="F1414" i="697"/>
  <c r="F1346" i="697"/>
  <c r="F1347" i="697"/>
  <c r="F1464" i="697"/>
  <c r="F1348" i="697"/>
  <c r="F1349" i="697"/>
  <c r="F1350" i="697"/>
  <c r="F1399" i="697"/>
  <c r="F1400" i="697"/>
  <c r="F1351" i="697"/>
  <c r="F1352" i="697"/>
  <c r="F1386" i="697"/>
  <c r="F1318" i="697"/>
  <c r="F1353" i="697"/>
  <c r="F1354" i="697"/>
  <c r="F1429" i="697"/>
  <c r="F1477" i="697"/>
  <c r="F1523" i="697"/>
  <c r="F1524" i="697"/>
  <c r="F1355" i="697"/>
  <c r="F1332" i="697"/>
  <c r="F1333" i="697"/>
  <c r="F1525" i="697"/>
  <c r="F1478" i="697"/>
  <c r="F1472" i="697"/>
  <c r="F1511" i="697"/>
  <c r="F1342" i="697"/>
  <c r="F1341" i="697"/>
  <c r="F1424" i="697"/>
  <c r="F1343" i="697"/>
  <c r="F1474" i="697"/>
  <c r="F1516" i="697"/>
  <c r="F1479" i="697"/>
  <c r="F1526" i="697"/>
  <c r="F1465" i="697"/>
  <c r="F1425" i="697"/>
  <c r="F1480" i="697"/>
  <c r="F1356" i="697"/>
  <c r="F1481" i="697"/>
  <c r="F1512" i="697"/>
  <c r="F1473" i="697"/>
  <c r="F1482" i="697"/>
  <c r="F1362" i="697"/>
  <c r="F1483" i="697"/>
  <c r="F1484" i="697"/>
  <c r="F1391" i="697"/>
  <c r="F1364" i="697"/>
  <c r="F1527" i="697"/>
  <c r="F1513" i="697"/>
  <c r="F1376" i="697"/>
  <c r="F1402" i="697"/>
  <c r="F1403" i="697"/>
  <c r="F1404" i="697"/>
  <c r="F1405" i="697"/>
  <c r="F1371" i="697"/>
  <c r="F1528" i="697"/>
  <c r="F1436" i="697"/>
  <c r="F1529" i="697"/>
  <c r="F1437" i="697"/>
  <c r="F1530" i="697"/>
  <c r="F1485" i="697"/>
  <c r="F1531" i="697"/>
  <c r="F1514" i="697"/>
  <c r="F1532" i="697"/>
  <c r="F1486" i="697"/>
  <c r="F1533" i="697"/>
  <c r="F1384" i="697"/>
  <c r="F1385" i="697"/>
  <c r="F1387" i="697"/>
  <c r="F1534" i="697"/>
  <c r="F1535" i="697"/>
  <c r="F1536" i="697"/>
  <c r="F1388" i="697"/>
  <c r="F1392" i="697"/>
  <c r="F1393" i="697"/>
  <c r="F1416" i="697"/>
  <c r="F1537" i="697"/>
  <c r="F1406" i="697"/>
  <c r="F1538" i="697"/>
  <c r="F1407" i="697"/>
  <c r="F1539" i="697"/>
  <c r="F1438" i="697"/>
  <c r="F1487" i="697"/>
  <c r="F1540" i="697"/>
  <c r="F1443" i="697"/>
  <c r="F1444" i="697"/>
  <c r="F1445" i="697"/>
  <c r="F1420" i="697"/>
  <c r="F1408" i="697"/>
  <c r="F1497" i="697"/>
  <c r="F1498" i="697"/>
  <c r="F1499" i="697"/>
  <c r="F1446" i="697"/>
  <c r="F1517" i="697"/>
  <c r="F1518" i="697"/>
  <c r="F1489" i="697"/>
  <c r="F1541" i="697"/>
  <c r="F1447" i="697"/>
  <c r="F1448" i="697"/>
  <c r="F1542" i="697"/>
  <c r="F1415" i="697"/>
  <c r="F1488" i="697"/>
  <c r="F1543" i="697"/>
  <c r="F1544" i="697"/>
  <c r="F1545" i="697"/>
  <c r="F1419" i="697"/>
  <c r="F1546" i="697"/>
  <c r="F1547" i="697"/>
  <c r="F1421" i="697"/>
  <c r="F1422" i="697"/>
  <c r="F1548" i="697"/>
  <c r="F1459" i="697"/>
  <c r="F1549" i="697"/>
  <c r="F1426" i="697"/>
  <c r="F1460" i="697"/>
  <c r="F1461" i="697"/>
  <c r="F1427" i="697"/>
  <c r="F1428" i="697"/>
  <c r="F1449" i="697"/>
  <c r="F1431" i="697"/>
  <c r="F1430" i="697"/>
  <c r="F1490" i="697"/>
  <c r="F1452" i="697"/>
  <c r="F1550" i="697"/>
  <c r="F1456" i="697"/>
  <c r="F1450" i="697"/>
  <c r="F1551" i="697"/>
  <c r="F1552" i="697"/>
  <c r="F1519" i="697"/>
  <c r="F1457" i="697"/>
  <c r="F1458" i="697"/>
  <c r="F1462" i="697"/>
  <c r="F1453" i="697"/>
  <c r="F1409" i="697"/>
  <c r="F1454" i="697"/>
  <c r="F1553" i="697"/>
  <c r="F1554" i="697"/>
  <c r="F1555" i="697"/>
  <c r="F1556" i="697"/>
  <c r="F1557" i="697"/>
  <c r="F1558" i="697"/>
  <c r="F1466" i="697"/>
  <c r="F1467" i="697"/>
  <c r="F1468" i="697"/>
  <c r="F1469" i="697"/>
  <c r="F1559" i="697"/>
  <c r="F1475" i="697"/>
  <c r="F1470" i="697"/>
  <c r="F1471" i="697"/>
  <c r="F1560" i="697"/>
  <c r="F1561" i="697"/>
  <c r="F1562" i="697"/>
  <c r="F1563" i="697"/>
  <c r="F1564" i="697"/>
  <c r="F1565" i="697"/>
  <c r="F1566" i="697"/>
  <c r="F1567" i="697"/>
  <c r="F1568" i="697"/>
  <c r="F1569" i="697"/>
  <c r="F1570" i="697"/>
  <c r="F1571" i="697"/>
  <c r="F1572" i="697"/>
  <c r="F1493" i="697"/>
  <c r="F1494" i="697"/>
  <c r="F1573" i="697"/>
  <c r="F1574" i="697"/>
  <c r="F1575" i="697"/>
  <c r="F1576" i="697"/>
  <c r="F1577" i="697"/>
  <c r="F1578" i="697"/>
  <c r="F1579" i="697"/>
  <c r="F1580" i="697"/>
  <c r="F1581" i="697"/>
  <c r="F1582" i="697"/>
  <c r="F1583" i="697"/>
  <c r="F1584" i="697"/>
  <c r="F1585" i="697"/>
  <c r="F1500" i="697"/>
  <c r="F1501" i="697"/>
  <c r="F1502" i="697"/>
  <c r="F1503" i="697"/>
  <c r="F1504" i="697"/>
  <c r="F1505" i="697"/>
  <c r="F1506" i="697"/>
  <c r="F1586" i="697"/>
  <c r="F1587" i="697"/>
  <c r="F1588" i="697"/>
  <c r="F1589" i="697"/>
  <c r="F1507" i="697"/>
  <c r="F1590" i="697"/>
  <c r="F1508" i="697"/>
  <c r="F1591" i="697"/>
  <c r="F1592" i="697"/>
  <c r="F1593" i="697"/>
  <c r="F1509" i="697"/>
  <c r="F1515" i="697"/>
  <c r="N1508" i="697"/>
  <c r="N1591" i="697"/>
  <c r="N1592" i="697"/>
  <c r="N1593" i="697"/>
  <c r="N1509" i="697"/>
  <c r="N1515" i="697"/>
  <c r="O1508" i="697"/>
  <c r="O1591" i="697"/>
  <c r="O1592" i="697"/>
  <c r="O1593" i="697"/>
  <c r="O1509" i="697"/>
  <c r="O1515" i="697"/>
  <c r="S1292" i="697"/>
  <c r="S103" i="697"/>
  <c r="S104" i="697"/>
  <c r="S22" i="697"/>
  <c r="S23" i="697"/>
  <c r="S12" i="697"/>
  <c r="S196" i="697"/>
  <c r="S4" i="697"/>
  <c r="S24" i="697"/>
  <c r="S208" i="697"/>
  <c r="S6" i="697"/>
  <c r="S13" i="697"/>
  <c r="S14" i="697"/>
  <c r="S2" i="697"/>
  <c r="S15" i="697"/>
  <c r="S16" i="697"/>
  <c r="S34" i="697"/>
  <c r="S17" i="697"/>
  <c r="S45" i="697"/>
  <c r="S77" i="697"/>
  <c r="S117" i="697"/>
  <c r="S78" i="697"/>
  <c r="S79" i="697"/>
  <c r="S80" i="697"/>
  <c r="S40" i="697"/>
  <c r="S3" i="697"/>
  <c r="S209" i="697"/>
  <c r="S5" i="697"/>
  <c r="S18" i="697"/>
  <c r="S19" i="697"/>
  <c r="S20" i="697"/>
  <c r="S7" i="697"/>
  <c r="S8" i="697"/>
  <c r="S10" i="697"/>
  <c r="S105" i="697"/>
  <c r="S106" i="697"/>
  <c r="S107" i="697"/>
  <c r="S11" i="697"/>
  <c r="S81" i="697"/>
  <c r="S174" i="697"/>
  <c r="S175" i="697"/>
  <c r="S82" i="697"/>
  <c r="S83" i="697"/>
  <c r="S118" i="697"/>
  <c r="S84" i="697"/>
  <c r="S85" i="697"/>
  <c r="S86" i="697"/>
  <c r="S87" i="697"/>
  <c r="S21" i="697"/>
  <c r="S210" i="697"/>
  <c r="S88" i="697"/>
  <c r="S27" i="697"/>
  <c r="S28" i="697"/>
  <c r="S29" i="697"/>
  <c r="S30" i="697"/>
  <c r="S31" i="697"/>
  <c r="S32" i="697"/>
  <c r="S33" i="697"/>
  <c r="S219" i="697"/>
  <c r="S89" i="697"/>
  <c r="S90" i="697"/>
  <c r="S96" i="697"/>
  <c r="S114" i="697"/>
  <c r="S125" i="697"/>
  <c r="S67" i="697"/>
  <c r="S171" i="697"/>
  <c r="S76" i="697"/>
  <c r="S46" i="697"/>
  <c r="S47" i="697"/>
  <c r="S48" i="697"/>
  <c r="S37" i="697"/>
  <c r="S49" i="697"/>
  <c r="S50" i="697"/>
  <c r="S51" i="697"/>
  <c r="S52" i="697"/>
  <c r="S53" i="697"/>
  <c r="S54" i="697"/>
  <c r="S55" i="697"/>
  <c r="S56" i="697"/>
  <c r="S119" i="697"/>
  <c r="S57" i="697"/>
  <c r="S115" i="697"/>
  <c r="S35" i="697"/>
  <c r="S58" i="697"/>
  <c r="S59" i="697"/>
  <c r="S60" i="697"/>
  <c r="S61" i="697"/>
  <c r="S62" i="697"/>
  <c r="S63" i="697"/>
  <c r="S126" i="697"/>
  <c r="S116" i="697"/>
  <c r="S120" i="697"/>
  <c r="S91" i="697"/>
  <c r="S133" i="697"/>
  <c r="S92" i="697"/>
  <c r="S93" i="697"/>
  <c r="S36" i="697"/>
  <c r="S108" i="697"/>
  <c r="S109" i="697"/>
  <c r="S110" i="697"/>
  <c r="S111" i="697"/>
  <c r="S64" i="697"/>
  <c r="S213" i="697"/>
  <c r="S134" i="697"/>
  <c r="S131" i="697"/>
  <c r="S140" i="697"/>
  <c r="S38" i="697"/>
  <c r="S399" i="697"/>
  <c r="S68" i="697"/>
  <c r="S65" i="697"/>
  <c r="S176" i="697"/>
  <c r="S127" i="697"/>
  <c r="S129" i="697"/>
  <c r="S97" i="697"/>
  <c r="S206" i="697"/>
  <c r="S39" i="697"/>
  <c r="S66" i="697"/>
  <c r="S230" i="697"/>
  <c r="S254" i="697"/>
  <c r="S160" i="697"/>
  <c r="S41" i="697"/>
  <c r="S42" i="697"/>
  <c r="S75" i="697"/>
  <c r="S44" i="697"/>
  <c r="S121" i="697"/>
  <c r="S43" i="697"/>
  <c r="S236" i="697"/>
  <c r="S255" i="697"/>
  <c r="S25" i="697"/>
  <c r="S26" i="697"/>
  <c r="S94" i="697"/>
  <c r="S237" i="697"/>
  <c r="S214" i="697"/>
  <c r="S256" i="697"/>
  <c r="S135" i="697"/>
  <c r="S161" i="697"/>
  <c r="S257" i="697"/>
  <c r="S207" i="697"/>
  <c r="S162" i="697"/>
  <c r="S177" i="697"/>
  <c r="S122" i="697"/>
  <c r="S163" i="697"/>
  <c r="S69" i="697"/>
  <c r="S70" i="697"/>
  <c r="S71" i="697"/>
  <c r="S72" i="697"/>
  <c r="S73" i="697"/>
  <c r="S74" i="697"/>
  <c r="S258" i="697"/>
  <c r="S178" i="697"/>
  <c r="S150" i="697"/>
  <c r="S141" i="697"/>
  <c r="S151" i="697"/>
  <c r="S152" i="697"/>
  <c r="S211" i="697"/>
  <c r="S142" i="697"/>
  <c r="S153" i="697"/>
  <c r="S154" i="697"/>
  <c r="S155" i="697"/>
  <c r="S156" i="697"/>
  <c r="S143" i="697"/>
  <c r="S144" i="697"/>
  <c r="S145" i="697"/>
  <c r="S146" i="697"/>
  <c r="S157" i="697"/>
  <c r="S158" i="697"/>
  <c r="S229" i="697"/>
  <c r="S95" i="697"/>
  <c r="S159" i="697"/>
  <c r="S240" i="697"/>
  <c r="S98" i="697"/>
  <c r="S99" i="697"/>
  <c r="S100" i="697"/>
  <c r="S101" i="697"/>
  <c r="S284" i="697"/>
  <c r="S102" i="697"/>
  <c r="S275" i="697"/>
  <c r="S197" i="697"/>
  <c r="S231" i="697"/>
  <c r="S147" i="697"/>
  <c r="S112" i="697"/>
  <c r="S148" i="697"/>
  <c r="S113" i="697"/>
  <c r="S259" i="697"/>
  <c r="S123" i="697"/>
  <c r="S252" i="697"/>
  <c r="S238" i="697"/>
  <c r="S232" i="697"/>
  <c r="S253" i="697"/>
  <c r="S233" i="697"/>
  <c r="S835" i="697"/>
  <c r="S124" i="697"/>
  <c r="S234" i="697"/>
  <c r="S244" i="697"/>
  <c r="S260" i="697"/>
  <c r="S181" i="697"/>
  <c r="S182" i="697"/>
  <c r="S183" i="697"/>
  <c r="S184" i="697"/>
  <c r="S172" i="697"/>
  <c r="S330" i="697"/>
  <c r="S245" i="697"/>
  <c r="S128" i="697"/>
  <c r="S285" i="697"/>
  <c r="S130" i="697"/>
  <c r="S132" i="697"/>
  <c r="S198" i="697"/>
  <c r="S349" i="697"/>
  <c r="S185" i="697"/>
  <c r="S312" i="697"/>
  <c r="S136" i="697"/>
  <c r="S276" i="697"/>
  <c r="S241" i="697"/>
  <c r="S277" i="697"/>
  <c r="S408" i="697"/>
  <c r="S286" i="697"/>
  <c r="S278" i="697"/>
  <c r="S279" i="697"/>
  <c r="S280" i="697"/>
  <c r="S149" i="697"/>
  <c r="S261" i="697"/>
  <c r="S137" i="697"/>
  <c r="S220" i="697"/>
  <c r="S394" i="697"/>
  <c r="S305" i="697"/>
  <c r="S164" i="697"/>
  <c r="S138" i="697"/>
  <c r="S139" i="697"/>
  <c r="S186" i="697"/>
  <c r="S221" i="697"/>
  <c r="S281" i="697"/>
  <c r="S331" i="697"/>
  <c r="S262" i="697"/>
  <c r="S263" i="697"/>
  <c r="S306" i="697"/>
  <c r="S320" i="697"/>
  <c r="S332" i="697"/>
  <c r="S199" i="697"/>
  <c r="S373" i="697"/>
  <c r="S357" i="697"/>
  <c r="S282" i="697"/>
  <c r="S165" i="697"/>
  <c r="S166" i="697"/>
  <c r="S167" i="697"/>
  <c r="S168" i="697"/>
  <c r="S169" i="697"/>
  <c r="S170" i="697"/>
  <c r="S333" i="697"/>
  <c r="S374" i="697"/>
  <c r="S187" i="697"/>
  <c r="S200" i="697"/>
  <c r="S173" i="697"/>
  <c r="S201" i="697"/>
  <c r="S265" i="697"/>
  <c r="S266" i="697"/>
  <c r="S235" i="697"/>
  <c r="S188" i="697"/>
  <c r="S189" i="697"/>
  <c r="S190" i="697"/>
  <c r="S191" i="697"/>
  <c r="S192" i="697"/>
  <c r="S193" i="697"/>
  <c r="S194" i="697"/>
  <c r="S195" i="697"/>
  <c r="S215" i="697"/>
  <c r="S307" i="697"/>
  <c r="S179" i="697"/>
  <c r="S180" i="697"/>
  <c r="S313" i="697"/>
  <c r="S267" i="697"/>
  <c r="S268" i="697"/>
  <c r="S269" i="697"/>
  <c r="S222" i="697"/>
  <c r="S334" i="697"/>
  <c r="S375" i="697"/>
  <c r="S202" i="697"/>
  <c r="S335" i="697"/>
  <c r="S442" i="697"/>
  <c r="S203" i="697"/>
  <c r="S204" i="697"/>
  <c r="S301" i="697"/>
  <c r="S376" i="697"/>
  <c r="S223" i="697"/>
  <c r="S224" i="697"/>
  <c r="S225" i="697"/>
  <c r="S226" i="697"/>
  <c r="S205" i="697"/>
  <c r="S303" i="697"/>
  <c r="S336" i="697"/>
  <c r="S337" i="697"/>
  <c r="S308" i="697"/>
  <c r="S216" i="697"/>
  <c r="S212" i="697"/>
  <c r="S338" i="697"/>
  <c r="S530" i="697"/>
  <c r="S395" i="697"/>
  <c r="S217" i="697"/>
  <c r="S377" i="697"/>
  <c r="S218" i="697"/>
  <c r="S227" i="697"/>
  <c r="S297" i="697"/>
  <c r="S339" i="697"/>
  <c r="S340" i="697"/>
  <c r="S228" i="697"/>
  <c r="S298" i="697"/>
  <c r="S504" i="697"/>
  <c r="S242" i="697"/>
  <c r="S341" i="697"/>
  <c r="S314" i="697"/>
  <c r="S361" i="697"/>
  <c r="S342" i="697"/>
  <c r="S283" i="697"/>
  <c r="S531" i="697"/>
  <c r="S270" i="697"/>
  <c r="S271" i="697"/>
  <c r="S343" i="697"/>
  <c r="S315" i="697"/>
  <c r="S239" i="697"/>
  <c r="S344" i="697"/>
  <c r="S345" i="697"/>
  <c r="S346" i="697"/>
  <c r="S411" i="697"/>
  <c r="S378" i="697"/>
  <c r="S347" i="697"/>
  <c r="S379" i="697"/>
  <c r="S406" i="697"/>
  <c r="S362" i="697"/>
  <c r="S363" i="697"/>
  <c r="S243" i="697"/>
  <c r="S364" i="697"/>
  <c r="S407" i="697"/>
  <c r="S348" i="697"/>
  <c r="S380" i="697"/>
  <c r="S272" i="697"/>
  <c r="S246" i="697"/>
  <c r="S287" i="697"/>
  <c r="S365" i="697"/>
  <c r="S274" i="697"/>
  <c r="S247" i="697"/>
  <c r="S248" i="697"/>
  <c r="S249" i="697"/>
  <c r="S250" i="697"/>
  <c r="S251" i="697"/>
  <c r="S273" i="697"/>
  <c r="S288" i="697"/>
  <c r="S289" i="697"/>
  <c r="S422" i="697"/>
  <c r="S388" i="697"/>
  <c r="S302" i="697"/>
  <c r="S290" i="697"/>
  <c r="S316" i="697"/>
  <c r="S317" i="697"/>
  <c r="S291" i="697"/>
  <c r="S292" i="697"/>
  <c r="S293" i="697"/>
  <c r="S294" i="697"/>
  <c r="S264" i="697"/>
  <c r="S389" i="697"/>
  <c r="S460" i="697"/>
  <c r="S461" i="697"/>
  <c r="S462" i="697"/>
  <c r="S463" i="697"/>
  <c r="S464" i="697"/>
  <c r="S505" i="697"/>
  <c r="S669" i="697"/>
  <c r="S423" i="697"/>
  <c r="S396" i="697"/>
  <c r="S409" i="697"/>
  <c r="S381" i="697"/>
  <c r="S424" i="697"/>
  <c r="S382" i="697"/>
  <c r="S443" i="697"/>
  <c r="S506" i="697"/>
  <c r="S507" i="697"/>
  <c r="S523" i="697"/>
  <c r="S485" i="697"/>
  <c r="S295" i="697"/>
  <c r="S296" i="697"/>
  <c r="S524" i="697"/>
  <c r="S425" i="697"/>
  <c r="S410" i="697"/>
  <c r="S444" i="697"/>
  <c r="S352" i="697"/>
  <c r="S397" i="697"/>
  <c r="S299" i="697"/>
  <c r="S300" i="697"/>
  <c r="S383" i="697"/>
  <c r="S508" i="697"/>
  <c r="S509" i="697"/>
  <c r="S510" i="697"/>
  <c r="S384" i="697"/>
  <c r="S426" i="697"/>
  <c r="S532" i="697"/>
  <c r="S304" i="697"/>
  <c r="S614" i="697"/>
  <c r="S360" i="697"/>
  <c r="S427" i="697"/>
  <c r="S428" i="697"/>
  <c r="S309" i="697"/>
  <c r="S465" i="697"/>
  <c r="S466" i="697"/>
  <c r="S310" i="697"/>
  <c r="S543" i="697"/>
  <c r="S544" i="697"/>
  <c r="S311" i="697"/>
  <c r="S445" i="697"/>
  <c r="S413" i="697"/>
  <c r="S450" i="697"/>
  <c r="S487" i="697"/>
  <c r="S318" i="697"/>
  <c r="S319" i="697"/>
  <c r="S518" i="697"/>
  <c r="S519" i="697"/>
  <c r="S451" i="697"/>
  <c r="S452" i="697"/>
  <c r="S429" i="697"/>
  <c r="S467" i="697"/>
  <c r="S468" i="697"/>
  <c r="S390" i="697"/>
  <c r="S326" i="697"/>
  <c r="S321" i="697"/>
  <c r="S322" i="697"/>
  <c r="S323" i="697"/>
  <c r="S324" i="697"/>
  <c r="S325" i="697"/>
  <c r="S391" i="697"/>
  <c r="S353" i="697"/>
  <c r="S385" i="697"/>
  <c r="S671" i="697"/>
  <c r="S327" i="697"/>
  <c r="S328" i="697"/>
  <c r="S386" i="697"/>
  <c r="S400" i="697"/>
  <c r="S401" i="697"/>
  <c r="S329" i="697"/>
  <c r="S354" i="697"/>
  <c r="S355" i="697"/>
  <c r="S469" i="697"/>
  <c r="S358" i="697"/>
  <c r="S520" i="697"/>
  <c r="S430" i="697"/>
  <c r="S367" i="697"/>
  <c r="S453" i="697"/>
  <c r="S623" i="697"/>
  <c r="S546" i="697"/>
  <c r="S624" i="697"/>
  <c r="S625" i="697"/>
  <c r="S431" i="697"/>
  <c r="S350" i="697"/>
  <c r="S446" i="697"/>
  <c r="S414" i="697"/>
  <c r="S432" i="697"/>
  <c r="S454" i="697"/>
  <c r="S351" i="697"/>
  <c r="S455" i="697"/>
  <c r="S488" i="697"/>
  <c r="S502" i="697"/>
  <c r="S369" i="697"/>
  <c r="S370" i="697"/>
  <c r="S470" i="697"/>
  <c r="S402" i="697"/>
  <c r="S356" i="697"/>
  <c r="S371" i="697"/>
  <c r="S489" i="697"/>
  <c r="S626" i="697"/>
  <c r="S627" i="697"/>
  <c r="S490" i="697"/>
  <c r="S359" i="697"/>
  <c r="S471" i="697"/>
  <c r="S368" i="697"/>
  <c r="S525" i="697"/>
  <c r="S472" i="697"/>
  <c r="S366" i="697"/>
  <c r="S491" i="697"/>
  <c r="S492" i="697"/>
  <c r="S433" i="697"/>
  <c r="S473" i="697"/>
  <c r="S493" i="697"/>
  <c r="S372" i="697"/>
  <c r="S526" i="697"/>
  <c r="S387" i="697"/>
  <c r="S474" i="697"/>
  <c r="S475" i="697"/>
  <c r="S476" i="697"/>
  <c r="S477" i="697"/>
  <c r="S398" i="697"/>
  <c r="S434" i="697"/>
  <c r="S628" i="697"/>
  <c r="S527" i="697"/>
  <c r="S545" i="697"/>
  <c r="S392" i="697"/>
  <c r="S435" i="697"/>
  <c r="S436" i="697"/>
  <c r="S393" i="697"/>
  <c r="S403" i="697"/>
  <c r="S404" i="697"/>
  <c r="S511" i="697"/>
  <c r="S512" i="697"/>
  <c r="S513" i="697"/>
  <c r="S514" i="697"/>
  <c r="S670" i="697"/>
  <c r="S478" i="697"/>
  <c r="S494" i="697"/>
  <c r="S629" i="697"/>
  <c r="S584" i="697"/>
  <c r="S405" i="697"/>
  <c r="S538" i="697"/>
  <c r="S539" i="697"/>
  <c r="S528" i="697"/>
  <c r="S554" i="697"/>
  <c r="S555" i="697"/>
  <c r="S412" i="697"/>
  <c r="S637" i="697"/>
  <c r="S415" i="697"/>
  <c r="S479" i="697"/>
  <c r="S480" i="697"/>
  <c r="S615" i="697"/>
  <c r="S592" i="697"/>
  <c r="S441" i="697"/>
  <c r="S662" i="697"/>
  <c r="S447" i="697"/>
  <c r="S416" i="697"/>
  <c r="S417" i="697"/>
  <c r="S418" i="697"/>
  <c r="S419" i="697"/>
  <c r="S420" i="697"/>
  <c r="S421" i="697"/>
  <c r="S486" i="697"/>
  <c r="S498" i="697"/>
  <c r="S499" i="697"/>
  <c r="S448" i="697"/>
  <c r="S449" i="697"/>
  <c r="S457" i="697"/>
  <c r="S481" i="697"/>
  <c r="S515" i="697"/>
  <c r="S677" i="697"/>
  <c r="S439" i="697"/>
  <c r="S672" i="697"/>
  <c r="S616" i="697"/>
  <c r="S617" i="697"/>
  <c r="S529" i="697"/>
  <c r="S437" i="697"/>
  <c r="S438" i="697"/>
  <c r="S547" i="697"/>
  <c r="S548" i="697"/>
  <c r="S714" i="697"/>
  <c r="S673" i="697"/>
  <c r="S440" i="697"/>
  <c r="S500" i="697"/>
  <c r="S715" i="697"/>
  <c r="S716" i="697"/>
  <c r="S657" i="697"/>
  <c r="S638" i="697"/>
  <c r="S456" i="697"/>
  <c r="S639" i="697"/>
  <c r="S593" i="697"/>
  <c r="S674" i="697"/>
  <c r="S556" i="697"/>
  <c r="S594" i="697"/>
  <c r="S459" i="697"/>
  <c r="S458" i="697"/>
  <c r="S645" i="697"/>
  <c r="S482" i="697"/>
  <c r="S675" i="697"/>
  <c r="S676" i="697"/>
  <c r="S483" i="697"/>
  <c r="S663" i="697"/>
  <c r="S682" i="697"/>
  <c r="S557" i="697"/>
  <c r="S558" i="697"/>
  <c r="S559" i="697"/>
  <c r="S560" i="697"/>
  <c r="S678" i="697"/>
  <c r="S595" i="697"/>
  <c r="S484" i="697"/>
  <c r="S495" i="697"/>
  <c r="S561" i="697"/>
  <c r="S562" i="697"/>
  <c r="S563" i="697"/>
  <c r="S564" i="697"/>
  <c r="S731" i="697"/>
  <c r="S658" i="697"/>
  <c r="S590" i="697"/>
  <c r="S497" i="697"/>
  <c r="S496" i="697"/>
  <c r="S516" i="697"/>
  <c r="S517" i="697"/>
  <c r="S618" i="697"/>
  <c r="S619" i="697"/>
  <c r="S679" i="697"/>
  <c r="S501" i="697"/>
  <c r="S503" i="697"/>
  <c r="S620" i="697"/>
  <c r="S596" i="697"/>
  <c r="S701" i="697"/>
  <c r="S664" i="697"/>
  <c r="S659" i="697"/>
  <c r="S680" i="697"/>
  <c r="S565" i="697"/>
  <c r="S566" i="697"/>
  <c r="S567" i="697"/>
  <c r="S568" i="697"/>
  <c r="S621" i="697"/>
  <c r="S702" i="697"/>
  <c r="S732" i="697"/>
  <c r="S751" i="697"/>
  <c r="S717" i="697"/>
  <c r="S646" i="697"/>
  <c r="S521" i="697"/>
  <c r="S681" i="697"/>
  <c r="S522" i="697"/>
  <c r="S533" i="697"/>
  <c r="S549" i="697"/>
  <c r="S577" i="697"/>
  <c r="S610" i="697"/>
  <c r="S752" i="697"/>
  <c r="S534" i="697"/>
  <c r="S581" i="697"/>
  <c r="S587" i="697"/>
  <c r="S588" i="697"/>
  <c r="S660" i="697"/>
  <c r="S718" i="697"/>
  <c r="S550" i="697"/>
  <c r="S551" i="697"/>
  <c r="S552" i="697"/>
  <c r="S753" i="697"/>
  <c r="S782" i="697"/>
  <c r="S536" i="697"/>
  <c r="S683" i="697"/>
  <c r="S866" i="697"/>
  <c r="S578" i="697"/>
  <c r="S535" i="697"/>
  <c r="S684" i="697"/>
  <c r="S754" i="697"/>
  <c r="S537" i="697"/>
  <c r="S540" i="697"/>
  <c r="S755" i="697"/>
  <c r="S685" i="697"/>
  <c r="S686" i="697"/>
  <c r="S705" i="697"/>
  <c r="S541" i="697"/>
  <c r="S542" i="697"/>
  <c r="S687" i="697"/>
  <c r="S733" i="697"/>
  <c r="S836" i="697"/>
  <c r="S756" i="697"/>
  <c r="S569" i="697"/>
  <c r="S706" i="697"/>
  <c r="S707" i="697"/>
  <c r="S734" i="697"/>
  <c r="S735" i="697"/>
  <c r="S580" i="697"/>
  <c r="S585" i="697"/>
  <c r="S630" i="697"/>
  <c r="S553" i="697"/>
  <c r="S749" i="697"/>
  <c r="S688" i="697"/>
  <c r="S837" i="697"/>
  <c r="S634" i="697"/>
  <c r="S757" i="697"/>
  <c r="S783" i="697"/>
  <c r="S689" i="697"/>
  <c r="S576" i="697"/>
  <c r="S758" i="697"/>
  <c r="S759" i="697"/>
  <c r="S760" i="697"/>
  <c r="S690" i="697"/>
  <c r="S579" i="697"/>
  <c r="S784" i="697"/>
  <c r="S838" i="697"/>
  <c r="S761" i="697"/>
  <c r="S811" i="697"/>
  <c r="S691" i="697"/>
  <c r="S815" i="697"/>
  <c r="S889" i="697"/>
  <c r="S582" i="697"/>
  <c r="S665" i="697"/>
  <c r="S583" i="697"/>
  <c r="S586" i="697"/>
  <c r="S692" i="697"/>
  <c r="S719" i="697"/>
  <c r="S661" i="697"/>
  <c r="S762" i="697"/>
  <c r="S763" i="697"/>
  <c r="S611" i="697"/>
  <c r="S816" i="697"/>
  <c r="S720" i="697"/>
  <c r="S693" i="697"/>
  <c r="S589" i="697"/>
  <c r="S839" i="697"/>
  <c r="S591" i="697"/>
  <c r="S721" i="697"/>
  <c r="S597" i="697"/>
  <c r="S598" i="697"/>
  <c r="S764" i="697"/>
  <c r="S694" i="697"/>
  <c r="S840" i="697"/>
  <c r="S793" i="697"/>
  <c r="S765" i="697"/>
  <c r="S601" i="697"/>
  <c r="S695" i="697"/>
  <c r="S599" i="697"/>
  <c r="S600" i="697"/>
  <c r="S812" i="697"/>
  <c r="S785" i="697"/>
  <c r="S722" i="697"/>
  <c r="S602" i="697"/>
  <c r="S603" i="697"/>
  <c r="S604" i="697"/>
  <c r="S605" i="697"/>
  <c r="S606" i="697"/>
  <c r="S607" i="697"/>
  <c r="S608" i="697"/>
  <c r="S609" i="697"/>
  <c r="S738" i="697"/>
  <c r="S739" i="697"/>
  <c r="S740" i="697"/>
  <c r="S741" i="697"/>
  <c r="S742" i="697"/>
  <c r="S766" i="697"/>
  <c r="S923" i="697"/>
  <c r="S902" i="697"/>
  <c r="S654" i="697"/>
  <c r="S723" i="697"/>
  <c r="S647" i="697"/>
  <c r="S854" i="697"/>
  <c r="S648" i="697"/>
  <c r="S696" i="697"/>
  <c r="S697" i="697"/>
  <c r="S649" i="697"/>
  <c r="S650" i="697"/>
  <c r="S698" i="697"/>
  <c r="S612" i="697"/>
  <c r="S613" i="697"/>
  <c r="S651" i="697"/>
  <c r="S767" i="697"/>
  <c r="S768" i="697"/>
  <c r="S631" i="697"/>
  <c r="S743" i="697"/>
  <c r="S622" i="697"/>
  <c r="S841" i="697"/>
  <c r="S769" i="697"/>
  <c r="S632" i="697"/>
  <c r="S633" i="697"/>
  <c r="S770" i="697"/>
  <c r="S640" i="697"/>
  <c r="S744" i="697"/>
  <c r="S890" i="697"/>
  <c r="S867" i="697"/>
  <c r="S855" i="697"/>
  <c r="S635" i="697"/>
  <c r="S891" i="697"/>
  <c r="S699" i="697"/>
  <c r="S903" i="697"/>
  <c r="S773" i="697"/>
  <c r="S636" i="697"/>
  <c r="S641" i="697"/>
  <c r="S652" i="697"/>
  <c r="S642" i="697"/>
  <c r="S643" i="697"/>
  <c r="S868" i="697"/>
  <c r="S892" i="697"/>
  <c r="S856" i="697"/>
  <c r="S842" i="697"/>
  <c r="S893" i="697"/>
  <c r="S843" i="697"/>
  <c r="S644" i="697"/>
  <c r="S799" i="697"/>
  <c r="S844" i="697"/>
  <c r="S857" i="697"/>
  <c r="S653" i="697"/>
  <c r="S655" i="697"/>
  <c r="S858" i="697"/>
  <c r="S656" i="697"/>
  <c r="S745" i="697"/>
  <c r="S746" i="697"/>
  <c r="S666" i="697"/>
  <c r="S859" i="697"/>
  <c r="S747" i="697"/>
  <c r="S924" i="697"/>
  <c r="S925" i="697"/>
  <c r="S926" i="697"/>
  <c r="S869" i="697"/>
  <c r="S667" i="697"/>
  <c r="S750" i="697"/>
  <c r="S668" i="697"/>
  <c r="S845" i="697"/>
  <c r="S1029" i="697"/>
  <c r="S700" i="697"/>
  <c r="S703" i="697"/>
  <c r="S704" i="697"/>
  <c r="S927" i="697"/>
  <c r="S928" i="697"/>
  <c r="S879" i="697"/>
  <c r="S846" i="697"/>
  <c r="S929" i="697"/>
  <c r="S860" i="697"/>
  <c r="S794" i="697"/>
  <c r="S861" i="697"/>
  <c r="S930" i="697"/>
  <c r="S894" i="697"/>
  <c r="S870" i="697"/>
  <c r="S862" i="697"/>
  <c r="S931" i="697"/>
  <c r="S932" i="697"/>
  <c r="S933" i="697"/>
  <c r="S708" i="697"/>
  <c r="S709" i="697"/>
  <c r="S710" i="697"/>
  <c r="S711" i="697"/>
  <c r="S712" i="697"/>
  <c r="S713" i="697"/>
  <c r="S786" i="697"/>
  <c r="S787" i="697"/>
  <c r="S952" i="697"/>
  <c r="S788" i="697"/>
  <c r="S809" i="697"/>
  <c r="S810" i="697"/>
  <c r="S736" i="697"/>
  <c r="S748" i="697"/>
  <c r="S774" i="697"/>
  <c r="S775" i="697"/>
  <c r="S776" i="697"/>
  <c r="S789" i="697"/>
  <c r="S934" i="697"/>
  <c r="S724" i="697"/>
  <c r="S725" i="697"/>
  <c r="S726" i="697"/>
  <c r="S727" i="697"/>
  <c r="S790" i="697"/>
  <c r="S1021" i="697"/>
  <c r="S728" i="697"/>
  <c r="S729" i="697"/>
  <c r="S730" i="697"/>
  <c r="S953" i="697"/>
  <c r="S871" i="697"/>
  <c r="S817" i="697"/>
  <c r="S737" i="697"/>
  <c r="S1084" i="697"/>
  <c r="S880" i="697"/>
  <c r="S863" i="697"/>
  <c r="S570" i="697"/>
  <c r="S571" i="697"/>
  <c r="S572" i="697"/>
  <c r="S573" i="697"/>
  <c r="S574" i="697"/>
  <c r="S575" i="697"/>
  <c r="S771" i="697"/>
  <c r="S772" i="697"/>
  <c r="S954" i="697"/>
  <c r="S955" i="697"/>
  <c r="S980" i="697"/>
  <c r="S777" i="697"/>
  <c r="S956" i="697"/>
  <c r="S981" i="697"/>
  <c r="S982" i="697"/>
  <c r="S983" i="697"/>
  <c r="S904" i="697"/>
  <c r="S984" i="697"/>
  <c r="S912" i="697"/>
  <c r="S913" i="697"/>
  <c r="S778" i="697"/>
  <c r="S957" i="697"/>
  <c r="S881" i="697"/>
  <c r="S779" i="697"/>
  <c r="S780" i="697"/>
  <c r="S905" i="697"/>
  <c r="S985" i="697"/>
  <c r="S781" i="697"/>
  <c r="S906" i="697"/>
  <c r="S948" i="697"/>
  <c r="S935" i="697"/>
  <c r="S936" i="697"/>
  <c r="S791" i="697"/>
  <c r="S795" i="697"/>
  <c r="S937" i="697"/>
  <c r="S986" i="697"/>
  <c r="S895" i="697"/>
  <c r="S896" i="697"/>
  <c r="S914" i="697"/>
  <c r="S958" i="697"/>
  <c r="S792" i="697"/>
  <c r="S987" i="697"/>
  <c r="S800" i="697"/>
  <c r="S988" i="697"/>
  <c r="S959" i="697"/>
  <c r="S801" i="697"/>
  <c r="S796" i="697"/>
  <c r="S989" i="697"/>
  <c r="S797" i="697"/>
  <c r="S798" i="697"/>
  <c r="S802" i="697"/>
  <c r="S990" i="697"/>
  <c r="S803" i="697"/>
  <c r="S804" i="697"/>
  <c r="S805" i="697"/>
  <c r="S806" i="697"/>
  <c r="S807" i="697"/>
  <c r="S808" i="697"/>
  <c r="S1022" i="697"/>
  <c r="S1005" i="697"/>
  <c r="S813" i="697"/>
  <c r="S814" i="697"/>
  <c r="S991" i="697"/>
  <c r="S992" i="697"/>
  <c r="S993" i="697"/>
  <c r="S818" i="697"/>
  <c r="S938" i="697"/>
  <c r="S819" i="697"/>
  <c r="S820" i="697"/>
  <c r="S821" i="697"/>
  <c r="S822" i="697"/>
  <c r="S823" i="697"/>
  <c r="S824" i="697"/>
  <c r="S825" i="697"/>
  <c r="S826" i="697"/>
  <c r="S939" i="697"/>
  <c r="S827" i="697"/>
  <c r="S828" i="697"/>
  <c r="S915" i="697"/>
  <c r="S897" i="697"/>
  <c r="S829" i="697"/>
  <c r="S830" i="697"/>
  <c r="S847" i="697"/>
  <c r="S831" i="697"/>
  <c r="S832" i="697"/>
  <c r="S833" i="697"/>
  <c r="S1000" i="697"/>
  <c r="S960" i="697"/>
  <c r="S834" i="697"/>
  <c r="S1030" i="697"/>
  <c r="S875" i="697"/>
  <c r="S898" i="697"/>
  <c r="S916" i="697"/>
  <c r="S917" i="697"/>
  <c r="S852" i="697"/>
  <c r="S872" i="697"/>
  <c r="S886" i="697"/>
  <c r="S848" i="697"/>
  <c r="S918" i="697"/>
  <c r="S1143" i="697"/>
  <c r="S876" i="697"/>
  <c r="S877" i="697"/>
  <c r="S878" i="697"/>
  <c r="S994" i="697"/>
  <c r="S850" i="697"/>
  <c r="S849" i="697"/>
  <c r="S1001" i="697"/>
  <c r="S899" i="697"/>
  <c r="S1002" i="697"/>
  <c r="S1006" i="697"/>
  <c r="S851" i="697"/>
  <c r="S940" i="697"/>
  <c r="S941" i="697"/>
  <c r="S1007" i="697"/>
  <c r="S995" i="697"/>
  <c r="S1213" i="697"/>
  <c r="S853" i="697"/>
  <c r="S1023" i="697"/>
  <c r="S1008" i="697"/>
  <c r="S1044" i="697"/>
  <c r="S864" i="697"/>
  <c r="S865" i="697"/>
  <c r="S942" i="697"/>
  <c r="S1024" i="697"/>
  <c r="S873" i="697"/>
  <c r="S943" i="697"/>
  <c r="S1045" i="697"/>
  <c r="S1046" i="697"/>
  <c r="S1047" i="697"/>
  <c r="S874" i="697"/>
  <c r="S1025" i="697"/>
  <c r="S1031" i="697"/>
  <c r="S1048" i="697"/>
  <c r="S882" i="697"/>
  <c r="S883" i="697"/>
  <c r="S884" i="697"/>
  <c r="S885" i="697"/>
  <c r="S1049" i="697"/>
  <c r="S1050" i="697"/>
  <c r="S900" i="697"/>
  <c r="S887" i="697"/>
  <c r="S888" i="697"/>
  <c r="S1091" i="697"/>
  <c r="S1068" i="697"/>
  <c r="S1075" i="697"/>
  <c r="S901" i="697"/>
  <c r="S1096" i="697"/>
  <c r="S907" i="697"/>
  <c r="S908" i="697"/>
  <c r="S909" i="697"/>
  <c r="S910" i="697"/>
  <c r="S911" i="697"/>
  <c r="S1168" i="697"/>
  <c r="S944" i="697"/>
  <c r="S1097" i="697"/>
  <c r="S1069" i="697"/>
  <c r="S1051" i="697"/>
  <c r="S919" i="697"/>
  <c r="S920" i="697"/>
  <c r="S921" i="697"/>
  <c r="S922" i="697"/>
  <c r="S1076" i="697"/>
  <c r="S945" i="697"/>
  <c r="S1162" i="697"/>
  <c r="S1169" i="697"/>
  <c r="S1082" i="697"/>
  <c r="S946" i="697"/>
  <c r="S1083" i="697"/>
  <c r="S1131" i="697"/>
  <c r="S1077" i="697"/>
  <c r="S1052" i="697"/>
  <c r="S1098" i="697"/>
  <c r="S1070" i="697"/>
  <c r="S1085" i="697"/>
  <c r="S947" i="697"/>
  <c r="S9" i="697"/>
  <c r="S1032" i="697"/>
  <c r="S1053" i="697"/>
  <c r="S949" i="697"/>
  <c r="S950" i="697"/>
  <c r="S1092" i="697"/>
  <c r="S1099" i="697"/>
  <c r="S1130" i="697"/>
  <c r="S1078" i="697"/>
  <c r="S951" i="697"/>
  <c r="S1037" i="697"/>
  <c r="S1071" i="697"/>
  <c r="S1100" i="697"/>
  <c r="S1086" i="697"/>
  <c r="S1087" i="697"/>
  <c r="S1101" i="697"/>
  <c r="S1088" i="697"/>
  <c r="S1239" i="697"/>
  <c r="S1089" i="697"/>
  <c r="S1009" i="697"/>
  <c r="S972" i="697"/>
  <c r="S1054" i="697"/>
  <c r="S1033" i="697"/>
  <c r="S1102" i="697"/>
  <c r="S1010" i="697"/>
  <c r="S961" i="697"/>
  <c r="S962" i="697"/>
  <c r="S963" i="697"/>
  <c r="S964" i="697"/>
  <c r="S965" i="697"/>
  <c r="S966" i="697"/>
  <c r="S967" i="697"/>
  <c r="S968" i="697"/>
  <c r="S969" i="697"/>
  <c r="S970" i="697"/>
  <c r="S971" i="697"/>
  <c r="S1055" i="697"/>
  <c r="S1056" i="697"/>
  <c r="S1057" i="697"/>
  <c r="S1058" i="697"/>
  <c r="S1059" i="697"/>
  <c r="S1060" i="697"/>
  <c r="S1011" i="697"/>
  <c r="S1190" i="697"/>
  <c r="S1012" i="697"/>
  <c r="S973" i="697"/>
  <c r="S974" i="697"/>
  <c r="S1124" i="697"/>
  <c r="S996" i="697"/>
  <c r="S1118" i="697"/>
  <c r="S1013" i="697"/>
  <c r="S1191" i="697"/>
  <c r="S1014" i="697"/>
  <c r="S975" i="697"/>
  <c r="S1015" i="697"/>
  <c r="S1016" i="697"/>
  <c r="S976" i="697"/>
  <c r="S1040" i="697"/>
  <c r="S977" i="697"/>
  <c r="S1093" i="697"/>
  <c r="S1112" i="697"/>
  <c r="S1017" i="697"/>
  <c r="S1103" i="697"/>
  <c r="S1018" i="697"/>
  <c r="S1019" i="697"/>
  <c r="S978" i="697"/>
  <c r="S1214" i="697"/>
  <c r="S1061" i="697"/>
  <c r="S1104" i="697"/>
  <c r="S1320" i="697"/>
  <c r="S1293" i="697"/>
  <c r="S1192" i="697"/>
  <c r="S1207" i="697"/>
  <c r="S1289" i="697"/>
  <c r="S1253" i="697"/>
  <c r="S1321" i="697"/>
  <c r="S1240" i="697"/>
  <c r="S1157" i="697"/>
  <c r="S997" i="697"/>
  <c r="S998" i="697"/>
  <c r="S999" i="697"/>
  <c r="S1158" i="697"/>
  <c r="S1132" i="697"/>
  <c r="S1003" i="697"/>
  <c r="S1062" i="697"/>
  <c r="S1063" i="697"/>
  <c r="S1004" i="697"/>
  <c r="S1170" i="697"/>
  <c r="S1020" i="697"/>
  <c r="S1274" i="697"/>
  <c r="S1278" i="697"/>
  <c r="S1176" i="697"/>
  <c r="S1294" i="697"/>
  <c r="S1034" i="697"/>
  <c r="S1163" i="697"/>
  <c r="S1026" i="697"/>
  <c r="S1027" i="697"/>
  <c r="S1028" i="697"/>
  <c r="S1133" i="697"/>
  <c r="S1177" i="697"/>
  <c r="S1035" i="697"/>
  <c r="S1036" i="697"/>
  <c r="S1249" i="697"/>
  <c r="S1171" i="697"/>
  <c r="S1193" i="697"/>
  <c r="S1038" i="697"/>
  <c r="S1079" i="697"/>
  <c r="S1178" i="697"/>
  <c r="S1039" i="697"/>
  <c r="S1230" i="697"/>
  <c r="S1179" i="697"/>
  <c r="S1113" i="697"/>
  <c r="S1080" i="697"/>
  <c r="S1180" i="697"/>
  <c r="S1295" i="697"/>
  <c r="S1041" i="697"/>
  <c r="S1215" i="697"/>
  <c r="S1042" i="697"/>
  <c r="S1043" i="697"/>
  <c r="S1072" i="697"/>
  <c r="S1064" i="697"/>
  <c r="S1065" i="697"/>
  <c r="S1372" i="697"/>
  <c r="S1066" i="697"/>
  <c r="S1296" i="697"/>
  <c r="S1067" i="697"/>
  <c r="S1144" i="697"/>
  <c r="S1181" i="697"/>
  <c r="S1182" i="697"/>
  <c r="S1204" i="697"/>
  <c r="S1073" i="697"/>
  <c r="S1074" i="697"/>
  <c r="S1081" i="697"/>
  <c r="S1183" i="697"/>
  <c r="S1090" i="697"/>
  <c r="S1322" i="697"/>
  <c r="S1184" i="697"/>
  <c r="S1229" i="697"/>
  <c r="S1270" i="697"/>
  <c r="S1194" i="697"/>
  <c r="S1094" i="697"/>
  <c r="S1323" i="697"/>
  <c r="S1290" i="697"/>
  <c r="S1216" i="697"/>
  <c r="S1241" i="697"/>
  <c r="S1105" i="697"/>
  <c r="S1095" i="697"/>
  <c r="S1217" i="697"/>
  <c r="S1231" i="697"/>
  <c r="S979" i="697"/>
  <c r="S1106" i="697"/>
  <c r="S1107" i="697"/>
  <c r="S1271" i="697"/>
  <c r="S1108" i="697"/>
  <c r="S1297" i="697"/>
  <c r="S1110" i="697"/>
  <c r="S1138" i="697"/>
  <c r="S1109" i="697"/>
  <c r="S1111" i="697"/>
  <c r="S1126" i="697"/>
  <c r="S1145" i="697"/>
  <c r="S1146" i="697"/>
  <c r="S1134" i="697"/>
  <c r="S1272" i="697"/>
  <c r="S1273" i="697"/>
  <c r="S1147" i="697"/>
  <c r="S1148" i="697"/>
  <c r="S1149" i="697"/>
  <c r="S1150" i="697"/>
  <c r="S1151" i="697"/>
  <c r="S1114" i="697"/>
  <c r="S1135" i="697"/>
  <c r="S1127" i="697"/>
  <c r="S1128" i="697"/>
  <c r="S1266" i="697"/>
  <c r="S1115" i="697"/>
  <c r="S1116" i="697"/>
  <c r="S1117" i="697"/>
  <c r="S1152" i="697"/>
  <c r="S1242" i="697"/>
  <c r="S1119" i="697"/>
  <c r="S1120" i="697"/>
  <c r="S1218" i="697"/>
  <c r="S1121" i="697"/>
  <c r="S1122" i="697"/>
  <c r="S1123" i="697"/>
  <c r="S1195" i="697"/>
  <c r="S1125" i="697"/>
  <c r="S1129" i="697"/>
  <c r="S1174" i="697"/>
  <c r="S1136" i="697"/>
  <c r="S1236" i="697"/>
  <c r="S1326" i="697"/>
  <c r="S1208" i="697"/>
  <c r="S1254" i="697"/>
  <c r="S1137" i="697"/>
  <c r="S1365" i="697"/>
  <c r="S1327" i="697"/>
  <c r="S1139" i="697"/>
  <c r="S1140" i="697"/>
  <c r="S1141" i="697"/>
  <c r="S1159" i="697"/>
  <c r="S1153" i="697"/>
  <c r="S1142" i="697"/>
  <c r="S1160" i="697"/>
  <c r="S1154" i="697"/>
  <c r="S1155" i="697"/>
  <c r="S1156" i="697"/>
  <c r="S1366" i="697"/>
  <c r="S1185" i="697"/>
  <c r="S1161" i="697"/>
  <c r="S1334" i="697"/>
  <c r="S1255" i="697"/>
  <c r="S1298" i="697"/>
  <c r="S1267" i="697"/>
  <c r="S1196" i="697"/>
  <c r="S1197" i="697"/>
  <c r="S1268" i="697"/>
  <c r="S1164" i="697"/>
  <c r="S1335" i="697"/>
  <c r="S1328" i="697"/>
  <c r="S1165" i="697"/>
  <c r="S1166" i="697"/>
  <c r="S1275" i="697"/>
  <c r="S1276" i="697"/>
  <c r="S1256" i="697"/>
  <c r="S1172" i="697"/>
  <c r="S1329" i="697"/>
  <c r="S1324" i="697"/>
  <c r="S1299" i="697"/>
  <c r="S1186" i="697"/>
  <c r="S1175" i="697"/>
  <c r="S1173" i="697"/>
  <c r="S1330" i="697"/>
  <c r="S1300" i="697"/>
  <c r="S1367" i="697"/>
  <c r="S1368" i="697"/>
  <c r="S1378" i="697"/>
  <c r="S1377" i="697"/>
  <c r="S1301" i="697"/>
  <c r="S1331" i="697"/>
  <c r="S1187" i="697"/>
  <c r="S1188" i="697"/>
  <c r="S1357" i="697"/>
  <c r="S1369" i="697"/>
  <c r="S1439" i="697"/>
  <c r="S1302" i="697"/>
  <c r="S1189" i="697"/>
  <c r="S1277" i="697"/>
  <c r="S1358" i="697"/>
  <c r="S1198" i="697"/>
  <c r="S1199" i="697"/>
  <c r="S1200" i="697"/>
  <c r="S1201" i="697"/>
  <c r="S1202" i="697"/>
  <c r="S1203" i="697"/>
  <c r="S1209" i="697"/>
  <c r="S1244" i="697"/>
  <c r="S1359" i="697"/>
  <c r="S1219" i="697"/>
  <c r="S1220" i="697"/>
  <c r="S1205" i="697"/>
  <c r="S1167" i="697"/>
  <c r="S1221" i="697"/>
  <c r="S1222" i="697"/>
  <c r="S1257" i="697"/>
  <c r="S1206" i="697"/>
  <c r="S1223" i="697"/>
  <c r="S1224" i="697"/>
  <c r="S1225" i="697"/>
  <c r="S1210" i="697"/>
  <c r="S1336" i="697"/>
  <c r="S1337" i="697"/>
  <c r="S1338" i="697"/>
  <c r="S1339" i="697"/>
  <c r="S1373" i="697"/>
  <c r="S1258" i="697"/>
  <c r="S1340" i="697"/>
  <c r="S1211" i="697"/>
  <c r="S1212" i="697"/>
  <c r="S1226" i="697"/>
  <c r="S1227" i="697"/>
  <c r="S1285" i="697"/>
  <c r="S1259" i="697"/>
  <c r="S1228" i="697"/>
  <c r="S1476" i="697"/>
  <c r="S1379" i="697"/>
  <c r="S1303" i="697"/>
  <c r="S1345" i="697"/>
  <c r="S1360" i="697"/>
  <c r="S1440" i="697"/>
  <c r="S1401" i="697"/>
  <c r="S1344" i="697"/>
  <c r="S1232" i="697"/>
  <c r="S1361" i="697"/>
  <c r="S1269" i="697"/>
  <c r="S1233" i="697"/>
  <c r="S1234" i="697"/>
  <c r="S1423" i="697"/>
  <c r="S1325" i="697"/>
  <c r="S1245" i="697"/>
  <c r="S1491" i="697"/>
  <c r="S1235" i="697"/>
  <c r="S1380" i="697"/>
  <c r="S1495" i="697"/>
  <c r="S1250" i="697"/>
  <c r="S1363" i="697"/>
  <c r="S1237" i="697"/>
  <c r="S1238" i="697"/>
  <c r="S1463" i="697"/>
  <c r="S1374" i="697"/>
  <c r="S1246" i="697"/>
  <c r="S1243" i="697"/>
  <c r="S1247" i="697"/>
  <c r="S1410" i="697"/>
  <c r="S1411" i="697"/>
  <c r="S1370" i="697"/>
  <c r="S1417" i="697"/>
  <c r="S1381" i="697"/>
  <c r="S1248" i="697"/>
  <c r="S1251" i="697"/>
  <c r="S1252" i="697"/>
  <c r="S1432" i="697"/>
  <c r="S1375" i="697"/>
  <c r="S1382" i="697"/>
  <c r="S1260" i="697"/>
  <c r="S1280" i="697"/>
  <c r="S1281" i="697"/>
  <c r="S1282" i="697"/>
  <c r="S1283" i="697"/>
  <c r="S1284" i="697"/>
  <c r="S1433" i="697"/>
  <c r="S1434" i="697"/>
  <c r="S1261" i="697"/>
  <c r="S1264" i="697"/>
  <c r="S1262" i="697"/>
  <c r="S1263" i="697"/>
  <c r="S1383" i="697"/>
  <c r="S1265" i="697"/>
  <c r="S1394" i="697"/>
  <c r="S1441" i="697"/>
  <c r="S1305" i="697"/>
  <c r="S1286" i="697"/>
  <c r="S1306" i="697"/>
  <c r="S1451" i="697"/>
  <c r="S1455" i="697"/>
  <c r="S1319" i="697"/>
  <c r="S1435" i="697"/>
  <c r="S1279" i="697"/>
  <c r="S1287" i="697"/>
  <c r="S1442" i="697"/>
  <c r="S1412" i="697"/>
  <c r="S1395" i="697"/>
  <c r="S1288" i="697"/>
  <c r="S1396" i="697"/>
  <c r="S1510" i="697"/>
  <c r="S1413" i="697"/>
  <c r="S1389" i="697"/>
  <c r="S1291" i="697"/>
  <c r="S1492" i="697"/>
  <c r="S1496" i="697"/>
  <c r="S1390" i="697"/>
  <c r="S1304" i="697"/>
  <c r="S1397" i="697"/>
  <c r="S1418" i="697"/>
  <c r="S1317" i="697"/>
  <c r="S1307" i="697"/>
  <c r="S1308" i="697"/>
  <c r="S1309" i="697"/>
  <c r="S1310" i="697"/>
  <c r="S1311" i="697"/>
  <c r="S1312" i="697"/>
  <c r="S1313" i="697"/>
  <c r="S1314" i="697"/>
  <c r="S1315" i="697"/>
  <c r="S1316" i="697"/>
  <c r="S1398" i="697"/>
  <c r="S1414" i="697"/>
  <c r="S1346" i="697"/>
  <c r="S1347" i="697"/>
  <c r="S1464" i="697"/>
  <c r="S1348" i="697"/>
  <c r="S1349" i="697"/>
  <c r="S1350" i="697"/>
  <c r="S1399" i="697"/>
  <c r="S1400" i="697"/>
  <c r="S1351" i="697"/>
  <c r="S1352" i="697"/>
  <c r="S1386" i="697"/>
  <c r="S1318" i="697"/>
  <c r="S1353" i="697"/>
  <c r="S1354" i="697"/>
  <c r="S1429" i="697"/>
  <c r="S1477" i="697"/>
  <c r="S1355" i="697"/>
  <c r="S1332" i="697"/>
  <c r="S1333" i="697"/>
  <c r="S1478" i="697"/>
  <c r="S1472" i="697"/>
  <c r="S1511" i="697"/>
  <c r="S1342" i="697"/>
  <c r="S1341" i="697"/>
  <c r="S1424" i="697"/>
  <c r="S1343" i="697"/>
  <c r="S1474" i="697"/>
  <c r="S1516" i="697"/>
  <c r="S1479" i="697"/>
  <c r="S1465" i="697"/>
  <c r="S1425" i="697"/>
  <c r="S1480" i="697"/>
  <c r="S1356" i="697"/>
  <c r="S1481" i="697"/>
  <c r="S1512" i="697"/>
  <c r="S1473" i="697"/>
  <c r="S1482" i="697"/>
  <c r="S1362" i="697"/>
  <c r="S1483" i="697"/>
  <c r="S1484" i="697"/>
  <c r="S1391" i="697"/>
  <c r="S1364" i="697"/>
  <c r="S1513" i="697"/>
  <c r="S1376" i="697"/>
  <c r="S1402" i="697"/>
  <c r="S1403" i="697"/>
  <c r="S1404" i="697"/>
  <c r="S1405" i="697"/>
  <c r="S1371" i="697"/>
  <c r="S1436" i="697"/>
  <c r="S1437" i="697"/>
  <c r="S1485" i="697"/>
  <c r="S1514" i="697"/>
  <c r="S1486" i="697"/>
  <c r="S1384" i="697"/>
  <c r="S1385" i="697"/>
  <c r="S1387" i="697"/>
  <c r="S1388" i="697"/>
  <c r="S1392" i="697"/>
  <c r="S1393" i="697"/>
  <c r="S1416" i="697"/>
  <c r="S1406" i="697"/>
  <c r="S1407" i="697"/>
  <c r="S1438" i="697"/>
  <c r="S1487" i="697"/>
  <c r="S1443" i="697"/>
  <c r="S1444" i="697"/>
  <c r="S1445" i="697"/>
  <c r="S1420" i="697"/>
  <c r="S1408" i="697"/>
  <c r="S1497" i="697"/>
  <c r="S1498" i="697"/>
  <c r="S1499" i="697"/>
  <c r="S1446" i="697"/>
  <c r="S1517" i="697"/>
  <c r="S1518" i="697"/>
  <c r="S1489" i="697"/>
  <c r="S1447" i="697"/>
  <c r="S1448" i="697"/>
  <c r="S1415" i="697"/>
  <c r="S1488" i="697"/>
  <c r="S1419" i="697"/>
  <c r="S1421" i="697"/>
  <c r="S1422" i="697"/>
  <c r="S1459" i="697"/>
  <c r="S1426" i="697"/>
  <c r="S1460" i="697"/>
  <c r="S1461" i="697"/>
  <c r="S1427" i="697"/>
  <c r="S1428" i="697"/>
  <c r="S1449" i="697"/>
  <c r="S1431" i="697"/>
  <c r="S1430" i="697"/>
  <c r="S1490" i="697"/>
  <c r="S1452" i="697"/>
  <c r="S1456" i="697"/>
  <c r="S1450" i="697"/>
  <c r="S1519" i="697"/>
  <c r="S1457" i="697"/>
  <c r="S1458" i="697"/>
  <c r="S1462" i="697"/>
  <c r="S1453" i="697"/>
  <c r="S1409" i="697"/>
  <c r="S1454" i="697"/>
  <c r="S1466" i="697"/>
  <c r="S1467" i="697"/>
  <c r="S1468" i="697"/>
  <c r="S1469" i="697"/>
  <c r="S1475" i="697"/>
  <c r="S1470" i="697"/>
  <c r="S1471" i="697"/>
  <c r="S1493" i="697"/>
  <c r="S1494" i="697"/>
  <c r="S1500" i="697"/>
  <c r="S1501" i="697"/>
  <c r="S1502" i="697"/>
  <c r="S1503" i="697"/>
  <c r="S1504" i="697"/>
  <c r="S1505" i="697"/>
  <c r="S1506" i="697"/>
  <c r="S1507" i="697"/>
  <c r="S1508" i="697"/>
  <c r="S1509" i="697"/>
  <c r="S1515" i="697"/>
  <c r="T1292" i="697"/>
  <c r="T103" i="697"/>
  <c r="T104" i="697"/>
  <c r="T22" i="697"/>
  <c r="T23" i="697"/>
  <c r="T12" i="697"/>
  <c r="T196" i="697"/>
  <c r="T4" i="697"/>
  <c r="T24" i="697"/>
  <c r="T208" i="697"/>
  <c r="T6" i="697"/>
  <c r="T13" i="697"/>
  <c r="T14" i="697"/>
  <c r="T2" i="697"/>
  <c r="T15" i="697"/>
  <c r="T16" i="697"/>
  <c r="T34" i="697"/>
  <c r="T17" i="697"/>
  <c r="T45" i="697"/>
  <c r="T77" i="697"/>
  <c r="T117" i="697"/>
  <c r="T78" i="697"/>
  <c r="T79" i="697"/>
  <c r="T80" i="697"/>
  <c r="T40" i="697"/>
  <c r="T3" i="697"/>
  <c r="T209" i="697"/>
  <c r="T5" i="697"/>
  <c r="T18" i="697"/>
  <c r="T19" i="697"/>
  <c r="T20" i="697"/>
  <c r="T7" i="697"/>
  <c r="T8" i="697"/>
  <c r="T10" i="697"/>
  <c r="T105" i="697"/>
  <c r="T106" i="697"/>
  <c r="T107" i="697"/>
  <c r="T11" i="697"/>
  <c r="T81" i="697"/>
  <c r="T174" i="697"/>
  <c r="T175" i="697"/>
  <c r="T82" i="697"/>
  <c r="T83" i="697"/>
  <c r="T118" i="697"/>
  <c r="T84" i="697"/>
  <c r="T85" i="697"/>
  <c r="T86" i="697"/>
  <c r="T87" i="697"/>
  <c r="T21" i="697"/>
  <c r="T210" i="697"/>
  <c r="T88" i="697"/>
  <c r="T27" i="697"/>
  <c r="T28" i="697"/>
  <c r="T29" i="697"/>
  <c r="T30" i="697"/>
  <c r="T31" i="697"/>
  <c r="T32" i="697"/>
  <c r="T33" i="697"/>
  <c r="T219" i="697"/>
  <c r="T89" i="697"/>
  <c r="T90" i="697"/>
  <c r="T96" i="697"/>
  <c r="T114" i="697"/>
  <c r="T125" i="697"/>
  <c r="T67" i="697"/>
  <c r="T171" i="697"/>
  <c r="T76" i="697"/>
  <c r="T46" i="697"/>
  <c r="T47" i="697"/>
  <c r="T48" i="697"/>
  <c r="T37" i="697"/>
  <c r="T49" i="697"/>
  <c r="T50" i="697"/>
  <c r="T51" i="697"/>
  <c r="T52" i="697"/>
  <c r="T53" i="697"/>
  <c r="T54" i="697"/>
  <c r="T55" i="697"/>
  <c r="T56" i="697"/>
  <c r="T119" i="697"/>
  <c r="T57" i="697"/>
  <c r="T115" i="697"/>
  <c r="T35" i="697"/>
  <c r="T58" i="697"/>
  <c r="T59" i="697"/>
  <c r="T60" i="697"/>
  <c r="T61" i="697"/>
  <c r="T62" i="697"/>
  <c r="T63" i="697"/>
  <c r="T126" i="697"/>
  <c r="T116" i="697"/>
  <c r="T120" i="697"/>
  <c r="T91" i="697"/>
  <c r="T133" i="697"/>
  <c r="T92" i="697"/>
  <c r="T93" i="697"/>
  <c r="T36" i="697"/>
  <c r="T108" i="697"/>
  <c r="T109" i="697"/>
  <c r="T110" i="697"/>
  <c r="T111" i="697"/>
  <c r="T64" i="697"/>
  <c r="T213" i="697"/>
  <c r="T134" i="697"/>
  <c r="T131" i="697"/>
  <c r="T140" i="697"/>
  <c r="T38" i="697"/>
  <c r="T399" i="697"/>
  <c r="T68" i="697"/>
  <c r="T65" i="697"/>
  <c r="T176" i="697"/>
  <c r="T127" i="697"/>
  <c r="T129" i="697"/>
  <c r="T97" i="697"/>
  <c r="T206" i="697"/>
  <c r="T39" i="697"/>
  <c r="T66" i="697"/>
  <c r="T230" i="697"/>
  <c r="T254" i="697"/>
  <c r="T160" i="697"/>
  <c r="T41" i="697"/>
  <c r="T42" i="697"/>
  <c r="T75" i="697"/>
  <c r="T44" i="697"/>
  <c r="T121" i="697"/>
  <c r="T43" i="697"/>
  <c r="T236" i="697"/>
  <c r="T255" i="697"/>
  <c r="T25" i="697"/>
  <c r="T26" i="697"/>
  <c r="T94" i="697"/>
  <c r="T237" i="697"/>
  <c r="T214" i="697"/>
  <c r="T256" i="697"/>
  <c r="T135" i="697"/>
  <c r="T161" i="697"/>
  <c r="T257" i="697"/>
  <c r="T207" i="697"/>
  <c r="T162" i="697"/>
  <c r="T177" i="697"/>
  <c r="T122" i="697"/>
  <c r="T163" i="697"/>
  <c r="T69" i="697"/>
  <c r="T70" i="697"/>
  <c r="T71" i="697"/>
  <c r="T72" i="697"/>
  <c r="T73" i="697"/>
  <c r="T74" i="697"/>
  <c r="T258" i="697"/>
  <c r="T178" i="697"/>
  <c r="T150" i="697"/>
  <c r="T141" i="697"/>
  <c r="T151" i="697"/>
  <c r="T152" i="697"/>
  <c r="T211" i="697"/>
  <c r="T142" i="697"/>
  <c r="T153" i="697"/>
  <c r="T154" i="697"/>
  <c r="T155" i="697"/>
  <c r="T156" i="697"/>
  <c r="T143" i="697"/>
  <c r="T144" i="697"/>
  <c r="T145" i="697"/>
  <c r="T146" i="697"/>
  <c r="T157" i="697"/>
  <c r="T158" i="697"/>
  <c r="T229" i="697"/>
  <c r="T95" i="697"/>
  <c r="T159" i="697"/>
  <c r="T240" i="697"/>
  <c r="T98" i="697"/>
  <c r="T99" i="697"/>
  <c r="T100" i="697"/>
  <c r="T101" i="697"/>
  <c r="T284" i="697"/>
  <c r="T102" i="697"/>
  <c r="T275" i="697"/>
  <c r="T197" i="697"/>
  <c r="T231" i="697"/>
  <c r="T147" i="697"/>
  <c r="T112" i="697"/>
  <c r="T148" i="697"/>
  <c r="T113" i="697"/>
  <c r="T259" i="697"/>
  <c r="T123" i="697"/>
  <c r="T252" i="697"/>
  <c r="T238" i="697"/>
  <c r="T232" i="697"/>
  <c r="T253" i="697"/>
  <c r="T233" i="697"/>
  <c r="T835" i="697"/>
  <c r="T124" i="697"/>
  <c r="T234" i="697"/>
  <c r="T244" i="697"/>
  <c r="T260" i="697"/>
  <c r="T181" i="697"/>
  <c r="T182" i="697"/>
  <c r="T183" i="697"/>
  <c r="T184" i="697"/>
  <c r="T172" i="697"/>
  <c r="T330" i="697"/>
  <c r="T245" i="697"/>
  <c r="T128" i="697"/>
  <c r="T285" i="697"/>
  <c r="T130" i="697"/>
  <c r="T132" i="697"/>
  <c r="T198" i="697"/>
  <c r="T349" i="697"/>
  <c r="T185" i="697"/>
  <c r="T312" i="697"/>
  <c r="T136" i="697"/>
  <c r="T276" i="697"/>
  <c r="T241" i="697"/>
  <c r="T277" i="697"/>
  <c r="T408" i="697"/>
  <c r="T286" i="697"/>
  <c r="T278" i="697"/>
  <c r="T279" i="697"/>
  <c r="T280" i="697"/>
  <c r="T149" i="697"/>
  <c r="T261" i="697"/>
  <c r="T137" i="697"/>
  <c r="T220" i="697"/>
  <c r="T394" i="697"/>
  <c r="T305" i="697"/>
  <c r="T164" i="697"/>
  <c r="T138" i="697"/>
  <c r="T139" i="697"/>
  <c r="T186" i="697"/>
  <c r="T221" i="697"/>
  <c r="T281" i="697"/>
  <c r="T331" i="697"/>
  <c r="T262" i="697"/>
  <c r="T263" i="697"/>
  <c r="T306" i="697"/>
  <c r="T320" i="697"/>
  <c r="T332" i="697"/>
  <c r="T199" i="697"/>
  <c r="T373" i="697"/>
  <c r="T357" i="697"/>
  <c r="T282" i="697"/>
  <c r="T165" i="697"/>
  <c r="T166" i="697"/>
  <c r="T167" i="697"/>
  <c r="T168" i="697"/>
  <c r="T169" i="697"/>
  <c r="T170" i="697"/>
  <c r="T333" i="697"/>
  <c r="T374" i="697"/>
  <c r="T187" i="697"/>
  <c r="T200" i="697"/>
  <c r="T173" i="697"/>
  <c r="T201" i="697"/>
  <c r="T265" i="697"/>
  <c r="T266" i="697"/>
  <c r="T235" i="697"/>
  <c r="T188" i="697"/>
  <c r="T189" i="697"/>
  <c r="T190" i="697"/>
  <c r="T191" i="697"/>
  <c r="T192" i="697"/>
  <c r="T193" i="697"/>
  <c r="T194" i="697"/>
  <c r="T195" i="697"/>
  <c r="T215" i="697"/>
  <c r="T307" i="697"/>
  <c r="T179" i="697"/>
  <c r="T180" i="697"/>
  <c r="T313" i="697"/>
  <c r="T267" i="697"/>
  <c r="T268" i="697"/>
  <c r="T269" i="697"/>
  <c r="T222" i="697"/>
  <c r="T334" i="697"/>
  <c r="T375" i="697"/>
  <c r="T202" i="697"/>
  <c r="T335" i="697"/>
  <c r="T442" i="697"/>
  <c r="T203" i="697"/>
  <c r="T204" i="697"/>
  <c r="T301" i="697"/>
  <c r="T376" i="697"/>
  <c r="T223" i="697"/>
  <c r="T224" i="697"/>
  <c r="T225" i="697"/>
  <c r="T226" i="697"/>
  <c r="T205" i="697"/>
  <c r="T303" i="697"/>
  <c r="T336" i="697"/>
  <c r="T337" i="697"/>
  <c r="T308" i="697"/>
  <c r="T216" i="697"/>
  <c r="T212" i="697"/>
  <c r="T338" i="697"/>
  <c r="T530" i="697"/>
  <c r="T395" i="697"/>
  <c r="T217" i="697"/>
  <c r="T377" i="697"/>
  <c r="T218" i="697"/>
  <c r="T227" i="697"/>
  <c r="T297" i="697"/>
  <c r="T339" i="697"/>
  <c r="T340" i="697"/>
  <c r="T228" i="697"/>
  <c r="T298" i="697"/>
  <c r="T504" i="697"/>
  <c r="T242" i="697"/>
  <c r="T341" i="697"/>
  <c r="T314" i="697"/>
  <c r="T361" i="697"/>
  <c r="T342" i="697"/>
  <c r="T283" i="697"/>
  <c r="T531" i="697"/>
  <c r="T270" i="697"/>
  <c r="T271" i="697"/>
  <c r="T343" i="697"/>
  <c r="T315" i="697"/>
  <c r="T239" i="697"/>
  <c r="T344" i="697"/>
  <c r="T345" i="697"/>
  <c r="T346" i="697"/>
  <c r="T411" i="697"/>
  <c r="T378" i="697"/>
  <c r="T347" i="697"/>
  <c r="T379" i="697"/>
  <c r="T406" i="697"/>
  <c r="T362" i="697"/>
  <c r="T363" i="697"/>
  <c r="T243" i="697"/>
  <c r="T364" i="697"/>
  <c r="T407" i="697"/>
  <c r="T348" i="697"/>
  <c r="T380" i="697"/>
  <c r="T272" i="697"/>
  <c r="T246" i="697"/>
  <c r="T287" i="697"/>
  <c r="T365" i="697"/>
  <c r="T274" i="697"/>
  <c r="T247" i="697"/>
  <c r="T248" i="697"/>
  <c r="T249" i="697"/>
  <c r="T250" i="697"/>
  <c r="T251" i="697"/>
  <c r="T273" i="697"/>
  <c r="T288" i="697"/>
  <c r="T289" i="697"/>
  <c r="T422" i="697"/>
  <c r="T388" i="697"/>
  <c r="T302" i="697"/>
  <c r="T290" i="697"/>
  <c r="T316" i="697"/>
  <c r="T317" i="697"/>
  <c r="T291" i="697"/>
  <c r="T292" i="697"/>
  <c r="T293" i="697"/>
  <c r="T294" i="697"/>
  <c r="T264" i="697"/>
  <c r="T389" i="697"/>
  <c r="T460" i="697"/>
  <c r="T461" i="697"/>
  <c r="T462" i="697"/>
  <c r="T463" i="697"/>
  <c r="T464" i="697"/>
  <c r="T505" i="697"/>
  <c r="T669" i="697"/>
  <c r="T423" i="697"/>
  <c r="T396" i="697"/>
  <c r="T409" i="697"/>
  <c r="T381" i="697"/>
  <c r="T424" i="697"/>
  <c r="T382" i="697"/>
  <c r="T443" i="697"/>
  <c r="T506" i="697"/>
  <c r="T507" i="697"/>
  <c r="T523" i="697"/>
  <c r="T485" i="697"/>
  <c r="T295" i="697"/>
  <c r="T296" i="697"/>
  <c r="T524" i="697"/>
  <c r="T425" i="697"/>
  <c r="T410" i="697"/>
  <c r="T444" i="697"/>
  <c r="T352" i="697"/>
  <c r="T397" i="697"/>
  <c r="T299" i="697"/>
  <c r="T300" i="697"/>
  <c r="T383" i="697"/>
  <c r="T508" i="697"/>
  <c r="T509" i="697"/>
  <c r="T510" i="697"/>
  <c r="T384" i="697"/>
  <c r="T426" i="697"/>
  <c r="T532" i="697"/>
  <c r="T304" i="697"/>
  <c r="T614" i="697"/>
  <c r="T360" i="697"/>
  <c r="T427" i="697"/>
  <c r="T428" i="697"/>
  <c r="T309" i="697"/>
  <c r="T465" i="697"/>
  <c r="T466" i="697"/>
  <c r="T310" i="697"/>
  <c r="T543" i="697"/>
  <c r="T544" i="697"/>
  <c r="T311" i="697"/>
  <c r="T445" i="697"/>
  <c r="T413" i="697"/>
  <c r="T450" i="697"/>
  <c r="T487" i="697"/>
  <c r="T318" i="697"/>
  <c r="T319" i="697"/>
  <c r="T518" i="697"/>
  <c r="T519" i="697"/>
  <c r="T451" i="697"/>
  <c r="T452" i="697"/>
  <c r="T429" i="697"/>
  <c r="T467" i="697"/>
  <c r="T468" i="697"/>
  <c r="T390" i="697"/>
  <c r="T326" i="697"/>
  <c r="T321" i="697"/>
  <c r="T322" i="697"/>
  <c r="T323" i="697"/>
  <c r="T324" i="697"/>
  <c r="T325" i="697"/>
  <c r="T391" i="697"/>
  <c r="T353" i="697"/>
  <c r="T385" i="697"/>
  <c r="T671" i="697"/>
  <c r="T327" i="697"/>
  <c r="T328" i="697"/>
  <c r="T386" i="697"/>
  <c r="T400" i="697"/>
  <c r="T401" i="697"/>
  <c r="T329" i="697"/>
  <c r="T354" i="697"/>
  <c r="T355" i="697"/>
  <c r="T469" i="697"/>
  <c r="T358" i="697"/>
  <c r="T520" i="697"/>
  <c r="T430" i="697"/>
  <c r="T367" i="697"/>
  <c r="T453" i="697"/>
  <c r="T623" i="697"/>
  <c r="T546" i="697"/>
  <c r="T624" i="697"/>
  <c r="T625" i="697"/>
  <c r="T431" i="697"/>
  <c r="T350" i="697"/>
  <c r="T446" i="697"/>
  <c r="T414" i="697"/>
  <c r="T432" i="697"/>
  <c r="T454" i="697"/>
  <c r="T351" i="697"/>
  <c r="T455" i="697"/>
  <c r="T488" i="697"/>
  <c r="T502" i="697"/>
  <c r="T369" i="697"/>
  <c r="T370" i="697"/>
  <c r="T470" i="697"/>
  <c r="T402" i="697"/>
  <c r="T356" i="697"/>
  <c r="T371" i="697"/>
  <c r="T489" i="697"/>
  <c r="T626" i="697"/>
  <c r="T627" i="697"/>
  <c r="T490" i="697"/>
  <c r="T359" i="697"/>
  <c r="T471" i="697"/>
  <c r="T368" i="697"/>
  <c r="T525" i="697"/>
  <c r="T472" i="697"/>
  <c r="T366" i="697"/>
  <c r="T491" i="697"/>
  <c r="T492" i="697"/>
  <c r="T433" i="697"/>
  <c r="T473" i="697"/>
  <c r="T493" i="697"/>
  <c r="T372" i="697"/>
  <c r="T526" i="697"/>
  <c r="T387" i="697"/>
  <c r="T474" i="697"/>
  <c r="T475" i="697"/>
  <c r="T476" i="697"/>
  <c r="T477" i="697"/>
  <c r="T398" i="697"/>
  <c r="T434" i="697"/>
  <c r="T628" i="697"/>
  <c r="T527" i="697"/>
  <c r="T545" i="697"/>
  <c r="T392" i="697"/>
  <c r="T435" i="697"/>
  <c r="T436" i="697"/>
  <c r="T393" i="697"/>
  <c r="T403" i="697"/>
  <c r="T404" i="697"/>
  <c r="T511" i="697"/>
  <c r="T512" i="697"/>
  <c r="T513" i="697"/>
  <c r="T514" i="697"/>
  <c r="T670" i="697"/>
  <c r="T478" i="697"/>
  <c r="T494" i="697"/>
  <c r="T629" i="697"/>
  <c r="T584" i="697"/>
  <c r="T405" i="697"/>
  <c r="T538" i="697"/>
  <c r="T539" i="697"/>
  <c r="T528" i="697"/>
  <c r="T554" i="697"/>
  <c r="T555" i="697"/>
  <c r="T412" i="697"/>
  <c r="T637" i="697"/>
  <c r="T415" i="697"/>
  <c r="T479" i="697"/>
  <c r="T480" i="697"/>
  <c r="T615" i="697"/>
  <c r="T592" i="697"/>
  <c r="T441" i="697"/>
  <c r="T662" i="697"/>
  <c r="T447" i="697"/>
  <c r="T416" i="697"/>
  <c r="T417" i="697"/>
  <c r="T418" i="697"/>
  <c r="T419" i="697"/>
  <c r="T420" i="697"/>
  <c r="T421" i="697"/>
  <c r="T486" i="697"/>
  <c r="T498" i="697"/>
  <c r="T499" i="697"/>
  <c r="T448" i="697"/>
  <c r="T449" i="697"/>
  <c r="T457" i="697"/>
  <c r="T481" i="697"/>
  <c r="T515" i="697"/>
  <c r="T677" i="697"/>
  <c r="T439" i="697"/>
  <c r="T672" i="697"/>
  <c r="T616" i="697"/>
  <c r="T617" i="697"/>
  <c r="T529" i="697"/>
  <c r="T437" i="697"/>
  <c r="T438" i="697"/>
  <c r="T547" i="697"/>
  <c r="T548" i="697"/>
  <c r="T714" i="697"/>
  <c r="T673" i="697"/>
  <c r="T440" i="697"/>
  <c r="T500" i="697"/>
  <c r="T715" i="697"/>
  <c r="T716" i="697"/>
  <c r="T657" i="697"/>
  <c r="T638" i="697"/>
  <c r="T456" i="697"/>
  <c r="T639" i="697"/>
  <c r="T593" i="697"/>
  <c r="T674" i="697"/>
  <c r="T556" i="697"/>
  <c r="T594" i="697"/>
  <c r="T459" i="697"/>
  <c r="T458" i="697"/>
  <c r="T645" i="697"/>
  <c r="T482" i="697"/>
  <c r="T675" i="697"/>
  <c r="T676" i="697"/>
  <c r="T483" i="697"/>
  <c r="T663" i="697"/>
  <c r="T682" i="697"/>
  <c r="T557" i="697"/>
  <c r="T558" i="697"/>
  <c r="T559" i="697"/>
  <c r="T560" i="697"/>
  <c r="T678" i="697"/>
  <c r="T595" i="697"/>
  <c r="T484" i="697"/>
  <c r="T495" i="697"/>
  <c r="T561" i="697"/>
  <c r="T562" i="697"/>
  <c r="T563" i="697"/>
  <c r="T564" i="697"/>
  <c r="T731" i="697"/>
  <c r="T658" i="697"/>
  <c r="T590" i="697"/>
  <c r="T497" i="697"/>
  <c r="T496" i="697"/>
  <c r="T516" i="697"/>
  <c r="T517" i="697"/>
  <c r="T618" i="697"/>
  <c r="T619" i="697"/>
  <c r="T679" i="697"/>
  <c r="T501" i="697"/>
  <c r="T503" i="697"/>
  <c r="T620" i="697"/>
  <c r="T596" i="697"/>
  <c r="T701" i="697"/>
  <c r="T664" i="697"/>
  <c r="T659" i="697"/>
  <c r="T680" i="697"/>
  <c r="T565" i="697"/>
  <c r="T566" i="697"/>
  <c r="T567" i="697"/>
  <c r="T568" i="697"/>
  <c r="T621" i="697"/>
  <c r="T702" i="697"/>
  <c r="T732" i="697"/>
  <c r="T751" i="697"/>
  <c r="T717" i="697"/>
  <c r="T646" i="697"/>
  <c r="T521" i="697"/>
  <c r="T681" i="697"/>
  <c r="T522" i="697"/>
  <c r="T533" i="697"/>
  <c r="T549" i="697"/>
  <c r="T577" i="697"/>
  <c r="T610" i="697"/>
  <c r="T752" i="697"/>
  <c r="T534" i="697"/>
  <c r="T581" i="697"/>
  <c r="T587" i="697"/>
  <c r="T588" i="697"/>
  <c r="T660" i="697"/>
  <c r="T718" i="697"/>
  <c r="T550" i="697"/>
  <c r="T551" i="697"/>
  <c r="T552" i="697"/>
  <c r="T753" i="697"/>
  <c r="T782" i="697"/>
  <c r="T536" i="697"/>
  <c r="T683" i="697"/>
  <c r="T866" i="697"/>
  <c r="T578" i="697"/>
  <c r="T535" i="697"/>
  <c r="T684" i="697"/>
  <c r="T754" i="697"/>
  <c r="T537" i="697"/>
  <c r="T540" i="697"/>
  <c r="T755" i="697"/>
  <c r="T685" i="697"/>
  <c r="T686" i="697"/>
  <c r="T705" i="697"/>
  <c r="T541" i="697"/>
  <c r="T542" i="697"/>
  <c r="T687" i="697"/>
  <c r="T733" i="697"/>
  <c r="T836" i="697"/>
  <c r="T756" i="697"/>
  <c r="T569" i="697"/>
  <c r="T706" i="697"/>
  <c r="T707" i="697"/>
  <c r="T734" i="697"/>
  <c r="T735" i="697"/>
  <c r="T580" i="697"/>
  <c r="T585" i="697"/>
  <c r="T630" i="697"/>
  <c r="T553" i="697"/>
  <c r="T749" i="697"/>
  <c r="T688" i="697"/>
  <c r="T837" i="697"/>
  <c r="T634" i="697"/>
  <c r="T757" i="697"/>
  <c r="T783" i="697"/>
  <c r="T689" i="697"/>
  <c r="T576" i="697"/>
  <c r="T758" i="697"/>
  <c r="T759" i="697"/>
  <c r="T760" i="697"/>
  <c r="T690" i="697"/>
  <c r="T579" i="697"/>
  <c r="T784" i="697"/>
  <c r="T838" i="697"/>
  <c r="T761" i="697"/>
  <c r="T811" i="697"/>
  <c r="T691" i="697"/>
  <c r="T815" i="697"/>
  <c r="T889" i="697"/>
  <c r="T582" i="697"/>
  <c r="T665" i="697"/>
  <c r="T583" i="697"/>
  <c r="T586" i="697"/>
  <c r="T692" i="697"/>
  <c r="T719" i="697"/>
  <c r="T661" i="697"/>
  <c r="T762" i="697"/>
  <c r="T763" i="697"/>
  <c r="T611" i="697"/>
  <c r="T816" i="697"/>
  <c r="T720" i="697"/>
  <c r="T693" i="697"/>
  <c r="T589" i="697"/>
  <c r="T839" i="697"/>
  <c r="T591" i="697"/>
  <c r="T721" i="697"/>
  <c r="T597" i="697"/>
  <c r="T598" i="697"/>
  <c r="T764" i="697"/>
  <c r="T694" i="697"/>
  <c r="T840" i="697"/>
  <c r="T793" i="697"/>
  <c r="T765" i="697"/>
  <c r="T601" i="697"/>
  <c r="T695" i="697"/>
  <c r="T599" i="697"/>
  <c r="T600" i="697"/>
  <c r="T812" i="697"/>
  <c r="T785" i="697"/>
  <c r="T722" i="697"/>
  <c r="T602" i="697"/>
  <c r="T603" i="697"/>
  <c r="T604" i="697"/>
  <c r="T605" i="697"/>
  <c r="T606" i="697"/>
  <c r="T607" i="697"/>
  <c r="T608" i="697"/>
  <c r="T609" i="697"/>
  <c r="T738" i="697"/>
  <c r="T739" i="697"/>
  <c r="T740" i="697"/>
  <c r="T741" i="697"/>
  <c r="T742" i="697"/>
  <c r="T766" i="697"/>
  <c r="T923" i="697"/>
  <c r="T902" i="697"/>
  <c r="T654" i="697"/>
  <c r="T723" i="697"/>
  <c r="T647" i="697"/>
  <c r="T854" i="697"/>
  <c r="T648" i="697"/>
  <c r="T696" i="697"/>
  <c r="T697" i="697"/>
  <c r="T649" i="697"/>
  <c r="T650" i="697"/>
  <c r="T698" i="697"/>
  <c r="T612" i="697"/>
  <c r="T613" i="697"/>
  <c r="T651" i="697"/>
  <c r="T767" i="697"/>
  <c r="T768" i="697"/>
  <c r="T631" i="697"/>
  <c r="T743" i="697"/>
  <c r="T622" i="697"/>
  <c r="T841" i="697"/>
  <c r="T769" i="697"/>
  <c r="T632" i="697"/>
  <c r="T633" i="697"/>
  <c r="T770" i="697"/>
  <c r="T640" i="697"/>
  <c r="T744" i="697"/>
  <c r="T890" i="697"/>
  <c r="T867" i="697"/>
  <c r="T855" i="697"/>
  <c r="T635" i="697"/>
  <c r="T891" i="697"/>
  <c r="T699" i="697"/>
  <c r="T903" i="697"/>
  <c r="T773" i="697"/>
  <c r="T636" i="697"/>
  <c r="T641" i="697"/>
  <c r="T652" i="697"/>
  <c r="T642" i="697"/>
  <c r="T643" i="697"/>
  <c r="T868" i="697"/>
  <c r="T892" i="697"/>
  <c r="T856" i="697"/>
  <c r="T842" i="697"/>
  <c r="T893" i="697"/>
  <c r="T843" i="697"/>
  <c r="T644" i="697"/>
  <c r="T799" i="697"/>
  <c r="T844" i="697"/>
  <c r="T857" i="697"/>
  <c r="T653" i="697"/>
  <c r="T655" i="697"/>
  <c r="T858" i="697"/>
  <c r="T656" i="697"/>
  <c r="T745" i="697"/>
  <c r="T746" i="697"/>
  <c r="T666" i="697"/>
  <c r="T859" i="697"/>
  <c r="T747" i="697"/>
  <c r="T924" i="697"/>
  <c r="T925" i="697"/>
  <c r="T926" i="697"/>
  <c r="T869" i="697"/>
  <c r="T667" i="697"/>
  <c r="T750" i="697"/>
  <c r="T668" i="697"/>
  <c r="T845" i="697"/>
  <c r="T1029" i="697"/>
  <c r="T700" i="697"/>
  <c r="T703" i="697"/>
  <c r="T704" i="697"/>
  <c r="T927" i="697"/>
  <c r="T928" i="697"/>
  <c r="T879" i="697"/>
  <c r="T846" i="697"/>
  <c r="T929" i="697"/>
  <c r="T860" i="697"/>
  <c r="T794" i="697"/>
  <c r="T861" i="697"/>
  <c r="T930" i="697"/>
  <c r="T894" i="697"/>
  <c r="T870" i="697"/>
  <c r="T862" i="697"/>
  <c r="T931" i="697"/>
  <c r="T932" i="697"/>
  <c r="T933" i="697"/>
  <c r="T708" i="697"/>
  <c r="T709" i="697"/>
  <c r="T710" i="697"/>
  <c r="T711" i="697"/>
  <c r="T712" i="697"/>
  <c r="T713" i="697"/>
  <c r="T786" i="697"/>
  <c r="T787" i="697"/>
  <c r="T952" i="697"/>
  <c r="T788" i="697"/>
  <c r="T809" i="697"/>
  <c r="T810" i="697"/>
  <c r="T736" i="697"/>
  <c r="T748" i="697"/>
  <c r="T774" i="697"/>
  <c r="T775" i="697"/>
  <c r="T776" i="697"/>
  <c r="T789" i="697"/>
  <c r="T934" i="697"/>
  <c r="T724" i="697"/>
  <c r="T725" i="697"/>
  <c r="T726" i="697"/>
  <c r="T727" i="697"/>
  <c r="T790" i="697"/>
  <c r="T1021" i="697"/>
  <c r="T728" i="697"/>
  <c r="T729" i="697"/>
  <c r="T730" i="697"/>
  <c r="T953" i="697"/>
  <c r="T871" i="697"/>
  <c r="T817" i="697"/>
  <c r="T737" i="697"/>
  <c r="T1084" i="697"/>
  <c r="T880" i="697"/>
  <c r="T863" i="697"/>
  <c r="T570" i="697"/>
  <c r="T571" i="697"/>
  <c r="T572" i="697"/>
  <c r="T573" i="697"/>
  <c r="T574" i="697"/>
  <c r="T575" i="697"/>
  <c r="T771" i="697"/>
  <c r="T772" i="697"/>
  <c r="T954" i="697"/>
  <c r="T955" i="697"/>
  <c r="T980" i="697"/>
  <c r="T777" i="697"/>
  <c r="T956" i="697"/>
  <c r="T981" i="697"/>
  <c r="T982" i="697"/>
  <c r="T983" i="697"/>
  <c r="T904" i="697"/>
  <c r="T984" i="697"/>
  <c r="T912" i="697"/>
  <c r="T913" i="697"/>
  <c r="T778" i="697"/>
  <c r="T957" i="697"/>
  <c r="T881" i="697"/>
  <c r="T779" i="697"/>
  <c r="T780" i="697"/>
  <c r="T905" i="697"/>
  <c r="T985" i="697"/>
  <c r="T781" i="697"/>
  <c r="T906" i="697"/>
  <c r="T948" i="697"/>
  <c r="T935" i="697"/>
  <c r="T936" i="697"/>
  <c r="T791" i="697"/>
  <c r="T795" i="697"/>
  <c r="T937" i="697"/>
  <c r="T986" i="697"/>
  <c r="T895" i="697"/>
  <c r="T896" i="697"/>
  <c r="T914" i="697"/>
  <c r="T958" i="697"/>
  <c r="T792" i="697"/>
  <c r="T987" i="697"/>
  <c r="T800" i="697"/>
  <c r="T988" i="697"/>
  <c r="T959" i="697"/>
  <c r="T801" i="697"/>
  <c r="T796" i="697"/>
  <c r="T989" i="697"/>
  <c r="T797" i="697"/>
  <c r="T798" i="697"/>
  <c r="T802" i="697"/>
  <c r="T990" i="697"/>
  <c r="T803" i="697"/>
  <c r="T804" i="697"/>
  <c r="T805" i="697"/>
  <c r="T806" i="697"/>
  <c r="T807" i="697"/>
  <c r="T808" i="697"/>
  <c r="T1022" i="697"/>
  <c r="T1005" i="697"/>
  <c r="T813" i="697"/>
  <c r="T814" i="697"/>
  <c r="T991" i="697"/>
  <c r="T992" i="697"/>
  <c r="T993" i="697"/>
  <c r="T818" i="697"/>
  <c r="T938" i="697"/>
  <c r="T819" i="697"/>
  <c r="T820" i="697"/>
  <c r="T821" i="697"/>
  <c r="T822" i="697"/>
  <c r="T823" i="697"/>
  <c r="T824" i="697"/>
  <c r="T825" i="697"/>
  <c r="T826" i="697"/>
  <c r="T939" i="697"/>
  <c r="T827" i="697"/>
  <c r="T828" i="697"/>
  <c r="T915" i="697"/>
  <c r="T897" i="697"/>
  <c r="T829" i="697"/>
  <c r="T830" i="697"/>
  <c r="T847" i="697"/>
  <c r="T831" i="697"/>
  <c r="T832" i="697"/>
  <c r="T833" i="697"/>
  <c r="T1000" i="697"/>
  <c r="T960" i="697"/>
  <c r="T834" i="697"/>
  <c r="T1030" i="697"/>
  <c r="T875" i="697"/>
  <c r="T898" i="697"/>
  <c r="T916" i="697"/>
  <c r="T917" i="697"/>
  <c r="T852" i="697"/>
  <c r="T872" i="697"/>
  <c r="T886" i="697"/>
  <c r="T848" i="697"/>
  <c r="T918" i="697"/>
  <c r="T1143" i="697"/>
  <c r="T876" i="697"/>
  <c r="T877" i="697"/>
  <c r="T878" i="697"/>
  <c r="T994" i="697"/>
  <c r="T850" i="697"/>
  <c r="T849" i="697"/>
  <c r="T1001" i="697"/>
  <c r="T899" i="697"/>
  <c r="T1002" i="697"/>
  <c r="T1006" i="697"/>
  <c r="T851" i="697"/>
  <c r="T940" i="697"/>
  <c r="T941" i="697"/>
  <c r="T1007" i="697"/>
  <c r="T995" i="697"/>
  <c r="T1213" i="697"/>
  <c r="T853" i="697"/>
  <c r="T1023" i="697"/>
  <c r="T1008" i="697"/>
  <c r="T1044" i="697"/>
  <c r="T864" i="697"/>
  <c r="T865" i="697"/>
  <c r="T942" i="697"/>
  <c r="T1024" i="697"/>
  <c r="T873" i="697"/>
  <c r="T943" i="697"/>
  <c r="T1045" i="697"/>
  <c r="T1046" i="697"/>
  <c r="T1047" i="697"/>
  <c r="T874" i="697"/>
  <c r="T1025" i="697"/>
  <c r="T1031" i="697"/>
  <c r="T1048" i="697"/>
  <c r="T882" i="697"/>
  <c r="T883" i="697"/>
  <c r="T884" i="697"/>
  <c r="T885" i="697"/>
  <c r="T1049" i="697"/>
  <c r="T1050" i="697"/>
  <c r="T900" i="697"/>
  <c r="T887" i="697"/>
  <c r="T888" i="697"/>
  <c r="T1091" i="697"/>
  <c r="T1068" i="697"/>
  <c r="T1075" i="697"/>
  <c r="T901" i="697"/>
  <c r="T1096" i="697"/>
  <c r="T907" i="697"/>
  <c r="T908" i="697"/>
  <c r="T909" i="697"/>
  <c r="T910" i="697"/>
  <c r="T911" i="697"/>
  <c r="T1168" i="697"/>
  <c r="T944" i="697"/>
  <c r="T1097" i="697"/>
  <c r="T1069" i="697"/>
  <c r="T1051" i="697"/>
  <c r="T919" i="697"/>
  <c r="T920" i="697"/>
  <c r="T921" i="697"/>
  <c r="T922" i="697"/>
  <c r="T1076" i="697"/>
  <c r="T945" i="697"/>
  <c r="T1162" i="697"/>
  <c r="T1169" i="697"/>
  <c r="T1082" i="697"/>
  <c r="T946" i="697"/>
  <c r="T1083" i="697"/>
  <c r="T1131" i="697"/>
  <c r="T1077" i="697"/>
  <c r="T1052" i="697"/>
  <c r="T1098" i="697"/>
  <c r="T1070" i="697"/>
  <c r="T1085" i="697"/>
  <c r="T947" i="697"/>
  <c r="T9" i="697"/>
  <c r="T1032" i="697"/>
  <c r="T1053" i="697"/>
  <c r="T949" i="697"/>
  <c r="T950" i="697"/>
  <c r="T1092" i="697"/>
  <c r="T1099" i="697"/>
  <c r="T1130" i="697"/>
  <c r="T1078" i="697"/>
  <c r="T951" i="697"/>
  <c r="T1037" i="697"/>
  <c r="T1071" i="697"/>
  <c r="T1100" i="697"/>
  <c r="T1086" i="697"/>
  <c r="T1087" i="697"/>
  <c r="T1101" i="697"/>
  <c r="T1088" i="697"/>
  <c r="T1239" i="697"/>
  <c r="T1089" i="697"/>
  <c r="T1009" i="697"/>
  <c r="T972" i="697"/>
  <c r="T1054" i="697"/>
  <c r="T1033" i="697"/>
  <c r="T1102" i="697"/>
  <c r="T1010" i="697"/>
  <c r="T961" i="697"/>
  <c r="T962" i="697"/>
  <c r="T963" i="697"/>
  <c r="T964" i="697"/>
  <c r="T965" i="697"/>
  <c r="T966" i="697"/>
  <c r="T967" i="697"/>
  <c r="T968" i="697"/>
  <c r="T969" i="697"/>
  <c r="T970" i="697"/>
  <c r="T971" i="697"/>
  <c r="T1055" i="697"/>
  <c r="T1056" i="697"/>
  <c r="T1057" i="697"/>
  <c r="T1058" i="697"/>
  <c r="T1059" i="697"/>
  <c r="T1060" i="697"/>
  <c r="T1011" i="697"/>
  <c r="T1190" i="697"/>
  <c r="T1012" i="697"/>
  <c r="T973" i="697"/>
  <c r="T974" i="697"/>
  <c r="T1124" i="697"/>
  <c r="T996" i="697"/>
  <c r="T1118" i="697"/>
  <c r="T1013" i="697"/>
  <c r="T1191" i="697"/>
  <c r="T1014" i="697"/>
  <c r="T975" i="697"/>
  <c r="T1015" i="697"/>
  <c r="T1016" i="697"/>
  <c r="T976" i="697"/>
  <c r="T1040" i="697"/>
  <c r="T977" i="697"/>
  <c r="T1093" i="697"/>
  <c r="T1112" i="697"/>
  <c r="T1017" i="697"/>
  <c r="T1103" i="697"/>
  <c r="T1018" i="697"/>
  <c r="T1019" i="697"/>
  <c r="T978" i="697"/>
  <c r="T1214" i="697"/>
  <c r="T1061" i="697"/>
  <c r="T1104" i="697"/>
  <c r="T1320" i="697"/>
  <c r="T1293" i="697"/>
  <c r="T1192" i="697"/>
  <c r="T1207" i="697"/>
  <c r="T1289" i="697"/>
  <c r="T1253" i="697"/>
  <c r="T1321" i="697"/>
  <c r="T1240" i="697"/>
  <c r="T1157" i="697"/>
  <c r="T997" i="697"/>
  <c r="T998" i="697"/>
  <c r="T999" i="697"/>
  <c r="T1520" i="697"/>
  <c r="T1158" i="697"/>
  <c r="T1132" i="697"/>
  <c r="T1003" i="697"/>
  <c r="T1062" i="697"/>
  <c r="T1063" i="697"/>
  <c r="T1004" i="697"/>
  <c r="T1170" i="697"/>
  <c r="T1020" i="697"/>
  <c r="T1274" i="697"/>
  <c r="T1278" i="697"/>
  <c r="T1176" i="697"/>
  <c r="T1294" i="697"/>
  <c r="T1034" i="697"/>
  <c r="T1163" i="697"/>
  <c r="T1026" i="697"/>
  <c r="T1027" i="697"/>
  <c r="T1028" i="697"/>
  <c r="T1521" i="697"/>
  <c r="T1133" i="697"/>
  <c r="T1177" i="697"/>
  <c r="T1035" i="697"/>
  <c r="T1036" i="697"/>
  <c r="T1249" i="697"/>
  <c r="T1171" i="697"/>
  <c r="T1193" i="697"/>
  <c r="T1038" i="697"/>
  <c r="T1079" i="697"/>
  <c r="T1178" i="697"/>
  <c r="T1039" i="697"/>
  <c r="T1230" i="697"/>
  <c r="T1179" i="697"/>
  <c r="T1113" i="697"/>
  <c r="T1080" i="697"/>
  <c r="T1180" i="697"/>
  <c r="T1295" i="697"/>
  <c r="T1041" i="697"/>
  <c r="T1215" i="697"/>
  <c r="T1042" i="697"/>
  <c r="T1043" i="697"/>
  <c r="T1072" i="697"/>
  <c r="T1064" i="697"/>
  <c r="T1065" i="697"/>
  <c r="T1372" i="697"/>
  <c r="T1066" i="697"/>
  <c r="T1296" i="697"/>
  <c r="T1067" i="697"/>
  <c r="T1144" i="697"/>
  <c r="T1181" i="697"/>
  <c r="T1182" i="697"/>
  <c r="T1204" i="697"/>
  <c r="T1073" i="697"/>
  <c r="T1074" i="697"/>
  <c r="T1081" i="697"/>
  <c r="T1183" i="697"/>
  <c r="T1090" i="697"/>
  <c r="T1322" i="697"/>
  <c r="T1184" i="697"/>
  <c r="T1229" i="697"/>
  <c r="T1270" i="697"/>
  <c r="T1194" i="697"/>
  <c r="T1094" i="697"/>
  <c r="T1323" i="697"/>
  <c r="T1290" i="697"/>
  <c r="T1216" i="697"/>
  <c r="T1241" i="697"/>
  <c r="T1105" i="697"/>
  <c r="T1095" i="697"/>
  <c r="T1217" i="697"/>
  <c r="T1231" i="697"/>
  <c r="T979" i="697"/>
  <c r="T1106" i="697"/>
  <c r="T1107" i="697"/>
  <c r="T1271" i="697"/>
  <c r="T1108" i="697"/>
  <c r="T1297" i="697"/>
  <c r="T1110" i="697"/>
  <c r="T1138" i="697"/>
  <c r="T1109" i="697"/>
  <c r="T1111" i="697"/>
  <c r="T1126" i="697"/>
  <c r="T1145" i="697"/>
  <c r="T1146" i="697"/>
  <c r="T1134" i="697"/>
  <c r="T1272" i="697"/>
  <c r="T1273" i="697"/>
  <c r="T1147" i="697"/>
  <c r="T1148" i="697"/>
  <c r="T1149" i="697"/>
  <c r="T1150" i="697"/>
  <c r="T1151" i="697"/>
  <c r="T1114" i="697"/>
  <c r="T1135" i="697"/>
  <c r="T1127" i="697"/>
  <c r="T1128" i="697"/>
  <c r="T1266" i="697"/>
  <c r="T1115" i="697"/>
  <c r="T1116" i="697"/>
  <c r="T1117" i="697"/>
  <c r="T1152" i="697"/>
  <c r="T1242" i="697"/>
  <c r="T1119" i="697"/>
  <c r="T1120" i="697"/>
  <c r="T1218" i="697"/>
  <c r="T1121" i="697"/>
  <c r="T1122" i="697"/>
  <c r="T1123" i="697"/>
  <c r="T1195" i="697"/>
  <c r="T1125" i="697"/>
  <c r="T1129" i="697"/>
  <c r="T1174" i="697"/>
  <c r="T1136" i="697"/>
  <c r="T1236" i="697"/>
  <c r="T1326" i="697"/>
  <c r="T1208" i="697"/>
  <c r="T1254" i="697"/>
  <c r="T1137" i="697"/>
  <c r="T1365" i="697"/>
  <c r="T1327" i="697"/>
  <c r="T1139" i="697"/>
  <c r="T1140" i="697"/>
  <c r="T1141" i="697"/>
  <c r="T1159" i="697"/>
  <c r="T1153" i="697"/>
  <c r="T1142" i="697"/>
  <c r="T1160" i="697"/>
  <c r="T1154" i="697"/>
  <c r="T1155" i="697"/>
  <c r="T1156" i="697"/>
  <c r="T1366" i="697"/>
  <c r="T1185" i="697"/>
  <c r="T1161" i="697"/>
  <c r="T1334" i="697"/>
  <c r="T1255" i="697"/>
  <c r="T1298" i="697"/>
  <c r="T1267" i="697"/>
  <c r="T1196" i="697"/>
  <c r="T1197" i="697"/>
  <c r="T1268" i="697"/>
  <c r="T1164" i="697"/>
  <c r="T1335" i="697"/>
  <c r="T1328" i="697"/>
  <c r="T1165" i="697"/>
  <c r="T1166" i="697"/>
  <c r="T1275" i="697"/>
  <c r="T1276" i="697"/>
  <c r="T1256" i="697"/>
  <c r="T1172" i="697"/>
  <c r="T1329" i="697"/>
  <c r="T1324" i="697"/>
  <c r="T1299" i="697"/>
  <c r="T1186" i="697"/>
  <c r="T1175" i="697"/>
  <c r="T1173" i="697"/>
  <c r="T1330" i="697"/>
  <c r="T1300" i="697"/>
  <c r="T1367" i="697"/>
  <c r="T1368" i="697"/>
  <c r="T1378" i="697"/>
  <c r="T1377" i="697"/>
  <c r="T1301" i="697"/>
  <c r="T1331" i="697"/>
  <c r="T1187" i="697"/>
  <c r="T1188" i="697"/>
  <c r="T1357" i="697"/>
  <c r="T1369" i="697"/>
  <c r="T1439" i="697"/>
  <c r="T1302" i="697"/>
  <c r="T1189" i="697"/>
  <c r="T1277" i="697"/>
  <c r="T1358" i="697"/>
  <c r="T1198" i="697"/>
  <c r="T1199" i="697"/>
  <c r="T1200" i="697"/>
  <c r="T1201" i="697"/>
  <c r="T1202" i="697"/>
  <c r="T1203" i="697"/>
  <c r="T1209" i="697"/>
  <c r="T1244" i="697"/>
  <c r="T1359" i="697"/>
  <c r="T1219" i="697"/>
  <c r="T1220" i="697"/>
  <c r="T1205" i="697"/>
  <c r="T1167" i="697"/>
  <c r="T1221" i="697"/>
  <c r="T1222" i="697"/>
  <c r="T1257" i="697"/>
  <c r="T1206" i="697"/>
  <c r="T1223" i="697"/>
  <c r="T1224" i="697"/>
  <c r="T1225" i="697"/>
  <c r="T1210" i="697"/>
  <c r="T1336" i="697"/>
  <c r="T1337" i="697"/>
  <c r="T1338" i="697"/>
  <c r="T1339" i="697"/>
  <c r="T1373" i="697"/>
  <c r="T1258" i="697"/>
  <c r="T1340" i="697"/>
  <c r="T1211" i="697"/>
  <c r="T1212" i="697"/>
  <c r="T1226" i="697"/>
  <c r="T1227" i="697"/>
  <c r="T1285" i="697"/>
  <c r="T1259" i="697"/>
  <c r="T1228" i="697"/>
  <c r="T1476" i="697"/>
  <c r="T1379" i="697"/>
  <c r="T1303" i="697"/>
  <c r="T1345" i="697"/>
  <c r="T1360" i="697"/>
  <c r="T1440" i="697"/>
  <c r="T1401" i="697"/>
  <c r="T1344" i="697"/>
  <c r="T1232" i="697"/>
  <c r="T1361" i="697"/>
  <c r="T1269" i="697"/>
  <c r="T1233" i="697"/>
  <c r="T1234" i="697"/>
  <c r="T1423" i="697"/>
  <c r="T1325" i="697"/>
  <c r="T1245" i="697"/>
  <c r="T1491" i="697"/>
  <c r="T1235" i="697"/>
  <c r="T1380" i="697"/>
  <c r="T1495" i="697"/>
  <c r="T1250" i="697"/>
  <c r="T1363" i="697"/>
  <c r="T1237" i="697"/>
  <c r="T1238" i="697"/>
  <c r="T1463" i="697"/>
  <c r="T1374" i="697"/>
  <c r="T1246" i="697"/>
  <c r="T1243" i="697"/>
  <c r="T1247" i="697"/>
  <c r="T1410" i="697"/>
  <c r="T1411" i="697"/>
  <c r="T1370" i="697"/>
  <c r="T1417" i="697"/>
  <c r="T1381" i="697"/>
  <c r="T1248" i="697"/>
  <c r="T1251" i="697"/>
  <c r="T1252" i="697"/>
  <c r="T1432" i="697"/>
  <c r="T1375" i="697"/>
  <c r="T1382" i="697"/>
  <c r="T1260" i="697"/>
  <c r="T1280" i="697"/>
  <c r="T1281" i="697"/>
  <c r="T1282" i="697"/>
  <c r="T1283" i="697"/>
  <c r="T1284" i="697"/>
  <c r="T1433" i="697"/>
  <c r="T1434" i="697"/>
  <c r="T1261" i="697"/>
  <c r="T1264" i="697"/>
  <c r="T1262" i="697"/>
  <c r="T1263" i="697"/>
  <c r="T1383" i="697"/>
  <c r="T1265" i="697"/>
  <c r="T1522" i="697"/>
  <c r="T1394" i="697"/>
  <c r="T1441" i="697"/>
  <c r="T1305" i="697"/>
  <c r="T1286" i="697"/>
  <c r="T1306" i="697"/>
  <c r="T1451" i="697"/>
  <c r="T1455" i="697"/>
  <c r="T1319" i="697"/>
  <c r="T1435" i="697"/>
  <c r="T1279" i="697"/>
  <c r="T1287" i="697"/>
  <c r="T1442" i="697"/>
  <c r="T1412" i="697"/>
  <c r="T1395" i="697"/>
  <c r="T1288" i="697"/>
  <c r="T1396" i="697"/>
  <c r="T1510" i="697"/>
  <c r="T1413" i="697"/>
  <c r="T1389" i="697"/>
  <c r="T1291" i="697"/>
  <c r="T1492" i="697"/>
  <c r="T1496" i="697"/>
  <c r="T1390" i="697"/>
  <c r="T1304" i="697"/>
  <c r="T1397" i="697"/>
  <c r="T1418" i="697"/>
  <c r="T1317" i="697"/>
  <c r="T1307" i="697"/>
  <c r="T1308" i="697"/>
  <c r="T1309" i="697"/>
  <c r="T1310" i="697"/>
  <c r="T1311" i="697"/>
  <c r="T1312" i="697"/>
  <c r="T1313" i="697"/>
  <c r="T1314" i="697"/>
  <c r="T1315" i="697"/>
  <c r="T1316" i="697"/>
  <c r="T1398" i="697"/>
  <c r="T1414" i="697"/>
  <c r="T1346" i="697"/>
  <c r="T1347" i="697"/>
  <c r="T1464" i="697"/>
  <c r="T1348" i="697"/>
  <c r="T1349" i="697"/>
  <c r="T1350" i="697"/>
  <c r="T1399" i="697"/>
  <c r="T1400" i="697"/>
  <c r="T1351" i="697"/>
  <c r="T1352" i="697"/>
  <c r="T1386" i="697"/>
  <c r="T1318" i="697"/>
  <c r="T1353" i="697"/>
  <c r="T1354" i="697"/>
  <c r="T1429" i="697"/>
  <c r="T1477" i="697"/>
  <c r="T1523" i="697"/>
  <c r="T1524" i="697"/>
  <c r="T1355" i="697"/>
  <c r="T1332" i="697"/>
  <c r="T1333" i="697"/>
  <c r="T1525" i="697"/>
  <c r="T1478" i="697"/>
  <c r="T1472" i="697"/>
  <c r="T1511" i="697"/>
  <c r="T1342" i="697"/>
  <c r="T1341" i="697"/>
  <c r="T1424" i="697"/>
  <c r="T1343" i="697"/>
  <c r="T1474" i="697"/>
  <c r="T1516" i="697"/>
  <c r="T1479" i="697"/>
  <c r="T1526" i="697"/>
  <c r="T1465" i="697"/>
  <c r="T1425" i="697"/>
  <c r="T1480" i="697"/>
  <c r="T1356" i="697"/>
  <c r="T1481" i="697"/>
  <c r="T1512" i="697"/>
  <c r="T1473" i="697"/>
  <c r="T1482" i="697"/>
  <c r="T1362" i="697"/>
  <c r="T1483" i="697"/>
  <c r="T1484" i="697"/>
  <c r="T1391" i="697"/>
  <c r="T1364" i="697"/>
  <c r="T1527" i="697"/>
  <c r="T1513" i="697"/>
  <c r="T1376" i="697"/>
  <c r="T1402" i="697"/>
  <c r="T1403" i="697"/>
  <c r="T1404" i="697"/>
  <c r="T1405" i="697"/>
  <c r="T1371" i="697"/>
  <c r="T1528" i="697"/>
  <c r="T1436" i="697"/>
  <c r="T1529" i="697"/>
  <c r="T1437" i="697"/>
  <c r="T1530" i="697"/>
  <c r="T1485" i="697"/>
  <c r="T1531" i="697"/>
  <c r="T1514" i="697"/>
  <c r="T1532" i="697"/>
  <c r="T1486" i="697"/>
  <c r="T1533" i="697"/>
  <c r="T1384" i="697"/>
  <c r="T1385" i="697"/>
  <c r="T1387" i="697"/>
  <c r="T1534" i="697"/>
  <c r="T1535" i="697"/>
  <c r="T1536" i="697"/>
  <c r="T1388" i="697"/>
  <c r="T1392" i="697"/>
  <c r="T1393" i="697"/>
  <c r="T1416" i="697"/>
  <c r="T1537" i="697"/>
  <c r="T1406" i="697"/>
  <c r="T1538" i="697"/>
  <c r="T1407" i="697"/>
  <c r="T1539" i="697"/>
  <c r="T1438" i="697"/>
  <c r="T1487" i="697"/>
  <c r="T1540" i="697"/>
  <c r="T1443" i="697"/>
  <c r="T1444" i="697"/>
  <c r="T1445" i="697"/>
  <c r="T1420" i="697"/>
  <c r="T1408" i="697"/>
  <c r="T1497" i="697"/>
  <c r="T1498" i="697"/>
  <c r="T1499" i="697"/>
  <c r="T1446" i="697"/>
  <c r="T1517" i="697"/>
  <c r="T1518" i="697"/>
  <c r="T1489" i="697"/>
  <c r="T1541" i="697"/>
  <c r="T1447" i="697"/>
  <c r="T1448" i="697"/>
  <c r="T1542" i="697"/>
  <c r="T1415" i="697"/>
  <c r="T1488" i="697"/>
  <c r="T1543" i="697"/>
  <c r="T1544" i="697"/>
  <c r="T1545" i="697"/>
  <c r="T1419" i="697"/>
  <c r="T1546" i="697"/>
  <c r="T1547" i="697"/>
  <c r="T1421" i="697"/>
  <c r="T1422" i="697"/>
  <c r="T1548" i="697"/>
  <c r="T1459" i="697"/>
  <c r="T1549" i="697"/>
  <c r="T1426" i="697"/>
  <c r="T1460" i="697"/>
  <c r="T1461" i="697"/>
  <c r="T1427" i="697"/>
  <c r="T1428" i="697"/>
  <c r="T1449" i="697"/>
  <c r="T1431" i="697"/>
  <c r="T1430" i="697"/>
  <c r="T1490" i="697"/>
  <c r="T1452" i="697"/>
  <c r="T1550" i="697"/>
  <c r="T1456" i="697"/>
  <c r="T1450" i="697"/>
  <c r="T1551" i="697"/>
  <c r="T1552" i="697"/>
  <c r="T1519" i="697"/>
  <c r="T1457" i="697"/>
  <c r="T1458" i="697"/>
  <c r="T1462" i="697"/>
  <c r="T1453" i="697"/>
  <c r="T1409" i="697"/>
  <c r="T1454" i="697"/>
  <c r="T1553" i="697"/>
  <c r="T1554" i="697"/>
  <c r="T1555" i="697"/>
  <c r="T1556" i="697"/>
  <c r="T1557" i="697"/>
  <c r="T1558" i="697"/>
  <c r="T1466" i="697"/>
  <c r="T1467" i="697"/>
  <c r="T1468" i="697"/>
  <c r="T1469" i="697"/>
  <c r="T1559" i="697"/>
  <c r="T1475" i="697"/>
  <c r="T1470" i="697"/>
  <c r="T1471" i="697"/>
  <c r="T1560" i="697"/>
  <c r="T1561" i="697"/>
  <c r="T1562" i="697"/>
  <c r="T1563" i="697"/>
  <c r="T1564" i="697"/>
  <c r="T1565" i="697"/>
  <c r="T1566" i="697"/>
  <c r="T1567" i="697"/>
  <c r="T1568" i="697"/>
  <c r="T1569" i="697"/>
  <c r="T1570" i="697"/>
  <c r="T1571" i="697"/>
  <c r="T1572" i="697"/>
  <c r="T1493" i="697"/>
  <c r="T1494" i="697"/>
  <c r="T1573" i="697"/>
  <c r="T1574" i="697"/>
  <c r="T1575" i="697"/>
  <c r="T1576" i="697"/>
  <c r="T1577" i="697"/>
  <c r="T1578" i="697"/>
  <c r="T1579" i="697"/>
  <c r="T1580" i="697"/>
  <c r="T1581" i="697"/>
  <c r="T1582" i="697"/>
  <c r="T1583" i="697"/>
  <c r="T1584" i="697"/>
  <c r="T1585" i="697"/>
  <c r="T1500" i="697"/>
  <c r="T1501" i="697"/>
  <c r="T1502" i="697"/>
  <c r="T1503" i="697"/>
  <c r="T1504" i="697"/>
  <c r="T1505" i="697"/>
  <c r="T1506" i="697"/>
  <c r="T1586" i="697"/>
  <c r="T1587" i="697"/>
  <c r="T1589" i="697"/>
  <c r="T1507" i="697"/>
  <c r="T1590" i="697"/>
  <c r="T1508" i="697"/>
  <c r="T1591" i="697"/>
  <c r="T1592" i="697"/>
  <c r="T1593" i="697"/>
  <c r="T1509" i="697"/>
  <c r="T1515" i="697"/>
  <c r="U1292" i="697"/>
  <c r="Y1292" i="697" s="1"/>
  <c r="U103" i="697"/>
  <c r="Y103" i="697" s="1"/>
  <c r="U104" i="697"/>
  <c r="Y104" i="697" s="1"/>
  <c r="U22" i="697"/>
  <c r="Y22" i="697" s="1"/>
  <c r="U23" i="697"/>
  <c r="Y23" i="697" s="1"/>
  <c r="U12" i="697"/>
  <c r="Y12" i="697" s="1"/>
  <c r="U196" i="697"/>
  <c r="U4" i="697"/>
  <c r="Y4" i="697" s="1"/>
  <c r="U24" i="697"/>
  <c r="Y24" i="697" s="1"/>
  <c r="U208" i="697"/>
  <c r="Y208" i="697" s="1"/>
  <c r="U6" i="697"/>
  <c r="U13" i="697"/>
  <c r="Y13" i="697" s="1"/>
  <c r="U14" i="697"/>
  <c r="Y14" i="697" s="1"/>
  <c r="U2" i="697"/>
  <c r="Y2" i="697" s="1"/>
  <c r="U15" i="697"/>
  <c r="U16" i="697"/>
  <c r="Y16" i="697" s="1"/>
  <c r="U34" i="697"/>
  <c r="Y34" i="697" s="1"/>
  <c r="U17" i="697"/>
  <c r="Y17" i="697" s="1"/>
  <c r="U45" i="697"/>
  <c r="U77" i="697"/>
  <c r="Y77" i="697" s="1"/>
  <c r="U117" i="697"/>
  <c r="Y117" i="697" s="1"/>
  <c r="U78" i="697"/>
  <c r="Y78" i="697" s="1"/>
  <c r="U79" i="697"/>
  <c r="Y79" i="697" s="1"/>
  <c r="U80" i="697"/>
  <c r="Y80" i="697" s="1"/>
  <c r="U40" i="697"/>
  <c r="Y40" i="697" s="1"/>
  <c r="U3" i="697"/>
  <c r="Y3" i="697" s="1"/>
  <c r="U209" i="697"/>
  <c r="U5" i="697"/>
  <c r="U18" i="697"/>
  <c r="Y18" i="697" s="1"/>
  <c r="U19" i="697"/>
  <c r="Y19" i="697" s="1"/>
  <c r="U20" i="697"/>
  <c r="Y20" i="697" s="1"/>
  <c r="U7" i="697"/>
  <c r="Y7" i="697" s="1"/>
  <c r="U8" i="697"/>
  <c r="Y8" i="697" s="1"/>
  <c r="U10" i="697"/>
  <c r="Y10" i="697" s="1"/>
  <c r="U105" i="697"/>
  <c r="U106" i="697"/>
  <c r="Y106" i="697" s="1"/>
  <c r="U107" i="697"/>
  <c r="Y107" i="697" s="1"/>
  <c r="U11" i="697"/>
  <c r="Y11" i="697" s="1"/>
  <c r="U81" i="697"/>
  <c r="Y81" i="697" s="1"/>
  <c r="U174" i="697"/>
  <c r="Y174" i="697" s="1"/>
  <c r="U175" i="697"/>
  <c r="Y175" i="697" s="1"/>
  <c r="U82" i="697"/>
  <c r="Y82" i="697" s="1"/>
  <c r="U83" i="697"/>
  <c r="Y83" i="697" s="1"/>
  <c r="U118" i="697"/>
  <c r="Y118" i="697" s="1"/>
  <c r="U84" i="697"/>
  <c r="Y84" i="697" s="1"/>
  <c r="U85" i="697"/>
  <c r="Y85" i="697" s="1"/>
  <c r="U86" i="697"/>
  <c r="Y86" i="697" s="1"/>
  <c r="U87" i="697"/>
  <c r="U21" i="697"/>
  <c r="Y21" i="697" s="1"/>
  <c r="U210" i="697"/>
  <c r="Y210" i="697" s="1"/>
  <c r="U88" i="697"/>
  <c r="Y88" i="697" s="1"/>
  <c r="U27" i="697"/>
  <c r="U28" i="697"/>
  <c r="Y28" i="697" s="1"/>
  <c r="U29" i="697"/>
  <c r="Y29" i="697" s="1"/>
  <c r="U30" i="697"/>
  <c r="U31" i="697"/>
  <c r="Y31" i="697" s="1"/>
  <c r="U32" i="697"/>
  <c r="Y32" i="697" s="1"/>
  <c r="U33" i="697"/>
  <c r="Y33" i="697" s="1"/>
  <c r="U219" i="697"/>
  <c r="Y219" i="697" s="1"/>
  <c r="U89" i="697"/>
  <c r="U90" i="697"/>
  <c r="Y90" i="697" s="1"/>
  <c r="U96" i="697"/>
  <c r="Y96" i="697" s="1"/>
  <c r="U114" i="697"/>
  <c r="U125" i="697"/>
  <c r="U67" i="697"/>
  <c r="U171" i="697"/>
  <c r="Y171" i="697" s="1"/>
  <c r="U76" i="697"/>
  <c r="U46" i="697"/>
  <c r="Y46" i="697" s="1"/>
  <c r="U47" i="697"/>
  <c r="Y47" i="697" s="1"/>
  <c r="U48" i="697"/>
  <c r="Y48" i="697" s="1"/>
  <c r="U37" i="697"/>
  <c r="Y37" i="697" s="1"/>
  <c r="U49" i="697"/>
  <c r="Y49" i="697" s="1"/>
  <c r="U50" i="697"/>
  <c r="Y50" i="697" s="1"/>
  <c r="U51" i="697"/>
  <c r="Y51" i="697" s="1"/>
  <c r="U52" i="697"/>
  <c r="U53" i="697"/>
  <c r="U54" i="697"/>
  <c r="Y54" i="697" s="1"/>
  <c r="U55" i="697"/>
  <c r="Y55" i="697" s="1"/>
  <c r="U56" i="697"/>
  <c r="U119" i="697"/>
  <c r="Y119" i="697" s="1"/>
  <c r="U57" i="697"/>
  <c r="Y57" i="697" s="1"/>
  <c r="U115" i="697"/>
  <c r="Y115" i="697" s="1"/>
  <c r="U35" i="697"/>
  <c r="U58" i="697"/>
  <c r="Y58" i="697" s="1"/>
  <c r="U59" i="697"/>
  <c r="Y59" i="697" s="1"/>
  <c r="U60" i="697"/>
  <c r="Y60" i="697" s="1"/>
  <c r="U61" i="697"/>
  <c r="U62" i="697"/>
  <c r="Y62" i="697" s="1"/>
  <c r="U63" i="697"/>
  <c r="Y63" i="697" s="1"/>
  <c r="U126" i="697"/>
  <c r="Y126" i="697" s="1"/>
  <c r="U116" i="697"/>
  <c r="Y116" i="697" s="1"/>
  <c r="U120" i="697"/>
  <c r="Y120" i="697" s="1"/>
  <c r="U91" i="697"/>
  <c r="Y91" i="697" s="1"/>
  <c r="U133" i="697"/>
  <c r="Y133" i="697" s="1"/>
  <c r="U92" i="697"/>
  <c r="U93" i="697"/>
  <c r="Y93" i="697" s="1"/>
  <c r="U36" i="697"/>
  <c r="Y36" i="697" s="1"/>
  <c r="U108" i="697"/>
  <c r="Y108" i="697" s="1"/>
  <c r="U109" i="697"/>
  <c r="U110" i="697"/>
  <c r="Y110" i="697" s="1"/>
  <c r="U111" i="697"/>
  <c r="Y111" i="697" s="1"/>
  <c r="U64" i="697"/>
  <c r="Y64" i="697" s="1"/>
  <c r="U213" i="697"/>
  <c r="Y213" i="697" s="1"/>
  <c r="U134" i="697"/>
  <c r="Y134" i="697" s="1"/>
  <c r="U131" i="697"/>
  <c r="Y131" i="697" s="1"/>
  <c r="U140" i="697"/>
  <c r="Y140" i="697" s="1"/>
  <c r="U38" i="697"/>
  <c r="U399" i="697"/>
  <c r="Y399" i="697" s="1"/>
  <c r="U68" i="697"/>
  <c r="Y68" i="697" s="1"/>
  <c r="U65" i="697"/>
  <c r="Y65" i="697" s="1"/>
  <c r="U176" i="697"/>
  <c r="U127" i="697"/>
  <c r="Y127" i="697" s="1"/>
  <c r="U129" i="697"/>
  <c r="Y129" i="697" s="1"/>
  <c r="U97" i="697"/>
  <c r="Y97" i="697" s="1"/>
  <c r="U206" i="697"/>
  <c r="U39" i="697"/>
  <c r="U66" i="697"/>
  <c r="Y66" i="697" s="1"/>
  <c r="U230" i="697"/>
  <c r="Y230" i="697" s="1"/>
  <c r="U254" i="697"/>
  <c r="Y254" i="697" s="1"/>
  <c r="U160" i="697"/>
  <c r="Y160" i="697" s="1"/>
  <c r="U41" i="697"/>
  <c r="Y41" i="697" s="1"/>
  <c r="U42" i="697"/>
  <c r="Y42" i="697" s="1"/>
  <c r="U75" i="697"/>
  <c r="Y75" i="697" s="1"/>
  <c r="U44" i="697"/>
  <c r="Y44" i="697" s="1"/>
  <c r="U121" i="697"/>
  <c r="Y121" i="697" s="1"/>
  <c r="U43" i="697"/>
  <c r="Y43" i="697" s="1"/>
  <c r="U236" i="697"/>
  <c r="U255" i="697"/>
  <c r="U25" i="697"/>
  <c r="Y25" i="697" s="1"/>
  <c r="U26" i="697"/>
  <c r="Y26" i="697" s="1"/>
  <c r="U94" i="697"/>
  <c r="U237" i="697"/>
  <c r="U214" i="697"/>
  <c r="Y214" i="697" s="1"/>
  <c r="U256" i="697"/>
  <c r="Y256" i="697" s="1"/>
  <c r="U135" i="697"/>
  <c r="Y135" i="697" s="1"/>
  <c r="U161" i="697"/>
  <c r="Y161" i="697" s="1"/>
  <c r="U257" i="697"/>
  <c r="Y257" i="697" s="1"/>
  <c r="U207" i="697"/>
  <c r="Y207" i="697" s="1"/>
  <c r="U162" i="697"/>
  <c r="U177" i="697"/>
  <c r="Y177" i="697" s="1"/>
  <c r="U122" i="697"/>
  <c r="Y122" i="697" s="1"/>
  <c r="U163" i="697"/>
  <c r="Y163" i="697" s="1"/>
  <c r="U69" i="697"/>
  <c r="Y69" i="697" s="1"/>
  <c r="U70" i="697"/>
  <c r="U71" i="697"/>
  <c r="Y71" i="697" s="1"/>
  <c r="U72" i="697"/>
  <c r="Y72" i="697" s="1"/>
  <c r="U73" i="697"/>
  <c r="U74" i="697"/>
  <c r="Y74" i="697" s="1"/>
  <c r="U258" i="697"/>
  <c r="Y258" i="697" s="1"/>
  <c r="U178" i="697"/>
  <c r="Y178" i="697" s="1"/>
  <c r="U150" i="697"/>
  <c r="U141" i="697"/>
  <c r="Y141" i="697" s="1"/>
  <c r="U151" i="697"/>
  <c r="Y151" i="697" s="1"/>
  <c r="U152" i="697"/>
  <c r="Y152" i="697" s="1"/>
  <c r="U211" i="697"/>
  <c r="Y211" i="697" s="1"/>
  <c r="U142" i="697"/>
  <c r="Y142" i="697" s="1"/>
  <c r="U153" i="697"/>
  <c r="Y153" i="697" s="1"/>
  <c r="U154" i="697"/>
  <c r="Y154" i="697" s="1"/>
  <c r="U155" i="697"/>
  <c r="U156" i="697"/>
  <c r="Y156" i="697" s="1"/>
  <c r="U143" i="697"/>
  <c r="Y143" i="697" s="1"/>
  <c r="U144" i="697"/>
  <c r="Y144" i="697" s="1"/>
  <c r="U145" i="697"/>
  <c r="U146" i="697"/>
  <c r="U157" i="697"/>
  <c r="Y157" i="697" s="1"/>
  <c r="U158" i="697"/>
  <c r="Y158" i="697" s="1"/>
  <c r="U229" i="697"/>
  <c r="U95" i="697"/>
  <c r="Y95" i="697" s="1"/>
  <c r="U159" i="697"/>
  <c r="Y159" i="697" s="1"/>
  <c r="U240" i="697"/>
  <c r="Y240" i="697" s="1"/>
  <c r="U98" i="697"/>
  <c r="Y98" i="697" s="1"/>
  <c r="U99" i="697"/>
  <c r="Y99" i="697" s="1"/>
  <c r="U100" i="697"/>
  <c r="Y100" i="697" s="1"/>
  <c r="U101" i="697"/>
  <c r="Y101" i="697" s="1"/>
  <c r="U284" i="697"/>
  <c r="U102" i="697"/>
  <c r="Y102" i="697" s="1"/>
  <c r="U275" i="697"/>
  <c r="Y275" i="697" s="1"/>
  <c r="U197" i="697"/>
  <c r="Y197" i="697" s="1"/>
  <c r="U231" i="697"/>
  <c r="Y231" i="697" s="1"/>
  <c r="U147" i="697"/>
  <c r="Y147" i="697" s="1"/>
  <c r="U112" i="697"/>
  <c r="Y112" i="697" s="1"/>
  <c r="U148" i="697"/>
  <c r="Y148" i="697" s="1"/>
  <c r="U113" i="697"/>
  <c r="Y113" i="697" s="1"/>
  <c r="U259" i="697"/>
  <c r="Y259" i="697" s="1"/>
  <c r="U123" i="697"/>
  <c r="Y123" i="697" s="1"/>
  <c r="U252" i="697"/>
  <c r="Y252" i="697" s="1"/>
  <c r="U238" i="697"/>
  <c r="Y238" i="697" s="1"/>
  <c r="U232" i="697"/>
  <c r="Y232" i="697" s="1"/>
  <c r="U253" i="697"/>
  <c r="Y253" i="697" s="1"/>
  <c r="U233" i="697"/>
  <c r="Y233" i="697" s="1"/>
  <c r="U835" i="697"/>
  <c r="U124" i="697"/>
  <c r="Y124" i="697" s="1"/>
  <c r="U234" i="697"/>
  <c r="Y234" i="697" s="1"/>
  <c r="U244" i="697"/>
  <c r="Y244" i="697" s="1"/>
  <c r="U260" i="697"/>
  <c r="Y260" i="697" s="1"/>
  <c r="U181" i="697"/>
  <c r="Y181" i="697" s="1"/>
  <c r="U182" i="697"/>
  <c r="Y182" i="697" s="1"/>
  <c r="U183" i="697"/>
  <c r="Y183" i="697" s="1"/>
  <c r="U184" i="697"/>
  <c r="U172" i="697"/>
  <c r="Y172" i="697" s="1"/>
  <c r="U330" i="697"/>
  <c r="Y330" i="697" s="1"/>
  <c r="U245" i="697"/>
  <c r="Y245" i="697" s="1"/>
  <c r="U128" i="697"/>
  <c r="Y128" i="697" s="1"/>
  <c r="U285" i="697"/>
  <c r="Y285" i="697" s="1"/>
  <c r="U130" i="697"/>
  <c r="Y130" i="697" s="1"/>
  <c r="U132" i="697"/>
  <c r="Y132" i="697" s="1"/>
  <c r="U198" i="697"/>
  <c r="U349" i="697"/>
  <c r="Y349" i="697" s="1"/>
  <c r="U185" i="697"/>
  <c r="Y185" i="697" s="1"/>
  <c r="U312" i="697"/>
  <c r="Y312" i="697" s="1"/>
  <c r="U136" i="697"/>
  <c r="Y136" i="697" s="1"/>
  <c r="U276" i="697"/>
  <c r="Y276" i="697" s="1"/>
  <c r="U241" i="697"/>
  <c r="Y241" i="697" s="1"/>
  <c r="U277" i="697"/>
  <c r="Y277" i="697" s="1"/>
  <c r="U408" i="697"/>
  <c r="Y408" i="697" s="1"/>
  <c r="U286" i="697"/>
  <c r="Y286" i="697" s="1"/>
  <c r="U278" i="697"/>
  <c r="Y278" i="697" s="1"/>
  <c r="U279" i="697"/>
  <c r="Y279" i="697" s="1"/>
  <c r="U280" i="697"/>
  <c r="Y280" i="697" s="1"/>
  <c r="U149" i="697"/>
  <c r="U261" i="697"/>
  <c r="Y261" i="697" s="1"/>
  <c r="U137" i="697"/>
  <c r="Y137" i="697" s="1"/>
  <c r="U220" i="697"/>
  <c r="Y220" i="697" s="1"/>
  <c r="U394" i="697"/>
  <c r="Y394" i="697" s="1"/>
  <c r="U305" i="697"/>
  <c r="Y305" i="697" s="1"/>
  <c r="U164" i="697"/>
  <c r="Y164" i="697" s="1"/>
  <c r="U138" i="697"/>
  <c r="U139" i="697"/>
  <c r="Y139" i="697" s="1"/>
  <c r="U186" i="697"/>
  <c r="Y186" i="697" s="1"/>
  <c r="U221" i="697"/>
  <c r="Y221" i="697" s="1"/>
  <c r="U281" i="697"/>
  <c r="U331" i="697"/>
  <c r="Y331" i="697" s="1"/>
  <c r="U262" i="697"/>
  <c r="Y262" i="697" s="1"/>
  <c r="U263" i="697"/>
  <c r="Y263" i="697" s="1"/>
  <c r="U306" i="697"/>
  <c r="Y306" i="697" s="1"/>
  <c r="U320" i="697"/>
  <c r="Y320" i="697" s="1"/>
  <c r="U332" i="697"/>
  <c r="Y332" i="697" s="1"/>
  <c r="U199" i="697"/>
  <c r="Y199" i="697" s="1"/>
  <c r="U373" i="697"/>
  <c r="U357" i="697"/>
  <c r="U282" i="697"/>
  <c r="Y282" i="697" s="1"/>
  <c r="U165" i="697"/>
  <c r="Y165" i="697" s="1"/>
  <c r="U166" i="697"/>
  <c r="U167" i="697"/>
  <c r="Y167" i="697" s="1"/>
  <c r="U168" i="697"/>
  <c r="Y168" i="697" s="1"/>
  <c r="U169" i="697"/>
  <c r="Y169" i="697" s="1"/>
  <c r="U170" i="697"/>
  <c r="Y170" i="697" s="1"/>
  <c r="U333" i="697"/>
  <c r="Y333" i="697" s="1"/>
  <c r="U374" i="697"/>
  <c r="Y374" i="697" s="1"/>
  <c r="U187" i="697"/>
  <c r="Y187" i="697" s="1"/>
  <c r="U200" i="697"/>
  <c r="Y200" i="697" s="1"/>
  <c r="U173" i="697"/>
  <c r="U201" i="697"/>
  <c r="Y201" i="697" s="1"/>
  <c r="U265" i="697"/>
  <c r="Y265" i="697" s="1"/>
  <c r="U266" i="697"/>
  <c r="U235" i="697"/>
  <c r="Y235" i="697" s="1"/>
  <c r="U188" i="697"/>
  <c r="Y188" i="697" s="1"/>
  <c r="U189" i="697"/>
  <c r="Y189" i="697" s="1"/>
  <c r="U190" i="697"/>
  <c r="Y190" i="697" s="1"/>
  <c r="U191" i="697"/>
  <c r="Y191" i="697" s="1"/>
  <c r="U192" i="697"/>
  <c r="Y192" i="697" s="1"/>
  <c r="U193" i="697"/>
  <c r="Y193" i="697" s="1"/>
  <c r="U194" i="697"/>
  <c r="U195" i="697"/>
  <c r="Y195" i="697" s="1"/>
  <c r="U215" i="697"/>
  <c r="Y215" i="697" s="1"/>
  <c r="U307" i="697"/>
  <c r="Y307" i="697" s="1"/>
  <c r="U179" i="697"/>
  <c r="U180" i="697"/>
  <c r="Y180" i="697" s="1"/>
  <c r="U313" i="697"/>
  <c r="Y313" i="697" s="1"/>
  <c r="U267" i="697"/>
  <c r="Y267" i="697" s="1"/>
  <c r="U268" i="697"/>
  <c r="Y268" i="697" s="1"/>
  <c r="U269" i="697"/>
  <c r="Y269" i="697" s="1"/>
  <c r="U222" i="697"/>
  <c r="Y222" i="697" s="1"/>
  <c r="U334" i="697"/>
  <c r="Y334" i="697" s="1"/>
  <c r="U375" i="697"/>
  <c r="U202" i="697"/>
  <c r="Y202" i="697" s="1"/>
  <c r="U335" i="697"/>
  <c r="Y335" i="697" s="1"/>
  <c r="U442" i="697"/>
  <c r="Y442" i="697" s="1"/>
  <c r="U203" i="697"/>
  <c r="U204" i="697"/>
  <c r="Y204" i="697" s="1"/>
  <c r="U301" i="697"/>
  <c r="Y301" i="697" s="1"/>
  <c r="U376" i="697"/>
  <c r="Y376" i="697" s="1"/>
  <c r="U223" i="697"/>
  <c r="U224" i="697"/>
  <c r="Y224" i="697" s="1"/>
  <c r="U225" i="697"/>
  <c r="Y225" i="697" s="1"/>
  <c r="U226" i="697"/>
  <c r="Y226" i="697" s="1"/>
  <c r="U205" i="697"/>
  <c r="U303" i="697"/>
  <c r="Y303" i="697" s="1"/>
  <c r="U336" i="697"/>
  <c r="Y336" i="697" s="1"/>
  <c r="U337" i="697"/>
  <c r="Y337" i="697" s="1"/>
  <c r="U308" i="697"/>
  <c r="Y308" i="697" s="1"/>
  <c r="U216" i="697"/>
  <c r="Y216" i="697" s="1"/>
  <c r="U212" i="697"/>
  <c r="Y212" i="697" s="1"/>
  <c r="U338" i="697"/>
  <c r="Y338" i="697" s="1"/>
  <c r="U530" i="697"/>
  <c r="U395" i="697"/>
  <c r="Y395" i="697" s="1"/>
  <c r="U217" i="697"/>
  <c r="Y217" i="697" s="1"/>
  <c r="U377" i="697"/>
  <c r="Y377" i="697" s="1"/>
  <c r="U218" i="697"/>
  <c r="U227" i="697"/>
  <c r="Y227" i="697" s="1"/>
  <c r="U297" i="697"/>
  <c r="Y297" i="697" s="1"/>
  <c r="U339" i="697"/>
  <c r="Y339" i="697" s="1"/>
  <c r="U340" i="697"/>
  <c r="Y340" i="697" s="1"/>
  <c r="U228" i="697"/>
  <c r="Y228" i="697" s="1"/>
  <c r="U298" i="697"/>
  <c r="Y298" i="697" s="1"/>
  <c r="U504" i="697"/>
  <c r="Y504" i="697" s="1"/>
  <c r="U242" i="697"/>
  <c r="Y242" i="697" s="1"/>
  <c r="U341" i="697"/>
  <c r="U314" i="697"/>
  <c r="Y314" i="697" s="1"/>
  <c r="U361" i="697"/>
  <c r="Y361" i="697" s="1"/>
  <c r="U342" i="697"/>
  <c r="U283" i="697"/>
  <c r="Y283" i="697" s="1"/>
  <c r="U531" i="697"/>
  <c r="Y531" i="697" s="1"/>
  <c r="U270" i="697"/>
  <c r="Y270" i="697" s="1"/>
  <c r="U271" i="697"/>
  <c r="Y271" i="697" s="1"/>
  <c r="U343" i="697"/>
  <c r="Y343" i="697" s="1"/>
  <c r="U315" i="697"/>
  <c r="Y315" i="697" s="1"/>
  <c r="U239" i="697"/>
  <c r="Y239" i="697" s="1"/>
  <c r="U344" i="697"/>
  <c r="Y344" i="697" s="1"/>
  <c r="U345" i="697"/>
  <c r="U346" i="697"/>
  <c r="Y346" i="697" s="1"/>
  <c r="U411" i="697"/>
  <c r="Y411" i="697" s="1"/>
  <c r="U378" i="697"/>
  <c r="Y378" i="697" s="1"/>
  <c r="U347" i="697"/>
  <c r="Y347" i="697" s="1"/>
  <c r="U379" i="697"/>
  <c r="Y379" i="697" s="1"/>
  <c r="U406" i="697"/>
  <c r="Y406" i="697" s="1"/>
  <c r="U362" i="697"/>
  <c r="Y362" i="697" s="1"/>
  <c r="U363" i="697"/>
  <c r="Y363" i="697" s="1"/>
  <c r="U243" i="697"/>
  <c r="Y243" i="697" s="1"/>
  <c r="U364" i="697"/>
  <c r="Y364" i="697" s="1"/>
  <c r="U407" i="697"/>
  <c r="U348" i="697"/>
  <c r="U380" i="697"/>
  <c r="Y380" i="697" s="1"/>
  <c r="U272" i="697"/>
  <c r="Y272" i="697" s="1"/>
  <c r="U246" i="697"/>
  <c r="Y246" i="697" s="1"/>
  <c r="U287" i="697"/>
  <c r="Y287" i="697" s="1"/>
  <c r="U365" i="697"/>
  <c r="Y365" i="697" s="1"/>
  <c r="U274" i="697"/>
  <c r="Y274" i="697" s="1"/>
  <c r="U247" i="697"/>
  <c r="Y247" i="697" s="1"/>
  <c r="U248" i="697"/>
  <c r="Y248" i="697" s="1"/>
  <c r="U249" i="697"/>
  <c r="Y249" i="697" s="1"/>
  <c r="U250" i="697"/>
  <c r="Y250" i="697" s="1"/>
  <c r="U251" i="697"/>
  <c r="Y251" i="697" s="1"/>
  <c r="U273" i="697"/>
  <c r="Y273" i="697" s="1"/>
  <c r="U288" i="697"/>
  <c r="Y288" i="697" s="1"/>
  <c r="U289" i="697"/>
  <c r="Y289" i="697" s="1"/>
  <c r="U422" i="697"/>
  <c r="Y422" i="697" s="1"/>
  <c r="U388" i="697"/>
  <c r="Y388" i="697" s="1"/>
  <c r="U302" i="697"/>
  <c r="Y302" i="697" s="1"/>
  <c r="U290" i="697"/>
  <c r="Y290" i="697" s="1"/>
  <c r="U316" i="697"/>
  <c r="Y316" i="697" s="1"/>
  <c r="U317" i="697"/>
  <c r="Y317" i="697" s="1"/>
  <c r="U291" i="697"/>
  <c r="Y291" i="697" s="1"/>
  <c r="U292" i="697"/>
  <c r="Y292" i="697" s="1"/>
  <c r="U293" i="697"/>
  <c r="U294" i="697"/>
  <c r="Y294" i="697" s="1"/>
  <c r="U264" i="697"/>
  <c r="Y264" i="697" s="1"/>
  <c r="U389" i="697"/>
  <c r="Y389" i="697" s="1"/>
  <c r="U460" i="697"/>
  <c r="Y460" i="697" s="1"/>
  <c r="U461" i="697"/>
  <c r="Y461" i="697" s="1"/>
  <c r="U462" i="697"/>
  <c r="Y462" i="697" s="1"/>
  <c r="U463" i="697"/>
  <c r="Y463" i="697" s="1"/>
  <c r="U464" i="697"/>
  <c r="U505" i="697"/>
  <c r="Y505" i="697" s="1"/>
  <c r="U669" i="697"/>
  <c r="Y669" i="697" s="1"/>
  <c r="U423" i="697"/>
  <c r="Y423" i="697" s="1"/>
  <c r="U396" i="697"/>
  <c r="Y396" i="697" s="1"/>
  <c r="U409" i="697"/>
  <c r="Y409" i="697" s="1"/>
  <c r="U381" i="697"/>
  <c r="Y381" i="697" s="1"/>
  <c r="U424" i="697"/>
  <c r="Y424" i="697" s="1"/>
  <c r="U382" i="697"/>
  <c r="U443" i="697"/>
  <c r="Y443" i="697" s="1"/>
  <c r="U506" i="697"/>
  <c r="Y506" i="697" s="1"/>
  <c r="U507" i="697"/>
  <c r="Y507" i="697" s="1"/>
  <c r="U523" i="697"/>
  <c r="Y523" i="697" s="1"/>
  <c r="U485" i="697"/>
  <c r="Y485" i="697" s="1"/>
  <c r="U295" i="697"/>
  <c r="Y295" i="697" s="1"/>
  <c r="U296" i="697"/>
  <c r="Y296" i="697" s="1"/>
  <c r="U524" i="697"/>
  <c r="Y524" i="697" s="1"/>
  <c r="U425" i="697"/>
  <c r="Y425" i="697" s="1"/>
  <c r="U410" i="697"/>
  <c r="Y410" i="697" s="1"/>
  <c r="U444" i="697"/>
  <c r="Y444" i="697" s="1"/>
  <c r="U352" i="697"/>
  <c r="Y352" i="697" s="1"/>
  <c r="U397" i="697"/>
  <c r="Y397" i="697" s="1"/>
  <c r="U299" i="697"/>
  <c r="Y299" i="697" s="1"/>
  <c r="U300" i="697"/>
  <c r="Y300" i="697" s="1"/>
  <c r="U383" i="697"/>
  <c r="Y383" i="697" s="1"/>
  <c r="U508" i="697"/>
  <c r="U509" i="697"/>
  <c r="Y509" i="697" s="1"/>
  <c r="U510" i="697"/>
  <c r="Y510" i="697" s="1"/>
  <c r="U384" i="697"/>
  <c r="U426" i="697"/>
  <c r="Y426" i="697" s="1"/>
  <c r="U532" i="697"/>
  <c r="Y532" i="697" s="1"/>
  <c r="U304" i="697"/>
  <c r="Y304" i="697" s="1"/>
  <c r="U614" i="697"/>
  <c r="Y614" i="697" s="1"/>
  <c r="U360" i="697"/>
  <c r="Y360" i="697" s="1"/>
  <c r="U427" i="697"/>
  <c r="Y427" i="697" s="1"/>
  <c r="U428" i="697"/>
  <c r="Y428" i="697" s="1"/>
  <c r="U309" i="697"/>
  <c r="Y309" i="697" s="1"/>
  <c r="U465" i="697"/>
  <c r="U466" i="697"/>
  <c r="Y466" i="697" s="1"/>
  <c r="U310" i="697"/>
  <c r="Y310" i="697" s="1"/>
  <c r="U543" i="697"/>
  <c r="U544" i="697"/>
  <c r="Y544" i="697" s="1"/>
  <c r="U311" i="697"/>
  <c r="Y311" i="697" s="1"/>
  <c r="U445" i="697"/>
  <c r="Y445" i="697" s="1"/>
  <c r="U413" i="697"/>
  <c r="Y413" i="697" s="1"/>
  <c r="U450" i="697"/>
  <c r="Y450" i="697" s="1"/>
  <c r="U487" i="697"/>
  <c r="Y487" i="697" s="1"/>
  <c r="U318" i="697"/>
  <c r="Y318" i="697" s="1"/>
  <c r="U319" i="697"/>
  <c r="Y319" i="697" s="1"/>
  <c r="U518" i="697"/>
  <c r="Y518" i="697" s="1"/>
  <c r="U519" i="697"/>
  <c r="Y519" i="697" s="1"/>
  <c r="U451" i="697"/>
  <c r="Y451" i="697" s="1"/>
  <c r="U452" i="697"/>
  <c r="U429" i="697"/>
  <c r="Y429" i="697" s="1"/>
  <c r="U467" i="697"/>
  <c r="Y467" i="697" s="1"/>
  <c r="U468" i="697"/>
  <c r="Y468" i="697" s="1"/>
  <c r="U390" i="697"/>
  <c r="U326" i="697"/>
  <c r="U321" i="697"/>
  <c r="Y321" i="697" s="1"/>
  <c r="U322" i="697"/>
  <c r="Y322" i="697" s="1"/>
  <c r="U323" i="697"/>
  <c r="Y323" i="697" s="1"/>
  <c r="U324" i="697"/>
  <c r="Y324" i="697" s="1"/>
  <c r="U325" i="697"/>
  <c r="Y325" i="697" s="1"/>
  <c r="U391" i="697"/>
  <c r="Y391" i="697" s="1"/>
  <c r="U353" i="697"/>
  <c r="U385" i="697"/>
  <c r="Y385" i="697" s="1"/>
  <c r="U671" i="697"/>
  <c r="Y671" i="697" s="1"/>
  <c r="U327" i="697"/>
  <c r="Y327" i="697" s="1"/>
  <c r="U328" i="697"/>
  <c r="Y328" i="697" s="1"/>
  <c r="U386" i="697"/>
  <c r="Y386" i="697" s="1"/>
  <c r="U400" i="697"/>
  <c r="Y400" i="697" s="1"/>
  <c r="U401" i="697"/>
  <c r="Y401" i="697" s="1"/>
  <c r="U329" i="697"/>
  <c r="U354" i="697"/>
  <c r="Y354" i="697" s="1"/>
  <c r="U355" i="697"/>
  <c r="Y355" i="697" s="1"/>
  <c r="U469" i="697"/>
  <c r="Y469" i="697" s="1"/>
  <c r="U358" i="697"/>
  <c r="Y358" i="697" s="1"/>
  <c r="U520" i="697"/>
  <c r="Y520" i="697" s="1"/>
  <c r="U430" i="697"/>
  <c r="Y430" i="697" s="1"/>
  <c r="U367" i="697"/>
  <c r="Y367" i="697" s="1"/>
  <c r="U453" i="697"/>
  <c r="U623" i="697"/>
  <c r="Y623" i="697" s="1"/>
  <c r="U546" i="697"/>
  <c r="Y546" i="697" s="1"/>
  <c r="U624" i="697"/>
  <c r="Y624" i="697" s="1"/>
  <c r="U625" i="697"/>
  <c r="Y625" i="697" s="1"/>
  <c r="U431" i="697"/>
  <c r="Y431" i="697" s="1"/>
  <c r="U350" i="697"/>
  <c r="Y350" i="697" s="1"/>
  <c r="U446" i="697"/>
  <c r="Y446" i="697" s="1"/>
  <c r="U414" i="697"/>
  <c r="Y414" i="697" s="1"/>
  <c r="U432" i="697"/>
  <c r="Y432" i="697" s="1"/>
  <c r="U454" i="697"/>
  <c r="Y454" i="697" s="1"/>
  <c r="U351" i="697"/>
  <c r="Y351" i="697" s="1"/>
  <c r="U455" i="697"/>
  <c r="Y455" i="697" s="1"/>
  <c r="U488" i="697"/>
  <c r="Y488" i="697" s="1"/>
  <c r="U502" i="697"/>
  <c r="Y502" i="697" s="1"/>
  <c r="U369" i="697"/>
  <c r="Y369" i="697" s="1"/>
  <c r="U370" i="697"/>
  <c r="U470" i="697"/>
  <c r="Y470" i="697" s="1"/>
  <c r="U402" i="697"/>
  <c r="Y402" i="697" s="1"/>
  <c r="U356" i="697"/>
  <c r="Y356" i="697" s="1"/>
  <c r="U371" i="697"/>
  <c r="Y371" i="697" s="1"/>
  <c r="U489" i="697"/>
  <c r="Y489" i="697" s="1"/>
  <c r="U626" i="697"/>
  <c r="Y626" i="697" s="1"/>
  <c r="U627" i="697"/>
  <c r="Y627" i="697" s="1"/>
  <c r="U490" i="697"/>
  <c r="U359" i="697"/>
  <c r="Y359" i="697" s="1"/>
  <c r="U471" i="697"/>
  <c r="Y471" i="697" s="1"/>
  <c r="U368" i="697"/>
  <c r="U525" i="697"/>
  <c r="Y525" i="697" s="1"/>
  <c r="U472" i="697"/>
  <c r="Y472" i="697" s="1"/>
  <c r="U366" i="697"/>
  <c r="Y366" i="697" s="1"/>
  <c r="U491" i="697"/>
  <c r="Y491" i="697" s="1"/>
  <c r="U492" i="697"/>
  <c r="Y492" i="697" s="1"/>
  <c r="U433" i="697"/>
  <c r="Y433" i="697" s="1"/>
  <c r="U473" i="697"/>
  <c r="Y473" i="697" s="1"/>
  <c r="U493" i="697"/>
  <c r="Y493" i="697" s="1"/>
  <c r="U372" i="697"/>
  <c r="Y372" i="697" s="1"/>
  <c r="U526" i="697"/>
  <c r="Y526" i="697" s="1"/>
  <c r="U387" i="697"/>
  <c r="Y387" i="697" s="1"/>
  <c r="U474" i="697"/>
  <c r="U475" i="697"/>
  <c r="Y475" i="697" s="1"/>
  <c r="U476" i="697"/>
  <c r="Y476" i="697" s="1"/>
  <c r="U477" i="697"/>
  <c r="Y477" i="697" s="1"/>
  <c r="U398" i="697"/>
  <c r="Y398" i="697" s="1"/>
  <c r="U434" i="697"/>
  <c r="Y434" i="697" s="1"/>
  <c r="U628" i="697"/>
  <c r="Y628" i="697" s="1"/>
  <c r="U527" i="697"/>
  <c r="Y527" i="697" s="1"/>
  <c r="U545" i="697"/>
  <c r="Y545" i="697" s="1"/>
  <c r="U392" i="697"/>
  <c r="Y392" i="697" s="1"/>
  <c r="U435" i="697"/>
  <c r="Y435" i="697" s="1"/>
  <c r="U436" i="697"/>
  <c r="Y436" i="697" s="1"/>
  <c r="U393" i="697"/>
  <c r="Y393" i="697" s="1"/>
  <c r="U403" i="697"/>
  <c r="U404" i="697"/>
  <c r="Y404" i="697" s="1"/>
  <c r="U511" i="697"/>
  <c r="Y511" i="697" s="1"/>
  <c r="U512" i="697"/>
  <c r="Y512" i="697" s="1"/>
  <c r="U513" i="697"/>
  <c r="Y513" i="697" s="1"/>
  <c r="U514" i="697"/>
  <c r="Y514" i="697" s="1"/>
  <c r="U670" i="697"/>
  <c r="Y670" i="697" s="1"/>
  <c r="U478" i="697"/>
  <c r="U494" i="697"/>
  <c r="Y494" i="697" s="1"/>
  <c r="U629" i="697"/>
  <c r="Y629" i="697" s="1"/>
  <c r="U584" i="697"/>
  <c r="Y584" i="697" s="1"/>
  <c r="U405" i="697"/>
  <c r="Y405" i="697" s="1"/>
  <c r="U538" i="697"/>
  <c r="Y538" i="697" s="1"/>
  <c r="U539" i="697"/>
  <c r="Y539" i="697" s="1"/>
  <c r="U528" i="697"/>
  <c r="Y528" i="697" s="1"/>
  <c r="U554" i="697"/>
  <c r="Y554" i="697" s="1"/>
  <c r="U555" i="697"/>
  <c r="Y555" i="697" s="1"/>
  <c r="U412" i="697"/>
  <c r="Y412" i="697" s="1"/>
  <c r="U637" i="697"/>
  <c r="Y637" i="697" s="1"/>
  <c r="U415" i="697"/>
  <c r="Y415" i="697" s="1"/>
  <c r="U479" i="697"/>
  <c r="Y479" i="697" s="1"/>
  <c r="U480" i="697"/>
  <c r="Y480" i="697" s="1"/>
  <c r="U615" i="697"/>
  <c r="Y615" i="697" s="1"/>
  <c r="U592" i="697"/>
  <c r="U441" i="697"/>
  <c r="Y441" i="697" s="1"/>
  <c r="U662" i="697"/>
  <c r="Y662" i="697" s="1"/>
  <c r="U447" i="697"/>
  <c r="Y447" i="697" s="1"/>
  <c r="U416" i="697"/>
  <c r="Y416" i="697" s="1"/>
  <c r="U417" i="697"/>
  <c r="Y417" i="697" s="1"/>
  <c r="U418" i="697"/>
  <c r="Y418" i="697" s="1"/>
  <c r="U419" i="697"/>
  <c r="Y419" i="697" s="1"/>
  <c r="U420" i="697"/>
  <c r="Y420" i="697" s="1"/>
  <c r="U421" i="697"/>
  <c r="Y421" i="697" s="1"/>
  <c r="U486" i="697"/>
  <c r="Y486" i="697" s="1"/>
  <c r="U498" i="697"/>
  <c r="Y498" i="697" s="1"/>
  <c r="U499" i="697"/>
  <c r="Y499" i="697" s="1"/>
  <c r="U448" i="697"/>
  <c r="U449" i="697"/>
  <c r="Y449" i="697" s="1"/>
  <c r="U457" i="697"/>
  <c r="Y457" i="697" s="1"/>
  <c r="U481" i="697"/>
  <c r="Y481" i="697" s="1"/>
  <c r="U515" i="697"/>
  <c r="Y515" i="697" s="1"/>
  <c r="U677" i="697"/>
  <c r="Y677" i="697" s="1"/>
  <c r="U439" i="697"/>
  <c r="Y439" i="697" s="1"/>
  <c r="U672" i="697"/>
  <c r="Y672" i="697" s="1"/>
  <c r="U616" i="697"/>
  <c r="Y616" i="697" s="1"/>
  <c r="U617" i="697"/>
  <c r="Y617" i="697" s="1"/>
  <c r="U529" i="697"/>
  <c r="Y529" i="697" s="1"/>
  <c r="U437" i="697"/>
  <c r="Y437" i="697" s="1"/>
  <c r="U438" i="697"/>
  <c r="Y438" i="697" s="1"/>
  <c r="U547" i="697"/>
  <c r="Y547" i="697" s="1"/>
  <c r="U548" i="697"/>
  <c r="Y548" i="697" s="1"/>
  <c r="U714" i="697"/>
  <c r="Y714" i="697" s="1"/>
  <c r="U673" i="697"/>
  <c r="Y673" i="697" s="1"/>
  <c r="U440" i="697"/>
  <c r="Y440" i="697" s="1"/>
  <c r="U500" i="697"/>
  <c r="Y500" i="697" s="1"/>
  <c r="U715" i="697"/>
  <c r="Y715" i="697" s="1"/>
  <c r="U716" i="697"/>
  <c r="Y716" i="697" s="1"/>
  <c r="U657" i="697"/>
  <c r="Y657" i="697" s="1"/>
  <c r="U638" i="697"/>
  <c r="Y638" i="697" s="1"/>
  <c r="U456" i="697"/>
  <c r="Y456" i="697" s="1"/>
  <c r="U639" i="697"/>
  <c r="Y639" i="697" s="1"/>
  <c r="U593" i="697"/>
  <c r="Y593" i="697" s="1"/>
  <c r="U674" i="697"/>
  <c r="Y674" i="697" s="1"/>
  <c r="U556" i="697"/>
  <c r="Y556" i="697" s="1"/>
  <c r="U594" i="697"/>
  <c r="Y594" i="697" s="1"/>
  <c r="U459" i="697"/>
  <c r="Y459" i="697" s="1"/>
  <c r="U458" i="697"/>
  <c r="Y458" i="697" s="1"/>
  <c r="U645" i="697"/>
  <c r="U482" i="697"/>
  <c r="Y482" i="697" s="1"/>
  <c r="U675" i="697"/>
  <c r="Y675" i="697" s="1"/>
  <c r="U676" i="697"/>
  <c r="Y676" i="697" s="1"/>
  <c r="U483" i="697"/>
  <c r="Y483" i="697" s="1"/>
  <c r="U663" i="697"/>
  <c r="Y663" i="697" s="1"/>
  <c r="U682" i="697"/>
  <c r="Y682" i="697" s="1"/>
  <c r="U557" i="697"/>
  <c r="Y557" i="697" s="1"/>
  <c r="U558" i="697"/>
  <c r="Y558" i="697" s="1"/>
  <c r="U559" i="697"/>
  <c r="Y559" i="697" s="1"/>
  <c r="U560" i="697"/>
  <c r="Y560" i="697" s="1"/>
  <c r="U678" i="697"/>
  <c r="Y678" i="697" s="1"/>
  <c r="U595" i="697"/>
  <c r="Y595" i="697" s="1"/>
  <c r="U484" i="697"/>
  <c r="Y484" i="697" s="1"/>
  <c r="U495" i="697"/>
  <c r="Y495" i="697" s="1"/>
  <c r="U561" i="697"/>
  <c r="Y561" i="697" s="1"/>
  <c r="U562" i="697"/>
  <c r="U563" i="697"/>
  <c r="Y563" i="697" s="1"/>
  <c r="U564" i="697"/>
  <c r="Y564" i="697" s="1"/>
  <c r="U731" i="697"/>
  <c r="Y731" i="697" s="1"/>
  <c r="U658" i="697"/>
  <c r="Y658" i="697" s="1"/>
  <c r="U590" i="697"/>
  <c r="Y590" i="697" s="1"/>
  <c r="U497" i="697"/>
  <c r="Y497" i="697" s="1"/>
  <c r="U496" i="697"/>
  <c r="Y496" i="697" s="1"/>
  <c r="U516" i="697"/>
  <c r="Y516" i="697" s="1"/>
  <c r="U517" i="697"/>
  <c r="Y517" i="697" s="1"/>
  <c r="U618" i="697"/>
  <c r="Y618" i="697" s="1"/>
  <c r="U619" i="697"/>
  <c r="Y619" i="697" s="1"/>
  <c r="U679" i="697"/>
  <c r="Y679" i="697" s="1"/>
  <c r="U501" i="697"/>
  <c r="Y501" i="697" s="1"/>
  <c r="U503" i="697"/>
  <c r="Y503" i="697" s="1"/>
  <c r="U620" i="697"/>
  <c r="Y620" i="697" s="1"/>
  <c r="U596" i="697"/>
  <c r="Y596" i="697" s="1"/>
  <c r="U701" i="697"/>
  <c r="Y701" i="697" s="1"/>
  <c r="U664" i="697"/>
  <c r="Y664" i="697" s="1"/>
  <c r="U659" i="697"/>
  <c r="Y659" i="697" s="1"/>
  <c r="U680" i="697"/>
  <c r="Y680" i="697" s="1"/>
  <c r="U565" i="697"/>
  <c r="Y565" i="697" s="1"/>
  <c r="U566" i="697"/>
  <c r="Y566" i="697" s="1"/>
  <c r="U567" i="697"/>
  <c r="Y567" i="697" s="1"/>
  <c r="U568" i="697"/>
  <c r="Y568" i="697" s="1"/>
  <c r="U621" i="697"/>
  <c r="Y621" i="697" s="1"/>
  <c r="U702" i="697"/>
  <c r="Y702" i="697" s="1"/>
  <c r="U732" i="697"/>
  <c r="Y732" i="697" s="1"/>
  <c r="U751" i="697"/>
  <c r="Y751" i="697" s="1"/>
  <c r="U717" i="697"/>
  <c r="Y717" i="697" s="1"/>
  <c r="U646" i="697"/>
  <c r="Y646" i="697" s="1"/>
  <c r="U521" i="697"/>
  <c r="Y521" i="697" s="1"/>
  <c r="U681" i="697"/>
  <c r="Y681" i="697" s="1"/>
  <c r="U522" i="697"/>
  <c r="Y522" i="697" s="1"/>
  <c r="U533" i="697"/>
  <c r="Y533" i="697" s="1"/>
  <c r="U549" i="697"/>
  <c r="Y549" i="697" s="1"/>
  <c r="U577" i="697"/>
  <c r="Y577" i="697" s="1"/>
  <c r="U610" i="697"/>
  <c r="Y610" i="697" s="1"/>
  <c r="U752" i="697"/>
  <c r="Y752" i="697" s="1"/>
  <c r="U534" i="697"/>
  <c r="Y534" i="697" s="1"/>
  <c r="U581" i="697"/>
  <c r="Y581" i="697" s="1"/>
  <c r="U587" i="697"/>
  <c r="Y587" i="697" s="1"/>
  <c r="U588" i="697"/>
  <c r="Y588" i="697" s="1"/>
  <c r="U660" i="697"/>
  <c r="Y660" i="697" s="1"/>
  <c r="U718" i="697"/>
  <c r="Y718" i="697" s="1"/>
  <c r="U550" i="697"/>
  <c r="U551" i="697"/>
  <c r="Y551" i="697" s="1"/>
  <c r="U552" i="697"/>
  <c r="Y552" i="697" s="1"/>
  <c r="U753" i="697"/>
  <c r="Y753" i="697" s="1"/>
  <c r="U782" i="697"/>
  <c r="Y782" i="697" s="1"/>
  <c r="U536" i="697"/>
  <c r="Y536" i="697" s="1"/>
  <c r="U683" i="697"/>
  <c r="Y683" i="697" s="1"/>
  <c r="U866" i="697"/>
  <c r="Y866" i="697" s="1"/>
  <c r="U578" i="697"/>
  <c r="Y578" i="697" s="1"/>
  <c r="U535" i="697"/>
  <c r="Y535" i="697" s="1"/>
  <c r="U684" i="697"/>
  <c r="Y684" i="697" s="1"/>
  <c r="U754" i="697"/>
  <c r="Y754" i="697" s="1"/>
  <c r="U537" i="697"/>
  <c r="Y537" i="697" s="1"/>
  <c r="U540" i="697"/>
  <c r="Y540" i="697" s="1"/>
  <c r="U755" i="697"/>
  <c r="Y755" i="697" s="1"/>
  <c r="U685" i="697"/>
  <c r="U686" i="697"/>
  <c r="Y686" i="697" s="1"/>
  <c r="U705" i="697"/>
  <c r="Y705" i="697" s="1"/>
  <c r="U541" i="697"/>
  <c r="Y541" i="697" s="1"/>
  <c r="U542" i="697"/>
  <c r="Y542" i="697" s="1"/>
  <c r="U687" i="697"/>
  <c r="Y687" i="697" s="1"/>
  <c r="U733" i="697"/>
  <c r="Y733" i="697" s="1"/>
  <c r="U836" i="697"/>
  <c r="Y836" i="697" s="1"/>
  <c r="U756" i="697"/>
  <c r="Y756" i="697" s="1"/>
  <c r="U569" i="697"/>
  <c r="Y569" i="697" s="1"/>
  <c r="U706" i="697"/>
  <c r="Y706" i="697" s="1"/>
  <c r="U707" i="697"/>
  <c r="Y707" i="697" s="1"/>
  <c r="U734" i="697"/>
  <c r="Y734" i="697" s="1"/>
  <c r="U735" i="697"/>
  <c r="Y735" i="697" s="1"/>
  <c r="U580" i="697"/>
  <c r="Y580" i="697" s="1"/>
  <c r="U585" i="697"/>
  <c r="Y585" i="697" s="1"/>
  <c r="U630" i="697"/>
  <c r="Y630" i="697" s="1"/>
  <c r="U553" i="697"/>
  <c r="Y553" i="697" s="1"/>
  <c r="U749" i="697"/>
  <c r="Y749" i="697" s="1"/>
  <c r="U688" i="697"/>
  <c r="Y688" i="697" s="1"/>
  <c r="U837" i="697"/>
  <c r="Y837" i="697" s="1"/>
  <c r="U634" i="697"/>
  <c r="U757" i="697"/>
  <c r="Y757" i="697" s="1"/>
  <c r="U783" i="697"/>
  <c r="Y783" i="697" s="1"/>
  <c r="U689" i="697"/>
  <c r="Y689" i="697" s="1"/>
  <c r="U576" i="697"/>
  <c r="Y576" i="697" s="1"/>
  <c r="U758" i="697"/>
  <c r="Y758" i="697" s="1"/>
  <c r="U759" i="697"/>
  <c r="Y759" i="697" s="1"/>
  <c r="U760" i="697"/>
  <c r="Y760" i="697" s="1"/>
  <c r="U690" i="697"/>
  <c r="Y690" i="697" s="1"/>
  <c r="U579" i="697"/>
  <c r="Y579" i="697" s="1"/>
  <c r="U784" i="697"/>
  <c r="Y784" i="697" s="1"/>
  <c r="U838" i="697"/>
  <c r="Y838" i="697" s="1"/>
  <c r="U761" i="697"/>
  <c r="Y761" i="697" s="1"/>
  <c r="U811" i="697"/>
  <c r="Y811" i="697" s="1"/>
  <c r="U691" i="697"/>
  <c r="Y691" i="697" s="1"/>
  <c r="U815" i="697"/>
  <c r="Y815" i="697" s="1"/>
  <c r="U889" i="697"/>
  <c r="Y889" i="697" s="1"/>
  <c r="U582" i="697"/>
  <c r="Y582" i="697" s="1"/>
  <c r="U665" i="697"/>
  <c r="Y665" i="697" s="1"/>
  <c r="U583" i="697"/>
  <c r="Y583" i="697" s="1"/>
  <c r="U586" i="697"/>
  <c r="Y586" i="697" s="1"/>
  <c r="U692" i="697"/>
  <c r="Y692" i="697" s="1"/>
  <c r="U719" i="697"/>
  <c r="Y719" i="697" s="1"/>
  <c r="U661" i="697"/>
  <c r="Y661" i="697" s="1"/>
  <c r="U762" i="697"/>
  <c r="Y762" i="697" s="1"/>
  <c r="U763" i="697"/>
  <c r="Y763" i="697" s="1"/>
  <c r="U611" i="697"/>
  <c r="U816" i="697"/>
  <c r="Y816" i="697" s="1"/>
  <c r="U720" i="697"/>
  <c r="Y720" i="697" s="1"/>
  <c r="U693" i="697"/>
  <c r="Y693" i="697" s="1"/>
  <c r="U589" i="697"/>
  <c r="Y589" i="697" s="1"/>
  <c r="U839" i="697"/>
  <c r="Y839" i="697" s="1"/>
  <c r="U591" i="697"/>
  <c r="Y591" i="697" s="1"/>
  <c r="U721" i="697"/>
  <c r="Y721" i="697" s="1"/>
  <c r="U597" i="697"/>
  <c r="Y597" i="697" s="1"/>
  <c r="U598" i="697"/>
  <c r="Y598" i="697" s="1"/>
  <c r="U764" i="697"/>
  <c r="Y764" i="697" s="1"/>
  <c r="U694" i="697"/>
  <c r="Y694" i="697" s="1"/>
  <c r="U840" i="697"/>
  <c r="Y840" i="697" s="1"/>
  <c r="U793" i="697"/>
  <c r="U765" i="697"/>
  <c r="Y765" i="697" s="1"/>
  <c r="U601" i="697"/>
  <c r="Y601" i="697" s="1"/>
  <c r="U695" i="697"/>
  <c r="Y695" i="697" s="1"/>
  <c r="U599" i="697"/>
  <c r="Y599" i="697" s="1"/>
  <c r="U600" i="697"/>
  <c r="Y600" i="697" s="1"/>
  <c r="U812" i="697"/>
  <c r="Y812" i="697" s="1"/>
  <c r="U785" i="697"/>
  <c r="Y785" i="697" s="1"/>
  <c r="U722" i="697"/>
  <c r="Y722" i="697" s="1"/>
  <c r="U602" i="697"/>
  <c r="Y602" i="697" s="1"/>
  <c r="U603" i="697"/>
  <c r="Y603" i="697" s="1"/>
  <c r="U604" i="697"/>
  <c r="Y604" i="697" s="1"/>
  <c r="U605" i="697"/>
  <c r="Y605" i="697" s="1"/>
  <c r="U606" i="697"/>
  <c r="Y606" i="697" s="1"/>
  <c r="U607" i="697"/>
  <c r="Y607" i="697" s="1"/>
  <c r="U608" i="697"/>
  <c r="Y608" i="697" s="1"/>
  <c r="U609" i="697"/>
  <c r="Y609" i="697" s="1"/>
  <c r="U738" i="697"/>
  <c r="Y738" i="697" s="1"/>
  <c r="U739" i="697"/>
  <c r="Y739" i="697" s="1"/>
  <c r="U740" i="697"/>
  <c r="Y740" i="697" s="1"/>
  <c r="U741" i="697"/>
  <c r="Y741" i="697" s="1"/>
  <c r="U742" i="697"/>
  <c r="Y742" i="697" s="1"/>
  <c r="U766" i="697"/>
  <c r="Y766" i="697" s="1"/>
  <c r="U923" i="697"/>
  <c r="Y923" i="697" s="1"/>
  <c r="U902" i="697"/>
  <c r="Y902" i="697" s="1"/>
  <c r="U654" i="697"/>
  <c r="U723" i="697"/>
  <c r="Y723" i="697" s="1"/>
  <c r="U647" i="697"/>
  <c r="Y647" i="697" s="1"/>
  <c r="U854" i="697"/>
  <c r="U648" i="697"/>
  <c r="U696" i="697"/>
  <c r="Y696" i="697" s="1"/>
  <c r="U697" i="697"/>
  <c r="Y697" i="697" s="1"/>
  <c r="U649" i="697"/>
  <c r="Y649" i="697" s="1"/>
  <c r="U650" i="697"/>
  <c r="Y650" i="697" s="1"/>
  <c r="U698" i="697"/>
  <c r="Y698" i="697" s="1"/>
  <c r="U612" i="697"/>
  <c r="Y612" i="697" s="1"/>
  <c r="U613" i="697"/>
  <c r="Y613" i="697" s="1"/>
  <c r="U651" i="697"/>
  <c r="U767" i="697"/>
  <c r="Y767" i="697" s="1"/>
  <c r="U768" i="697"/>
  <c r="Y768" i="697" s="1"/>
  <c r="U631" i="697"/>
  <c r="U743" i="697"/>
  <c r="Y743" i="697" s="1"/>
  <c r="U622" i="697"/>
  <c r="Y622" i="697" s="1"/>
  <c r="U841" i="697"/>
  <c r="Y841" i="697" s="1"/>
  <c r="U769" i="697"/>
  <c r="Y769" i="697" s="1"/>
  <c r="U632" i="697"/>
  <c r="Y632" i="697" s="1"/>
  <c r="U633" i="697"/>
  <c r="Y633" i="697" s="1"/>
  <c r="U770" i="697"/>
  <c r="Y770" i="697" s="1"/>
  <c r="U640" i="697"/>
  <c r="Y640" i="697" s="1"/>
  <c r="U744" i="697"/>
  <c r="Y744" i="697" s="1"/>
  <c r="U890" i="697"/>
  <c r="Y890" i="697" s="1"/>
  <c r="U867" i="697"/>
  <c r="Y867" i="697" s="1"/>
  <c r="U855" i="697"/>
  <c r="Y855" i="697" s="1"/>
  <c r="U635" i="697"/>
  <c r="Y635" i="697" s="1"/>
  <c r="U891" i="697"/>
  <c r="Y891" i="697" s="1"/>
  <c r="U699" i="697"/>
  <c r="U903" i="697"/>
  <c r="Y903" i="697" s="1"/>
  <c r="U773" i="697"/>
  <c r="Y773" i="697" s="1"/>
  <c r="U636" i="697"/>
  <c r="Y636" i="697" s="1"/>
  <c r="U641" i="697"/>
  <c r="Y641" i="697" s="1"/>
  <c r="U652" i="697"/>
  <c r="U642" i="697"/>
  <c r="Y642" i="697" s="1"/>
  <c r="U643" i="697"/>
  <c r="Y643" i="697" s="1"/>
  <c r="U868" i="697"/>
  <c r="Y868" i="697" s="1"/>
  <c r="U892" i="697"/>
  <c r="Y892" i="697" s="1"/>
  <c r="U856" i="697"/>
  <c r="Y856" i="697" s="1"/>
  <c r="U842" i="697"/>
  <c r="Y842" i="697" s="1"/>
  <c r="U893" i="697"/>
  <c r="Y893" i="697" s="1"/>
  <c r="U843" i="697"/>
  <c r="Y843" i="697" s="1"/>
  <c r="U644" i="697"/>
  <c r="Y644" i="697" s="1"/>
  <c r="U799" i="697"/>
  <c r="Y799" i="697" s="1"/>
  <c r="U844" i="697"/>
  <c r="Y844" i="697" s="1"/>
  <c r="U857" i="697"/>
  <c r="Y857" i="697" s="1"/>
  <c r="U653" i="697"/>
  <c r="Y653" i="697" s="1"/>
  <c r="U655" i="697"/>
  <c r="Y655" i="697" s="1"/>
  <c r="U858" i="697"/>
  <c r="Y858" i="697" s="1"/>
  <c r="U656" i="697"/>
  <c r="U745" i="697"/>
  <c r="Y745" i="697" s="1"/>
  <c r="U746" i="697"/>
  <c r="Y746" i="697" s="1"/>
  <c r="U666" i="697"/>
  <c r="U859" i="697"/>
  <c r="Y859" i="697" s="1"/>
  <c r="U747" i="697"/>
  <c r="Y747" i="697" s="1"/>
  <c r="U924" i="697"/>
  <c r="Y924" i="697" s="1"/>
  <c r="U925" i="697"/>
  <c r="Y925" i="697" s="1"/>
  <c r="U926" i="697"/>
  <c r="Y926" i="697" s="1"/>
  <c r="U869" i="697"/>
  <c r="Y869" i="697" s="1"/>
  <c r="U667" i="697"/>
  <c r="Y667" i="697" s="1"/>
  <c r="U750" i="697"/>
  <c r="Y750" i="697" s="1"/>
  <c r="U668" i="697"/>
  <c r="Y668" i="697" s="1"/>
  <c r="U845" i="697"/>
  <c r="U1029" i="697"/>
  <c r="Y1029" i="697" s="1"/>
  <c r="U700" i="697"/>
  <c r="Y700" i="697" s="1"/>
  <c r="U703" i="697"/>
  <c r="Y703" i="697" s="1"/>
  <c r="U704" i="697"/>
  <c r="Y704" i="697" s="1"/>
  <c r="U927" i="697"/>
  <c r="Y927" i="697" s="1"/>
  <c r="U928" i="697"/>
  <c r="Y928" i="697" s="1"/>
  <c r="U879" i="697"/>
  <c r="Y879" i="697" s="1"/>
  <c r="U846" i="697"/>
  <c r="Y846" i="697" s="1"/>
  <c r="U929" i="697"/>
  <c r="Y929" i="697" s="1"/>
  <c r="U860" i="697"/>
  <c r="Y860" i="697" s="1"/>
  <c r="U794" i="697"/>
  <c r="Y794" i="697" s="1"/>
  <c r="U861" i="697"/>
  <c r="Y861" i="697" s="1"/>
  <c r="U930" i="697"/>
  <c r="Y930" i="697" s="1"/>
  <c r="U894" i="697"/>
  <c r="Y894" i="697" s="1"/>
  <c r="U870" i="697"/>
  <c r="Y870" i="697" s="1"/>
  <c r="U862" i="697"/>
  <c r="Y862" i="697" s="1"/>
  <c r="U931" i="697"/>
  <c r="Y931" i="697" s="1"/>
  <c r="U932" i="697"/>
  <c r="Y932" i="697" s="1"/>
  <c r="U933" i="697"/>
  <c r="Y933" i="697" s="1"/>
  <c r="U708" i="697"/>
  <c r="Y708" i="697" s="1"/>
  <c r="U709" i="697"/>
  <c r="Y709" i="697" s="1"/>
  <c r="U710" i="697"/>
  <c r="Y710" i="697" s="1"/>
  <c r="U711" i="697"/>
  <c r="Y711" i="697" s="1"/>
  <c r="U712" i="697"/>
  <c r="Y712" i="697" s="1"/>
  <c r="U713" i="697"/>
  <c r="Y713" i="697" s="1"/>
  <c r="U786" i="697"/>
  <c r="Y786" i="697" s="1"/>
  <c r="U787" i="697"/>
  <c r="Y787" i="697" s="1"/>
  <c r="U952" i="697"/>
  <c r="Y952" i="697" s="1"/>
  <c r="U788" i="697"/>
  <c r="Y788" i="697" s="1"/>
  <c r="U809" i="697"/>
  <c r="Y809" i="697" s="1"/>
  <c r="U810" i="697"/>
  <c r="Y810" i="697" s="1"/>
  <c r="U736" i="697"/>
  <c r="Y736" i="697" s="1"/>
  <c r="U748" i="697"/>
  <c r="Y748" i="697" s="1"/>
  <c r="U774" i="697"/>
  <c r="Y774" i="697" s="1"/>
  <c r="U775" i="697"/>
  <c r="Y775" i="697" s="1"/>
  <c r="U776" i="697"/>
  <c r="Y776" i="697" s="1"/>
  <c r="U789" i="697"/>
  <c r="Y789" i="697" s="1"/>
  <c r="U934" i="697"/>
  <c r="Y934" i="697" s="1"/>
  <c r="U724" i="697"/>
  <c r="U725" i="697"/>
  <c r="Y725" i="697" s="1"/>
  <c r="U726" i="697"/>
  <c r="Y726" i="697" s="1"/>
  <c r="U727" i="697"/>
  <c r="Y727" i="697" s="1"/>
  <c r="U790" i="697"/>
  <c r="Y790" i="697" s="1"/>
  <c r="U1021" i="697"/>
  <c r="Y1021" i="697" s="1"/>
  <c r="U728" i="697"/>
  <c r="Y728" i="697" s="1"/>
  <c r="U729" i="697"/>
  <c r="Y729" i="697" s="1"/>
  <c r="U730" i="697"/>
  <c r="Y730" i="697" s="1"/>
  <c r="U953" i="697"/>
  <c r="Y953" i="697" s="1"/>
  <c r="U871" i="697"/>
  <c r="Y871" i="697" s="1"/>
  <c r="U817" i="697"/>
  <c r="Y817" i="697" s="1"/>
  <c r="U737" i="697"/>
  <c r="Y737" i="697" s="1"/>
  <c r="U1084" i="697"/>
  <c r="Y1084" i="697" s="1"/>
  <c r="U880" i="697"/>
  <c r="Y880" i="697" s="1"/>
  <c r="U863" i="697"/>
  <c r="Y863" i="697" s="1"/>
  <c r="U570" i="697"/>
  <c r="Y570" i="697" s="1"/>
  <c r="U571" i="697"/>
  <c r="Y571" i="697" s="1"/>
  <c r="U572" i="697"/>
  <c r="Y572" i="697" s="1"/>
  <c r="U573" i="697"/>
  <c r="Y573" i="697" s="1"/>
  <c r="U574" i="697"/>
  <c r="Y574" i="697" s="1"/>
  <c r="U575" i="697"/>
  <c r="Y575" i="697" s="1"/>
  <c r="U771" i="697"/>
  <c r="Y771" i="697" s="1"/>
  <c r="U772" i="697"/>
  <c r="Y772" i="697" s="1"/>
  <c r="U954" i="697"/>
  <c r="Y954" i="697" s="1"/>
  <c r="U955" i="697"/>
  <c r="Y955" i="697" s="1"/>
  <c r="U980" i="697"/>
  <c r="Y980" i="697" s="1"/>
  <c r="U777" i="697"/>
  <c r="Y777" i="697" s="1"/>
  <c r="U956" i="697"/>
  <c r="Y956" i="697" s="1"/>
  <c r="U981" i="697"/>
  <c r="Y981" i="697" s="1"/>
  <c r="U982" i="697"/>
  <c r="Y982" i="697" s="1"/>
  <c r="U983" i="697"/>
  <c r="Y983" i="697" s="1"/>
  <c r="U904" i="697"/>
  <c r="Y904" i="697" s="1"/>
  <c r="U984" i="697"/>
  <c r="Y984" i="697" s="1"/>
  <c r="U912" i="697"/>
  <c r="Y912" i="697" s="1"/>
  <c r="U913" i="697"/>
  <c r="Y913" i="697" s="1"/>
  <c r="U778" i="697"/>
  <c r="Y778" i="697" s="1"/>
  <c r="U957" i="697"/>
  <c r="Y957" i="697" s="1"/>
  <c r="U881" i="697"/>
  <c r="Y881" i="697" s="1"/>
  <c r="U779" i="697"/>
  <c r="Y779" i="697" s="1"/>
  <c r="U780" i="697"/>
  <c r="U905" i="697"/>
  <c r="Y905" i="697" s="1"/>
  <c r="U985" i="697"/>
  <c r="Y985" i="697" s="1"/>
  <c r="U781" i="697"/>
  <c r="Y781" i="697" s="1"/>
  <c r="U906" i="697"/>
  <c r="Y906" i="697" s="1"/>
  <c r="U948" i="697"/>
  <c r="Y948" i="697" s="1"/>
  <c r="U935" i="697"/>
  <c r="Y935" i="697" s="1"/>
  <c r="U936" i="697"/>
  <c r="Y936" i="697" s="1"/>
  <c r="U791" i="697"/>
  <c r="U795" i="697"/>
  <c r="Y795" i="697" s="1"/>
  <c r="U937" i="697"/>
  <c r="Y937" i="697" s="1"/>
  <c r="U986" i="697"/>
  <c r="Y986" i="697" s="1"/>
  <c r="U895" i="697"/>
  <c r="Y895" i="697" s="1"/>
  <c r="U896" i="697"/>
  <c r="Y896" i="697" s="1"/>
  <c r="U914" i="697"/>
  <c r="Y914" i="697" s="1"/>
  <c r="U958" i="697"/>
  <c r="Y958" i="697" s="1"/>
  <c r="U792" i="697"/>
  <c r="Y792" i="697" s="1"/>
  <c r="U987" i="697"/>
  <c r="Y987" i="697" s="1"/>
  <c r="U800" i="697"/>
  <c r="Y800" i="697" s="1"/>
  <c r="U988" i="697"/>
  <c r="Y988" i="697" s="1"/>
  <c r="U959" i="697"/>
  <c r="Y959" i="697" s="1"/>
  <c r="U801" i="697"/>
  <c r="Y801" i="697" s="1"/>
  <c r="U796" i="697"/>
  <c r="Y796" i="697" s="1"/>
  <c r="U989" i="697"/>
  <c r="Y989" i="697" s="1"/>
  <c r="U797" i="697"/>
  <c r="U798" i="697"/>
  <c r="Y798" i="697" s="1"/>
  <c r="U802" i="697"/>
  <c r="Y802" i="697" s="1"/>
  <c r="U990" i="697"/>
  <c r="Y990" i="697" s="1"/>
  <c r="U803" i="697"/>
  <c r="Y803" i="697" s="1"/>
  <c r="U804" i="697"/>
  <c r="Y804" i="697" s="1"/>
  <c r="U805" i="697"/>
  <c r="Y805" i="697" s="1"/>
  <c r="U806" i="697"/>
  <c r="Y806" i="697" s="1"/>
  <c r="U807" i="697"/>
  <c r="Y807" i="697" s="1"/>
  <c r="U808" i="697"/>
  <c r="Y808" i="697" s="1"/>
  <c r="U1022" i="697"/>
  <c r="Y1022" i="697" s="1"/>
  <c r="U1005" i="697"/>
  <c r="Y1005" i="697" s="1"/>
  <c r="U813" i="697"/>
  <c r="Y813" i="697" s="1"/>
  <c r="U814" i="697"/>
  <c r="Y814" i="697" s="1"/>
  <c r="U991" i="697"/>
  <c r="Y991" i="697" s="1"/>
  <c r="U992" i="697"/>
  <c r="Y992" i="697" s="1"/>
  <c r="U993" i="697"/>
  <c r="U818" i="697"/>
  <c r="Y818" i="697" s="1"/>
  <c r="U938" i="697"/>
  <c r="Y938" i="697" s="1"/>
  <c r="U819" i="697"/>
  <c r="Y819" i="697" s="1"/>
  <c r="U820" i="697"/>
  <c r="Y820" i="697" s="1"/>
  <c r="U821" i="697"/>
  <c r="Y821" i="697" s="1"/>
  <c r="U822" i="697"/>
  <c r="Y822" i="697" s="1"/>
  <c r="U823" i="697"/>
  <c r="Y823" i="697" s="1"/>
  <c r="U824" i="697"/>
  <c r="Y824" i="697" s="1"/>
  <c r="U825" i="697"/>
  <c r="Y825" i="697" s="1"/>
  <c r="U826" i="697"/>
  <c r="Y826" i="697" s="1"/>
  <c r="U939" i="697"/>
  <c r="Y939" i="697" s="1"/>
  <c r="U827" i="697"/>
  <c r="Y827" i="697" s="1"/>
  <c r="U828" i="697"/>
  <c r="Y828" i="697" s="1"/>
  <c r="U915" i="697"/>
  <c r="Y915" i="697" s="1"/>
  <c r="U897" i="697"/>
  <c r="Y897" i="697" s="1"/>
  <c r="U829" i="697"/>
  <c r="Y829" i="697" s="1"/>
  <c r="U830" i="697"/>
  <c r="Y830" i="697" s="1"/>
  <c r="U847" i="697"/>
  <c r="U831" i="697"/>
  <c r="Y831" i="697" s="1"/>
  <c r="U832" i="697"/>
  <c r="Y832" i="697" s="1"/>
  <c r="U833" i="697"/>
  <c r="Y833" i="697" s="1"/>
  <c r="U1000" i="697"/>
  <c r="Y1000" i="697" s="1"/>
  <c r="U960" i="697"/>
  <c r="Y960" i="697" s="1"/>
  <c r="U834" i="697"/>
  <c r="Y834" i="697" s="1"/>
  <c r="U1030" i="697"/>
  <c r="Y1030" i="697" s="1"/>
  <c r="U875" i="697"/>
  <c r="Y875" i="697" s="1"/>
  <c r="U898" i="697"/>
  <c r="Y898" i="697" s="1"/>
  <c r="U916" i="697"/>
  <c r="Y916" i="697" s="1"/>
  <c r="U917" i="697"/>
  <c r="Y917" i="697" s="1"/>
  <c r="U852" i="697"/>
  <c r="Y852" i="697" s="1"/>
  <c r="U872" i="697"/>
  <c r="U886" i="697"/>
  <c r="Y886" i="697" s="1"/>
  <c r="U848" i="697"/>
  <c r="Y848" i="697" s="1"/>
  <c r="U918" i="697"/>
  <c r="Y918" i="697" s="1"/>
  <c r="U1143" i="697"/>
  <c r="Y1143" i="697" s="1"/>
  <c r="U876" i="697"/>
  <c r="Y876" i="697" s="1"/>
  <c r="U877" i="697"/>
  <c r="U878" i="697"/>
  <c r="Y878" i="697" s="1"/>
  <c r="U994" i="697"/>
  <c r="Y994" i="697" s="1"/>
  <c r="U850" i="697"/>
  <c r="Y850" i="697" s="1"/>
  <c r="U849" i="697"/>
  <c r="Y849" i="697" s="1"/>
  <c r="U1001" i="697"/>
  <c r="Y1001" i="697" s="1"/>
  <c r="U899" i="697"/>
  <c r="Y899" i="697" s="1"/>
  <c r="U1002" i="697"/>
  <c r="Y1002" i="697" s="1"/>
  <c r="U1006" i="697"/>
  <c r="Y1006" i="697" s="1"/>
  <c r="U851" i="697"/>
  <c r="Y851" i="697" s="1"/>
  <c r="U940" i="697"/>
  <c r="Y940" i="697" s="1"/>
  <c r="U941" i="697"/>
  <c r="Y941" i="697" s="1"/>
  <c r="U1007" i="697"/>
  <c r="Y1007" i="697" s="1"/>
  <c r="U995" i="697"/>
  <c r="Y995" i="697" s="1"/>
  <c r="U1213" i="697"/>
  <c r="Y1213" i="697" s="1"/>
  <c r="U853" i="697"/>
  <c r="Y853" i="697" s="1"/>
  <c r="U1023" i="697"/>
  <c r="Y1023" i="697" s="1"/>
  <c r="U1008" i="697"/>
  <c r="Y1008" i="697" s="1"/>
  <c r="U1044" i="697"/>
  <c r="Y1044" i="697" s="1"/>
  <c r="U864" i="697"/>
  <c r="Y864" i="697" s="1"/>
  <c r="U865" i="697"/>
  <c r="Y865" i="697" s="1"/>
  <c r="U942" i="697"/>
  <c r="Y942" i="697" s="1"/>
  <c r="U1024" i="697"/>
  <c r="Y1024" i="697" s="1"/>
  <c r="U873" i="697"/>
  <c r="Y873" i="697" s="1"/>
  <c r="U943" i="697"/>
  <c r="Y943" i="697" s="1"/>
  <c r="U1045" i="697"/>
  <c r="Y1045" i="697" s="1"/>
  <c r="U1046" i="697"/>
  <c r="Y1046" i="697" s="1"/>
  <c r="U1047" i="697"/>
  <c r="Y1047" i="697" s="1"/>
  <c r="U874" i="697"/>
  <c r="Y874" i="697" s="1"/>
  <c r="U1025" i="697"/>
  <c r="Y1025" i="697" s="1"/>
  <c r="U1031" i="697"/>
  <c r="Y1031" i="697" s="1"/>
  <c r="U1048" i="697"/>
  <c r="Y1048" i="697" s="1"/>
  <c r="U882" i="697"/>
  <c r="Y882" i="697" s="1"/>
  <c r="U883" i="697"/>
  <c r="U884" i="697"/>
  <c r="Y884" i="697" s="1"/>
  <c r="U885" i="697"/>
  <c r="Y885" i="697" s="1"/>
  <c r="U1049" i="697"/>
  <c r="Y1049" i="697" s="1"/>
  <c r="U1050" i="697"/>
  <c r="Y1050" i="697" s="1"/>
  <c r="U900" i="697"/>
  <c r="Y900" i="697" s="1"/>
  <c r="U887" i="697"/>
  <c r="Y887" i="697" s="1"/>
  <c r="U888" i="697"/>
  <c r="Y888" i="697" s="1"/>
  <c r="U1091" i="697"/>
  <c r="Y1091" i="697" s="1"/>
  <c r="U1068" i="697"/>
  <c r="Y1068" i="697" s="1"/>
  <c r="U1075" i="697"/>
  <c r="Y1075" i="697" s="1"/>
  <c r="U901" i="697"/>
  <c r="Y901" i="697" s="1"/>
  <c r="U1096" i="697"/>
  <c r="Y1096" i="697" s="1"/>
  <c r="U907" i="697"/>
  <c r="Y907" i="697" s="1"/>
  <c r="U908" i="697"/>
  <c r="Y908" i="697" s="1"/>
  <c r="U909" i="697"/>
  <c r="Y909" i="697" s="1"/>
  <c r="U910" i="697"/>
  <c r="Y910" i="697" s="1"/>
  <c r="U911" i="697"/>
  <c r="Y911" i="697" s="1"/>
  <c r="U1168" i="697"/>
  <c r="Y1168" i="697" s="1"/>
  <c r="U944" i="697"/>
  <c r="Y944" i="697" s="1"/>
  <c r="U1097" i="697"/>
  <c r="Y1097" i="697" s="1"/>
  <c r="U1069" i="697"/>
  <c r="Y1069" i="697" s="1"/>
  <c r="U1051" i="697"/>
  <c r="Y1051" i="697" s="1"/>
  <c r="U919" i="697"/>
  <c r="Y919" i="697" s="1"/>
  <c r="U920" i="697"/>
  <c r="Y920" i="697" s="1"/>
  <c r="U921" i="697"/>
  <c r="Y921" i="697" s="1"/>
  <c r="U922" i="697"/>
  <c r="Y922" i="697" s="1"/>
  <c r="U1076" i="697"/>
  <c r="Y1076" i="697" s="1"/>
  <c r="U945" i="697"/>
  <c r="Y945" i="697" s="1"/>
  <c r="U1162" i="697"/>
  <c r="Y1162" i="697" s="1"/>
  <c r="U1169" i="697"/>
  <c r="Y1169" i="697" s="1"/>
  <c r="U1082" i="697"/>
  <c r="Y1082" i="697" s="1"/>
  <c r="U946" i="697"/>
  <c r="Y946" i="697" s="1"/>
  <c r="U1083" i="697"/>
  <c r="Y1083" i="697" s="1"/>
  <c r="U1131" i="697"/>
  <c r="Y1131" i="697" s="1"/>
  <c r="U1077" i="697"/>
  <c r="Y1077" i="697" s="1"/>
  <c r="U1052" i="697"/>
  <c r="Y1052" i="697" s="1"/>
  <c r="U1098" i="697"/>
  <c r="Y1098" i="697" s="1"/>
  <c r="U1070" i="697"/>
  <c r="Y1070" i="697" s="1"/>
  <c r="U1085" i="697"/>
  <c r="Y1085" i="697" s="1"/>
  <c r="U947" i="697"/>
  <c r="Y947" i="697" s="1"/>
  <c r="U9" i="697"/>
  <c r="Y9" i="697" s="1"/>
  <c r="U1032" i="697"/>
  <c r="Y1032" i="697" s="1"/>
  <c r="U1053" i="697"/>
  <c r="Y1053" i="697" s="1"/>
  <c r="U949" i="697"/>
  <c r="Y949" i="697" s="1"/>
  <c r="U950" i="697"/>
  <c r="Y950" i="697" s="1"/>
  <c r="U1092" i="697"/>
  <c r="Y1092" i="697" s="1"/>
  <c r="U1099" i="697"/>
  <c r="Y1099" i="697" s="1"/>
  <c r="U1130" i="697"/>
  <c r="Y1130" i="697" s="1"/>
  <c r="U1078" i="697"/>
  <c r="Y1078" i="697" s="1"/>
  <c r="U951" i="697"/>
  <c r="Y951" i="697" s="1"/>
  <c r="U1037" i="697"/>
  <c r="Y1037" i="697" s="1"/>
  <c r="U1071" i="697"/>
  <c r="U1100" i="697"/>
  <c r="Y1100" i="697" s="1"/>
  <c r="U1086" i="697"/>
  <c r="Y1086" i="697" s="1"/>
  <c r="U1087" i="697"/>
  <c r="Y1087" i="697" s="1"/>
  <c r="U1101" i="697"/>
  <c r="Y1101" i="697" s="1"/>
  <c r="U1088" i="697"/>
  <c r="Y1088" i="697" s="1"/>
  <c r="U1239" i="697"/>
  <c r="Y1239" i="697" s="1"/>
  <c r="U1089" i="697"/>
  <c r="Y1089" i="697" s="1"/>
  <c r="U1009" i="697"/>
  <c r="Y1009" i="697" s="1"/>
  <c r="U972" i="697"/>
  <c r="Y972" i="697" s="1"/>
  <c r="U1054" i="697"/>
  <c r="Y1054" i="697" s="1"/>
  <c r="U1033" i="697"/>
  <c r="Y1033" i="697" s="1"/>
  <c r="U1102" i="697"/>
  <c r="U1010" i="697"/>
  <c r="Y1010" i="697" s="1"/>
  <c r="U961" i="697"/>
  <c r="Y961" i="697" s="1"/>
  <c r="U962" i="697"/>
  <c r="Y962" i="697" s="1"/>
  <c r="U963" i="697"/>
  <c r="Y963" i="697" s="1"/>
  <c r="U964" i="697"/>
  <c r="Y964" i="697" s="1"/>
  <c r="U965" i="697"/>
  <c r="Y965" i="697" s="1"/>
  <c r="U966" i="697"/>
  <c r="Y966" i="697" s="1"/>
  <c r="U967" i="697"/>
  <c r="Y967" i="697" s="1"/>
  <c r="U968" i="697"/>
  <c r="Y968" i="697" s="1"/>
  <c r="U969" i="697"/>
  <c r="Y969" i="697" s="1"/>
  <c r="U970" i="697"/>
  <c r="Y970" i="697" s="1"/>
  <c r="U971" i="697"/>
  <c r="U1055" i="697"/>
  <c r="Y1055" i="697" s="1"/>
  <c r="U1056" i="697"/>
  <c r="Y1056" i="697" s="1"/>
  <c r="U1057" i="697"/>
  <c r="Y1057" i="697" s="1"/>
  <c r="U1058" i="697"/>
  <c r="Y1058" i="697" s="1"/>
  <c r="U1059" i="697"/>
  <c r="Y1059" i="697" s="1"/>
  <c r="U1060" i="697"/>
  <c r="Y1060" i="697" s="1"/>
  <c r="U1011" i="697"/>
  <c r="Y1011" i="697" s="1"/>
  <c r="U1190" i="697"/>
  <c r="Y1190" i="697" s="1"/>
  <c r="U1012" i="697"/>
  <c r="Y1012" i="697" s="1"/>
  <c r="U973" i="697"/>
  <c r="Y973" i="697" s="1"/>
  <c r="U974" i="697"/>
  <c r="Y974" i="697" s="1"/>
  <c r="U1124" i="697"/>
  <c r="Y1124" i="697" s="1"/>
  <c r="U996" i="697"/>
  <c r="Y996" i="697" s="1"/>
  <c r="U1118" i="697"/>
  <c r="Y1118" i="697" s="1"/>
  <c r="U1013" i="697"/>
  <c r="Y1013" i="697" s="1"/>
  <c r="U1191" i="697"/>
  <c r="Y1191" i="697" s="1"/>
  <c r="U1014" i="697"/>
  <c r="Y1014" i="697" s="1"/>
  <c r="U975" i="697"/>
  <c r="Y975" i="697" s="1"/>
  <c r="U1015" i="697"/>
  <c r="Y1015" i="697" s="1"/>
  <c r="U1016" i="697"/>
  <c r="Y1016" i="697" s="1"/>
  <c r="U976" i="697"/>
  <c r="Y976" i="697" s="1"/>
  <c r="U1040" i="697"/>
  <c r="Y1040" i="697" s="1"/>
  <c r="U977" i="697"/>
  <c r="Y977" i="697" s="1"/>
  <c r="U1093" i="697"/>
  <c r="Y1093" i="697" s="1"/>
  <c r="U1112" i="697"/>
  <c r="Y1112" i="697" s="1"/>
  <c r="U1017" i="697"/>
  <c r="Y1017" i="697" s="1"/>
  <c r="U1103" i="697"/>
  <c r="Y1103" i="697" s="1"/>
  <c r="U1018" i="697"/>
  <c r="Y1018" i="697" s="1"/>
  <c r="U1019" i="697"/>
  <c r="Y1019" i="697" s="1"/>
  <c r="U978" i="697"/>
  <c r="Y978" i="697" s="1"/>
  <c r="U1214" i="697"/>
  <c r="Y1214" i="697" s="1"/>
  <c r="U1061" i="697"/>
  <c r="Y1061" i="697" s="1"/>
  <c r="U1104" i="697"/>
  <c r="Y1104" i="697" s="1"/>
  <c r="U1320" i="697"/>
  <c r="Y1320" i="697" s="1"/>
  <c r="U1293" i="697"/>
  <c r="Y1293" i="697" s="1"/>
  <c r="U1192" i="697"/>
  <c r="Y1192" i="697" s="1"/>
  <c r="U1207" i="697"/>
  <c r="Y1207" i="697" s="1"/>
  <c r="U1289" i="697"/>
  <c r="Y1289" i="697" s="1"/>
  <c r="U1253" i="697"/>
  <c r="Y1253" i="697" s="1"/>
  <c r="U1321" i="697"/>
  <c r="Y1321" i="697" s="1"/>
  <c r="U1240" i="697"/>
  <c r="Y1240" i="697" s="1"/>
  <c r="U1157" i="697"/>
  <c r="Y1157" i="697" s="1"/>
  <c r="U997" i="697"/>
  <c r="Y997" i="697" s="1"/>
  <c r="U998" i="697"/>
  <c r="Y998" i="697" s="1"/>
  <c r="U999" i="697"/>
  <c r="Y999" i="697" s="1"/>
  <c r="U1520" i="697"/>
  <c r="Y1520" i="697" s="1"/>
  <c r="U1158" i="697"/>
  <c r="Y1158" i="697" s="1"/>
  <c r="U1132" i="697"/>
  <c r="Y1132" i="697" s="1"/>
  <c r="U1003" i="697"/>
  <c r="U1062" i="697"/>
  <c r="Y1062" i="697" s="1"/>
  <c r="U1063" i="697"/>
  <c r="Y1063" i="697" s="1"/>
  <c r="U1004" i="697"/>
  <c r="Y1004" i="697" s="1"/>
  <c r="U1170" i="697"/>
  <c r="Y1170" i="697" s="1"/>
  <c r="U1020" i="697"/>
  <c r="Y1020" i="697" s="1"/>
  <c r="U1274" i="697"/>
  <c r="Y1274" i="697" s="1"/>
  <c r="U1278" i="697"/>
  <c r="Y1278" i="697" s="1"/>
  <c r="U1176" i="697"/>
  <c r="Y1176" i="697" s="1"/>
  <c r="U1294" i="697"/>
  <c r="Y1294" i="697" s="1"/>
  <c r="U1034" i="697"/>
  <c r="Y1034" i="697" s="1"/>
  <c r="U1163" i="697"/>
  <c r="Y1163" i="697" s="1"/>
  <c r="U1026" i="697"/>
  <c r="Y1026" i="697" s="1"/>
  <c r="U1027" i="697"/>
  <c r="Y1027" i="697" s="1"/>
  <c r="U1028" i="697"/>
  <c r="Y1028" i="697" s="1"/>
  <c r="U1521" i="697"/>
  <c r="Y1521" i="697" s="1"/>
  <c r="U1133" i="697"/>
  <c r="Y1133" i="697" s="1"/>
  <c r="U1177" i="697"/>
  <c r="Y1177" i="697" s="1"/>
  <c r="U1035" i="697"/>
  <c r="Y1035" i="697" s="1"/>
  <c r="U1036" i="697"/>
  <c r="Y1036" i="697" s="1"/>
  <c r="U1249" i="697"/>
  <c r="Y1249" i="697" s="1"/>
  <c r="U1171" i="697"/>
  <c r="Y1171" i="697" s="1"/>
  <c r="U1193" i="697"/>
  <c r="Y1193" i="697" s="1"/>
  <c r="U1038" i="697"/>
  <c r="Y1038" i="697" s="1"/>
  <c r="U1079" i="697"/>
  <c r="Y1079" i="697" s="1"/>
  <c r="U1178" i="697"/>
  <c r="Y1178" i="697" s="1"/>
  <c r="U1039" i="697"/>
  <c r="Y1039" i="697" s="1"/>
  <c r="U1230" i="697"/>
  <c r="Y1230" i="697" s="1"/>
  <c r="U1179" i="697"/>
  <c r="Y1179" i="697" s="1"/>
  <c r="U1113" i="697"/>
  <c r="Y1113" i="697" s="1"/>
  <c r="U1080" i="697"/>
  <c r="Y1080" i="697" s="1"/>
  <c r="U1180" i="697"/>
  <c r="Y1180" i="697" s="1"/>
  <c r="U1295" i="697"/>
  <c r="Y1295" i="697" s="1"/>
  <c r="U1041" i="697"/>
  <c r="Y1041" i="697" s="1"/>
  <c r="U1215" i="697"/>
  <c r="Y1215" i="697" s="1"/>
  <c r="U1042" i="697"/>
  <c r="Y1042" i="697" s="1"/>
  <c r="U1043" i="697"/>
  <c r="Y1043" i="697" s="1"/>
  <c r="U1072" i="697"/>
  <c r="Y1072" i="697" s="1"/>
  <c r="U1064" i="697"/>
  <c r="Y1064" i="697" s="1"/>
  <c r="U1065" i="697"/>
  <c r="Y1065" i="697" s="1"/>
  <c r="U1372" i="697"/>
  <c r="Y1372" i="697" s="1"/>
  <c r="U1066" i="697"/>
  <c r="Y1066" i="697" s="1"/>
  <c r="U1296" i="697"/>
  <c r="Y1296" i="697" s="1"/>
  <c r="U1067" i="697"/>
  <c r="Y1067" i="697" s="1"/>
  <c r="U1144" i="697"/>
  <c r="Y1144" i="697" s="1"/>
  <c r="U1181" i="697"/>
  <c r="Y1181" i="697" s="1"/>
  <c r="U1182" i="697"/>
  <c r="Y1182" i="697" s="1"/>
  <c r="U1204" i="697"/>
  <c r="Y1204" i="697" s="1"/>
  <c r="U1073" i="697"/>
  <c r="Y1073" i="697" s="1"/>
  <c r="U1074" i="697"/>
  <c r="Y1074" i="697" s="1"/>
  <c r="U1081" i="697"/>
  <c r="Y1081" i="697" s="1"/>
  <c r="U1183" i="697"/>
  <c r="Y1183" i="697" s="1"/>
  <c r="U1090" i="697"/>
  <c r="Y1090" i="697" s="1"/>
  <c r="U1322" i="697"/>
  <c r="Y1322" i="697" s="1"/>
  <c r="U1184" i="697"/>
  <c r="Y1184" i="697" s="1"/>
  <c r="U1229" i="697"/>
  <c r="U1270" i="697"/>
  <c r="Y1270" i="697" s="1"/>
  <c r="U1194" i="697"/>
  <c r="Y1194" i="697" s="1"/>
  <c r="U1094" i="697"/>
  <c r="Y1094" i="697" s="1"/>
  <c r="U1323" i="697"/>
  <c r="Y1323" i="697" s="1"/>
  <c r="U1290" i="697"/>
  <c r="Y1290" i="697" s="1"/>
  <c r="U1216" i="697"/>
  <c r="Y1216" i="697" s="1"/>
  <c r="U1241" i="697"/>
  <c r="Y1241" i="697" s="1"/>
  <c r="U1105" i="697"/>
  <c r="Y1105" i="697" s="1"/>
  <c r="U1095" i="697"/>
  <c r="Y1095" i="697" s="1"/>
  <c r="U1217" i="697"/>
  <c r="Y1217" i="697" s="1"/>
  <c r="U1231" i="697"/>
  <c r="Y1231" i="697" s="1"/>
  <c r="U979" i="697"/>
  <c r="Y979" i="697" s="1"/>
  <c r="U1106" i="697"/>
  <c r="Y1106" i="697" s="1"/>
  <c r="U1107" i="697"/>
  <c r="Y1107" i="697" s="1"/>
  <c r="U1271" i="697"/>
  <c r="Y1271" i="697" s="1"/>
  <c r="U1108" i="697"/>
  <c r="Y1108" i="697" s="1"/>
  <c r="U1297" i="697"/>
  <c r="Y1297" i="697" s="1"/>
  <c r="U1110" i="697"/>
  <c r="Y1110" i="697" s="1"/>
  <c r="U1138" i="697"/>
  <c r="Y1138" i="697" s="1"/>
  <c r="U1109" i="697"/>
  <c r="Y1109" i="697" s="1"/>
  <c r="U1111" i="697"/>
  <c r="Y1111" i="697" s="1"/>
  <c r="U1126" i="697"/>
  <c r="Y1126" i="697" s="1"/>
  <c r="U1145" i="697"/>
  <c r="Y1145" i="697" s="1"/>
  <c r="U1146" i="697"/>
  <c r="Y1146" i="697" s="1"/>
  <c r="U1134" i="697"/>
  <c r="Y1134" i="697" s="1"/>
  <c r="U1272" i="697"/>
  <c r="Y1272" i="697" s="1"/>
  <c r="U1273" i="697"/>
  <c r="Y1273" i="697" s="1"/>
  <c r="U1147" i="697"/>
  <c r="Y1147" i="697" s="1"/>
  <c r="U1148" i="697"/>
  <c r="Y1148" i="697" s="1"/>
  <c r="U1149" i="697"/>
  <c r="Y1149" i="697" s="1"/>
  <c r="U1150" i="697"/>
  <c r="Y1150" i="697" s="1"/>
  <c r="U1151" i="697"/>
  <c r="Y1151" i="697" s="1"/>
  <c r="U1114" i="697"/>
  <c r="Y1114" i="697" s="1"/>
  <c r="U1135" i="697"/>
  <c r="Y1135" i="697" s="1"/>
  <c r="U1127" i="697"/>
  <c r="Y1127" i="697" s="1"/>
  <c r="U1128" i="697"/>
  <c r="Y1128" i="697" s="1"/>
  <c r="U1266" i="697"/>
  <c r="Y1266" i="697" s="1"/>
  <c r="U1115" i="697"/>
  <c r="Y1115" i="697" s="1"/>
  <c r="U1116" i="697"/>
  <c r="Y1116" i="697" s="1"/>
  <c r="U1117" i="697"/>
  <c r="Y1117" i="697" s="1"/>
  <c r="U1152" i="697"/>
  <c r="Y1152" i="697" s="1"/>
  <c r="U1242" i="697"/>
  <c r="U1119" i="697"/>
  <c r="U1120" i="697"/>
  <c r="U1218" i="697"/>
  <c r="Y1218" i="697" s="1"/>
  <c r="U1121" i="697"/>
  <c r="U1122" i="697"/>
  <c r="Y1122" i="697" s="1"/>
  <c r="U1123" i="697"/>
  <c r="U1195" i="697"/>
  <c r="Y1195" i="697" s="1"/>
  <c r="U1125" i="697"/>
  <c r="Y1125" i="697" s="1"/>
  <c r="U1129" i="697"/>
  <c r="Y1129" i="697" s="1"/>
  <c r="U1174" i="697"/>
  <c r="U1136" i="697"/>
  <c r="Y1136" i="697" s="1"/>
  <c r="U1236" i="697"/>
  <c r="U1326" i="697"/>
  <c r="Y1326" i="697" s="1"/>
  <c r="U1208" i="697"/>
  <c r="U1254" i="697"/>
  <c r="Y1254" i="697" s="1"/>
  <c r="U1137" i="697"/>
  <c r="U1365" i="697"/>
  <c r="Y1365" i="697" s="1"/>
  <c r="U1327" i="697"/>
  <c r="U1139" i="697"/>
  <c r="Y1139" i="697" s="1"/>
  <c r="U1140" i="697"/>
  <c r="U1141" i="697"/>
  <c r="U1159" i="697"/>
  <c r="Y1159" i="697" s="1"/>
  <c r="U1153" i="697"/>
  <c r="Y1153" i="697" s="1"/>
  <c r="U1142" i="697"/>
  <c r="U1160" i="697"/>
  <c r="Y1160" i="697" s="1"/>
  <c r="U1154" i="697"/>
  <c r="U1155" i="697"/>
  <c r="Y1155" i="697" s="1"/>
  <c r="U1156" i="697"/>
  <c r="Y1156" i="697" s="1"/>
  <c r="U1366" i="697"/>
  <c r="Y1366" i="697" s="1"/>
  <c r="U1185" i="697"/>
  <c r="Y1185" i="697" s="1"/>
  <c r="U1161" i="697"/>
  <c r="Y1161" i="697" s="1"/>
  <c r="U1334" i="697"/>
  <c r="U1255" i="697"/>
  <c r="U1298" i="697"/>
  <c r="U1267" i="697"/>
  <c r="Y1267" i="697" s="1"/>
  <c r="U1196" i="697"/>
  <c r="U1197" i="697"/>
  <c r="Y1197" i="697" s="1"/>
  <c r="U1268" i="697"/>
  <c r="U1164" i="697"/>
  <c r="Y1164" i="697" s="1"/>
  <c r="U1335" i="697"/>
  <c r="Y1335" i="697" s="1"/>
  <c r="U1328" i="697"/>
  <c r="Y1328" i="697" s="1"/>
  <c r="U1165" i="697"/>
  <c r="Y1165" i="697" s="1"/>
  <c r="U1166" i="697"/>
  <c r="Y1166" i="697" s="1"/>
  <c r="U1275" i="697"/>
  <c r="U1276" i="697"/>
  <c r="U1256" i="697"/>
  <c r="Y1256" i="697" s="1"/>
  <c r="U1172" i="697"/>
  <c r="Y1172" i="697" s="1"/>
  <c r="U1329" i="697"/>
  <c r="U1324" i="697"/>
  <c r="Y1324" i="697" s="1"/>
  <c r="U1299" i="697"/>
  <c r="U1186" i="697"/>
  <c r="Y1186" i="697" s="1"/>
  <c r="U1175" i="697"/>
  <c r="U1173" i="697"/>
  <c r="U1330" i="697"/>
  <c r="Y1330" i="697" s="1"/>
  <c r="U1300" i="697"/>
  <c r="Y1300" i="697" s="1"/>
  <c r="U1367" i="697"/>
  <c r="U1368" i="697"/>
  <c r="Y1368" i="697" s="1"/>
  <c r="U1378" i="697"/>
  <c r="U1377" i="697"/>
  <c r="Y1377" i="697" s="1"/>
  <c r="U1301" i="697"/>
  <c r="Y1301" i="697" s="1"/>
  <c r="U1331" i="697"/>
  <c r="Y1331" i="697" s="1"/>
  <c r="U1187" i="697"/>
  <c r="U1188" i="697"/>
  <c r="Y1188" i="697" s="1"/>
  <c r="U1357" i="697"/>
  <c r="U1369" i="697"/>
  <c r="U1439" i="697"/>
  <c r="U1302" i="697"/>
  <c r="Y1302" i="697" s="1"/>
  <c r="U1189" i="697"/>
  <c r="U1277" i="697"/>
  <c r="Y1277" i="697" s="1"/>
  <c r="U1358" i="697"/>
  <c r="U1198" i="697"/>
  <c r="Y1198" i="697" s="1"/>
  <c r="U1199" i="697"/>
  <c r="Y1199" i="697" s="1"/>
  <c r="U1200" i="697"/>
  <c r="Y1200" i="697" s="1"/>
  <c r="U1201" i="697"/>
  <c r="U1202" i="697"/>
  <c r="Y1202" i="697" s="1"/>
  <c r="U1203" i="697"/>
  <c r="U1209" i="697"/>
  <c r="U1244" i="697"/>
  <c r="U1359" i="697"/>
  <c r="Y1359" i="697" s="1"/>
  <c r="U1219" i="697"/>
  <c r="U1220" i="697"/>
  <c r="Y1220" i="697" s="1"/>
  <c r="U1205" i="697"/>
  <c r="U1167" i="697"/>
  <c r="Y1167" i="697" s="1"/>
  <c r="U1221" i="697"/>
  <c r="U1222" i="697"/>
  <c r="U1257" i="697"/>
  <c r="Y1257" i="697" s="1"/>
  <c r="U1206" i="697"/>
  <c r="Y1206" i="697" s="1"/>
  <c r="U1223" i="697"/>
  <c r="U1224" i="697"/>
  <c r="Y1224" i="697" s="1"/>
  <c r="U1225" i="697"/>
  <c r="Y1225" i="697" s="1"/>
  <c r="U1210" i="697"/>
  <c r="U1336" i="697"/>
  <c r="Y1336" i="697" s="1"/>
  <c r="U1337" i="697"/>
  <c r="Y1337" i="697" s="1"/>
  <c r="U1338" i="697"/>
  <c r="U1339" i="697"/>
  <c r="Y1339" i="697" s="1"/>
  <c r="U1373" i="697"/>
  <c r="U1258" i="697"/>
  <c r="U1340" i="697"/>
  <c r="Y1340" i="697" s="1"/>
  <c r="U1211" i="697"/>
  <c r="U1212" i="697"/>
  <c r="U1226" i="697"/>
  <c r="Y1226" i="697" s="1"/>
  <c r="U1227" i="697"/>
  <c r="U1285" i="697"/>
  <c r="Y1285" i="697" s="1"/>
  <c r="U1259" i="697"/>
  <c r="Y1259" i="697" s="1"/>
  <c r="U1228" i="697"/>
  <c r="Y1228" i="697" s="1"/>
  <c r="U1476" i="697"/>
  <c r="U1379" i="697"/>
  <c r="U1303" i="697"/>
  <c r="U1345" i="697"/>
  <c r="U1360" i="697"/>
  <c r="U1440" i="697"/>
  <c r="Y1440" i="697" s="1"/>
  <c r="U1401" i="697"/>
  <c r="U1344" i="697"/>
  <c r="Y1344" i="697" s="1"/>
  <c r="U1232" i="697"/>
  <c r="Y1232" i="697" s="1"/>
  <c r="U1361" i="697"/>
  <c r="U1269" i="697"/>
  <c r="U1233" i="697"/>
  <c r="U1234" i="697"/>
  <c r="U1423" i="697"/>
  <c r="Y1423" i="697" s="1"/>
  <c r="U1325" i="697"/>
  <c r="U1245" i="697"/>
  <c r="Y1245" i="697" s="1"/>
  <c r="U1491" i="697"/>
  <c r="Y1491" i="697" s="1"/>
  <c r="U1235" i="697"/>
  <c r="U1380" i="697"/>
  <c r="Y1380" i="697" s="1"/>
  <c r="U1495" i="697"/>
  <c r="Y1495" i="697" s="1"/>
  <c r="U1250" i="697"/>
  <c r="U1363" i="697"/>
  <c r="Y1363" i="697" s="1"/>
  <c r="U1237" i="697"/>
  <c r="U1238" i="697"/>
  <c r="U1463" i="697"/>
  <c r="U1374" i="697"/>
  <c r="U1246" i="697"/>
  <c r="U1243" i="697"/>
  <c r="Y1243" i="697" s="1"/>
  <c r="U1247" i="697"/>
  <c r="U1410" i="697"/>
  <c r="U1411" i="697"/>
  <c r="Y1411" i="697" s="1"/>
  <c r="U1370" i="697"/>
  <c r="Y1370" i="697" s="1"/>
  <c r="U1417" i="697"/>
  <c r="Y1417" i="697" s="1"/>
  <c r="U1381" i="697"/>
  <c r="U1248" i="697"/>
  <c r="U1251" i="697"/>
  <c r="U1252" i="697"/>
  <c r="U1432" i="697"/>
  <c r="Y1432" i="697" s="1"/>
  <c r="U1375" i="697"/>
  <c r="Y1375" i="697" s="1"/>
  <c r="U1382" i="697"/>
  <c r="Y1382" i="697" s="1"/>
  <c r="U1260" i="697"/>
  <c r="U1280" i="697"/>
  <c r="U1281" i="697"/>
  <c r="U1282" i="697"/>
  <c r="U1283" i="697"/>
  <c r="U1284" i="697"/>
  <c r="U1433" i="697"/>
  <c r="U1434" i="697"/>
  <c r="Y1434" i="697" s="1"/>
  <c r="U1261" i="697"/>
  <c r="U1264" i="697"/>
  <c r="U1262" i="697"/>
  <c r="Y1262" i="697" s="1"/>
  <c r="U1263" i="697"/>
  <c r="Y1263" i="697" s="1"/>
  <c r="U1383" i="697"/>
  <c r="Y1383" i="697" s="1"/>
  <c r="U1265" i="697"/>
  <c r="Y1265" i="697" s="1"/>
  <c r="U1522" i="697"/>
  <c r="Y1522" i="697" s="1"/>
  <c r="U1394" i="697"/>
  <c r="U1441" i="697"/>
  <c r="Y1441" i="697" s="1"/>
  <c r="U1305" i="697"/>
  <c r="U1286" i="697"/>
  <c r="Y1286" i="697" s="1"/>
  <c r="U1306" i="697"/>
  <c r="Y1306" i="697" s="1"/>
  <c r="U1451" i="697"/>
  <c r="U1455" i="697"/>
  <c r="Y1455" i="697" s="1"/>
  <c r="U1319" i="697"/>
  <c r="U1435" i="697"/>
  <c r="Y1435" i="697" s="1"/>
  <c r="U1279" i="697"/>
  <c r="Y1279" i="697" s="1"/>
  <c r="U1287" i="697"/>
  <c r="U1442" i="697"/>
  <c r="Y1442" i="697" s="1"/>
  <c r="U1412" i="697"/>
  <c r="U1395" i="697"/>
  <c r="U1288" i="697"/>
  <c r="U1396" i="697"/>
  <c r="Y1396" i="697" s="1"/>
  <c r="U1510" i="697"/>
  <c r="Y1510" i="697" s="1"/>
  <c r="U1413" i="697"/>
  <c r="U1389" i="697"/>
  <c r="Y1389" i="697" s="1"/>
  <c r="U1291" i="697"/>
  <c r="Y1291" i="697" s="1"/>
  <c r="U1492" i="697"/>
  <c r="Y1492" i="697" s="1"/>
  <c r="U1496" i="697"/>
  <c r="Y1496" i="697" s="1"/>
  <c r="U1390" i="697"/>
  <c r="U1304" i="697"/>
  <c r="Y1304" i="697" s="1"/>
  <c r="U1397" i="697"/>
  <c r="Y1397" i="697" s="1"/>
  <c r="U1418" i="697"/>
  <c r="Y1418" i="697" s="1"/>
  <c r="U1317" i="697"/>
  <c r="Y1317" i="697" s="1"/>
  <c r="U1307" i="697"/>
  <c r="U1308" i="697"/>
  <c r="Y1308" i="697" s="1"/>
  <c r="U1309" i="697"/>
  <c r="U1310" i="697"/>
  <c r="U1311" i="697"/>
  <c r="Y1311" i="697" s="1"/>
  <c r="U1312" i="697"/>
  <c r="U1313" i="697"/>
  <c r="Y1313" i="697" s="1"/>
  <c r="U1314" i="697"/>
  <c r="Y1314" i="697" s="1"/>
  <c r="U1315" i="697"/>
  <c r="Y1315" i="697" s="1"/>
  <c r="U1316" i="697"/>
  <c r="Y1316" i="697" s="1"/>
  <c r="U1398" i="697"/>
  <c r="U1414" i="697"/>
  <c r="U1346" i="697"/>
  <c r="Y1346" i="697" s="1"/>
  <c r="U1347" i="697"/>
  <c r="Y1347" i="697" s="1"/>
  <c r="U1464" i="697"/>
  <c r="U1348" i="697"/>
  <c r="Y1348" i="697" s="1"/>
  <c r="U1349" i="697"/>
  <c r="Y1349" i="697" s="1"/>
  <c r="U1350" i="697"/>
  <c r="U1399" i="697"/>
  <c r="U1400" i="697"/>
  <c r="U1351" i="697"/>
  <c r="Y1351" i="697" s="1"/>
  <c r="U1352" i="697"/>
  <c r="Y1352" i="697" s="1"/>
  <c r="U1386" i="697"/>
  <c r="Y1386" i="697" s="1"/>
  <c r="U1318" i="697"/>
  <c r="Y1318" i="697" s="1"/>
  <c r="U1353" i="697"/>
  <c r="Y1353" i="697" s="1"/>
  <c r="U1354" i="697"/>
  <c r="U1429" i="697"/>
  <c r="U1477" i="697"/>
  <c r="U1523" i="697"/>
  <c r="Y1523" i="697" s="1"/>
  <c r="U1524" i="697"/>
  <c r="Y1524" i="697" s="1"/>
  <c r="U1355" i="697"/>
  <c r="U1332" i="697"/>
  <c r="U1333" i="697"/>
  <c r="Y1333" i="697" s="1"/>
  <c r="U1525" i="697"/>
  <c r="Y1525" i="697" s="1"/>
  <c r="U1478" i="697"/>
  <c r="U1472" i="697"/>
  <c r="U1511" i="697"/>
  <c r="Y1511" i="697" s="1"/>
  <c r="U1342" i="697"/>
  <c r="Y1342" i="697" s="1"/>
  <c r="U1341" i="697"/>
  <c r="Y1341" i="697" s="1"/>
  <c r="U1424" i="697"/>
  <c r="Y1424" i="697" s="1"/>
  <c r="U1343" i="697"/>
  <c r="Y1343" i="697" s="1"/>
  <c r="U1474" i="697"/>
  <c r="Y1474" i="697" s="1"/>
  <c r="U1516" i="697"/>
  <c r="U1479" i="697"/>
  <c r="U1526" i="697"/>
  <c r="U1465" i="697"/>
  <c r="Y1465" i="697" s="1"/>
  <c r="U1425" i="697"/>
  <c r="Y1425" i="697" s="1"/>
  <c r="U1480" i="697"/>
  <c r="U1356" i="697"/>
  <c r="Y1356" i="697" s="1"/>
  <c r="U1481" i="697"/>
  <c r="U1512" i="697"/>
  <c r="U1473" i="697"/>
  <c r="Y1473" i="697" s="1"/>
  <c r="U1482" i="697"/>
  <c r="U1362" i="697"/>
  <c r="Y1362" i="697" s="1"/>
  <c r="U1483" i="697"/>
  <c r="Y1483" i="697" s="1"/>
  <c r="U1484" i="697"/>
  <c r="U1391" i="697"/>
  <c r="Y1391" i="697" s="1"/>
  <c r="U1364" i="697"/>
  <c r="U1527" i="697"/>
  <c r="U1513" i="697"/>
  <c r="Y1513" i="697" s="1"/>
  <c r="U1376" i="697"/>
  <c r="Y1376" i="697" s="1"/>
  <c r="U1402" i="697"/>
  <c r="Y1402" i="697" s="1"/>
  <c r="U1403" i="697"/>
  <c r="Y1403" i="697" s="1"/>
  <c r="U1404" i="697"/>
  <c r="U1405" i="697"/>
  <c r="Y1405" i="697" s="1"/>
  <c r="U1371" i="697"/>
  <c r="Y1371" i="697" s="1"/>
  <c r="U1528" i="697"/>
  <c r="Y1528" i="697" s="1"/>
  <c r="U1436" i="697"/>
  <c r="U1529" i="697"/>
  <c r="Y1529" i="697" s="1"/>
  <c r="U1437" i="697"/>
  <c r="U1530" i="697"/>
  <c r="U1485" i="697"/>
  <c r="U1531" i="697"/>
  <c r="Y1531" i="697" s="1"/>
  <c r="U1514" i="697"/>
  <c r="Y1514" i="697" s="1"/>
  <c r="U1532" i="697"/>
  <c r="U1486" i="697"/>
  <c r="Y1486" i="697" s="1"/>
  <c r="U1533" i="697"/>
  <c r="Y1533" i="697" s="1"/>
  <c r="U1384" i="697"/>
  <c r="Y1384" i="697" s="1"/>
  <c r="U1385" i="697"/>
  <c r="U1387" i="697"/>
  <c r="U1534" i="697"/>
  <c r="Y1534" i="697" s="1"/>
  <c r="U1535" i="697"/>
  <c r="Y1535" i="697" s="1"/>
  <c r="U1536" i="697"/>
  <c r="U1388" i="697"/>
  <c r="Y1388" i="697" s="1"/>
  <c r="U1392" i="697"/>
  <c r="U1393" i="697"/>
  <c r="Y1393" i="697" s="1"/>
  <c r="U1416" i="697"/>
  <c r="U1537" i="697"/>
  <c r="U1406" i="697"/>
  <c r="Y1406" i="697" s="1"/>
  <c r="U1538" i="697"/>
  <c r="U1407" i="697"/>
  <c r="U1539" i="697"/>
  <c r="Y1539" i="697" s="1"/>
  <c r="U1438" i="697"/>
  <c r="U1487" i="697"/>
  <c r="Y1487" i="697" s="1"/>
  <c r="U1540" i="697"/>
  <c r="U1443" i="697"/>
  <c r="U1444" i="697"/>
  <c r="U1445" i="697"/>
  <c r="Y1445" i="697" s="1"/>
  <c r="U1420" i="697"/>
  <c r="Y1420" i="697" s="1"/>
  <c r="U1408" i="697"/>
  <c r="U1497" i="697"/>
  <c r="U1498" i="697"/>
  <c r="U1499" i="697"/>
  <c r="U1446" i="697"/>
  <c r="Y1446" i="697" s="1"/>
  <c r="U1517" i="697"/>
  <c r="Y1517" i="697" s="1"/>
  <c r="U1518" i="697"/>
  <c r="Y1518" i="697" s="1"/>
  <c r="U1489" i="697"/>
  <c r="U1541" i="697"/>
  <c r="U1447" i="697"/>
  <c r="U1448" i="697"/>
  <c r="Y1448" i="697" s="1"/>
  <c r="U1542" i="697"/>
  <c r="Y1542" i="697" s="1"/>
  <c r="U1415" i="697"/>
  <c r="U1488" i="697"/>
  <c r="Y1488" i="697" s="1"/>
  <c r="U1543" i="697"/>
  <c r="U1544" i="697"/>
  <c r="Y1544" i="697" s="1"/>
  <c r="U1545" i="697"/>
  <c r="Y1545" i="697" s="1"/>
  <c r="U1419" i="697"/>
  <c r="U1546" i="697"/>
  <c r="Y1546" i="697" s="1"/>
  <c r="U1547" i="697"/>
  <c r="U1421" i="697"/>
  <c r="U1422" i="697"/>
  <c r="U1548" i="697"/>
  <c r="U1459" i="697"/>
  <c r="Y1459" i="697" s="1"/>
  <c r="U1549" i="697"/>
  <c r="Y1549" i="697" s="1"/>
  <c r="U1426" i="697"/>
  <c r="U1460" i="697"/>
  <c r="Y1460" i="697" s="1"/>
  <c r="U1461" i="697"/>
  <c r="Y1461" i="697" s="1"/>
  <c r="U1427" i="697"/>
  <c r="U1428" i="697"/>
  <c r="Y1428" i="697" s="1"/>
  <c r="U1449" i="697"/>
  <c r="Y1449" i="697" s="1"/>
  <c r="U1431" i="697"/>
  <c r="U1430" i="697"/>
  <c r="Y1430" i="697" s="1"/>
  <c r="U1490" i="697"/>
  <c r="Y1490" i="697" s="1"/>
  <c r="U1452" i="697"/>
  <c r="U1550" i="697"/>
  <c r="U1456" i="697"/>
  <c r="Y1456" i="697" s="1"/>
  <c r="U1450" i="697"/>
  <c r="U1551" i="697"/>
  <c r="Y1551" i="697" s="1"/>
  <c r="U1552" i="697"/>
  <c r="Y1552" i="697" s="1"/>
  <c r="U1519" i="697"/>
  <c r="Y1519" i="697" s="1"/>
  <c r="U1457" i="697"/>
  <c r="Y1457" i="697" s="1"/>
  <c r="U1458" i="697"/>
  <c r="Y1458" i="697" s="1"/>
  <c r="U1462" i="697"/>
  <c r="U1453" i="697"/>
  <c r="U1409" i="697"/>
  <c r="U1454" i="697"/>
  <c r="U1553" i="697"/>
  <c r="Y1553" i="697" s="1"/>
  <c r="U1554" i="697"/>
  <c r="Y1554" i="697" s="1"/>
  <c r="U1555" i="697"/>
  <c r="U1556" i="697"/>
  <c r="U1557" i="697"/>
  <c r="U1558" i="697"/>
  <c r="Y1558" i="697" s="1"/>
  <c r="U1466" i="697"/>
  <c r="U1467" i="697"/>
  <c r="U1468" i="697"/>
  <c r="Y1468" i="697" s="1"/>
  <c r="U1469" i="697"/>
  <c r="Y1469" i="697" s="1"/>
  <c r="U1559" i="697"/>
  <c r="U1475" i="697"/>
  <c r="U1470" i="697"/>
  <c r="U1471" i="697"/>
  <c r="Y1471" i="697" s="1"/>
  <c r="U1560" i="697"/>
  <c r="U1561" i="697"/>
  <c r="U1562" i="697"/>
  <c r="U1563" i="697"/>
  <c r="Y1563" i="697" s="1"/>
  <c r="U1564" i="697"/>
  <c r="U1565" i="697"/>
  <c r="Y1565" i="697" s="1"/>
  <c r="U1566" i="697"/>
  <c r="Y1566" i="697" s="1"/>
  <c r="U1567" i="697"/>
  <c r="U1568" i="697"/>
  <c r="U1569" i="697"/>
  <c r="U1570" i="697"/>
  <c r="Y1570" i="697" s="1"/>
  <c r="U1571" i="697"/>
  <c r="U1572" i="697"/>
  <c r="U1493" i="697"/>
  <c r="U1494" i="697"/>
  <c r="U1573" i="697"/>
  <c r="U1574" i="697"/>
  <c r="U1575" i="697"/>
  <c r="U1576" i="697"/>
  <c r="Y1576" i="697" s="1"/>
  <c r="U1577" i="697"/>
  <c r="U1578" i="697"/>
  <c r="Y1578" i="697" s="1"/>
  <c r="U1579" i="697"/>
  <c r="U1580" i="697"/>
  <c r="U1581" i="697"/>
  <c r="Y1581" i="697" s="1"/>
  <c r="U1582" i="697"/>
  <c r="U1583" i="697"/>
  <c r="U1584" i="697"/>
  <c r="Y1584" i="697" s="1"/>
  <c r="U1585" i="697"/>
  <c r="Y1585" i="697" s="1"/>
  <c r="U1500" i="697"/>
  <c r="Y1500" i="697" s="1"/>
  <c r="U1501" i="697"/>
  <c r="Y1501" i="697" s="1"/>
  <c r="U1502" i="697"/>
  <c r="Y1502" i="697" s="1"/>
  <c r="U1503" i="697"/>
  <c r="Y1503" i="697" s="1"/>
  <c r="U1504" i="697"/>
  <c r="Y1504" i="697" s="1"/>
  <c r="U1505" i="697"/>
  <c r="U1506" i="697"/>
  <c r="Y1506" i="697" s="1"/>
  <c r="U1586" i="697"/>
  <c r="U1587" i="697"/>
  <c r="U1588" i="697"/>
  <c r="U1589" i="697"/>
  <c r="Y1589" i="697" s="1"/>
  <c r="U1507" i="697"/>
  <c r="U1590" i="697"/>
  <c r="Y1590" i="697" s="1"/>
  <c r="U1508" i="697"/>
  <c r="U1591" i="697"/>
  <c r="Y1591" i="697" s="1"/>
  <c r="U1592" i="697"/>
  <c r="U1593" i="697"/>
  <c r="U1509" i="697"/>
  <c r="U1515" i="697"/>
  <c r="Y1515" i="697" s="1"/>
  <c r="V1292" i="697"/>
  <c r="V103" i="697"/>
  <c r="V104" i="697"/>
  <c r="V22" i="697"/>
  <c r="V23" i="697"/>
  <c r="V12" i="697"/>
  <c r="V196" i="697"/>
  <c r="V4" i="697"/>
  <c r="V24" i="697"/>
  <c r="V208" i="697"/>
  <c r="V6" i="697"/>
  <c r="V13" i="697"/>
  <c r="V14" i="697"/>
  <c r="V2" i="697"/>
  <c r="V15" i="697"/>
  <c r="V16" i="697"/>
  <c r="V34" i="697"/>
  <c r="V17" i="697"/>
  <c r="V45" i="697"/>
  <c r="V77" i="697"/>
  <c r="V117" i="697"/>
  <c r="V78" i="697"/>
  <c r="V79" i="697"/>
  <c r="V80" i="697"/>
  <c r="V40" i="697"/>
  <c r="V3" i="697"/>
  <c r="V209" i="697"/>
  <c r="V5" i="697"/>
  <c r="V18" i="697"/>
  <c r="V19" i="697"/>
  <c r="V20" i="697"/>
  <c r="V7" i="697"/>
  <c r="V8" i="697"/>
  <c r="V10" i="697"/>
  <c r="V105" i="697"/>
  <c r="V106" i="697"/>
  <c r="V107" i="697"/>
  <c r="V11" i="697"/>
  <c r="V81" i="697"/>
  <c r="V174" i="697"/>
  <c r="V175" i="697"/>
  <c r="V82" i="697"/>
  <c r="V83" i="697"/>
  <c r="V118" i="697"/>
  <c r="V84" i="697"/>
  <c r="V85" i="697"/>
  <c r="V86" i="697"/>
  <c r="V87" i="697"/>
  <c r="V21" i="697"/>
  <c r="V210" i="697"/>
  <c r="V88" i="697"/>
  <c r="V27" i="697"/>
  <c r="V28" i="697"/>
  <c r="V29" i="697"/>
  <c r="V30" i="697"/>
  <c r="V31" i="697"/>
  <c r="V32" i="697"/>
  <c r="V33" i="697"/>
  <c r="V219" i="697"/>
  <c r="V89" i="697"/>
  <c r="V90" i="697"/>
  <c r="V96" i="697"/>
  <c r="V114" i="697"/>
  <c r="V125" i="697"/>
  <c r="V67" i="697"/>
  <c r="V171" i="697"/>
  <c r="V76" i="697"/>
  <c r="V46" i="697"/>
  <c r="V47" i="697"/>
  <c r="V48" i="697"/>
  <c r="V37" i="697"/>
  <c r="V49" i="697"/>
  <c r="V50" i="697"/>
  <c r="V51" i="697"/>
  <c r="V52" i="697"/>
  <c r="V53" i="697"/>
  <c r="V54" i="697"/>
  <c r="V55" i="697"/>
  <c r="V56" i="697"/>
  <c r="V119" i="697"/>
  <c r="V57" i="697"/>
  <c r="V115" i="697"/>
  <c r="V35" i="697"/>
  <c r="V58" i="697"/>
  <c r="V59" i="697"/>
  <c r="V60" i="697"/>
  <c r="V61" i="697"/>
  <c r="V62" i="697"/>
  <c r="V63" i="697"/>
  <c r="V126" i="697"/>
  <c r="V116" i="697"/>
  <c r="V120" i="697"/>
  <c r="V91" i="697"/>
  <c r="V133" i="697"/>
  <c r="V92" i="697"/>
  <c r="V93" i="697"/>
  <c r="V36" i="697"/>
  <c r="V108" i="697"/>
  <c r="V109" i="697"/>
  <c r="V110" i="697"/>
  <c r="V111" i="697"/>
  <c r="V64" i="697"/>
  <c r="V213" i="697"/>
  <c r="V134" i="697"/>
  <c r="V131" i="697"/>
  <c r="V140" i="697"/>
  <c r="V38" i="697"/>
  <c r="V399" i="697"/>
  <c r="V68" i="697"/>
  <c r="V65" i="697"/>
  <c r="V176" i="697"/>
  <c r="V127" i="697"/>
  <c r="V129" i="697"/>
  <c r="V97" i="697"/>
  <c r="V206" i="697"/>
  <c r="V39" i="697"/>
  <c r="V66" i="697"/>
  <c r="V230" i="697"/>
  <c r="V254" i="697"/>
  <c r="V160" i="697"/>
  <c r="V41" i="697"/>
  <c r="V42" i="697"/>
  <c r="V75" i="697"/>
  <c r="V44" i="697"/>
  <c r="V121" i="697"/>
  <c r="V43" i="697"/>
  <c r="V236" i="697"/>
  <c r="V255" i="697"/>
  <c r="V25" i="697"/>
  <c r="V26" i="697"/>
  <c r="V94" i="697"/>
  <c r="V237" i="697"/>
  <c r="V214" i="697"/>
  <c r="V256" i="697"/>
  <c r="V135" i="697"/>
  <c r="V161" i="697"/>
  <c r="V257" i="697"/>
  <c r="V207" i="697"/>
  <c r="V162" i="697"/>
  <c r="V177" i="697"/>
  <c r="V122" i="697"/>
  <c r="V163" i="697"/>
  <c r="V69" i="697"/>
  <c r="V70" i="697"/>
  <c r="V71" i="697"/>
  <c r="V72" i="697"/>
  <c r="V73" i="697"/>
  <c r="V74" i="697"/>
  <c r="V258" i="697"/>
  <c r="V178" i="697"/>
  <c r="V150" i="697"/>
  <c r="V141" i="697"/>
  <c r="V151" i="697"/>
  <c r="V152" i="697"/>
  <c r="V211" i="697"/>
  <c r="V142" i="697"/>
  <c r="V153" i="697"/>
  <c r="V154" i="697"/>
  <c r="V155" i="697"/>
  <c r="V156" i="697"/>
  <c r="V143" i="697"/>
  <c r="V144" i="697"/>
  <c r="V145" i="697"/>
  <c r="V146" i="697"/>
  <c r="V157" i="697"/>
  <c r="V158" i="697"/>
  <c r="V229" i="697"/>
  <c r="V95" i="697"/>
  <c r="V159" i="697"/>
  <c r="V240" i="697"/>
  <c r="V98" i="697"/>
  <c r="V99" i="697"/>
  <c r="V100" i="697"/>
  <c r="V101" i="697"/>
  <c r="V284" i="697"/>
  <c r="V102" i="697"/>
  <c r="V275" i="697"/>
  <c r="V197" i="697"/>
  <c r="V231" i="697"/>
  <c r="V147" i="697"/>
  <c r="V112" i="697"/>
  <c r="V148" i="697"/>
  <c r="V113" i="697"/>
  <c r="V259" i="697"/>
  <c r="V123" i="697"/>
  <c r="V252" i="697"/>
  <c r="V238" i="697"/>
  <c r="V232" i="697"/>
  <c r="V253" i="697"/>
  <c r="V233" i="697"/>
  <c r="V835" i="697"/>
  <c r="V124" i="697"/>
  <c r="V234" i="697"/>
  <c r="V244" i="697"/>
  <c r="V260" i="697"/>
  <c r="V181" i="697"/>
  <c r="V182" i="697"/>
  <c r="V183" i="697"/>
  <c r="V184" i="697"/>
  <c r="V172" i="697"/>
  <c r="V330" i="697"/>
  <c r="V245" i="697"/>
  <c r="V128" i="697"/>
  <c r="V285" i="697"/>
  <c r="V130" i="697"/>
  <c r="V132" i="697"/>
  <c r="V198" i="697"/>
  <c r="V349" i="697"/>
  <c r="V185" i="697"/>
  <c r="V312" i="697"/>
  <c r="V136" i="697"/>
  <c r="V276" i="697"/>
  <c r="V241" i="697"/>
  <c r="V277" i="697"/>
  <c r="V408" i="697"/>
  <c r="V286" i="697"/>
  <c r="V278" i="697"/>
  <c r="V279" i="697"/>
  <c r="V280" i="697"/>
  <c r="V149" i="697"/>
  <c r="V261" i="697"/>
  <c r="V137" i="697"/>
  <c r="V220" i="697"/>
  <c r="V394" i="697"/>
  <c r="V305" i="697"/>
  <c r="V164" i="697"/>
  <c r="V138" i="697"/>
  <c r="V139" i="697"/>
  <c r="V186" i="697"/>
  <c r="V221" i="697"/>
  <c r="V281" i="697"/>
  <c r="V331" i="697"/>
  <c r="V262" i="697"/>
  <c r="V263" i="697"/>
  <c r="V306" i="697"/>
  <c r="V320" i="697"/>
  <c r="V332" i="697"/>
  <c r="V199" i="697"/>
  <c r="V373" i="697"/>
  <c r="V357" i="697"/>
  <c r="V282" i="697"/>
  <c r="V165" i="697"/>
  <c r="V166" i="697"/>
  <c r="V167" i="697"/>
  <c r="V168" i="697"/>
  <c r="V169" i="697"/>
  <c r="V170" i="697"/>
  <c r="V333" i="697"/>
  <c r="V374" i="697"/>
  <c r="V187" i="697"/>
  <c r="V200" i="697"/>
  <c r="V173" i="697"/>
  <c r="V201" i="697"/>
  <c r="V265" i="697"/>
  <c r="V266" i="697"/>
  <c r="V235" i="697"/>
  <c r="V188" i="697"/>
  <c r="V189" i="697"/>
  <c r="V190" i="697"/>
  <c r="V191" i="697"/>
  <c r="V192" i="697"/>
  <c r="V193" i="697"/>
  <c r="V194" i="697"/>
  <c r="V195" i="697"/>
  <c r="V215" i="697"/>
  <c r="V307" i="697"/>
  <c r="V179" i="697"/>
  <c r="V180" i="697"/>
  <c r="V313" i="697"/>
  <c r="V267" i="697"/>
  <c r="V268" i="697"/>
  <c r="V269" i="697"/>
  <c r="V222" i="697"/>
  <c r="V334" i="697"/>
  <c r="V375" i="697"/>
  <c r="V202" i="697"/>
  <c r="V335" i="697"/>
  <c r="V442" i="697"/>
  <c r="V203" i="697"/>
  <c r="V204" i="697"/>
  <c r="V301" i="697"/>
  <c r="V376" i="697"/>
  <c r="V223" i="697"/>
  <c r="V224" i="697"/>
  <c r="V225" i="697"/>
  <c r="V226" i="697"/>
  <c r="V205" i="697"/>
  <c r="V303" i="697"/>
  <c r="V336" i="697"/>
  <c r="V337" i="697"/>
  <c r="V308" i="697"/>
  <c r="V216" i="697"/>
  <c r="V212" i="697"/>
  <c r="V338" i="697"/>
  <c r="V530" i="697"/>
  <c r="V395" i="697"/>
  <c r="V217" i="697"/>
  <c r="V377" i="697"/>
  <c r="V218" i="697"/>
  <c r="V227" i="697"/>
  <c r="V297" i="697"/>
  <c r="V339" i="697"/>
  <c r="V340" i="697"/>
  <c r="V228" i="697"/>
  <c r="V298" i="697"/>
  <c r="V504" i="697"/>
  <c r="V242" i="697"/>
  <c r="V341" i="697"/>
  <c r="V314" i="697"/>
  <c r="V361" i="697"/>
  <c r="V342" i="697"/>
  <c r="V283" i="697"/>
  <c r="V531" i="697"/>
  <c r="V270" i="697"/>
  <c r="V271" i="697"/>
  <c r="V343" i="697"/>
  <c r="V315" i="697"/>
  <c r="V239" i="697"/>
  <c r="V344" i="697"/>
  <c r="V345" i="697"/>
  <c r="V346" i="697"/>
  <c r="V411" i="697"/>
  <c r="V378" i="697"/>
  <c r="V347" i="697"/>
  <c r="V379" i="697"/>
  <c r="V406" i="697"/>
  <c r="V362" i="697"/>
  <c r="V363" i="697"/>
  <c r="V243" i="697"/>
  <c r="V364" i="697"/>
  <c r="V407" i="697"/>
  <c r="V348" i="697"/>
  <c r="V380" i="697"/>
  <c r="V272" i="697"/>
  <c r="V246" i="697"/>
  <c r="V287" i="697"/>
  <c r="V365" i="697"/>
  <c r="V274" i="697"/>
  <c r="V247" i="697"/>
  <c r="V248" i="697"/>
  <c r="V249" i="697"/>
  <c r="V250" i="697"/>
  <c r="V251" i="697"/>
  <c r="V273" i="697"/>
  <c r="V288" i="697"/>
  <c r="V289" i="697"/>
  <c r="V422" i="697"/>
  <c r="V388" i="697"/>
  <c r="V302" i="697"/>
  <c r="V290" i="697"/>
  <c r="V316" i="697"/>
  <c r="V317" i="697"/>
  <c r="V291" i="697"/>
  <c r="V292" i="697"/>
  <c r="V293" i="697"/>
  <c r="V294" i="697"/>
  <c r="V264" i="697"/>
  <c r="V389" i="697"/>
  <c r="V460" i="697"/>
  <c r="V461" i="697"/>
  <c r="V462" i="697"/>
  <c r="V463" i="697"/>
  <c r="V464" i="697"/>
  <c r="V505" i="697"/>
  <c r="V669" i="697"/>
  <c r="V423" i="697"/>
  <c r="V396" i="697"/>
  <c r="V409" i="697"/>
  <c r="V381" i="697"/>
  <c r="V424" i="697"/>
  <c r="V382" i="697"/>
  <c r="V443" i="697"/>
  <c r="V506" i="697"/>
  <c r="V507" i="697"/>
  <c r="V523" i="697"/>
  <c r="V485" i="697"/>
  <c r="V295" i="697"/>
  <c r="V296" i="697"/>
  <c r="V524" i="697"/>
  <c r="V425" i="697"/>
  <c r="V410" i="697"/>
  <c r="V444" i="697"/>
  <c r="V352" i="697"/>
  <c r="V397" i="697"/>
  <c r="V299" i="697"/>
  <c r="V300" i="697"/>
  <c r="V383" i="697"/>
  <c r="V508" i="697"/>
  <c r="V509" i="697"/>
  <c r="V510" i="697"/>
  <c r="V384" i="697"/>
  <c r="V426" i="697"/>
  <c r="V532" i="697"/>
  <c r="V304" i="697"/>
  <c r="V614" i="697"/>
  <c r="V360" i="697"/>
  <c r="V427" i="697"/>
  <c r="V428" i="697"/>
  <c r="V309" i="697"/>
  <c r="V465" i="697"/>
  <c r="V466" i="697"/>
  <c r="V310" i="697"/>
  <c r="V543" i="697"/>
  <c r="V544" i="697"/>
  <c r="V311" i="697"/>
  <c r="V445" i="697"/>
  <c r="V413" i="697"/>
  <c r="V450" i="697"/>
  <c r="V487" i="697"/>
  <c r="V318" i="697"/>
  <c r="V319" i="697"/>
  <c r="V518" i="697"/>
  <c r="V519" i="697"/>
  <c r="V451" i="697"/>
  <c r="V452" i="697"/>
  <c r="V429" i="697"/>
  <c r="V467" i="697"/>
  <c r="V468" i="697"/>
  <c r="V390" i="697"/>
  <c r="V326" i="697"/>
  <c r="V321" i="697"/>
  <c r="V322" i="697"/>
  <c r="V323" i="697"/>
  <c r="V324" i="697"/>
  <c r="V325" i="697"/>
  <c r="V391" i="697"/>
  <c r="V353" i="697"/>
  <c r="V385" i="697"/>
  <c r="V671" i="697"/>
  <c r="V327" i="697"/>
  <c r="V328" i="697"/>
  <c r="V386" i="697"/>
  <c r="V400" i="697"/>
  <c r="V401" i="697"/>
  <c r="V329" i="697"/>
  <c r="V354" i="697"/>
  <c r="V355" i="697"/>
  <c r="V469" i="697"/>
  <c r="V358" i="697"/>
  <c r="V520" i="697"/>
  <c r="V430" i="697"/>
  <c r="V367" i="697"/>
  <c r="V453" i="697"/>
  <c r="V623" i="697"/>
  <c r="V546" i="697"/>
  <c r="V624" i="697"/>
  <c r="V625" i="697"/>
  <c r="V431" i="697"/>
  <c r="V350" i="697"/>
  <c r="V446" i="697"/>
  <c r="V414" i="697"/>
  <c r="V432" i="697"/>
  <c r="V454" i="697"/>
  <c r="V351" i="697"/>
  <c r="V455" i="697"/>
  <c r="V488" i="697"/>
  <c r="V502" i="697"/>
  <c r="V369" i="697"/>
  <c r="V370" i="697"/>
  <c r="V470" i="697"/>
  <c r="V402" i="697"/>
  <c r="V356" i="697"/>
  <c r="V371" i="697"/>
  <c r="V489" i="697"/>
  <c r="V626" i="697"/>
  <c r="V627" i="697"/>
  <c r="V490" i="697"/>
  <c r="V359" i="697"/>
  <c r="V471" i="697"/>
  <c r="V368" i="697"/>
  <c r="V525" i="697"/>
  <c r="V472" i="697"/>
  <c r="V366" i="697"/>
  <c r="V491" i="697"/>
  <c r="V492" i="697"/>
  <c r="V433" i="697"/>
  <c r="V473" i="697"/>
  <c r="V493" i="697"/>
  <c r="V372" i="697"/>
  <c r="V526" i="697"/>
  <c r="V387" i="697"/>
  <c r="V474" i="697"/>
  <c r="V475" i="697"/>
  <c r="V476" i="697"/>
  <c r="V477" i="697"/>
  <c r="V398" i="697"/>
  <c r="V434" i="697"/>
  <c r="V628" i="697"/>
  <c r="V527" i="697"/>
  <c r="V545" i="697"/>
  <c r="V392" i="697"/>
  <c r="V435" i="697"/>
  <c r="V436" i="697"/>
  <c r="V393" i="697"/>
  <c r="V403" i="697"/>
  <c r="V404" i="697"/>
  <c r="V511" i="697"/>
  <c r="V512" i="697"/>
  <c r="V513" i="697"/>
  <c r="V514" i="697"/>
  <c r="V670" i="697"/>
  <c r="V478" i="697"/>
  <c r="V494" i="697"/>
  <c r="V629" i="697"/>
  <c r="V584" i="697"/>
  <c r="V405" i="697"/>
  <c r="V538" i="697"/>
  <c r="V539" i="697"/>
  <c r="V528" i="697"/>
  <c r="V554" i="697"/>
  <c r="V555" i="697"/>
  <c r="V412" i="697"/>
  <c r="V637" i="697"/>
  <c r="V415" i="697"/>
  <c r="V479" i="697"/>
  <c r="V480" i="697"/>
  <c r="V615" i="697"/>
  <c r="V592" i="697"/>
  <c r="V441" i="697"/>
  <c r="V662" i="697"/>
  <c r="V447" i="697"/>
  <c r="V416" i="697"/>
  <c r="V417" i="697"/>
  <c r="V418" i="697"/>
  <c r="V419" i="697"/>
  <c r="V420" i="697"/>
  <c r="V421" i="697"/>
  <c r="V486" i="697"/>
  <c r="V498" i="697"/>
  <c r="V499" i="697"/>
  <c r="V448" i="697"/>
  <c r="V449" i="697"/>
  <c r="V457" i="697"/>
  <c r="V481" i="697"/>
  <c r="V515" i="697"/>
  <c r="V677" i="697"/>
  <c r="V439" i="697"/>
  <c r="V672" i="697"/>
  <c r="V616" i="697"/>
  <c r="V617" i="697"/>
  <c r="V529" i="697"/>
  <c r="V437" i="697"/>
  <c r="V438" i="697"/>
  <c r="V547" i="697"/>
  <c r="V548" i="697"/>
  <c r="V714" i="697"/>
  <c r="V673" i="697"/>
  <c r="V440" i="697"/>
  <c r="V500" i="697"/>
  <c r="V715" i="697"/>
  <c r="V716" i="697"/>
  <c r="V657" i="697"/>
  <c r="V638" i="697"/>
  <c r="V456" i="697"/>
  <c r="V639" i="697"/>
  <c r="V593" i="697"/>
  <c r="V674" i="697"/>
  <c r="V556" i="697"/>
  <c r="V594" i="697"/>
  <c r="V459" i="697"/>
  <c r="V458" i="697"/>
  <c r="V645" i="697"/>
  <c r="V482" i="697"/>
  <c r="V675" i="697"/>
  <c r="V676" i="697"/>
  <c r="V483" i="697"/>
  <c r="V663" i="697"/>
  <c r="V682" i="697"/>
  <c r="V557" i="697"/>
  <c r="V558" i="697"/>
  <c r="V559" i="697"/>
  <c r="V560" i="697"/>
  <c r="V678" i="697"/>
  <c r="V595" i="697"/>
  <c r="V484" i="697"/>
  <c r="V495" i="697"/>
  <c r="V561" i="697"/>
  <c r="V562" i="697"/>
  <c r="V563" i="697"/>
  <c r="V564" i="697"/>
  <c r="V731" i="697"/>
  <c r="V658" i="697"/>
  <c r="V590" i="697"/>
  <c r="V497" i="697"/>
  <c r="V496" i="697"/>
  <c r="V516" i="697"/>
  <c r="V517" i="697"/>
  <c r="V618" i="697"/>
  <c r="V619" i="697"/>
  <c r="V679" i="697"/>
  <c r="V501" i="697"/>
  <c r="V503" i="697"/>
  <c r="V620" i="697"/>
  <c r="V596" i="697"/>
  <c r="V701" i="697"/>
  <c r="V664" i="697"/>
  <c r="V659" i="697"/>
  <c r="V680" i="697"/>
  <c r="V565" i="697"/>
  <c r="V566" i="697"/>
  <c r="V567" i="697"/>
  <c r="V568" i="697"/>
  <c r="V621" i="697"/>
  <c r="V702" i="697"/>
  <c r="V732" i="697"/>
  <c r="V751" i="697"/>
  <c r="V717" i="697"/>
  <c r="V646" i="697"/>
  <c r="V521" i="697"/>
  <c r="V681" i="697"/>
  <c r="V522" i="697"/>
  <c r="V533" i="697"/>
  <c r="V549" i="697"/>
  <c r="V577" i="697"/>
  <c r="V610" i="697"/>
  <c r="V752" i="697"/>
  <c r="V534" i="697"/>
  <c r="V581" i="697"/>
  <c r="V587" i="697"/>
  <c r="V588" i="697"/>
  <c r="V660" i="697"/>
  <c r="V718" i="697"/>
  <c r="V550" i="697"/>
  <c r="V551" i="697"/>
  <c r="V552" i="697"/>
  <c r="V753" i="697"/>
  <c r="V782" i="697"/>
  <c r="V536" i="697"/>
  <c r="V683" i="697"/>
  <c r="V866" i="697"/>
  <c r="V578" i="697"/>
  <c r="V535" i="697"/>
  <c r="V684" i="697"/>
  <c r="V754" i="697"/>
  <c r="V537" i="697"/>
  <c r="V540" i="697"/>
  <c r="V755" i="697"/>
  <c r="V685" i="697"/>
  <c r="V686" i="697"/>
  <c r="V705" i="697"/>
  <c r="V541" i="697"/>
  <c r="V542" i="697"/>
  <c r="V687" i="697"/>
  <c r="V733" i="697"/>
  <c r="V836" i="697"/>
  <c r="V756" i="697"/>
  <c r="V569" i="697"/>
  <c r="V706" i="697"/>
  <c r="V707" i="697"/>
  <c r="V734" i="697"/>
  <c r="V735" i="697"/>
  <c r="V580" i="697"/>
  <c r="V585" i="697"/>
  <c r="V630" i="697"/>
  <c r="V553" i="697"/>
  <c r="V749" i="697"/>
  <c r="V688" i="697"/>
  <c r="V837" i="697"/>
  <c r="V634" i="697"/>
  <c r="V757" i="697"/>
  <c r="V783" i="697"/>
  <c r="V689" i="697"/>
  <c r="V576" i="697"/>
  <c r="V758" i="697"/>
  <c r="V759" i="697"/>
  <c r="V760" i="697"/>
  <c r="V690" i="697"/>
  <c r="V579" i="697"/>
  <c r="V784" i="697"/>
  <c r="V838" i="697"/>
  <c r="V761" i="697"/>
  <c r="V811" i="697"/>
  <c r="V691" i="697"/>
  <c r="V815" i="697"/>
  <c r="V889" i="697"/>
  <c r="V582" i="697"/>
  <c r="V665" i="697"/>
  <c r="V583" i="697"/>
  <c r="V586" i="697"/>
  <c r="V692" i="697"/>
  <c r="V719" i="697"/>
  <c r="V661" i="697"/>
  <c r="V762" i="697"/>
  <c r="V763" i="697"/>
  <c r="V611" i="697"/>
  <c r="V816" i="697"/>
  <c r="V720" i="697"/>
  <c r="V693" i="697"/>
  <c r="V589" i="697"/>
  <c r="V839" i="697"/>
  <c r="V591" i="697"/>
  <c r="V721" i="697"/>
  <c r="V597" i="697"/>
  <c r="V598" i="697"/>
  <c r="V764" i="697"/>
  <c r="V694" i="697"/>
  <c r="V840" i="697"/>
  <c r="V793" i="697"/>
  <c r="V765" i="697"/>
  <c r="V601" i="697"/>
  <c r="V695" i="697"/>
  <c r="V599" i="697"/>
  <c r="V600" i="697"/>
  <c r="V812" i="697"/>
  <c r="V785" i="697"/>
  <c r="V722" i="697"/>
  <c r="V602" i="697"/>
  <c r="V603" i="697"/>
  <c r="V604" i="697"/>
  <c r="V605" i="697"/>
  <c r="V606" i="697"/>
  <c r="V607" i="697"/>
  <c r="V608" i="697"/>
  <c r="V609" i="697"/>
  <c r="V738" i="697"/>
  <c r="V739" i="697"/>
  <c r="V740" i="697"/>
  <c r="V741" i="697"/>
  <c r="V742" i="697"/>
  <c r="V766" i="697"/>
  <c r="V923" i="697"/>
  <c r="V902" i="697"/>
  <c r="V654" i="697"/>
  <c r="V723" i="697"/>
  <c r="V647" i="697"/>
  <c r="V854" i="697"/>
  <c r="V648" i="697"/>
  <c r="V696" i="697"/>
  <c r="V697" i="697"/>
  <c r="V649" i="697"/>
  <c r="V650" i="697"/>
  <c r="V698" i="697"/>
  <c r="V612" i="697"/>
  <c r="V613" i="697"/>
  <c r="V651" i="697"/>
  <c r="V767" i="697"/>
  <c r="V768" i="697"/>
  <c r="V631" i="697"/>
  <c r="V743" i="697"/>
  <c r="V622" i="697"/>
  <c r="V841" i="697"/>
  <c r="V769" i="697"/>
  <c r="V632" i="697"/>
  <c r="V633" i="697"/>
  <c r="V770" i="697"/>
  <c r="V640" i="697"/>
  <c r="V744" i="697"/>
  <c r="V890" i="697"/>
  <c r="V867" i="697"/>
  <c r="V855" i="697"/>
  <c r="V635" i="697"/>
  <c r="V891" i="697"/>
  <c r="V699" i="697"/>
  <c r="V903" i="697"/>
  <c r="V773" i="697"/>
  <c r="V636" i="697"/>
  <c r="V641" i="697"/>
  <c r="V652" i="697"/>
  <c r="V642" i="697"/>
  <c r="V643" i="697"/>
  <c r="V868" i="697"/>
  <c r="V892" i="697"/>
  <c r="V856" i="697"/>
  <c r="V842" i="697"/>
  <c r="V893" i="697"/>
  <c r="V843" i="697"/>
  <c r="V644" i="697"/>
  <c r="V799" i="697"/>
  <c r="V844" i="697"/>
  <c r="V857" i="697"/>
  <c r="V653" i="697"/>
  <c r="V655" i="697"/>
  <c r="V858" i="697"/>
  <c r="V656" i="697"/>
  <c r="V745" i="697"/>
  <c r="V746" i="697"/>
  <c r="V666" i="697"/>
  <c r="V859" i="697"/>
  <c r="V747" i="697"/>
  <c r="V924" i="697"/>
  <c r="V925" i="697"/>
  <c r="V926" i="697"/>
  <c r="V869" i="697"/>
  <c r="V667" i="697"/>
  <c r="V750" i="697"/>
  <c r="V668" i="697"/>
  <c r="V845" i="697"/>
  <c r="V1029" i="697"/>
  <c r="V700" i="697"/>
  <c r="V703" i="697"/>
  <c r="V704" i="697"/>
  <c r="V927" i="697"/>
  <c r="V928" i="697"/>
  <c r="V879" i="697"/>
  <c r="V846" i="697"/>
  <c r="V929" i="697"/>
  <c r="V860" i="697"/>
  <c r="V794" i="697"/>
  <c r="V861" i="697"/>
  <c r="V930" i="697"/>
  <c r="V894" i="697"/>
  <c r="V870" i="697"/>
  <c r="V862" i="697"/>
  <c r="V931" i="697"/>
  <c r="V932" i="697"/>
  <c r="V933" i="697"/>
  <c r="V708" i="697"/>
  <c r="V709" i="697"/>
  <c r="V710" i="697"/>
  <c r="V711" i="697"/>
  <c r="V712" i="697"/>
  <c r="V713" i="697"/>
  <c r="V786" i="697"/>
  <c r="V787" i="697"/>
  <c r="V952" i="697"/>
  <c r="V788" i="697"/>
  <c r="V809" i="697"/>
  <c r="V810" i="697"/>
  <c r="V736" i="697"/>
  <c r="V748" i="697"/>
  <c r="V774" i="697"/>
  <c r="V775" i="697"/>
  <c r="V776" i="697"/>
  <c r="V789" i="697"/>
  <c r="V934" i="697"/>
  <c r="V724" i="697"/>
  <c r="V725" i="697"/>
  <c r="V726" i="697"/>
  <c r="V727" i="697"/>
  <c r="V790" i="697"/>
  <c r="V1021" i="697"/>
  <c r="V728" i="697"/>
  <c r="V729" i="697"/>
  <c r="V730" i="697"/>
  <c r="V953" i="697"/>
  <c r="V871" i="697"/>
  <c r="V817" i="697"/>
  <c r="V737" i="697"/>
  <c r="V1084" i="697"/>
  <c r="V880" i="697"/>
  <c r="V863" i="697"/>
  <c r="V570" i="697"/>
  <c r="V571" i="697"/>
  <c r="V572" i="697"/>
  <c r="V573" i="697"/>
  <c r="V574" i="697"/>
  <c r="V575" i="697"/>
  <c r="V771" i="697"/>
  <c r="V772" i="697"/>
  <c r="V954" i="697"/>
  <c r="V955" i="697"/>
  <c r="V980" i="697"/>
  <c r="V777" i="697"/>
  <c r="V956" i="697"/>
  <c r="V981" i="697"/>
  <c r="V982" i="697"/>
  <c r="V983" i="697"/>
  <c r="V904" i="697"/>
  <c r="V984" i="697"/>
  <c r="V912" i="697"/>
  <c r="V913" i="697"/>
  <c r="V778" i="697"/>
  <c r="V957" i="697"/>
  <c r="V881" i="697"/>
  <c r="V779" i="697"/>
  <c r="V780" i="697"/>
  <c r="V905" i="697"/>
  <c r="V985" i="697"/>
  <c r="V781" i="697"/>
  <c r="V906" i="697"/>
  <c r="V948" i="697"/>
  <c r="V935" i="697"/>
  <c r="V936" i="697"/>
  <c r="V791" i="697"/>
  <c r="V795" i="697"/>
  <c r="V937" i="697"/>
  <c r="V986" i="697"/>
  <c r="V895" i="697"/>
  <c r="V896" i="697"/>
  <c r="V914" i="697"/>
  <c r="V958" i="697"/>
  <c r="V792" i="697"/>
  <c r="V987" i="697"/>
  <c r="V800" i="697"/>
  <c r="V988" i="697"/>
  <c r="V959" i="697"/>
  <c r="V801" i="697"/>
  <c r="V796" i="697"/>
  <c r="V989" i="697"/>
  <c r="V797" i="697"/>
  <c r="V798" i="697"/>
  <c r="V802" i="697"/>
  <c r="V990" i="697"/>
  <c r="V803" i="697"/>
  <c r="V804" i="697"/>
  <c r="V805" i="697"/>
  <c r="V806" i="697"/>
  <c r="V807" i="697"/>
  <c r="V808" i="697"/>
  <c r="V1022" i="697"/>
  <c r="V1005" i="697"/>
  <c r="V813" i="697"/>
  <c r="V814" i="697"/>
  <c r="V991" i="697"/>
  <c r="V992" i="697"/>
  <c r="V993" i="697"/>
  <c r="V818" i="697"/>
  <c r="V938" i="697"/>
  <c r="V819" i="697"/>
  <c r="V820" i="697"/>
  <c r="V821" i="697"/>
  <c r="V822" i="697"/>
  <c r="V823" i="697"/>
  <c r="V824" i="697"/>
  <c r="V825" i="697"/>
  <c r="V826" i="697"/>
  <c r="V939" i="697"/>
  <c r="V827" i="697"/>
  <c r="V828" i="697"/>
  <c r="V915" i="697"/>
  <c r="V897" i="697"/>
  <c r="V829" i="697"/>
  <c r="V830" i="697"/>
  <c r="V847" i="697"/>
  <c r="V831" i="697"/>
  <c r="V832" i="697"/>
  <c r="V833" i="697"/>
  <c r="V1000" i="697"/>
  <c r="V960" i="697"/>
  <c r="V834" i="697"/>
  <c r="V1030" i="697"/>
  <c r="V875" i="697"/>
  <c r="V898" i="697"/>
  <c r="V916" i="697"/>
  <c r="V917" i="697"/>
  <c r="V852" i="697"/>
  <c r="V872" i="697"/>
  <c r="V886" i="697"/>
  <c r="V848" i="697"/>
  <c r="V918" i="697"/>
  <c r="V1143" i="697"/>
  <c r="V876" i="697"/>
  <c r="V877" i="697"/>
  <c r="V878" i="697"/>
  <c r="V994" i="697"/>
  <c r="V850" i="697"/>
  <c r="V849" i="697"/>
  <c r="V1001" i="697"/>
  <c r="V899" i="697"/>
  <c r="V1002" i="697"/>
  <c r="V1006" i="697"/>
  <c r="V851" i="697"/>
  <c r="V940" i="697"/>
  <c r="V941" i="697"/>
  <c r="V1007" i="697"/>
  <c r="V995" i="697"/>
  <c r="V1213" i="697"/>
  <c r="V853" i="697"/>
  <c r="V1023" i="697"/>
  <c r="V1008" i="697"/>
  <c r="V1044" i="697"/>
  <c r="V864" i="697"/>
  <c r="V865" i="697"/>
  <c r="V942" i="697"/>
  <c r="V1024" i="697"/>
  <c r="V873" i="697"/>
  <c r="V943" i="697"/>
  <c r="V1045" i="697"/>
  <c r="V1046" i="697"/>
  <c r="V1047" i="697"/>
  <c r="V874" i="697"/>
  <c r="V1025" i="697"/>
  <c r="V1031" i="697"/>
  <c r="V1048" i="697"/>
  <c r="V882" i="697"/>
  <c r="V883" i="697"/>
  <c r="V884" i="697"/>
  <c r="V885" i="697"/>
  <c r="V1049" i="697"/>
  <c r="V1050" i="697"/>
  <c r="V900" i="697"/>
  <c r="V887" i="697"/>
  <c r="V888" i="697"/>
  <c r="V1091" i="697"/>
  <c r="V1068" i="697"/>
  <c r="V1075" i="697"/>
  <c r="V901" i="697"/>
  <c r="V1096" i="697"/>
  <c r="V907" i="697"/>
  <c r="V908" i="697"/>
  <c r="V909" i="697"/>
  <c r="V910" i="697"/>
  <c r="V911" i="697"/>
  <c r="V1168" i="697"/>
  <c r="V944" i="697"/>
  <c r="V1097" i="697"/>
  <c r="V1069" i="697"/>
  <c r="V1051" i="697"/>
  <c r="V919" i="697"/>
  <c r="V920" i="697"/>
  <c r="V921" i="697"/>
  <c r="V922" i="697"/>
  <c r="V1076" i="697"/>
  <c r="V945" i="697"/>
  <c r="V1162" i="697"/>
  <c r="V1169" i="697"/>
  <c r="V1082" i="697"/>
  <c r="V946" i="697"/>
  <c r="V1083" i="697"/>
  <c r="V1131" i="697"/>
  <c r="V1077" i="697"/>
  <c r="V1052" i="697"/>
  <c r="V1098" i="697"/>
  <c r="V1070" i="697"/>
  <c r="V1085" i="697"/>
  <c r="V947" i="697"/>
  <c r="V9" i="697"/>
  <c r="V1032" i="697"/>
  <c r="V1053" i="697"/>
  <c r="V949" i="697"/>
  <c r="V950" i="697"/>
  <c r="V1092" i="697"/>
  <c r="V1099" i="697"/>
  <c r="V1130" i="697"/>
  <c r="V1078" i="697"/>
  <c r="V951" i="697"/>
  <c r="V1037" i="697"/>
  <c r="V1071" i="697"/>
  <c r="V1100" i="697"/>
  <c r="V1086" i="697"/>
  <c r="V1087" i="697"/>
  <c r="V1101" i="697"/>
  <c r="V1088" i="697"/>
  <c r="V1239" i="697"/>
  <c r="V1089" i="697"/>
  <c r="V1009" i="697"/>
  <c r="V972" i="697"/>
  <c r="V1054" i="697"/>
  <c r="V1033" i="697"/>
  <c r="V1102" i="697"/>
  <c r="V1010" i="697"/>
  <c r="V961" i="697"/>
  <c r="V962" i="697"/>
  <c r="V963" i="697"/>
  <c r="V964" i="697"/>
  <c r="V965" i="697"/>
  <c r="V966" i="697"/>
  <c r="V967" i="697"/>
  <c r="V968" i="697"/>
  <c r="V969" i="697"/>
  <c r="V970" i="697"/>
  <c r="V971" i="697"/>
  <c r="V1055" i="697"/>
  <c r="V1056" i="697"/>
  <c r="V1057" i="697"/>
  <c r="V1058" i="697"/>
  <c r="V1059" i="697"/>
  <c r="V1060" i="697"/>
  <c r="V1011" i="697"/>
  <c r="V1190" i="697"/>
  <c r="V1012" i="697"/>
  <c r="V973" i="697"/>
  <c r="V974" i="697"/>
  <c r="V1124" i="697"/>
  <c r="V996" i="697"/>
  <c r="V1118" i="697"/>
  <c r="V1013" i="697"/>
  <c r="V1191" i="697"/>
  <c r="V1014" i="697"/>
  <c r="V975" i="697"/>
  <c r="V1015" i="697"/>
  <c r="V1016" i="697"/>
  <c r="V976" i="697"/>
  <c r="V1040" i="697"/>
  <c r="V977" i="697"/>
  <c r="V1093" i="697"/>
  <c r="V1112" i="697"/>
  <c r="V1017" i="697"/>
  <c r="V1103" i="697"/>
  <c r="V1018" i="697"/>
  <c r="V1019" i="697"/>
  <c r="V978" i="697"/>
  <c r="V1214" i="697"/>
  <c r="V1061" i="697"/>
  <c r="V1104" i="697"/>
  <c r="V1320" i="697"/>
  <c r="V1293" i="697"/>
  <c r="V1192" i="697"/>
  <c r="V1207" i="697"/>
  <c r="V1289" i="697"/>
  <c r="V1253" i="697"/>
  <c r="V1321" i="697"/>
  <c r="V1240" i="697"/>
  <c r="V1157" i="697"/>
  <c r="V997" i="697"/>
  <c r="V998" i="697"/>
  <c r="V999" i="697"/>
  <c r="V1520" i="697"/>
  <c r="V1158" i="697"/>
  <c r="V1132" i="697"/>
  <c r="V1003" i="697"/>
  <c r="V1062" i="697"/>
  <c r="V1063" i="697"/>
  <c r="V1004" i="697"/>
  <c r="V1170" i="697"/>
  <c r="V1020" i="697"/>
  <c r="V1274" i="697"/>
  <c r="V1278" i="697"/>
  <c r="V1176" i="697"/>
  <c r="V1294" i="697"/>
  <c r="V1034" i="697"/>
  <c r="V1163" i="697"/>
  <c r="V1026" i="697"/>
  <c r="V1027" i="697"/>
  <c r="V1028" i="697"/>
  <c r="V1521" i="697"/>
  <c r="V1133" i="697"/>
  <c r="V1177" i="697"/>
  <c r="V1035" i="697"/>
  <c r="V1036" i="697"/>
  <c r="V1249" i="697"/>
  <c r="V1171" i="697"/>
  <c r="V1193" i="697"/>
  <c r="V1038" i="697"/>
  <c r="V1079" i="697"/>
  <c r="V1178" i="697"/>
  <c r="V1039" i="697"/>
  <c r="V1230" i="697"/>
  <c r="V1179" i="697"/>
  <c r="V1113" i="697"/>
  <c r="V1080" i="697"/>
  <c r="V1180" i="697"/>
  <c r="V1295" i="697"/>
  <c r="V1041" i="697"/>
  <c r="V1215" i="697"/>
  <c r="V1042" i="697"/>
  <c r="V1043" i="697"/>
  <c r="V1072" i="697"/>
  <c r="V1064" i="697"/>
  <c r="V1065" i="697"/>
  <c r="V1372" i="697"/>
  <c r="V1066" i="697"/>
  <c r="V1296" i="697"/>
  <c r="V1067" i="697"/>
  <c r="V1144" i="697"/>
  <c r="V1181" i="697"/>
  <c r="V1182" i="697"/>
  <c r="V1204" i="697"/>
  <c r="V1073" i="697"/>
  <c r="V1074" i="697"/>
  <c r="V1081" i="697"/>
  <c r="V1183" i="697"/>
  <c r="V1090" i="697"/>
  <c r="V1322" i="697"/>
  <c r="V1184" i="697"/>
  <c r="V1229" i="697"/>
  <c r="V1270" i="697"/>
  <c r="V1194" i="697"/>
  <c r="V1094" i="697"/>
  <c r="V1323" i="697"/>
  <c r="V1290" i="697"/>
  <c r="V1216" i="697"/>
  <c r="V1241" i="697"/>
  <c r="V1105" i="697"/>
  <c r="V1095" i="697"/>
  <c r="V1217" i="697"/>
  <c r="V1231" i="697"/>
  <c r="V979" i="697"/>
  <c r="V1106" i="697"/>
  <c r="V1107" i="697"/>
  <c r="V1271" i="697"/>
  <c r="V1108" i="697"/>
  <c r="V1297" i="697"/>
  <c r="V1110" i="697"/>
  <c r="V1138" i="697"/>
  <c r="V1109" i="697"/>
  <c r="V1111" i="697"/>
  <c r="V1126" i="697"/>
  <c r="V1145" i="697"/>
  <c r="V1146" i="697"/>
  <c r="V1134" i="697"/>
  <c r="V1272" i="697"/>
  <c r="V1273" i="697"/>
  <c r="V1147" i="697"/>
  <c r="V1148" i="697"/>
  <c r="V1149" i="697"/>
  <c r="V1150" i="697"/>
  <c r="V1151" i="697"/>
  <c r="V1114" i="697"/>
  <c r="V1135" i="697"/>
  <c r="V1127" i="697"/>
  <c r="V1128" i="697"/>
  <c r="V1266" i="697"/>
  <c r="V1115" i="697"/>
  <c r="V1116" i="697"/>
  <c r="V1117" i="697"/>
  <c r="V1152" i="697"/>
  <c r="V1242" i="697"/>
  <c r="V1119" i="697"/>
  <c r="V1120" i="697"/>
  <c r="V1218" i="697"/>
  <c r="V1121" i="697"/>
  <c r="V1122" i="697"/>
  <c r="V1123" i="697"/>
  <c r="V1195" i="697"/>
  <c r="V1125" i="697"/>
  <c r="V1129" i="697"/>
  <c r="V1174" i="697"/>
  <c r="V1136" i="697"/>
  <c r="V1236" i="697"/>
  <c r="V1326" i="697"/>
  <c r="V1208" i="697"/>
  <c r="V1254" i="697"/>
  <c r="V1137" i="697"/>
  <c r="V1365" i="697"/>
  <c r="V1327" i="697"/>
  <c r="V1139" i="697"/>
  <c r="V1140" i="697"/>
  <c r="V1141" i="697"/>
  <c r="V1159" i="697"/>
  <c r="V1153" i="697"/>
  <c r="V1142" i="697"/>
  <c r="V1160" i="697"/>
  <c r="V1154" i="697"/>
  <c r="V1155" i="697"/>
  <c r="V1156" i="697"/>
  <c r="V1366" i="697"/>
  <c r="V1185" i="697"/>
  <c r="V1161" i="697"/>
  <c r="V1334" i="697"/>
  <c r="V1255" i="697"/>
  <c r="V1298" i="697"/>
  <c r="V1267" i="697"/>
  <c r="V1196" i="697"/>
  <c r="V1197" i="697"/>
  <c r="V1268" i="697"/>
  <c r="V1164" i="697"/>
  <c r="V1335" i="697"/>
  <c r="V1328" i="697"/>
  <c r="V1165" i="697"/>
  <c r="V1166" i="697"/>
  <c r="V1275" i="697"/>
  <c r="V1276" i="697"/>
  <c r="V1256" i="697"/>
  <c r="V1172" i="697"/>
  <c r="V1329" i="697"/>
  <c r="V1324" i="697"/>
  <c r="V1299" i="697"/>
  <c r="V1186" i="697"/>
  <c r="V1175" i="697"/>
  <c r="V1173" i="697"/>
  <c r="V1330" i="697"/>
  <c r="V1300" i="697"/>
  <c r="V1367" i="697"/>
  <c r="V1368" i="697"/>
  <c r="V1378" i="697"/>
  <c r="V1377" i="697"/>
  <c r="V1301" i="697"/>
  <c r="V1331" i="697"/>
  <c r="V1187" i="697"/>
  <c r="V1188" i="697"/>
  <c r="V1357" i="697"/>
  <c r="V1369" i="697"/>
  <c r="V1439" i="697"/>
  <c r="V1302" i="697"/>
  <c r="V1189" i="697"/>
  <c r="V1277" i="697"/>
  <c r="V1358" i="697"/>
  <c r="V1198" i="697"/>
  <c r="V1199" i="697"/>
  <c r="V1200" i="697"/>
  <c r="V1201" i="697"/>
  <c r="V1202" i="697"/>
  <c r="V1203" i="697"/>
  <c r="V1209" i="697"/>
  <c r="V1244" i="697"/>
  <c r="V1359" i="697"/>
  <c r="V1219" i="697"/>
  <c r="V1220" i="697"/>
  <c r="V1205" i="697"/>
  <c r="V1167" i="697"/>
  <c r="V1221" i="697"/>
  <c r="V1222" i="697"/>
  <c r="V1257" i="697"/>
  <c r="V1206" i="697"/>
  <c r="V1223" i="697"/>
  <c r="V1224" i="697"/>
  <c r="V1225" i="697"/>
  <c r="V1210" i="697"/>
  <c r="V1336" i="697"/>
  <c r="V1337" i="697"/>
  <c r="V1338" i="697"/>
  <c r="V1339" i="697"/>
  <c r="V1373" i="697"/>
  <c r="V1258" i="697"/>
  <c r="V1340" i="697"/>
  <c r="V1211" i="697"/>
  <c r="V1212" i="697"/>
  <c r="V1226" i="697"/>
  <c r="V1227" i="697"/>
  <c r="V1285" i="697"/>
  <c r="V1259" i="697"/>
  <c r="V1228" i="697"/>
  <c r="V1476" i="697"/>
  <c r="V1379" i="697"/>
  <c r="V1303" i="697"/>
  <c r="V1345" i="697"/>
  <c r="V1360" i="697"/>
  <c r="V1440" i="697"/>
  <c r="V1401" i="697"/>
  <c r="V1344" i="697"/>
  <c r="V1232" i="697"/>
  <c r="V1361" i="697"/>
  <c r="V1269" i="697"/>
  <c r="V1233" i="697"/>
  <c r="V1234" i="697"/>
  <c r="V1423" i="697"/>
  <c r="V1325" i="697"/>
  <c r="V1245" i="697"/>
  <c r="V1491" i="697"/>
  <c r="V1235" i="697"/>
  <c r="V1380" i="697"/>
  <c r="V1495" i="697"/>
  <c r="V1250" i="697"/>
  <c r="V1363" i="697"/>
  <c r="V1237" i="697"/>
  <c r="V1238" i="697"/>
  <c r="V1463" i="697"/>
  <c r="V1374" i="697"/>
  <c r="V1246" i="697"/>
  <c r="V1243" i="697"/>
  <c r="V1247" i="697"/>
  <c r="V1410" i="697"/>
  <c r="V1411" i="697"/>
  <c r="V1370" i="697"/>
  <c r="V1417" i="697"/>
  <c r="V1381" i="697"/>
  <c r="V1248" i="697"/>
  <c r="V1251" i="697"/>
  <c r="V1252" i="697"/>
  <c r="V1432" i="697"/>
  <c r="V1375" i="697"/>
  <c r="V1382" i="697"/>
  <c r="V1260" i="697"/>
  <c r="V1280" i="697"/>
  <c r="V1281" i="697"/>
  <c r="V1282" i="697"/>
  <c r="V1283" i="697"/>
  <c r="V1284" i="697"/>
  <c r="V1433" i="697"/>
  <c r="V1434" i="697"/>
  <c r="V1261" i="697"/>
  <c r="V1264" i="697"/>
  <c r="V1262" i="697"/>
  <c r="V1263" i="697"/>
  <c r="V1383" i="697"/>
  <c r="V1265" i="697"/>
  <c r="V1522" i="697"/>
  <c r="V1394" i="697"/>
  <c r="V1441" i="697"/>
  <c r="V1305" i="697"/>
  <c r="V1286" i="697"/>
  <c r="V1306" i="697"/>
  <c r="V1451" i="697"/>
  <c r="V1455" i="697"/>
  <c r="V1319" i="697"/>
  <c r="V1435" i="697"/>
  <c r="V1279" i="697"/>
  <c r="V1287" i="697"/>
  <c r="V1442" i="697"/>
  <c r="V1412" i="697"/>
  <c r="V1395" i="697"/>
  <c r="V1288" i="697"/>
  <c r="V1396" i="697"/>
  <c r="V1510" i="697"/>
  <c r="V1413" i="697"/>
  <c r="V1389" i="697"/>
  <c r="V1291" i="697"/>
  <c r="V1492" i="697"/>
  <c r="V1496" i="697"/>
  <c r="V1390" i="697"/>
  <c r="V1304" i="697"/>
  <c r="V1397" i="697"/>
  <c r="V1418" i="697"/>
  <c r="V1317" i="697"/>
  <c r="V1307" i="697"/>
  <c r="V1308" i="697"/>
  <c r="V1309" i="697"/>
  <c r="V1310" i="697"/>
  <c r="V1311" i="697"/>
  <c r="V1312" i="697"/>
  <c r="V1313" i="697"/>
  <c r="V1314" i="697"/>
  <c r="V1315" i="697"/>
  <c r="V1316" i="697"/>
  <c r="V1398" i="697"/>
  <c r="V1414" i="697"/>
  <c r="V1346" i="697"/>
  <c r="V1347" i="697"/>
  <c r="V1464" i="697"/>
  <c r="V1348" i="697"/>
  <c r="V1349" i="697"/>
  <c r="V1350" i="697"/>
  <c r="V1399" i="697"/>
  <c r="V1400" i="697"/>
  <c r="V1351" i="697"/>
  <c r="V1352" i="697"/>
  <c r="V1386" i="697"/>
  <c r="V1318" i="697"/>
  <c r="V1353" i="697"/>
  <c r="V1354" i="697"/>
  <c r="V1429" i="697"/>
  <c r="V1477" i="697"/>
  <c r="V1523" i="697"/>
  <c r="V1524" i="697"/>
  <c r="V1355" i="697"/>
  <c r="V1332" i="697"/>
  <c r="V1333" i="697"/>
  <c r="V1525" i="697"/>
  <c r="V1478" i="697"/>
  <c r="V1472" i="697"/>
  <c r="V1511" i="697"/>
  <c r="V1342" i="697"/>
  <c r="V1341" i="697"/>
  <c r="V1424" i="697"/>
  <c r="V1343" i="697"/>
  <c r="V1474" i="697"/>
  <c r="V1516" i="697"/>
  <c r="V1479" i="697"/>
  <c r="V1526" i="697"/>
  <c r="V1465" i="697"/>
  <c r="V1425" i="697"/>
  <c r="V1480" i="697"/>
  <c r="V1356" i="697"/>
  <c r="V1481" i="697"/>
  <c r="V1512" i="697"/>
  <c r="V1473" i="697"/>
  <c r="V1482" i="697"/>
  <c r="V1362" i="697"/>
  <c r="V1483" i="697"/>
  <c r="V1484" i="697"/>
  <c r="V1391" i="697"/>
  <c r="V1364" i="697"/>
  <c r="V1527" i="697"/>
  <c r="V1513" i="697"/>
  <c r="V1376" i="697"/>
  <c r="V1402" i="697"/>
  <c r="V1403" i="697"/>
  <c r="V1404" i="697"/>
  <c r="V1405" i="697"/>
  <c r="V1371" i="697"/>
  <c r="V1528" i="697"/>
  <c r="V1436" i="697"/>
  <c r="V1529" i="697"/>
  <c r="V1437" i="697"/>
  <c r="V1530" i="697"/>
  <c r="V1485" i="697"/>
  <c r="V1531" i="697"/>
  <c r="V1514" i="697"/>
  <c r="V1532" i="697"/>
  <c r="V1486" i="697"/>
  <c r="V1533" i="697"/>
  <c r="V1384" i="697"/>
  <c r="V1385" i="697"/>
  <c r="V1387" i="697"/>
  <c r="V1534" i="697"/>
  <c r="V1535" i="697"/>
  <c r="V1536" i="697"/>
  <c r="V1388" i="697"/>
  <c r="V1392" i="697"/>
  <c r="V1393" i="697"/>
  <c r="V1416" i="697"/>
  <c r="V1537" i="697"/>
  <c r="V1406" i="697"/>
  <c r="V1538" i="697"/>
  <c r="V1407" i="697"/>
  <c r="V1539" i="697"/>
  <c r="V1438" i="697"/>
  <c r="V1487" i="697"/>
  <c r="V1540" i="697"/>
  <c r="V1443" i="697"/>
  <c r="V1444" i="697"/>
  <c r="V1445" i="697"/>
  <c r="V1420" i="697"/>
  <c r="V1408" i="697"/>
  <c r="V1497" i="697"/>
  <c r="V1498" i="697"/>
  <c r="V1499" i="697"/>
  <c r="V1446" i="697"/>
  <c r="V1517" i="697"/>
  <c r="V1518" i="697"/>
  <c r="V1489" i="697"/>
  <c r="V1541" i="697"/>
  <c r="V1447" i="697"/>
  <c r="V1448" i="697"/>
  <c r="V1542" i="697"/>
  <c r="V1415" i="697"/>
  <c r="V1488" i="697"/>
  <c r="V1543" i="697"/>
  <c r="V1544" i="697"/>
  <c r="V1545" i="697"/>
  <c r="V1419" i="697"/>
  <c r="V1546" i="697"/>
  <c r="V1547" i="697"/>
  <c r="V1421" i="697"/>
  <c r="V1422" i="697"/>
  <c r="V1548" i="697"/>
  <c r="V1459" i="697"/>
  <c r="V1549" i="697"/>
  <c r="V1426" i="697"/>
  <c r="V1460" i="697"/>
  <c r="V1461" i="697"/>
  <c r="V1427" i="697"/>
  <c r="V1428" i="697"/>
  <c r="V1449" i="697"/>
  <c r="V1431" i="697"/>
  <c r="V1430" i="697"/>
  <c r="V1490" i="697"/>
  <c r="V1452" i="697"/>
  <c r="V1550" i="697"/>
  <c r="V1456" i="697"/>
  <c r="V1450" i="697"/>
  <c r="V1551" i="697"/>
  <c r="V1552" i="697"/>
  <c r="V1519" i="697"/>
  <c r="V1457" i="697"/>
  <c r="V1458" i="697"/>
  <c r="V1462" i="697"/>
  <c r="V1453" i="697"/>
  <c r="V1409" i="697"/>
  <c r="V1454" i="697"/>
  <c r="V1553" i="697"/>
  <c r="V1554" i="697"/>
  <c r="V1555" i="697"/>
  <c r="V1556" i="697"/>
  <c r="V1557" i="697"/>
  <c r="V1558" i="697"/>
  <c r="V1466" i="697"/>
  <c r="V1467" i="697"/>
  <c r="V1468" i="697"/>
  <c r="V1469" i="697"/>
  <c r="V1559" i="697"/>
  <c r="V1475" i="697"/>
  <c r="V1470" i="697"/>
  <c r="V1471" i="697"/>
  <c r="V1560" i="697"/>
  <c r="V1561" i="697"/>
  <c r="V1562" i="697"/>
  <c r="V1563" i="697"/>
  <c r="V1564" i="697"/>
  <c r="V1565" i="697"/>
  <c r="V1566" i="697"/>
  <c r="V1567" i="697"/>
  <c r="V1568" i="697"/>
  <c r="V1569" i="697"/>
  <c r="V1570" i="697"/>
  <c r="V1571" i="697"/>
  <c r="V1572" i="697"/>
  <c r="V1493" i="697"/>
  <c r="V1494" i="697"/>
  <c r="V1573" i="697"/>
  <c r="V1574" i="697"/>
  <c r="V1575" i="697"/>
  <c r="V1576" i="697"/>
  <c r="V1577" i="697"/>
  <c r="V1578" i="697"/>
  <c r="V1579" i="697"/>
  <c r="V1580" i="697"/>
  <c r="V1581" i="697"/>
  <c r="V1582" i="697"/>
  <c r="V1583" i="697"/>
  <c r="V1584" i="697"/>
  <c r="V1585" i="697"/>
  <c r="V1500" i="697"/>
  <c r="V1501" i="697"/>
  <c r="V1502" i="697"/>
  <c r="V1503" i="697"/>
  <c r="V1504" i="697"/>
  <c r="V1505" i="697"/>
  <c r="V1506" i="697"/>
  <c r="V1586" i="697"/>
  <c r="V1587" i="697"/>
  <c r="V1588" i="697"/>
  <c r="V1589" i="697"/>
  <c r="V1507" i="697"/>
  <c r="V1590" i="697"/>
  <c r="V1508" i="697"/>
  <c r="V1591" i="697"/>
  <c r="V1592" i="697"/>
  <c r="V1593" i="697"/>
  <c r="V1509" i="697"/>
  <c r="V1515" i="697"/>
  <c r="W1292" i="697"/>
  <c r="W103" i="697"/>
  <c r="W104" i="697"/>
  <c r="W22" i="697"/>
  <c r="W23" i="697"/>
  <c r="W12" i="697"/>
  <c r="W196" i="697"/>
  <c r="W4" i="697"/>
  <c r="W24" i="697"/>
  <c r="W208" i="697"/>
  <c r="W6" i="697"/>
  <c r="W13" i="697"/>
  <c r="W14" i="697"/>
  <c r="W2" i="697"/>
  <c r="W15" i="697"/>
  <c r="W16" i="697"/>
  <c r="W34" i="697"/>
  <c r="W17" i="697"/>
  <c r="W45" i="697"/>
  <c r="W77" i="697"/>
  <c r="W117" i="697"/>
  <c r="W78" i="697"/>
  <c r="W79" i="697"/>
  <c r="W80" i="697"/>
  <c r="W40" i="697"/>
  <c r="W3" i="697"/>
  <c r="W209" i="697"/>
  <c r="W5" i="697"/>
  <c r="W18" i="697"/>
  <c r="W19" i="697"/>
  <c r="W20" i="697"/>
  <c r="W7" i="697"/>
  <c r="W8" i="697"/>
  <c r="W10" i="697"/>
  <c r="W105" i="697"/>
  <c r="W106" i="697"/>
  <c r="W107" i="697"/>
  <c r="W11" i="697"/>
  <c r="W81" i="697"/>
  <c r="W174" i="697"/>
  <c r="W175" i="697"/>
  <c r="W82" i="697"/>
  <c r="W83" i="697"/>
  <c r="W118" i="697"/>
  <c r="W84" i="697"/>
  <c r="W85" i="697"/>
  <c r="W86" i="697"/>
  <c r="W87" i="697"/>
  <c r="W21" i="697"/>
  <c r="W210" i="697"/>
  <c r="W88" i="697"/>
  <c r="W27" i="697"/>
  <c r="W28" i="697"/>
  <c r="W29" i="697"/>
  <c r="W30" i="697"/>
  <c r="W31" i="697"/>
  <c r="W32" i="697"/>
  <c r="W33" i="697"/>
  <c r="W219" i="697"/>
  <c r="W89" i="697"/>
  <c r="W90" i="697"/>
  <c r="W96" i="697"/>
  <c r="W114" i="697"/>
  <c r="W125" i="697"/>
  <c r="W67" i="697"/>
  <c r="W171" i="697"/>
  <c r="W76" i="697"/>
  <c r="W46" i="697"/>
  <c r="W47" i="697"/>
  <c r="W48" i="697"/>
  <c r="W37" i="697"/>
  <c r="W49" i="697"/>
  <c r="W50" i="697"/>
  <c r="W51" i="697"/>
  <c r="W52" i="697"/>
  <c r="W53" i="697"/>
  <c r="W54" i="697"/>
  <c r="W55" i="697"/>
  <c r="W56" i="697"/>
  <c r="W119" i="697"/>
  <c r="W57" i="697"/>
  <c r="W115" i="697"/>
  <c r="W35" i="697"/>
  <c r="W58" i="697"/>
  <c r="W59" i="697"/>
  <c r="W60" i="697"/>
  <c r="W61" i="697"/>
  <c r="W62" i="697"/>
  <c r="W63" i="697"/>
  <c r="W126" i="697"/>
  <c r="W116" i="697"/>
  <c r="W120" i="697"/>
  <c r="W91" i="697"/>
  <c r="W133" i="697"/>
  <c r="W92" i="697"/>
  <c r="W93" i="697"/>
  <c r="W36" i="697"/>
  <c r="W108" i="697"/>
  <c r="W109" i="697"/>
  <c r="W110" i="697"/>
  <c r="W111" i="697"/>
  <c r="W64" i="697"/>
  <c r="W213" i="697"/>
  <c r="W134" i="697"/>
  <c r="W131" i="697"/>
  <c r="W140" i="697"/>
  <c r="W38" i="697"/>
  <c r="W399" i="697"/>
  <c r="W68" i="697"/>
  <c r="W65" i="697"/>
  <c r="W176" i="697"/>
  <c r="W127" i="697"/>
  <c r="W129" i="697"/>
  <c r="W97" i="697"/>
  <c r="W206" i="697"/>
  <c r="W39" i="697"/>
  <c r="W66" i="697"/>
  <c r="W230" i="697"/>
  <c r="W254" i="697"/>
  <c r="W160" i="697"/>
  <c r="W41" i="697"/>
  <c r="W42" i="697"/>
  <c r="W75" i="697"/>
  <c r="W44" i="697"/>
  <c r="W121" i="697"/>
  <c r="W43" i="697"/>
  <c r="W236" i="697"/>
  <c r="W255" i="697"/>
  <c r="W25" i="697"/>
  <c r="W26" i="697"/>
  <c r="W94" i="697"/>
  <c r="W237" i="697"/>
  <c r="W214" i="697"/>
  <c r="W256" i="697"/>
  <c r="W135" i="697"/>
  <c r="W161" i="697"/>
  <c r="W257" i="697"/>
  <c r="W207" i="697"/>
  <c r="W162" i="697"/>
  <c r="W177" i="697"/>
  <c r="W122" i="697"/>
  <c r="W163" i="697"/>
  <c r="W69" i="697"/>
  <c r="W70" i="697"/>
  <c r="W71" i="697"/>
  <c r="W72" i="697"/>
  <c r="W73" i="697"/>
  <c r="W74" i="697"/>
  <c r="W258" i="697"/>
  <c r="W178" i="697"/>
  <c r="W150" i="697"/>
  <c r="W141" i="697"/>
  <c r="W151" i="697"/>
  <c r="W152" i="697"/>
  <c r="W211" i="697"/>
  <c r="W142" i="697"/>
  <c r="W153" i="697"/>
  <c r="W154" i="697"/>
  <c r="W155" i="697"/>
  <c r="W156" i="697"/>
  <c r="W143" i="697"/>
  <c r="W144" i="697"/>
  <c r="W145" i="697"/>
  <c r="W146" i="697"/>
  <c r="W157" i="697"/>
  <c r="W158" i="697"/>
  <c r="W229" i="697"/>
  <c r="W95" i="697"/>
  <c r="W159" i="697"/>
  <c r="W240" i="697"/>
  <c r="W98" i="697"/>
  <c r="W99" i="697"/>
  <c r="W100" i="697"/>
  <c r="W101" i="697"/>
  <c r="W284" i="697"/>
  <c r="W102" i="697"/>
  <c r="W275" i="697"/>
  <c r="W197" i="697"/>
  <c r="W231" i="697"/>
  <c r="W147" i="697"/>
  <c r="W112" i="697"/>
  <c r="W148" i="697"/>
  <c r="W113" i="697"/>
  <c r="W259" i="697"/>
  <c r="W123" i="697"/>
  <c r="W252" i="697"/>
  <c r="W238" i="697"/>
  <c r="W232" i="697"/>
  <c r="W253" i="697"/>
  <c r="W233" i="697"/>
  <c r="W835" i="697"/>
  <c r="W124" i="697"/>
  <c r="W234" i="697"/>
  <c r="W244" i="697"/>
  <c r="W260" i="697"/>
  <c r="W181" i="697"/>
  <c r="W182" i="697"/>
  <c r="W183" i="697"/>
  <c r="W184" i="697"/>
  <c r="W172" i="697"/>
  <c r="W330" i="697"/>
  <c r="W245" i="697"/>
  <c r="W128" i="697"/>
  <c r="W285" i="697"/>
  <c r="W130" i="697"/>
  <c r="W132" i="697"/>
  <c r="W198" i="697"/>
  <c r="W349" i="697"/>
  <c r="W185" i="697"/>
  <c r="W312" i="697"/>
  <c r="W136" i="697"/>
  <c r="W276" i="697"/>
  <c r="W241" i="697"/>
  <c r="W277" i="697"/>
  <c r="W408" i="697"/>
  <c r="W286" i="697"/>
  <c r="W278" i="697"/>
  <c r="W279" i="697"/>
  <c r="W280" i="697"/>
  <c r="W149" i="697"/>
  <c r="W261" i="697"/>
  <c r="W137" i="697"/>
  <c r="W220" i="697"/>
  <c r="W394" i="697"/>
  <c r="W305" i="697"/>
  <c r="W164" i="697"/>
  <c r="W138" i="697"/>
  <c r="W139" i="697"/>
  <c r="W186" i="697"/>
  <c r="W221" i="697"/>
  <c r="W281" i="697"/>
  <c r="W331" i="697"/>
  <c r="W262" i="697"/>
  <c r="W263" i="697"/>
  <c r="W306" i="697"/>
  <c r="W320" i="697"/>
  <c r="W332" i="697"/>
  <c r="W199" i="697"/>
  <c r="W373" i="697"/>
  <c r="W357" i="697"/>
  <c r="W282" i="697"/>
  <c r="W165" i="697"/>
  <c r="W166" i="697"/>
  <c r="W167" i="697"/>
  <c r="W168" i="697"/>
  <c r="W169" i="697"/>
  <c r="W170" i="697"/>
  <c r="W333" i="697"/>
  <c r="W374" i="697"/>
  <c r="W187" i="697"/>
  <c r="W200" i="697"/>
  <c r="W173" i="697"/>
  <c r="W201" i="697"/>
  <c r="W265" i="697"/>
  <c r="W266" i="697"/>
  <c r="W235" i="697"/>
  <c r="W188" i="697"/>
  <c r="W189" i="697"/>
  <c r="W190" i="697"/>
  <c r="W191" i="697"/>
  <c r="W192" i="697"/>
  <c r="W193" i="697"/>
  <c r="W194" i="697"/>
  <c r="W195" i="697"/>
  <c r="W215" i="697"/>
  <c r="W307" i="697"/>
  <c r="W179" i="697"/>
  <c r="W180" i="697"/>
  <c r="W313" i="697"/>
  <c r="W267" i="697"/>
  <c r="W268" i="697"/>
  <c r="W269" i="697"/>
  <c r="W222" i="697"/>
  <c r="W334" i="697"/>
  <c r="W375" i="697"/>
  <c r="W202" i="697"/>
  <c r="W335" i="697"/>
  <c r="W442" i="697"/>
  <c r="W203" i="697"/>
  <c r="W204" i="697"/>
  <c r="W301" i="697"/>
  <c r="W376" i="697"/>
  <c r="W223" i="697"/>
  <c r="W224" i="697"/>
  <c r="W225" i="697"/>
  <c r="W226" i="697"/>
  <c r="W205" i="697"/>
  <c r="W303" i="697"/>
  <c r="W336" i="697"/>
  <c r="W337" i="697"/>
  <c r="W308" i="697"/>
  <c r="W216" i="697"/>
  <c r="W212" i="697"/>
  <c r="W338" i="697"/>
  <c r="W530" i="697"/>
  <c r="W395" i="697"/>
  <c r="W217" i="697"/>
  <c r="W377" i="697"/>
  <c r="W218" i="697"/>
  <c r="W227" i="697"/>
  <c r="W297" i="697"/>
  <c r="W339" i="697"/>
  <c r="W340" i="697"/>
  <c r="W228" i="697"/>
  <c r="W298" i="697"/>
  <c r="W504" i="697"/>
  <c r="W242" i="697"/>
  <c r="W341" i="697"/>
  <c r="W314" i="697"/>
  <c r="W361" i="697"/>
  <c r="W342" i="697"/>
  <c r="W283" i="697"/>
  <c r="W531" i="697"/>
  <c r="W270" i="697"/>
  <c r="W271" i="697"/>
  <c r="W343" i="697"/>
  <c r="W315" i="697"/>
  <c r="W239" i="697"/>
  <c r="W344" i="697"/>
  <c r="W345" i="697"/>
  <c r="W346" i="697"/>
  <c r="W411" i="697"/>
  <c r="W378" i="697"/>
  <c r="W347" i="697"/>
  <c r="W379" i="697"/>
  <c r="W406" i="697"/>
  <c r="W362" i="697"/>
  <c r="W363" i="697"/>
  <c r="W243" i="697"/>
  <c r="W364" i="697"/>
  <c r="W407" i="697"/>
  <c r="W348" i="697"/>
  <c r="W380" i="697"/>
  <c r="W272" i="697"/>
  <c r="W246" i="697"/>
  <c r="W287" i="697"/>
  <c r="W365" i="697"/>
  <c r="W274" i="697"/>
  <c r="W247" i="697"/>
  <c r="W248" i="697"/>
  <c r="W249" i="697"/>
  <c r="W250" i="697"/>
  <c r="W251" i="697"/>
  <c r="W273" i="697"/>
  <c r="W288" i="697"/>
  <c r="W289" i="697"/>
  <c r="W422" i="697"/>
  <c r="W388" i="697"/>
  <c r="W302" i="697"/>
  <c r="W290" i="697"/>
  <c r="W316" i="697"/>
  <c r="W317" i="697"/>
  <c r="W291" i="697"/>
  <c r="W292" i="697"/>
  <c r="W293" i="697"/>
  <c r="W294" i="697"/>
  <c r="W264" i="697"/>
  <c r="W389" i="697"/>
  <c r="W460" i="697"/>
  <c r="W461" i="697"/>
  <c r="W462" i="697"/>
  <c r="W463" i="697"/>
  <c r="W464" i="697"/>
  <c r="W505" i="697"/>
  <c r="W669" i="697"/>
  <c r="W423" i="697"/>
  <c r="W396" i="697"/>
  <c r="W409" i="697"/>
  <c r="W381" i="697"/>
  <c r="W424" i="697"/>
  <c r="W382" i="697"/>
  <c r="W443" i="697"/>
  <c r="W506" i="697"/>
  <c r="W507" i="697"/>
  <c r="W523" i="697"/>
  <c r="W485" i="697"/>
  <c r="W295" i="697"/>
  <c r="W296" i="697"/>
  <c r="W524" i="697"/>
  <c r="W425" i="697"/>
  <c r="W410" i="697"/>
  <c r="W444" i="697"/>
  <c r="W352" i="697"/>
  <c r="W397" i="697"/>
  <c r="W299" i="697"/>
  <c r="W300" i="697"/>
  <c r="W383" i="697"/>
  <c r="W508" i="697"/>
  <c r="W509" i="697"/>
  <c r="W510" i="697"/>
  <c r="W384" i="697"/>
  <c r="W426" i="697"/>
  <c r="W532" i="697"/>
  <c r="W304" i="697"/>
  <c r="W614" i="697"/>
  <c r="W360" i="697"/>
  <c r="W427" i="697"/>
  <c r="W428" i="697"/>
  <c r="W309" i="697"/>
  <c r="W465" i="697"/>
  <c r="W466" i="697"/>
  <c r="W310" i="697"/>
  <c r="W543" i="697"/>
  <c r="W544" i="697"/>
  <c r="W311" i="697"/>
  <c r="W445" i="697"/>
  <c r="W413" i="697"/>
  <c r="W450" i="697"/>
  <c r="W487" i="697"/>
  <c r="W318" i="697"/>
  <c r="W319" i="697"/>
  <c r="W518" i="697"/>
  <c r="W519" i="697"/>
  <c r="W451" i="697"/>
  <c r="W452" i="697"/>
  <c r="W429" i="697"/>
  <c r="W467" i="697"/>
  <c r="W468" i="697"/>
  <c r="W390" i="697"/>
  <c r="W326" i="697"/>
  <c r="W321" i="697"/>
  <c r="W322" i="697"/>
  <c r="W323" i="697"/>
  <c r="W324" i="697"/>
  <c r="W325" i="697"/>
  <c r="W391" i="697"/>
  <c r="W353" i="697"/>
  <c r="W385" i="697"/>
  <c r="W671" i="697"/>
  <c r="W327" i="697"/>
  <c r="W328" i="697"/>
  <c r="W386" i="697"/>
  <c r="W400" i="697"/>
  <c r="W401" i="697"/>
  <c r="W329" i="697"/>
  <c r="W354" i="697"/>
  <c r="W355" i="697"/>
  <c r="W469" i="697"/>
  <c r="W358" i="697"/>
  <c r="W520" i="697"/>
  <c r="W430" i="697"/>
  <c r="W367" i="697"/>
  <c r="W453" i="697"/>
  <c r="W623" i="697"/>
  <c r="W546" i="697"/>
  <c r="W624" i="697"/>
  <c r="W625" i="697"/>
  <c r="W431" i="697"/>
  <c r="W350" i="697"/>
  <c r="W446" i="697"/>
  <c r="W414" i="697"/>
  <c r="W432" i="697"/>
  <c r="W454" i="697"/>
  <c r="W351" i="697"/>
  <c r="W455" i="697"/>
  <c r="W488" i="697"/>
  <c r="W502" i="697"/>
  <c r="W369" i="697"/>
  <c r="W370" i="697"/>
  <c r="W470" i="697"/>
  <c r="W402" i="697"/>
  <c r="W356" i="697"/>
  <c r="W371" i="697"/>
  <c r="W489" i="697"/>
  <c r="W626" i="697"/>
  <c r="W627" i="697"/>
  <c r="W490" i="697"/>
  <c r="W359" i="697"/>
  <c r="W471" i="697"/>
  <c r="W368" i="697"/>
  <c r="W525" i="697"/>
  <c r="W472" i="697"/>
  <c r="W366" i="697"/>
  <c r="W491" i="697"/>
  <c r="W492" i="697"/>
  <c r="W433" i="697"/>
  <c r="W473" i="697"/>
  <c r="W493" i="697"/>
  <c r="W372" i="697"/>
  <c r="W526" i="697"/>
  <c r="W387" i="697"/>
  <c r="W474" i="697"/>
  <c r="W475" i="697"/>
  <c r="W476" i="697"/>
  <c r="W477" i="697"/>
  <c r="W398" i="697"/>
  <c r="W434" i="697"/>
  <c r="W628" i="697"/>
  <c r="W527" i="697"/>
  <c r="W545" i="697"/>
  <c r="W392" i="697"/>
  <c r="W435" i="697"/>
  <c r="W436" i="697"/>
  <c r="W393" i="697"/>
  <c r="W403" i="697"/>
  <c r="W404" i="697"/>
  <c r="W511" i="697"/>
  <c r="W512" i="697"/>
  <c r="W513" i="697"/>
  <c r="W514" i="697"/>
  <c r="W670" i="697"/>
  <c r="W478" i="697"/>
  <c r="W494" i="697"/>
  <c r="W629" i="697"/>
  <c r="W584" i="697"/>
  <c r="W405" i="697"/>
  <c r="W538" i="697"/>
  <c r="W539" i="697"/>
  <c r="W528" i="697"/>
  <c r="W554" i="697"/>
  <c r="W555" i="697"/>
  <c r="W412" i="697"/>
  <c r="W637" i="697"/>
  <c r="W415" i="697"/>
  <c r="W479" i="697"/>
  <c r="W480" i="697"/>
  <c r="W615" i="697"/>
  <c r="W592" i="697"/>
  <c r="W441" i="697"/>
  <c r="W662" i="697"/>
  <c r="W447" i="697"/>
  <c r="W416" i="697"/>
  <c r="W417" i="697"/>
  <c r="W418" i="697"/>
  <c r="W419" i="697"/>
  <c r="W420" i="697"/>
  <c r="W421" i="697"/>
  <c r="W486" i="697"/>
  <c r="W498" i="697"/>
  <c r="W499" i="697"/>
  <c r="W448" i="697"/>
  <c r="W449" i="697"/>
  <c r="W457" i="697"/>
  <c r="W481" i="697"/>
  <c r="W515" i="697"/>
  <c r="W677" i="697"/>
  <c r="W439" i="697"/>
  <c r="W672" i="697"/>
  <c r="W616" i="697"/>
  <c r="W617" i="697"/>
  <c r="W529" i="697"/>
  <c r="W437" i="697"/>
  <c r="W438" i="697"/>
  <c r="W547" i="697"/>
  <c r="W548" i="697"/>
  <c r="W714" i="697"/>
  <c r="W673" i="697"/>
  <c r="W440" i="697"/>
  <c r="W500" i="697"/>
  <c r="W715" i="697"/>
  <c r="W716" i="697"/>
  <c r="W657" i="697"/>
  <c r="W638" i="697"/>
  <c r="W456" i="697"/>
  <c r="W639" i="697"/>
  <c r="W593" i="697"/>
  <c r="W674" i="697"/>
  <c r="W556" i="697"/>
  <c r="W594" i="697"/>
  <c r="W459" i="697"/>
  <c r="W458" i="697"/>
  <c r="W645" i="697"/>
  <c r="W482" i="697"/>
  <c r="W675" i="697"/>
  <c r="W676" i="697"/>
  <c r="W483" i="697"/>
  <c r="W663" i="697"/>
  <c r="W682" i="697"/>
  <c r="W557" i="697"/>
  <c r="W558" i="697"/>
  <c r="W559" i="697"/>
  <c r="W560" i="697"/>
  <c r="W678" i="697"/>
  <c r="W595" i="697"/>
  <c r="W484" i="697"/>
  <c r="W495" i="697"/>
  <c r="W561" i="697"/>
  <c r="W562" i="697"/>
  <c r="W563" i="697"/>
  <c r="W564" i="697"/>
  <c r="W731" i="697"/>
  <c r="W658" i="697"/>
  <c r="W590" i="697"/>
  <c r="W497" i="697"/>
  <c r="W496" i="697"/>
  <c r="W516" i="697"/>
  <c r="W517" i="697"/>
  <c r="W618" i="697"/>
  <c r="W619" i="697"/>
  <c r="W679" i="697"/>
  <c r="W501" i="697"/>
  <c r="W503" i="697"/>
  <c r="W620" i="697"/>
  <c r="W596" i="697"/>
  <c r="W701" i="697"/>
  <c r="W664" i="697"/>
  <c r="W659" i="697"/>
  <c r="W680" i="697"/>
  <c r="W565" i="697"/>
  <c r="W566" i="697"/>
  <c r="W567" i="697"/>
  <c r="W568" i="697"/>
  <c r="W621" i="697"/>
  <c r="W702" i="697"/>
  <c r="W732" i="697"/>
  <c r="W751" i="697"/>
  <c r="W717" i="697"/>
  <c r="W646" i="697"/>
  <c r="W521" i="697"/>
  <c r="W681" i="697"/>
  <c r="W522" i="697"/>
  <c r="W533" i="697"/>
  <c r="W549" i="697"/>
  <c r="W577" i="697"/>
  <c r="W610" i="697"/>
  <c r="W752" i="697"/>
  <c r="W534" i="697"/>
  <c r="W581" i="697"/>
  <c r="W587" i="697"/>
  <c r="W588" i="697"/>
  <c r="W660" i="697"/>
  <c r="W718" i="697"/>
  <c r="W550" i="697"/>
  <c r="W551" i="697"/>
  <c r="W552" i="697"/>
  <c r="W753" i="697"/>
  <c r="W782" i="697"/>
  <c r="W536" i="697"/>
  <c r="W683" i="697"/>
  <c r="W866" i="697"/>
  <c r="W578" i="697"/>
  <c r="W535" i="697"/>
  <c r="W684" i="697"/>
  <c r="W754" i="697"/>
  <c r="W537" i="697"/>
  <c r="W540" i="697"/>
  <c r="W755" i="697"/>
  <c r="W685" i="697"/>
  <c r="W686" i="697"/>
  <c r="W705" i="697"/>
  <c r="W541" i="697"/>
  <c r="W542" i="697"/>
  <c r="W687" i="697"/>
  <c r="W733" i="697"/>
  <c r="W836" i="697"/>
  <c r="W756" i="697"/>
  <c r="W569" i="697"/>
  <c r="W706" i="697"/>
  <c r="W707" i="697"/>
  <c r="W734" i="697"/>
  <c r="W735" i="697"/>
  <c r="W580" i="697"/>
  <c r="W585" i="697"/>
  <c r="W630" i="697"/>
  <c r="W553" i="697"/>
  <c r="W749" i="697"/>
  <c r="W688" i="697"/>
  <c r="W837" i="697"/>
  <c r="W634" i="697"/>
  <c r="W757" i="697"/>
  <c r="W783" i="697"/>
  <c r="W689" i="697"/>
  <c r="W576" i="697"/>
  <c r="W758" i="697"/>
  <c r="W759" i="697"/>
  <c r="W760" i="697"/>
  <c r="W690" i="697"/>
  <c r="W579" i="697"/>
  <c r="W784" i="697"/>
  <c r="W838" i="697"/>
  <c r="W761" i="697"/>
  <c r="W811" i="697"/>
  <c r="W691" i="697"/>
  <c r="W815" i="697"/>
  <c r="W889" i="697"/>
  <c r="W582" i="697"/>
  <c r="W665" i="697"/>
  <c r="W583" i="697"/>
  <c r="W586" i="697"/>
  <c r="W692" i="697"/>
  <c r="W719" i="697"/>
  <c r="W661" i="697"/>
  <c r="W762" i="697"/>
  <c r="W763" i="697"/>
  <c r="W611" i="697"/>
  <c r="W816" i="697"/>
  <c r="W720" i="697"/>
  <c r="W693" i="697"/>
  <c r="W589" i="697"/>
  <c r="W839" i="697"/>
  <c r="W591" i="697"/>
  <c r="W721" i="697"/>
  <c r="W597" i="697"/>
  <c r="W598" i="697"/>
  <c r="W764" i="697"/>
  <c r="W694" i="697"/>
  <c r="W840" i="697"/>
  <c r="W793" i="697"/>
  <c r="W765" i="697"/>
  <c r="W601" i="697"/>
  <c r="W695" i="697"/>
  <c r="W599" i="697"/>
  <c r="W600" i="697"/>
  <c r="W812" i="697"/>
  <c r="W785" i="697"/>
  <c r="W722" i="697"/>
  <c r="W602" i="697"/>
  <c r="W603" i="697"/>
  <c r="W604" i="697"/>
  <c r="W605" i="697"/>
  <c r="W606" i="697"/>
  <c r="W607" i="697"/>
  <c r="W608" i="697"/>
  <c r="W609" i="697"/>
  <c r="W738" i="697"/>
  <c r="W739" i="697"/>
  <c r="W740" i="697"/>
  <c r="W741" i="697"/>
  <c r="W742" i="697"/>
  <c r="W766" i="697"/>
  <c r="W923" i="697"/>
  <c r="W902" i="697"/>
  <c r="W654" i="697"/>
  <c r="W723" i="697"/>
  <c r="W647" i="697"/>
  <c r="W854" i="697"/>
  <c r="W648" i="697"/>
  <c r="W696" i="697"/>
  <c r="W697" i="697"/>
  <c r="W649" i="697"/>
  <c r="W650" i="697"/>
  <c r="W698" i="697"/>
  <c r="W612" i="697"/>
  <c r="W613" i="697"/>
  <c r="W651" i="697"/>
  <c r="W767" i="697"/>
  <c r="W768" i="697"/>
  <c r="W631" i="697"/>
  <c r="W743" i="697"/>
  <c r="W622" i="697"/>
  <c r="W841" i="697"/>
  <c r="W769" i="697"/>
  <c r="W632" i="697"/>
  <c r="W633" i="697"/>
  <c r="W770" i="697"/>
  <c r="W640" i="697"/>
  <c r="W744" i="697"/>
  <c r="W890" i="697"/>
  <c r="W867" i="697"/>
  <c r="W855" i="697"/>
  <c r="W635" i="697"/>
  <c r="W891" i="697"/>
  <c r="W699" i="697"/>
  <c r="W903" i="697"/>
  <c r="W773" i="697"/>
  <c r="W636" i="697"/>
  <c r="W641" i="697"/>
  <c r="W652" i="697"/>
  <c r="W642" i="697"/>
  <c r="W643" i="697"/>
  <c r="W868" i="697"/>
  <c r="W892" i="697"/>
  <c r="W856" i="697"/>
  <c r="W842" i="697"/>
  <c r="W893" i="697"/>
  <c r="W843" i="697"/>
  <c r="W644" i="697"/>
  <c r="W799" i="697"/>
  <c r="W844" i="697"/>
  <c r="W857" i="697"/>
  <c r="W653" i="697"/>
  <c r="W655" i="697"/>
  <c r="W858" i="697"/>
  <c r="W656" i="697"/>
  <c r="W745" i="697"/>
  <c r="W746" i="697"/>
  <c r="W666" i="697"/>
  <c r="W859" i="697"/>
  <c r="W747" i="697"/>
  <c r="W924" i="697"/>
  <c r="W925" i="697"/>
  <c r="W926" i="697"/>
  <c r="W869" i="697"/>
  <c r="W667" i="697"/>
  <c r="W750" i="697"/>
  <c r="W668" i="697"/>
  <c r="W845" i="697"/>
  <c r="W1029" i="697"/>
  <c r="W700" i="697"/>
  <c r="W703" i="697"/>
  <c r="W704" i="697"/>
  <c r="W927" i="697"/>
  <c r="W928" i="697"/>
  <c r="W879" i="697"/>
  <c r="W846" i="697"/>
  <c r="W929" i="697"/>
  <c r="W860" i="697"/>
  <c r="W794" i="697"/>
  <c r="W861" i="697"/>
  <c r="W930" i="697"/>
  <c r="W894" i="697"/>
  <c r="W870" i="697"/>
  <c r="W862" i="697"/>
  <c r="W931" i="697"/>
  <c r="W932" i="697"/>
  <c r="W933" i="697"/>
  <c r="W708" i="697"/>
  <c r="W709" i="697"/>
  <c r="W710" i="697"/>
  <c r="W711" i="697"/>
  <c r="W712" i="697"/>
  <c r="W713" i="697"/>
  <c r="W786" i="697"/>
  <c r="W787" i="697"/>
  <c r="W952" i="697"/>
  <c r="W788" i="697"/>
  <c r="W809" i="697"/>
  <c r="W810" i="697"/>
  <c r="W736" i="697"/>
  <c r="W748" i="697"/>
  <c r="W774" i="697"/>
  <c r="W775" i="697"/>
  <c r="W776" i="697"/>
  <c r="W789" i="697"/>
  <c r="W934" i="697"/>
  <c r="W724" i="697"/>
  <c r="W725" i="697"/>
  <c r="W726" i="697"/>
  <c r="W727" i="697"/>
  <c r="W790" i="697"/>
  <c r="W1021" i="697"/>
  <c r="W728" i="697"/>
  <c r="W729" i="697"/>
  <c r="W730" i="697"/>
  <c r="W953" i="697"/>
  <c r="W871" i="697"/>
  <c r="W817" i="697"/>
  <c r="W737" i="697"/>
  <c r="W1084" i="697"/>
  <c r="W880" i="697"/>
  <c r="W863" i="697"/>
  <c r="W570" i="697"/>
  <c r="W571" i="697"/>
  <c r="W572" i="697"/>
  <c r="W573" i="697"/>
  <c r="W574" i="697"/>
  <c r="W575" i="697"/>
  <c r="W771" i="697"/>
  <c r="W772" i="697"/>
  <c r="W954" i="697"/>
  <c r="W955" i="697"/>
  <c r="W980" i="697"/>
  <c r="W777" i="697"/>
  <c r="W956" i="697"/>
  <c r="W981" i="697"/>
  <c r="W982" i="697"/>
  <c r="W983" i="697"/>
  <c r="W904" i="697"/>
  <c r="W984" i="697"/>
  <c r="W912" i="697"/>
  <c r="W913" i="697"/>
  <c r="W778" i="697"/>
  <c r="W957" i="697"/>
  <c r="W881" i="697"/>
  <c r="W779" i="697"/>
  <c r="W780" i="697"/>
  <c r="W905" i="697"/>
  <c r="W985" i="697"/>
  <c r="W781" i="697"/>
  <c r="W906" i="697"/>
  <c r="W948" i="697"/>
  <c r="W935" i="697"/>
  <c r="W936" i="697"/>
  <c r="W791" i="697"/>
  <c r="W795" i="697"/>
  <c r="W937" i="697"/>
  <c r="W986" i="697"/>
  <c r="W895" i="697"/>
  <c r="W896" i="697"/>
  <c r="W914" i="697"/>
  <c r="W958" i="697"/>
  <c r="W792" i="697"/>
  <c r="W987" i="697"/>
  <c r="W800" i="697"/>
  <c r="W988" i="697"/>
  <c r="W959" i="697"/>
  <c r="W801" i="697"/>
  <c r="W796" i="697"/>
  <c r="W989" i="697"/>
  <c r="W797" i="697"/>
  <c r="W798" i="697"/>
  <c r="W802" i="697"/>
  <c r="W990" i="697"/>
  <c r="W803" i="697"/>
  <c r="W804" i="697"/>
  <c r="W805" i="697"/>
  <c r="W806" i="697"/>
  <c r="W807" i="697"/>
  <c r="W808" i="697"/>
  <c r="W1022" i="697"/>
  <c r="W1005" i="697"/>
  <c r="W813" i="697"/>
  <c r="W814" i="697"/>
  <c r="W991" i="697"/>
  <c r="W992" i="697"/>
  <c r="W993" i="697"/>
  <c r="W818" i="697"/>
  <c r="W938" i="697"/>
  <c r="W819" i="697"/>
  <c r="W820" i="697"/>
  <c r="W821" i="697"/>
  <c r="W822" i="697"/>
  <c r="W823" i="697"/>
  <c r="W824" i="697"/>
  <c r="W825" i="697"/>
  <c r="W826" i="697"/>
  <c r="W939" i="697"/>
  <c r="W827" i="697"/>
  <c r="W828" i="697"/>
  <c r="W915" i="697"/>
  <c r="W897" i="697"/>
  <c r="W829" i="697"/>
  <c r="W830" i="697"/>
  <c r="W847" i="697"/>
  <c r="W831" i="697"/>
  <c r="W832" i="697"/>
  <c r="W833" i="697"/>
  <c r="W1000" i="697"/>
  <c r="W960" i="697"/>
  <c r="W834" i="697"/>
  <c r="W1030" i="697"/>
  <c r="W875" i="697"/>
  <c r="W898" i="697"/>
  <c r="W916" i="697"/>
  <c r="W917" i="697"/>
  <c r="W852" i="697"/>
  <c r="W872" i="697"/>
  <c r="W886" i="697"/>
  <c r="W848" i="697"/>
  <c r="W918" i="697"/>
  <c r="W1143" i="697"/>
  <c r="W876" i="697"/>
  <c r="W877" i="697"/>
  <c r="W878" i="697"/>
  <c r="W994" i="697"/>
  <c r="W850" i="697"/>
  <c r="W849" i="697"/>
  <c r="W1001" i="697"/>
  <c r="W899" i="697"/>
  <c r="W1002" i="697"/>
  <c r="W1006" i="697"/>
  <c r="W851" i="697"/>
  <c r="W940" i="697"/>
  <c r="W941" i="697"/>
  <c r="W1007" i="697"/>
  <c r="W995" i="697"/>
  <c r="W1213" i="697"/>
  <c r="W853" i="697"/>
  <c r="W1023" i="697"/>
  <c r="W1008" i="697"/>
  <c r="W1044" i="697"/>
  <c r="W864" i="697"/>
  <c r="W865" i="697"/>
  <c r="W942" i="697"/>
  <c r="W1024" i="697"/>
  <c r="W873" i="697"/>
  <c r="W943" i="697"/>
  <c r="W1045" i="697"/>
  <c r="W1046" i="697"/>
  <c r="W1047" i="697"/>
  <c r="W874" i="697"/>
  <c r="W1025" i="697"/>
  <c r="W1031" i="697"/>
  <c r="W1048" i="697"/>
  <c r="W882" i="697"/>
  <c r="W883" i="697"/>
  <c r="W884" i="697"/>
  <c r="W885" i="697"/>
  <c r="W1049" i="697"/>
  <c r="W1050" i="697"/>
  <c r="W900" i="697"/>
  <c r="W887" i="697"/>
  <c r="W888" i="697"/>
  <c r="W1091" i="697"/>
  <c r="W1068" i="697"/>
  <c r="W1075" i="697"/>
  <c r="W901" i="697"/>
  <c r="W1096" i="697"/>
  <c r="W907" i="697"/>
  <c r="W908" i="697"/>
  <c r="W909" i="697"/>
  <c r="W910" i="697"/>
  <c r="W911" i="697"/>
  <c r="W1168" i="697"/>
  <c r="W944" i="697"/>
  <c r="W1097" i="697"/>
  <c r="W1069" i="697"/>
  <c r="W1051" i="697"/>
  <c r="W919" i="697"/>
  <c r="W920" i="697"/>
  <c r="W921" i="697"/>
  <c r="W922" i="697"/>
  <c r="W1076" i="697"/>
  <c r="W945" i="697"/>
  <c r="W1162" i="697"/>
  <c r="W1169" i="697"/>
  <c r="W1082" i="697"/>
  <c r="W946" i="697"/>
  <c r="W1083" i="697"/>
  <c r="W1131" i="697"/>
  <c r="W1077" i="697"/>
  <c r="W1052" i="697"/>
  <c r="W1098" i="697"/>
  <c r="W1070" i="697"/>
  <c r="W1085" i="697"/>
  <c r="W947" i="697"/>
  <c r="W9" i="697"/>
  <c r="W1032" i="697"/>
  <c r="W1053" i="697"/>
  <c r="W949" i="697"/>
  <c r="W950" i="697"/>
  <c r="W1092" i="697"/>
  <c r="W1099" i="697"/>
  <c r="W1130" i="697"/>
  <c r="W1078" i="697"/>
  <c r="W951" i="697"/>
  <c r="W1037" i="697"/>
  <c r="W1071" i="697"/>
  <c r="W1100" i="697"/>
  <c r="W1086" i="697"/>
  <c r="W1087" i="697"/>
  <c r="W1101" i="697"/>
  <c r="W1088" i="697"/>
  <c r="W1239" i="697"/>
  <c r="W1089" i="697"/>
  <c r="W1009" i="697"/>
  <c r="W972" i="697"/>
  <c r="W1054" i="697"/>
  <c r="W1033" i="697"/>
  <c r="W1102" i="697"/>
  <c r="W1010" i="697"/>
  <c r="W961" i="697"/>
  <c r="W962" i="697"/>
  <c r="W963" i="697"/>
  <c r="W964" i="697"/>
  <c r="W965" i="697"/>
  <c r="W966" i="697"/>
  <c r="W967" i="697"/>
  <c r="W968" i="697"/>
  <c r="W969" i="697"/>
  <c r="W970" i="697"/>
  <c r="W971" i="697"/>
  <c r="W1055" i="697"/>
  <c r="W1056" i="697"/>
  <c r="W1057" i="697"/>
  <c r="W1058" i="697"/>
  <c r="W1059" i="697"/>
  <c r="W1060" i="697"/>
  <c r="W1011" i="697"/>
  <c r="W1190" i="697"/>
  <c r="W1012" i="697"/>
  <c r="W973" i="697"/>
  <c r="W974" i="697"/>
  <c r="W1124" i="697"/>
  <c r="W996" i="697"/>
  <c r="W1118" i="697"/>
  <c r="W1013" i="697"/>
  <c r="W1191" i="697"/>
  <c r="W1014" i="697"/>
  <c r="W975" i="697"/>
  <c r="W1015" i="697"/>
  <c r="W1016" i="697"/>
  <c r="W976" i="697"/>
  <c r="W1040" i="697"/>
  <c r="W977" i="697"/>
  <c r="W1093" i="697"/>
  <c r="W1112" i="697"/>
  <c r="W1017" i="697"/>
  <c r="W1103" i="697"/>
  <c r="W1018" i="697"/>
  <c r="W1019" i="697"/>
  <c r="W978" i="697"/>
  <c r="W1214" i="697"/>
  <c r="W1061" i="697"/>
  <c r="W1104" i="697"/>
  <c r="W1320" i="697"/>
  <c r="W1293" i="697"/>
  <c r="W1192" i="697"/>
  <c r="W1207" i="697"/>
  <c r="W1289" i="697"/>
  <c r="W1253" i="697"/>
  <c r="W1321" i="697"/>
  <c r="W1240" i="697"/>
  <c r="W1157" i="697"/>
  <c r="W997" i="697"/>
  <c r="W998" i="697"/>
  <c r="W999" i="697"/>
  <c r="W1520" i="697"/>
  <c r="W1158" i="697"/>
  <c r="W1132" i="697"/>
  <c r="W1003" i="697"/>
  <c r="W1062" i="697"/>
  <c r="W1063" i="697"/>
  <c r="W1004" i="697"/>
  <c r="W1170" i="697"/>
  <c r="W1020" i="697"/>
  <c r="W1274" i="697"/>
  <c r="W1278" i="697"/>
  <c r="W1176" i="697"/>
  <c r="W1294" i="697"/>
  <c r="W1034" i="697"/>
  <c r="W1163" i="697"/>
  <c r="W1026" i="697"/>
  <c r="W1027" i="697"/>
  <c r="W1028" i="697"/>
  <c r="W1521" i="697"/>
  <c r="W1133" i="697"/>
  <c r="W1177" i="697"/>
  <c r="W1035" i="697"/>
  <c r="W1036" i="697"/>
  <c r="W1249" i="697"/>
  <c r="W1171" i="697"/>
  <c r="W1193" i="697"/>
  <c r="W1038" i="697"/>
  <c r="W1079" i="697"/>
  <c r="W1178" i="697"/>
  <c r="W1039" i="697"/>
  <c r="W1230" i="697"/>
  <c r="W1179" i="697"/>
  <c r="W1113" i="697"/>
  <c r="W1080" i="697"/>
  <c r="W1180" i="697"/>
  <c r="W1295" i="697"/>
  <c r="W1041" i="697"/>
  <c r="W1215" i="697"/>
  <c r="W1042" i="697"/>
  <c r="W1043" i="697"/>
  <c r="W1072" i="697"/>
  <c r="W1064" i="697"/>
  <c r="W1065" i="697"/>
  <c r="W1372" i="697"/>
  <c r="W1066" i="697"/>
  <c r="W1296" i="697"/>
  <c r="W1067" i="697"/>
  <c r="W1144" i="697"/>
  <c r="W1181" i="697"/>
  <c r="W1182" i="697"/>
  <c r="W1204" i="697"/>
  <c r="W1073" i="697"/>
  <c r="W1074" i="697"/>
  <c r="W1081" i="697"/>
  <c r="W1183" i="697"/>
  <c r="W1090" i="697"/>
  <c r="W1322" i="697"/>
  <c r="W1184" i="697"/>
  <c r="W1229" i="697"/>
  <c r="W1270" i="697"/>
  <c r="W1194" i="697"/>
  <c r="W1094" i="697"/>
  <c r="W1323" i="697"/>
  <c r="W1290" i="697"/>
  <c r="W1216" i="697"/>
  <c r="W1241" i="697"/>
  <c r="W1105" i="697"/>
  <c r="W1095" i="697"/>
  <c r="W1217" i="697"/>
  <c r="W1231" i="697"/>
  <c r="W979" i="697"/>
  <c r="W1106" i="697"/>
  <c r="W1107" i="697"/>
  <c r="W1271" i="697"/>
  <c r="W1108" i="697"/>
  <c r="W1297" i="697"/>
  <c r="W1110" i="697"/>
  <c r="W1138" i="697"/>
  <c r="W1109" i="697"/>
  <c r="W1111" i="697"/>
  <c r="W1126" i="697"/>
  <c r="W1145" i="697"/>
  <c r="W1146" i="697"/>
  <c r="W1134" i="697"/>
  <c r="W1272" i="697"/>
  <c r="W1273" i="697"/>
  <c r="W1147" i="697"/>
  <c r="W1148" i="697"/>
  <c r="W1149" i="697"/>
  <c r="W1150" i="697"/>
  <c r="W1151" i="697"/>
  <c r="W1114" i="697"/>
  <c r="W1135" i="697"/>
  <c r="W1127" i="697"/>
  <c r="W1128" i="697"/>
  <c r="W1266" i="697"/>
  <c r="W1115" i="697"/>
  <c r="W1116" i="697"/>
  <c r="W1117" i="697"/>
  <c r="W1152" i="697"/>
  <c r="W1242" i="697"/>
  <c r="W1119" i="697"/>
  <c r="W1120" i="697"/>
  <c r="W1218" i="697"/>
  <c r="X1218" i="697" s="1"/>
  <c r="W1121" i="697"/>
  <c r="W1122" i="697"/>
  <c r="W1123" i="697"/>
  <c r="W1195" i="697"/>
  <c r="X1195" i="697" s="1"/>
  <c r="W1125" i="697"/>
  <c r="X1125" i="697" s="1"/>
  <c r="W1129" i="697"/>
  <c r="W1174" i="697"/>
  <c r="W1136" i="697"/>
  <c r="X1136" i="697" s="1"/>
  <c r="W1236" i="697"/>
  <c r="W1326" i="697"/>
  <c r="W1208" i="697"/>
  <c r="W1254" i="697"/>
  <c r="X1254" i="697" s="1"/>
  <c r="W1137" i="697"/>
  <c r="W1365" i="697"/>
  <c r="W1327" i="697"/>
  <c r="W1139" i="697"/>
  <c r="X1139" i="697" s="1"/>
  <c r="W1140" i="697"/>
  <c r="W1141" i="697"/>
  <c r="W1159" i="697"/>
  <c r="W1153" i="697"/>
  <c r="X1153" i="697" s="1"/>
  <c r="W1142" i="697"/>
  <c r="W1160" i="697"/>
  <c r="W1154" i="697"/>
  <c r="W1155" i="697"/>
  <c r="X1155" i="697" s="1"/>
  <c r="W1156" i="697"/>
  <c r="X1156" i="697" s="1"/>
  <c r="W1366" i="697"/>
  <c r="X1366" i="697" s="1"/>
  <c r="W1185" i="697"/>
  <c r="X1185" i="697" s="1"/>
  <c r="W1161" i="697"/>
  <c r="X1161" i="697" s="1"/>
  <c r="W1334" i="697"/>
  <c r="W1255" i="697"/>
  <c r="W1298" i="697"/>
  <c r="W1267" i="697"/>
  <c r="X1267" i="697" s="1"/>
  <c r="W1196" i="697"/>
  <c r="W1197" i="697"/>
  <c r="W1268" i="697"/>
  <c r="W1164" i="697"/>
  <c r="X1164" i="697" s="1"/>
  <c r="W1335" i="697"/>
  <c r="W1328" i="697"/>
  <c r="W1165" i="697"/>
  <c r="W1166" i="697"/>
  <c r="X1166" i="697" s="1"/>
  <c r="W1275" i="697"/>
  <c r="W1276" i="697"/>
  <c r="W1256" i="697"/>
  <c r="X1256" i="697" s="1"/>
  <c r="W1172" i="697"/>
  <c r="X1172" i="697" s="1"/>
  <c r="W1329" i="697"/>
  <c r="W1324" i="697"/>
  <c r="W1299" i="697"/>
  <c r="W1186" i="697"/>
  <c r="X1186" i="697" s="1"/>
  <c r="W1175" i="697"/>
  <c r="W1173" i="697"/>
  <c r="W1330" i="697"/>
  <c r="W1300" i="697"/>
  <c r="X1300" i="697" s="1"/>
  <c r="W1367" i="697"/>
  <c r="W1368" i="697"/>
  <c r="W1378" i="697"/>
  <c r="W1377" i="697"/>
  <c r="X1377" i="697" s="1"/>
  <c r="W1301" i="697"/>
  <c r="W1331" i="697"/>
  <c r="X1331" i="697" s="1"/>
  <c r="W1187" i="697"/>
  <c r="W1188" i="697"/>
  <c r="X1188" i="697" s="1"/>
  <c r="W1357" i="697"/>
  <c r="W1369" i="697"/>
  <c r="W1439" i="697"/>
  <c r="W1302" i="697"/>
  <c r="X1302" i="697" s="1"/>
  <c r="W1189" i="697"/>
  <c r="W1277" i="697"/>
  <c r="W1358" i="697"/>
  <c r="W1198" i="697"/>
  <c r="X1198" i="697" s="1"/>
  <c r="W1199" i="697"/>
  <c r="X1199" i="697" s="1"/>
  <c r="W1200" i="697"/>
  <c r="W1201" i="697"/>
  <c r="W1202" i="697"/>
  <c r="X1202" i="697" s="1"/>
  <c r="W1203" i="697"/>
  <c r="W1209" i="697"/>
  <c r="W1244" i="697"/>
  <c r="W1359" i="697"/>
  <c r="X1359" i="697" s="1"/>
  <c r="W1219" i="697"/>
  <c r="W1220" i="697"/>
  <c r="W1205" i="697"/>
  <c r="W1167" i="697"/>
  <c r="W1221" i="697"/>
  <c r="W1222" i="697"/>
  <c r="W1257" i="697"/>
  <c r="W1206" i="697"/>
  <c r="W1223" i="697"/>
  <c r="W1224" i="697"/>
  <c r="W1225" i="697"/>
  <c r="W1210" i="697"/>
  <c r="W1336" i="697"/>
  <c r="X1336" i="697" s="1"/>
  <c r="W1337" i="697"/>
  <c r="X1337" i="697" s="1"/>
  <c r="W1338" i="697"/>
  <c r="W1339" i="697"/>
  <c r="W1373" i="697"/>
  <c r="W1258" i="697"/>
  <c r="W1340" i="697"/>
  <c r="W1211" i="697"/>
  <c r="W1212" i="697"/>
  <c r="W1226" i="697"/>
  <c r="W1227" i="697"/>
  <c r="W1285" i="697"/>
  <c r="W1259" i="697"/>
  <c r="W1228" i="697"/>
  <c r="W1476" i="697"/>
  <c r="W1379" i="697"/>
  <c r="W1303" i="697"/>
  <c r="W1345" i="697"/>
  <c r="W1360" i="697"/>
  <c r="W1440" i="697"/>
  <c r="W1401" i="697"/>
  <c r="W1344" i="697"/>
  <c r="W1232" i="697"/>
  <c r="X1232" i="697" s="1"/>
  <c r="W1361" i="697"/>
  <c r="W1269" i="697"/>
  <c r="W1233" i="697"/>
  <c r="W1234" i="697"/>
  <c r="W1423" i="697"/>
  <c r="W1325" i="697"/>
  <c r="W1245" i="697"/>
  <c r="W1491" i="697"/>
  <c r="W1235" i="697"/>
  <c r="W1380" i="697"/>
  <c r="W1495" i="697"/>
  <c r="X1495" i="697" s="1"/>
  <c r="W1250" i="697"/>
  <c r="W1363" i="697"/>
  <c r="W1237" i="697"/>
  <c r="W1238" i="697"/>
  <c r="W1463" i="697"/>
  <c r="W1374" i="697"/>
  <c r="W1246" i="697"/>
  <c r="W1243" i="697"/>
  <c r="W1247" i="697"/>
  <c r="W1410" i="697"/>
  <c r="W1411" i="697"/>
  <c r="X1411" i="697" s="1"/>
  <c r="W1370" i="697"/>
  <c r="W1417" i="697"/>
  <c r="W1381" i="697"/>
  <c r="W1248" i="697"/>
  <c r="W1251" i="697"/>
  <c r="W1252" i="697"/>
  <c r="W1432" i="697"/>
  <c r="W1375" i="697"/>
  <c r="W1382" i="697"/>
  <c r="W1260" i="697"/>
  <c r="W1280" i="697"/>
  <c r="W1281" i="697"/>
  <c r="W1282" i="697"/>
  <c r="W1283" i="697"/>
  <c r="W1284" i="697"/>
  <c r="W1433" i="697"/>
  <c r="W1434" i="697"/>
  <c r="W1261" i="697"/>
  <c r="W1264" i="697"/>
  <c r="W1262" i="697"/>
  <c r="X1262" i="697" s="1"/>
  <c r="W1263" i="697"/>
  <c r="X1263" i="697" s="1"/>
  <c r="W1383" i="697"/>
  <c r="W1265" i="697"/>
  <c r="W1522" i="697"/>
  <c r="W1394" i="697"/>
  <c r="W1441" i="697"/>
  <c r="W1305" i="697"/>
  <c r="W1286" i="697"/>
  <c r="W1306" i="697"/>
  <c r="W1451" i="697"/>
  <c r="W1455" i="697"/>
  <c r="W1319" i="697"/>
  <c r="W1435" i="697"/>
  <c r="W1279" i="697"/>
  <c r="X1279" i="697" s="1"/>
  <c r="W1287" i="697"/>
  <c r="W1442" i="697"/>
  <c r="W1412" i="697"/>
  <c r="W1395" i="697"/>
  <c r="W1288" i="697"/>
  <c r="W1396" i="697"/>
  <c r="W1510" i="697"/>
  <c r="W1413" i="697"/>
  <c r="W1389" i="697"/>
  <c r="W1291" i="697"/>
  <c r="W1492" i="697"/>
  <c r="W1496" i="697"/>
  <c r="X1496" i="697" s="1"/>
  <c r="W1390" i="697"/>
  <c r="W1304" i="697"/>
  <c r="W1397" i="697"/>
  <c r="W1418" i="697"/>
  <c r="W1317" i="697"/>
  <c r="W1307" i="697"/>
  <c r="W1308" i="697"/>
  <c r="X1308" i="697" s="1"/>
  <c r="W1309" i="697"/>
  <c r="W1310" i="697"/>
  <c r="W1311" i="697"/>
  <c r="W1312" i="697"/>
  <c r="W1313" i="697"/>
  <c r="W1314" i="697"/>
  <c r="W1315" i="697"/>
  <c r="W1316" i="697"/>
  <c r="W1398" i="697"/>
  <c r="W1414" i="697"/>
  <c r="W1346" i="697"/>
  <c r="W1347" i="697"/>
  <c r="W1464" i="697"/>
  <c r="W1348" i="697"/>
  <c r="W1349" i="697"/>
  <c r="W1350" i="697"/>
  <c r="W1399" i="697"/>
  <c r="W1400" i="697"/>
  <c r="W1351" i="697"/>
  <c r="W1352" i="697"/>
  <c r="W1386" i="697"/>
  <c r="W1318" i="697"/>
  <c r="W1353" i="697"/>
  <c r="W1354" i="697"/>
  <c r="W1429" i="697"/>
  <c r="W1477" i="697"/>
  <c r="W1523" i="697"/>
  <c r="W1524" i="697"/>
  <c r="W1355" i="697"/>
  <c r="X1355" i="697" s="1"/>
  <c r="W1332" i="697"/>
  <c r="W1333" i="697"/>
  <c r="W1525" i="697"/>
  <c r="X1525" i="697" s="1"/>
  <c r="W1478" i="697"/>
  <c r="W1472" i="697"/>
  <c r="W1511" i="697"/>
  <c r="W1342" i="697"/>
  <c r="W1341" i="697"/>
  <c r="W1424" i="697"/>
  <c r="W1343" i="697"/>
  <c r="W1474" i="697"/>
  <c r="W1516" i="697"/>
  <c r="W1479" i="697"/>
  <c r="W1526" i="697"/>
  <c r="W1465" i="697"/>
  <c r="W1425" i="697"/>
  <c r="W1480" i="697"/>
  <c r="W1356" i="697"/>
  <c r="W1481" i="697"/>
  <c r="W1512" i="697"/>
  <c r="W1473" i="697"/>
  <c r="W1482" i="697"/>
  <c r="W1362" i="697"/>
  <c r="W1483" i="697"/>
  <c r="W1484" i="697"/>
  <c r="W1391" i="697"/>
  <c r="W1364" i="697"/>
  <c r="W1527" i="697"/>
  <c r="W1513" i="697"/>
  <c r="W1376" i="697"/>
  <c r="W1402" i="697"/>
  <c r="W1403" i="697"/>
  <c r="X1403" i="697" s="1"/>
  <c r="W1404" i="697"/>
  <c r="W1405" i="697"/>
  <c r="W1371" i="697"/>
  <c r="X1371" i="697" s="1"/>
  <c r="W1528" i="697"/>
  <c r="W1436" i="697"/>
  <c r="W1529" i="697"/>
  <c r="W1437" i="697"/>
  <c r="W1530" i="697"/>
  <c r="W1485" i="697"/>
  <c r="W1531" i="697"/>
  <c r="W1514" i="697"/>
  <c r="W1532" i="697"/>
  <c r="W1486" i="697"/>
  <c r="W1533" i="697"/>
  <c r="W1384" i="697"/>
  <c r="W1385" i="697"/>
  <c r="W1387" i="697"/>
  <c r="W1534" i="697"/>
  <c r="W1535" i="697"/>
  <c r="W1536" i="697"/>
  <c r="W1388" i="697"/>
  <c r="W1392" i="697"/>
  <c r="W1393" i="697"/>
  <c r="W1416" i="697"/>
  <c r="W1537" i="697"/>
  <c r="W1406" i="697"/>
  <c r="W1538" i="697"/>
  <c r="W1407" i="697"/>
  <c r="W1539" i="697"/>
  <c r="W1438" i="697"/>
  <c r="W1487" i="697"/>
  <c r="W1540" i="697"/>
  <c r="W1443" i="697"/>
  <c r="W1444" i="697"/>
  <c r="W1445" i="697"/>
  <c r="X1445" i="697" s="1"/>
  <c r="W1420" i="697"/>
  <c r="X1420" i="697" s="1"/>
  <c r="W1408" i="697"/>
  <c r="W1497" i="697"/>
  <c r="W1498" i="697"/>
  <c r="W1499" i="697"/>
  <c r="W1446" i="697"/>
  <c r="W1517" i="697"/>
  <c r="W1518" i="697"/>
  <c r="W1489" i="697"/>
  <c r="W1541" i="697"/>
  <c r="W1447" i="697"/>
  <c r="W1448" i="697"/>
  <c r="W1542" i="697"/>
  <c r="W1415" i="697"/>
  <c r="W1488" i="697"/>
  <c r="W1543" i="697"/>
  <c r="W1544" i="697"/>
  <c r="W1545" i="697"/>
  <c r="W1419" i="697"/>
  <c r="W1546" i="697"/>
  <c r="W1547" i="697"/>
  <c r="W1421" i="697"/>
  <c r="W1422" i="697"/>
  <c r="W1548" i="697"/>
  <c r="W1459" i="697"/>
  <c r="W1549" i="697"/>
  <c r="W1426" i="697"/>
  <c r="W1460" i="697"/>
  <c r="W1461" i="697"/>
  <c r="W1427" i="697"/>
  <c r="W1428" i="697"/>
  <c r="W1449" i="697"/>
  <c r="X1449" i="697" s="1"/>
  <c r="W1431" i="697"/>
  <c r="W1430" i="697"/>
  <c r="W1490" i="697"/>
  <c r="W1452" i="697"/>
  <c r="W1550" i="697"/>
  <c r="W1456" i="697"/>
  <c r="W1450" i="697"/>
  <c r="W1551" i="697"/>
  <c r="W1552" i="697"/>
  <c r="W1519" i="697"/>
  <c r="W1457" i="697"/>
  <c r="W1458" i="697"/>
  <c r="W1462" i="697"/>
  <c r="W1453" i="697"/>
  <c r="W1409" i="697"/>
  <c r="W1454" i="697"/>
  <c r="W1553" i="697"/>
  <c r="W1554" i="697"/>
  <c r="W1555" i="697"/>
  <c r="W1556" i="697"/>
  <c r="W1557" i="697"/>
  <c r="W1558" i="697"/>
  <c r="W1466" i="697"/>
  <c r="W1467" i="697"/>
  <c r="W1468" i="697"/>
  <c r="W1469" i="697"/>
  <c r="W1559" i="697"/>
  <c r="W1475" i="697"/>
  <c r="W1470" i="697"/>
  <c r="W1471" i="697"/>
  <c r="W1560" i="697"/>
  <c r="W1561" i="697"/>
  <c r="W1562" i="697"/>
  <c r="W1563" i="697"/>
  <c r="W1564" i="697"/>
  <c r="W1565" i="697"/>
  <c r="W1566" i="697"/>
  <c r="W1567" i="697"/>
  <c r="W1568" i="697"/>
  <c r="W1569" i="697"/>
  <c r="W1570" i="697"/>
  <c r="W1571" i="697"/>
  <c r="W1572" i="697"/>
  <c r="W1493" i="697"/>
  <c r="W1494" i="697"/>
  <c r="W1573" i="697"/>
  <c r="W1574" i="697"/>
  <c r="W1575" i="697"/>
  <c r="W1576" i="697"/>
  <c r="W1577" i="697"/>
  <c r="W1578" i="697"/>
  <c r="W1579" i="697"/>
  <c r="W1580" i="697"/>
  <c r="W1581" i="697"/>
  <c r="W1582" i="697"/>
  <c r="W1583" i="697"/>
  <c r="W1584" i="697"/>
  <c r="W1585" i="697"/>
  <c r="W1500" i="697"/>
  <c r="W1501" i="697"/>
  <c r="W1502" i="697"/>
  <c r="W1503" i="697"/>
  <c r="W1504" i="697"/>
  <c r="W1505" i="697"/>
  <c r="W1506" i="697"/>
  <c r="W1586" i="697"/>
  <c r="W1587" i="697"/>
  <c r="W1588" i="697"/>
  <c r="W1589" i="697"/>
  <c r="W1507" i="697"/>
  <c r="W1590" i="697"/>
  <c r="W1508" i="697"/>
  <c r="W1591" i="697"/>
  <c r="W1592" i="697"/>
  <c r="W1593" i="697"/>
  <c r="W1509" i="697"/>
  <c r="W1515" i="697"/>
  <c r="X1292" i="697"/>
  <c r="X103" i="697"/>
  <c r="X104" i="697"/>
  <c r="X22" i="697"/>
  <c r="X23" i="697"/>
  <c r="X12" i="697"/>
  <c r="X196" i="697"/>
  <c r="X4" i="697"/>
  <c r="X24" i="697"/>
  <c r="X208" i="697"/>
  <c r="X6" i="697"/>
  <c r="X13" i="697"/>
  <c r="X14" i="697"/>
  <c r="X2" i="697"/>
  <c r="X15" i="697"/>
  <c r="X16" i="697"/>
  <c r="X34" i="697"/>
  <c r="X17" i="697"/>
  <c r="X45" i="697"/>
  <c r="X77" i="697"/>
  <c r="X117" i="697"/>
  <c r="X78" i="697"/>
  <c r="X79" i="697"/>
  <c r="X80" i="697"/>
  <c r="X40" i="697"/>
  <c r="X3" i="697"/>
  <c r="X209" i="697"/>
  <c r="X5" i="697"/>
  <c r="X18" i="697"/>
  <c r="X19" i="697"/>
  <c r="X20" i="697"/>
  <c r="X7" i="697"/>
  <c r="X8" i="697"/>
  <c r="X10" i="697"/>
  <c r="X105" i="697"/>
  <c r="X106" i="697"/>
  <c r="X107" i="697"/>
  <c r="X11" i="697"/>
  <c r="X81" i="697"/>
  <c r="X174" i="697"/>
  <c r="X175" i="697"/>
  <c r="X82" i="697"/>
  <c r="X83" i="697"/>
  <c r="X118" i="697"/>
  <c r="X84" i="697"/>
  <c r="X85" i="697"/>
  <c r="X86" i="697"/>
  <c r="X87" i="697"/>
  <c r="X21" i="697"/>
  <c r="X210" i="697"/>
  <c r="X88" i="697"/>
  <c r="X27" i="697"/>
  <c r="X28" i="697"/>
  <c r="X29" i="697"/>
  <c r="X30" i="697"/>
  <c r="X31" i="697"/>
  <c r="X32" i="697"/>
  <c r="X33" i="697"/>
  <c r="X219" i="697"/>
  <c r="X89" i="697"/>
  <c r="X90" i="697"/>
  <c r="X96" i="697"/>
  <c r="X114" i="697"/>
  <c r="X125" i="697"/>
  <c r="X67" i="697"/>
  <c r="X171" i="697"/>
  <c r="X76" i="697"/>
  <c r="X46" i="697"/>
  <c r="X47" i="697"/>
  <c r="X48" i="697"/>
  <c r="X37" i="697"/>
  <c r="X49" i="697"/>
  <c r="X50" i="697"/>
  <c r="X51" i="697"/>
  <c r="X52" i="697"/>
  <c r="X53" i="697"/>
  <c r="X54" i="697"/>
  <c r="X55" i="697"/>
  <c r="X56" i="697"/>
  <c r="X119" i="697"/>
  <c r="X57" i="697"/>
  <c r="X115" i="697"/>
  <c r="X35" i="697"/>
  <c r="X58" i="697"/>
  <c r="X59" i="697"/>
  <c r="X60" i="697"/>
  <c r="X61" i="697"/>
  <c r="X62" i="697"/>
  <c r="X63" i="697"/>
  <c r="X126" i="697"/>
  <c r="X116" i="697"/>
  <c r="X120" i="697"/>
  <c r="X91" i="697"/>
  <c r="X133" i="697"/>
  <c r="X92" i="697"/>
  <c r="X93" i="697"/>
  <c r="X36" i="697"/>
  <c r="X108" i="697"/>
  <c r="X109" i="697"/>
  <c r="X110" i="697"/>
  <c r="X111" i="697"/>
  <c r="X64" i="697"/>
  <c r="X213" i="697"/>
  <c r="X134" i="697"/>
  <c r="X131" i="697"/>
  <c r="X140" i="697"/>
  <c r="X38" i="697"/>
  <c r="X399" i="697"/>
  <c r="X68" i="697"/>
  <c r="X65" i="697"/>
  <c r="X176" i="697"/>
  <c r="X127" i="697"/>
  <c r="X129" i="697"/>
  <c r="X97" i="697"/>
  <c r="X206" i="697"/>
  <c r="X39" i="697"/>
  <c r="X66" i="697"/>
  <c r="X230" i="697"/>
  <c r="X254" i="697"/>
  <c r="X160" i="697"/>
  <c r="X41" i="697"/>
  <c r="X42" i="697"/>
  <c r="X75" i="697"/>
  <c r="X44" i="697"/>
  <c r="X121" i="697"/>
  <c r="X43" i="697"/>
  <c r="X236" i="697"/>
  <c r="X255" i="697"/>
  <c r="X25" i="697"/>
  <c r="X26" i="697"/>
  <c r="X94" i="697"/>
  <c r="X237" i="697"/>
  <c r="X214" i="697"/>
  <c r="X256" i="697"/>
  <c r="X135" i="697"/>
  <c r="X161" i="697"/>
  <c r="X257" i="697"/>
  <c r="X207" i="697"/>
  <c r="X162" i="697"/>
  <c r="X177" i="697"/>
  <c r="X122" i="697"/>
  <c r="X163" i="697"/>
  <c r="X69" i="697"/>
  <c r="X70" i="697"/>
  <c r="X71" i="697"/>
  <c r="X72" i="697"/>
  <c r="X73" i="697"/>
  <c r="X74" i="697"/>
  <c r="X258" i="697"/>
  <c r="X178" i="697"/>
  <c r="X150" i="697"/>
  <c r="X141" i="697"/>
  <c r="X151" i="697"/>
  <c r="X152" i="697"/>
  <c r="X211" i="697"/>
  <c r="X142" i="697"/>
  <c r="X153" i="697"/>
  <c r="X154" i="697"/>
  <c r="X155" i="697"/>
  <c r="X156" i="697"/>
  <c r="X143" i="697"/>
  <c r="X144" i="697"/>
  <c r="X145" i="697"/>
  <c r="X146" i="697"/>
  <c r="X157" i="697"/>
  <c r="X158" i="697"/>
  <c r="X229" i="697"/>
  <c r="X95" i="697"/>
  <c r="X159" i="697"/>
  <c r="X240" i="697"/>
  <c r="X98" i="697"/>
  <c r="X99" i="697"/>
  <c r="X100" i="697"/>
  <c r="X101" i="697"/>
  <c r="X284" i="697"/>
  <c r="X102" i="697"/>
  <c r="X275" i="697"/>
  <c r="X197" i="697"/>
  <c r="X231" i="697"/>
  <c r="X147" i="697"/>
  <c r="X112" i="697"/>
  <c r="X148" i="697"/>
  <c r="X113" i="697"/>
  <c r="X259" i="697"/>
  <c r="X123" i="697"/>
  <c r="X252" i="697"/>
  <c r="X238" i="697"/>
  <c r="X232" i="697"/>
  <c r="X253" i="697"/>
  <c r="X233" i="697"/>
  <c r="X835" i="697"/>
  <c r="X124" i="697"/>
  <c r="X234" i="697"/>
  <c r="X244" i="697"/>
  <c r="X260" i="697"/>
  <c r="X181" i="697"/>
  <c r="X182" i="697"/>
  <c r="X183" i="697"/>
  <c r="X184" i="697"/>
  <c r="X172" i="697"/>
  <c r="X330" i="697"/>
  <c r="X245" i="697"/>
  <c r="X128" i="697"/>
  <c r="X285" i="697"/>
  <c r="X130" i="697"/>
  <c r="X132" i="697"/>
  <c r="X198" i="697"/>
  <c r="X349" i="697"/>
  <c r="X185" i="697"/>
  <c r="X312" i="697"/>
  <c r="X136" i="697"/>
  <c r="X276" i="697"/>
  <c r="X241" i="697"/>
  <c r="X277" i="697"/>
  <c r="X408" i="697"/>
  <c r="X286" i="697"/>
  <c r="X278" i="697"/>
  <c r="X279" i="697"/>
  <c r="X280" i="697"/>
  <c r="X149" i="697"/>
  <c r="X261" i="697"/>
  <c r="X137" i="697"/>
  <c r="X220" i="697"/>
  <c r="X394" i="697"/>
  <c r="X305" i="697"/>
  <c r="X164" i="697"/>
  <c r="X138" i="697"/>
  <c r="X139" i="697"/>
  <c r="X186" i="697"/>
  <c r="X221" i="697"/>
  <c r="X281" i="697"/>
  <c r="X331" i="697"/>
  <c r="X262" i="697"/>
  <c r="X263" i="697"/>
  <c r="X306" i="697"/>
  <c r="X320" i="697"/>
  <c r="X332" i="697"/>
  <c r="X199" i="697"/>
  <c r="X373" i="697"/>
  <c r="X357" i="697"/>
  <c r="X282" i="697"/>
  <c r="X165" i="697"/>
  <c r="X166" i="697"/>
  <c r="X167" i="697"/>
  <c r="X168" i="697"/>
  <c r="X169" i="697"/>
  <c r="X170" i="697"/>
  <c r="X333" i="697"/>
  <c r="X374" i="697"/>
  <c r="X187" i="697"/>
  <c r="X200" i="697"/>
  <c r="X173" i="697"/>
  <c r="X201" i="697"/>
  <c r="X265" i="697"/>
  <c r="X266" i="697"/>
  <c r="X235" i="697"/>
  <c r="X188" i="697"/>
  <c r="X189" i="697"/>
  <c r="X190" i="697"/>
  <c r="X191" i="697"/>
  <c r="X192" i="697"/>
  <c r="X193" i="697"/>
  <c r="X194" i="697"/>
  <c r="X195" i="697"/>
  <c r="X215" i="697"/>
  <c r="X307" i="697"/>
  <c r="X179" i="697"/>
  <c r="X180" i="697"/>
  <c r="X313" i="697"/>
  <c r="X267" i="697"/>
  <c r="X268" i="697"/>
  <c r="X269" i="697"/>
  <c r="X222" i="697"/>
  <c r="X334" i="697"/>
  <c r="X375" i="697"/>
  <c r="X202" i="697"/>
  <c r="X335" i="697"/>
  <c r="X442" i="697"/>
  <c r="X203" i="697"/>
  <c r="X204" i="697"/>
  <c r="X301" i="697"/>
  <c r="X376" i="697"/>
  <c r="X223" i="697"/>
  <c r="X224" i="697"/>
  <c r="X225" i="697"/>
  <c r="X226" i="697"/>
  <c r="X205" i="697"/>
  <c r="X303" i="697"/>
  <c r="X336" i="697"/>
  <c r="X337" i="697"/>
  <c r="X308" i="697"/>
  <c r="X216" i="697"/>
  <c r="X212" i="697"/>
  <c r="X338" i="697"/>
  <c r="X530" i="697"/>
  <c r="X395" i="697"/>
  <c r="X217" i="697"/>
  <c r="X377" i="697"/>
  <c r="X218" i="697"/>
  <c r="X227" i="697"/>
  <c r="X297" i="697"/>
  <c r="X339" i="697"/>
  <c r="X340" i="697"/>
  <c r="X228" i="697"/>
  <c r="X298" i="697"/>
  <c r="X504" i="697"/>
  <c r="X242" i="697"/>
  <c r="X341" i="697"/>
  <c r="X314" i="697"/>
  <c r="X361" i="697"/>
  <c r="X342" i="697"/>
  <c r="X283" i="697"/>
  <c r="X531" i="697"/>
  <c r="X270" i="697"/>
  <c r="X271" i="697"/>
  <c r="X343" i="697"/>
  <c r="X315" i="697"/>
  <c r="X239" i="697"/>
  <c r="X344" i="697"/>
  <c r="X345" i="697"/>
  <c r="X346" i="697"/>
  <c r="X411" i="697"/>
  <c r="X378" i="697"/>
  <c r="X347" i="697"/>
  <c r="X379" i="697"/>
  <c r="X406" i="697"/>
  <c r="X362" i="697"/>
  <c r="X363" i="697"/>
  <c r="X243" i="697"/>
  <c r="X364" i="697"/>
  <c r="X407" i="697"/>
  <c r="X348" i="697"/>
  <c r="X380" i="697"/>
  <c r="X272" i="697"/>
  <c r="X246" i="697"/>
  <c r="X287" i="697"/>
  <c r="X365" i="697"/>
  <c r="X274" i="697"/>
  <c r="X247" i="697"/>
  <c r="X248" i="697"/>
  <c r="X249" i="697"/>
  <c r="X250" i="697"/>
  <c r="X251" i="697"/>
  <c r="X273" i="697"/>
  <c r="X288" i="697"/>
  <c r="X289" i="697"/>
  <c r="X422" i="697"/>
  <c r="X388" i="697"/>
  <c r="X302" i="697"/>
  <c r="X290" i="697"/>
  <c r="X316" i="697"/>
  <c r="X317" i="697"/>
  <c r="X291" i="697"/>
  <c r="X292" i="697"/>
  <c r="X293" i="697"/>
  <c r="X294" i="697"/>
  <c r="X264" i="697"/>
  <c r="X389" i="697"/>
  <c r="X460" i="697"/>
  <c r="X461" i="697"/>
  <c r="X462" i="697"/>
  <c r="X463" i="697"/>
  <c r="X464" i="697"/>
  <c r="X505" i="697"/>
  <c r="X669" i="697"/>
  <c r="X423" i="697"/>
  <c r="X396" i="697"/>
  <c r="X409" i="697"/>
  <c r="X381" i="697"/>
  <c r="X424" i="697"/>
  <c r="X382" i="697"/>
  <c r="X443" i="697"/>
  <c r="X506" i="697"/>
  <c r="X507" i="697"/>
  <c r="X523" i="697"/>
  <c r="X485" i="697"/>
  <c r="X295" i="697"/>
  <c r="X296" i="697"/>
  <c r="X524" i="697"/>
  <c r="X425" i="697"/>
  <c r="X410" i="697"/>
  <c r="X444" i="697"/>
  <c r="X352" i="697"/>
  <c r="X397" i="697"/>
  <c r="X299" i="697"/>
  <c r="X300" i="697"/>
  <c r="X383" i="697"/>
  <c r="X508" i="697"/>
  <c r="X509" i="697"/>
  <c r="X510" i="697"/>
  <c r="X384" i="697"/>
  <c r="X426" i="697"/>
  <c r="X532" i="697"/>
  <c r="X304" i="697"/>
  <c r="X614" i="697"/>
  <c r="X360" i="697"/>
  <c r="X427" i="697"/>
  <c r="X428" i="697"/>
  <c r="X309" i="697"/>
  <c r="X465" i="697"/>
  <c r="X466" i="697"/>
  <c r="X310" i="697"/>
  <c r="X543" i="697"/>
  <c r="X544" i="697"/>
  <c r="X311" i="697"/>
  <c r="X445" i="697"/>
  <c r="X413" i="697"/>
  <c r="X450" i="697"/>
  <c r="X487" i="697"/>
  <c r="X318" i="697"/>
  <c r="X319" i="697"/>
  <c r="X518" i="697"/>
  <c r="X519" i="697"/>
  <c r="X451" i="697"/>
  <c r="X452" i="697"/>
  <c r="X429" i="697"/>
  <c r="X467" i="697"/>
  <c r="X468" i="697"/>
  <c r="X390" i="697"/>
  <c r="X326" i="697"/>
  <c r="X321" i="697"/>
  <c r="X322" i="697"/>
  <c r="X323" i="697"/>
  <c r="X324" i="697"/>
  <c r="X325" i="697"/>
  <c r="X391" i="697"/>
  <c r="X353" i="697"/>
  <c r="X385" i="697"/>
  <c r="X671" i="697"/>
  <c r="X327" i="697"/>
  <c r="X328" i="697"/>
  <c r="X386" i="697"/>
  <c r="X400" i="697"/>
  <c r="X401" i="697"/>
  <c r="X329" i="697"/>
  <c r="X354" i="697"/>
  <c r="X355" i="697"/>
  <c r="X469" i="697"/>
  <c r="X358" i="697"/>
  <c r="X520" i="697"/>
  <c r="X430" i="697"/>
  <c r="X367" i="697"/>
  <c r="X453" i="697"/>
  <c r="X623" i="697"/>
  <c r="X546" i="697"/>
  <c r="X624" i="697"/>
  <c r="X625" i="697"/>
  <c r="X431" i="697"/>
  <c r="X350" i="697"/>
  <c r="X446" i="697"/>
  <c r="X414" i="697"/>
  <c r="X432" i="697"/>
  <c r="X454" i="697"/>
  <c r="X351" i="697"/>
  <c r="X455" i="697"/>
  <c r="X488" i="697"/>
  <c r="X502" i="697"/>
  <c r="X369" i="697"/>
  <c r="X370" i="697"/>
  <c r="X470" i="697"/>
  <c r="X402" i="697"/>
  <c r="X356" i="697"/>
  <c r="X371" i="697"/>
  <c r="X489" i="697"/>
  <c r="X626" i="697"/>
  <c r="X627" i="697"/>
  <c r="X490" i="697"/>
  <c r="X359" i="697"/>
  <c r="X471" i="697"/>
  <c r="X368" i="697"/>
  <c r="X525" i="697"/>
  <c r="X472" i="697"/>
  <c r="X366" i="697"/>
  <c r="X491" i="697"/>
  <c r="X492" i="697"/>
  <c r="X433" i="697"/>
  <c r="X473" i="697"/>
  <c r="X493" i="697"/>
  <c r="X372" i="697"/>
  <c r="X526" i="697"/>
  <c r="X387" i="697"/>
  <c r="X474" i="697"/>
  <c r="X475" i="697"/>
  <c r="X476" i="697"/>
  <c r="X477" i="697"/>
  <c r="X398" i="697"/>
  <c r="X434" i="697"/>
  <c r="X628" i="697"/>
  <c r="X527" i="697"/>
  <c r="X545" i="697"/>
  <c r="X392" i="697"/>
  <c r="X435" i="697"/>
  <c r="X436" i="697"/>
  <c r="X393" i="697"/>
  <c r="X403" i="697"/>
  <c r="X404" i="697"/>
  <c r="X511" i="697"/>
  <c r="X512" i="697"/>
  <c r="X513" i="697"/>
  <c r="X514" i="697"/>
  <c r="X670" i="697"/>
  <c r="X478" i="697"/>
  <c r="X494" i="697"/>
  <c r="X629" i="697"/>
  <c r="X584" i="697"/>
  <c r="X405" i="697"/>
  <c r="X538" i="697"/>
  <c r="X539" i="697"/>
  <c r="X528" i="697"/>
  <c r="X554" i="697"/>
  <c r="X555" i="697"/>
  <c r="X412" i="697"/>
  <c r="X637" i="697"/>
  <c r="X415" i="697"/>
  <c r="X479" i="697"/>
  <c r="X480" i="697"/>
  <c r="X615" i="697"/>
  <c r="X592" i="697"/>
  <c r="X441" i="697"/>
  <c r="X662" i="697"/>
  <c r="X447" i="697"/>
  <c r="X416" i="697"/>
  <c r="X417" i="697"/>
  <c r="X418" i="697"/>
  <c r="X419" i="697"/>
  <c r="X420" i="697"/>
  <c r="X421" i="697"/>
  <c r="X486" i="697"/>
  <c r="X498" i="697"/>
  <c r="X499" i="697"/>
  <c r="X448" i="697"/>
  <c r="X449" i="697"/>
  <c r="X457" i="697"/>
  <c r="X481" i="697"/>
  <c r="X515" i="697"/>
  <c r="X677" i="697"/>
  <c r="X439" i="697"/>
  <c r="X672" i="697"/>
  <c r="X616" i="697"/>
  <c r="X617" i="697"/>
  <c r="X529" i="697"/>
  <c r="X437" i="697"/>
  <c r="X438" i="697"/>
  <c r="X547" i="697"/>
  <c r="X548" i="697"/>
  <c r="X714" i="697"/>
  <c r="X673" i="697"/>
  <c r="X440" i="697"/>
  <c r="X500" i="697"/>
  <c r="X715" i="697"/>
  <c r="X716" i="697"/>
  <c r="X657" i="697"/>
  <c r="X638" i="697"/>
  <c r="X456" i="697"/>
  <c r="X639" i="697"/>
  <c r="X593" i="697"/>
  <c r="X674" i="697"/>
  <c r="X556" i="697"/>
  <c r="X594" i="697"/>
  <c r="X459" i="697"/>
  <c r="X458" i="697"/>
  <c r="X645" i="697"/>
  <c r="X482" i="697"/>
  <c r="X675" i="697"/>
  <c r="X676" i="697"/>
  <c r="X483" i="697"/>
  <c r="X663" i="697"/>
  <c r="X682" i="697"/>
  <c r="X557" i="697"/>
  <c r="X558" i="697"/>
  <c r="X559" i="697"/>
  <c r="X560" i="697"/>
  <c r="X678" i="697"/>
  <c r="X595" i="697"/>
  <c r="X484" i="697"/>
  <c r="X495" i="697"/>
  <c r="X561" i="697"/>
  <c r="X562" i="697"/>
  <c r="X563" i="697"/>
  <c r="X564" i="697"/>
  <c r="X731" i="697"/>
  <c r="X658" i="697"/>
  <c r="X590" i="697"/>
  <c r="X497" i="697"/>
  <c r="X496" i="697"/>
  <c r="X516" i="697"/>
  <c r="X517" i="697"/>
  <c r="X618" i="697"/>
  <c r="X619" i="697"/>
  <c r="X679" i="697"/>
  <c r="X501" i="697"/>
  <c r="X503" i="697"/>
  <c r="X620" i="697"/>
  <c r="X596" i="697"/>
  <c r="X701" i="697"/>
  <c r="X664" i="697"/>
  <c r="X659" i="697"/>
  <c r="X680" i="697"/>
  <c r="X565" i="697"/>
  <c r="X566" i="697"/>
  <c r="X567" i="697"/>
  <c r="X568" i="697"/>
  <c r="X621" i="697"/>
  <c r="X702" i="697"/>
  <c r="X732" i="697"/>
  <c r="X751" i="697"/>
  <c r="X717" i="697"/>
  <c r="X646" i="697"/>
  <c r="X521" i="697"/>
  <c r="X681" i="697"/>
  <c r="X522" i="697"/>
  <c r="X533" i="697"/>
  <c r="X549" i="697"/>
  <c r="X577" i="697"/>
  <c r="X610" i="697"/>
  <c r="X752" i="697"/>
  <c r="X534" i="697"/>
  <c r="X581" i="697"/>
  <c r="X587" i="697"/>
  <c r="X588" i="697"/>
  <c r="X660" i="697"/>
  <c r="X718" i="697"/>
  <c r="X550" i="697"/>
  <c r="X551" i="697"/>
  <c r="X552" i="697"/>
  <c r="X753" i="697"/>
  <c r="X782" i="697"/>
  <c r="X536" i="697"/>
  <c r="X683" i="697"/>
  <c r="X866" i="697"/>
  <c r="X578" i="697"/>
  <c r="X535" i="697"/>
  <c r="X684" i="697"/>
  <c r="X754" i="697"/>
  <c r="X537" i="697"/>
  <c r="X540" i="697"/>
  <c r="X755" i="697"/>
  <c r="X685" i="697"/>
  <c r="X686" i="697"/>
  <c r="X705" i="697"/>
  <c r="X541" i="697"/>
  <c r="X542" i="697"/>
  <c r="X687" i="697"/>
  <c r="X733" i="697"/>
  <c r="X836" i="697"/>
  <c r="X756" i="697"/>
  <c r="X569" i="697"/>
  <c r="X706" i="697"/>
  <c r="X707" i="697"/>
  <c r="X734" i="697"/>
  <c r="X735" i="697"/>
  <c r="X580" i="697"/>
  <c r="X585" i="697"/>
  <c r="X630" i="697"/>
  <c r="X553" i="697"/>
  <c r="X749" i="697"/>
  <c r="X688" i="697"/>
  <c r="X837" i="697"/>
  <c r="X634" i="697"/>
  <c r="X757" i="697"/>
  <c r="X783" i="697"/>
  <c r="X689" i="697"/>
  <c r="X576" i="697"/>
  <c r="X758" i="697"/>
  <c r="X759" i="697"/>
  <c r="X760" i="697"/>
  <c r="X690" i="697"/>
  <c r="X579" i="697"/>
  <c r="X784" i="697"/>
  <c r="X838" i="697"/>
  <c r="X761" i="697"/>
  <c r="X811" i="697"/>
  <c r="X691" i="697"/>
  <c r="X815" i="697"/>
  <c r="X889" i="697"/>
  <c r="X582" i="697"/>
  <c r="X665" i="697"/>
  <c r="X583" i="697"/>
  <c r="X586" i="697"/>
  <c r="X692" i="697"/>
  <c r="X719" i="697"/>
  <c r="X661" i="697"/>
  <c r="X762" i="697"/>
  <c r="X763" i="697"/>
  <c r="X611" i="697"/>
  <c r="X816" i="697"/>
  <c r="X720" i="697"/>
  <c r="X693" i="697"/>
  <c r="X589" i="697"/>
  <c r="X839" i="697"/>
  <c r="X591" i="697"/>
  <c r="X721" i="697"/>
  <c r="X597" i="697"/>
  <c r="X598" i="697"/>
  <c r="X764" i="697"/>
  <c r="X694" i="697"/>
  <c r="X840" i="697"/>
  <c r="X793" i="697"/>
  <c r="X765" i="697"/>
  <c r="X601" i="697"/>
  <c r="X695" i="697"/>
  <c r="X599" i="697"/>
  <c r="X600" i="697"/>
  <c r="X812" i="697"/>
  <c r="X785" i="697"/>
  <c r="X722" i="697"/>
  <c r="X602" i="697"/>
  <c r="X603" i="697"/>
  <c r="X604" i="697"/>
  <c r="X605" i="697"/>
  <c r="X606" i="697"/>
  <c r="X607" i="697"/>
  <c r="X608" i="697"/>
  <c r="X609" i="697"/>
  <c r="X738" i="697"/>
  <c r="X739" i="697"/>
  <c r="X740" i="697"/>
  <c r="X741" i="697"/>
  <c r="X742" i="697"/>
  <c r="X766" i="697"/>
  <c r="X923" i="697"/>
  <c r="X902" i="697"/>
  <c r="X654" i="697"/>
  <c r="X723" i="697"/>
  <c r="X647" i="697"/>
  <c r="X854" i="697"/>
  <c r="X648" i="697"/>
  <c r="X696" i="697"/>
  <c r="X697" i="697"/>
  <c r="X649" i="697"/>
  <c r="X650" i="697"/>
  <c r="X698" i="697"/>
  <c r="X612" i="697"/>
  <c r="X613" i="697"/>
  <c r="X651" i="697"/>
  <c r="X767" i="697"/>
  <c r="X768" i="697"/>
  <c r="X631" i="697"/>
  <c r="X743" i="697"/>
  <c r="X622" i="697"/>
  <c r="X841" i="697"/>
  <c r="X769" i="697"/>
  <c r="X632" i="697"/>
  <c r="X633" i="697"/>
  <c r="X770" i="697"/>
  <c r="X640" i="697"/>
  <c r="X744" i="697"/>
  <c r="X890" i="697"/>
  <c r="X867" i="697"/>
  <c r="X855" i="697"/>
  <c r="X635" i="697"/>
  <c r="X891" i="697"/>
  <c r="X699" i="697"/>
  <c r="X903" i="697"/>
  <c r="X773" i="697"/>
  <c r="X636" i="697"/>
  <c r="X641" i="697"/>
  <c r="X652" i="697"/>
  <c r="X642" i="697"/>
  <c r="X643" i="697"/>
  <c r="X868" i="697"/>
  <c r="X892" i="697"/>
  <c r="X856" i="697"/>
  <c r="X842" i="697"/>
  <c r="X893" i="697"/>
  <c r="X843" i="697"/>
  <c r="X644" i="697"/>
  <c r="X799" i="697"/>
  <c r="X844" i="697"/>
  <c r="X857" i="697"/>
  <c r="X653" i="697"/>
  <c r="X655" i="697"/>
  <c r="X858" i="697"/>
  <c r="X656" i="697"/>
  <c r="X745" i="697"/>
  <c r="X746" i="697"/>
  <c r="X666" i="697"/>
  <c r="X859" i="697"/>
  <c r="X747" i="697"/>
  <c r="X924" i="697"/>
  <c r="X925" i="697"/>
  <c r="X926" i="697"/>
  <c r="X869" i="697"/>
  <c r="X667" i="697"/>
  <c r="X750" i="697"/>
  <c r="X668" i="697"/>
  <c r="X845" i="697"/>
  <c r="X1029" i="697"/>
  <c r="X700" i="697"/>
  <c r="X703" i="697"/>
  <c r="X704" i="697"/>
  <c r="X927" i="697"/>
  <c r="X928" i="697"/>
  <c r="X879" i="697"/>
  <c r="X846" i="697"/>
  <c r="X929" i="697"/>
  <c r="X860" i="697"/>
  <c r="X794" i="697"/>
  <c r="X861" i="697"/>
  <c r="X930" i="697"/>
  <c r="X894" i="697"/>
  <c r="X870" i="697"/>
  <c r="X862" i="697"/>
  <c r="X931" i="697"/>
  <c r="X932" i="697"/>
  <c r="X933" i="697"/>
  <c r="X708" i="697"/>
  <c r="X709" i="697"/>
  <c r="X710" i="697"/>
  <c r="X711" i="697"/>
  <c r="X712" i="697"/>
  <c r="X713" i="697"/>
  <c r="X786" i="697"/>
  <c r="X787" i="697"/>
  <c r="X952" i="697"/>
  <c r="X788" i="697"/>
  <c r="X809" i="697"/>
  <c r="X810" i="697"/>
  <c r="X736" i="697"/>
  <c r="X748" i="697"/>
  <c r="X774" i="697"/>
  <c r="X775" i="697"/>
  <c r="X776" i="697"/>
  <c r="X789" i="697"/>
  <c r="X934" i="697"/>
  <c r="X724" i="697"/>
  <c r="X725" i="697"/>
  <c r="X726" i="697"/>
  <c r="X727" i="697"/>
  <c r="X790" i="697"/>
  <c r="X1021" i="697"/>
  <c r="X728" i="697"/>
  <c r="X729" i="697"/>
  <c r="X730" i="697"/>
  <c r="X953" i="697"/>
  <c r="X871" i="697"/>
  <c r="X817" i="697"/>
  <c r="X737" i="697"/>
  <c r="X1084" i="697"/>
  <c r="X880" i="697"/>
  <c r="X863" i="697"/>
  <c r="X570" i="697"/>
  <c r="X571" i="697"/>
  <c r="X572" i="697"/>
  <c r="X573" i="697"/>
  <c r="X574" i="697"/>
  <c r="X575" i="697"/>
  <c r="X771" i="697"/>
  <c r="X772" i="697"/>
  <c r="X954" i="697"/>
  <c r="X955" i="697"/>
  <c r="X980" i="697"/>
  <c r="X777" i="697"/>
  <c r="X956" i="697"/>
  <c r="X981" i="697"/>
  <c r="X982" i="697"/>
  <c r="X983" i="697"/>
  <c r="X904" i="697"/>
  <c r="X984" i="697"/>
  <c r="X912" i="697"/>
  <c r="X913" i="697"/>
  <c r="X778" i="697"/>
  <c r="X957" i="697"/>
  <c r="X881" i="697"/>
  <c r="X779" i="697"/>
  <c r="X780" i="697"/>
  <c r="X905" i="697"/>
  <c r="X985" i="697"/>
  <c r="X781" i="697"/>
  <c r="X906" i="697"/>
  <c r="X948" i="697"/>
  <c r="X935" i="697"/>
  <c r="X936" i="697"/>
  <c r="X791" i="697"/>
  <c r="X795" i="697"/>
  <c r="X937" i="697"/>
  <c r="X986" i="697"/>
  <c r="X895" i="697"/>
  <c r="X896" i="697"/>
  <c r="X914" i="697"/>
  <c r="X958" i="697"/>
  <c r="X792" i="697"/>
  <c r="X987" i="697"/>
  <c r="X800" i="697"/>
  <c r="X988" i="697"/>
  <c r="X959" i="697"/>
  <c r="X801" i="697"/>
  <c r="X796" i="697"/>
  <c r="X989" i="697"/>
  <c r="X797" i="697"/>
  <c r="X798" i="697"/>
  <c r="X802" i="697"/>
  <c r="X990" i="697"/>
  <c r="X803" i="697"/>
  <c r="X804" i="697"/>
  <c r="X805" i="697"/>
  <c r="X806" i="697"/>
  <c r="X807" i="697"/>
  <c r="X808" i="697"/>
  <c r="X1022" i="697"/>
  <c r="X1005" i="697"/>
  <c r="X813" i="697"/>
  <c r="X814" i="697"/>
  <c r="X991" i="697"/>
  <c r="X992" i="697"/>
  <c r="X993" i="697"/>
  <c r="X818" i="697"/>
  <c r="X938" i="697"/>
  <c r="X819" i="697"/>
  <c r="X820" i="697"/>
  <c r="X821" i="697"/>
  <c r="X822" i="697"/>
  <c r="X823" i="697"/>
  <c r="X824" i="697"/>
  <c r="X825" i="697"/>
  <c r="X826" i="697"/>
  <c r="X939" i="697"/>
  <c r="X827" i="697"/>
  <c r="X828" i="697"/>
  <c r="X915" i="697"/>
  <c r="X897" i="697"/>
  <c r="X829" i="697"/>
  <c r="X830" i="697"/>
  <c r="X847" i="697"/>
  <c r="X831" i="697"/>
  <c r="X832" i="697"/>
  <c r="X833" i="697"/>
  <c r="X1000" i="697"/>
  <c r="X960" i="697"/>
  <c r="X834" i="697"/>
  <c r="X1030" i="697"/>
  <c r="X875" i="697"/>
  <c r="X898" i="697"/>
  <c r="X916" i="697"/>
  <c r="X917" i="697"/>
  <c r="X852" i="697"/>
  <c r="X872" i="697"/>
  <c r="X886" i="697"/>
  <c r="X848" i="697"/>
  <c r="X918" i="697"/>
  <c r="X1143" i="697"/>
  <c r="X876" i="697"/>
  <c r="X877" i="697"/>
  <c r="X878" i="697"/>
  <c r="X994" i="697"/>
  <c r="X850" i="697"/>
  <c r="X849" i="697"/>
  <c r="X1001" i="697"/>
  <c r="X899" i="697"/>
  <c r="X1002" i="697"/>
  <c r="X1006" i="697"/>
  <c r="X851" i="697"/>
  <c r="X940" i="697"/>
  <c r="X941" i="697"/>
  <c r="X1007" i="697"/>
  <c r="X995" i="697"/>
  <c r="X1213" i="697"/>
  <c r="X853" i="697"/>
  <c r="X1023" i="697"/>
  <c r="X1008" i="697"/>
  <c r="X1044" i="697"/>
  <c r="X864" i="697"/>
  <c r="X865" i="697"/>
  <c r="X942" i="697"/>
  <c r="X1024" i="697"/>
  <c r="X873" i="697"/>
  <c r="X943" i="697"/>
  <c r="X1045" i="697"/>
  <c r="X1046" i="697"/>
  <c r="X1047" i="697"/>
  <c r="X874" i="697"/>
  <c r="X1025" i="697"/>
  <c r="X1031" i="697"/>
  <c r="X1048" i="697"/>
  <c r="X882" i="697"/>
  <c r="X883" i="697"/>
  <c r="X884" i="697"/>
  <c r="X885" i="697"/>
  <c r="X1049" i="697"/>
  <c r="X1050" i="697"/>
  <c r="X900" i="697"/>
  <c r="X887" i="697"/>
  <c r="X888" i="697"/>
  <c r="X1091" i="697"/>
  <c r="X1068" i="697"/>
  <c r="X1075" i="697"/>
  <c r="X901" i="697"/>
  <c r="X1096" i="697"/>
  <c r="X907" i="697"/>
  <c r="X908" i="697"/>
  <c r="X909" i="697"/>
  <c r="X910" i="697"/>
  <c r="X911" i="697"/>
  <c r="X1168" i="697"/>
  <c r="X944" i="697"/>
  <c r="X1097" i="697"/>
  <c r="X1069" i="697"/>
  <c r="X1051" i="697"/>
  <c r="X919" i="697"/>
  <c r="X920" i="697"/>
  <c r="X921" i="697"/>
  <c r="X922" i="697"/>
  <c r="X1076" i="697"/>
  <c r="X945" i="697"/>
  <c r="X1162" i="697"/>
  <c r="X1169" i="697"/>
  <c r="X1082" i="697"/>
  <c r="X946" i="697"/>
  <c r="X1083" i="697"/>
  <c r="X1131" i="697"/>
  <c r="X1077" i="697"/>
  <c r="X1052" i="697"/>
  <c r="X1098" i="697"/>
  <c r="X1070" i="697"/>
  <c r="X1085" i="697"/>
  <c r="X947" i="697"/>
  <c r="X9" i="697"/>
  <c r="X1032" i="697"/>
  <c r="X1053" i="697"/>
  <c r="X949" i="697"/>
  <c r="X950" i="697"/>
  <c r="X1092" i="697"/>
  <c r="X1099" i="697"/>
  <c r="X1130" i="697"/>
  <c r="X1078" i="697"/>
  <c r="X951" i="697"/>
  <c r="X1037" i="697"/>
  <c r="X1071" i="697"/>
  <c r="X1100" i="697"/>
  <c r="X1086" i="697"/>
  <c r="X1087" i="697"/>
  <c r="X1101" i="697"/>
  <c r="X1088" i="697"/>
  <c r="X1239" i="697"/>
  <c r="X1089" i="697"/>
  <c r="X1009" i="697"/>
  <c r="X972" i="697"/>
  <c r="X1054" i="697"/>
  <c r="X1033" i="697"/>
  <c r="X1102" i="697"/>
  <c r="X1010" i="697"/>
  <c r="X961" i="697"/>
  <c r="X962" i="697"/>
  <c r="X963" i="697"/>
  <c r="X964" i="697"/>
  <c r="X965" i="697"/>
  <c r="X966" i="697"/>
  <c r="X967" i="697"/>
  <c r="X968" i="697"/>
  <c r="X969" i="697"/>
  <c r="X970" i="697"/>
  <c r="X971" i="697"/>
  <c r="X1055" i="697"/>
  <c r="X1056" i="697"/>
  <c r="X1057" i="697"/>
  <c r="X1058" i="697"/>
  <c r="X1059" i="697"/>
  <c r="X1060" i="697"/>
  <c r="X1011" i="697"/>
  <c r="X1190" i="697"/>
  <c r="X1012" i="697"/>
  <c r="X973" i="697"/>
  <c r="X974" i="697"/>
  <c r="X1124" i="697"/>
  <c r="X996" i="697"/>
  <c r="X1118" i="697"/>
  <c r="X1013" i="697"/>
  <c r="X1191" i="697"/>
  <c r="X1014" i="697"/>
  <c r="X975" i="697"/>
  <c r="X1015" i="697"/>
  <c r="X1016" i="697"/>
  <c r="X976" i="697"/>
  <c r="X1040" i="697"/>
  <c r="X977" i="697"/>
  <c r="X1093" i="697"/>
  <c r="X1112" i="697"/>
  <c r="X1017" i="697"/>
  <c r="X1103" i="697"/>
  <c r="X1018" i="697"/>
  <c r="X1019" i="697"/>
  <c r="X978" i="697"/>
  <c r="X1214" i="697"/>
  <c r="X1061" i="697"/>
  <c r="X1104" i="697"/>
  <c r="X1320" i="697"/>
  <c r="X1293" i="697"/>
  <c r="X1192" i="697"/>
  <c r="X1207" i="697"/>
  <c r="X1289" i="697"/>
  <c r="X1253" i="697"/>
  <c r="X1321" i="697"/>
  <c r="X1240" i="697"/>
  <c r="X1157" i="697"/>
  <c r="X997" i="697"/>
  <c r="X998" i="697"/>
  <c r="X999" i="697"/>
  <c r="X1520" i="697"/>
  <c r="X1158" i="697"/>
  <c r="X1132" i="697"/>
  <c r="X1003" i="697"/>
  <c r="X1062" i="697"/>
  <c r="X1063" i="697"/>
  <c r="X1004" i="697"/>
  <c r="X1170" i="697"/>
  <c r="X1020" i="697"/>
  <c r="X1274" i="697"/>
  <c r="X1278" i="697"/>
  <c r="X1176" i="697"/>
  <c r="X1294" i="697"/>
  <c r="X1034" i="697"/>
  <c r="X1163" i="697"/>
  <c r="X1026" i="697"/>
  <c r="X1027" i="697"/>
  <c r="X1028" i="697"/>
  <c r="X1521" i="697"/>
  <c r="X1133" i="697"/>
  <c r="X1177" i="697"/>
  <c r="X1035" i="697"/>
  <c r="X1036" i="697"/>
  <c r="X1249" i="697"/>
  <c r="X1171" i="697"/>
  <c r="X1193" i="697"/>
  <c r="X1038" i="697"/>
  <c r="X1079" i="697"/>
  <c r="X1178" i="697"/>
  <c r="X1039" i="697"/>
  <c r="X1230" i="697"/>
  <c r="X1179" i="697"/>
  <c r="X1113" i="697"/>
  <c r="X1080" i="697"/>
  <c r="X1180" i="697"/>
  <c r="X1295" i="697"/>
  <c r="X1041" i="697"/>
  <c r="X1215" i="697"/>
  <c r="X1042" i="697"/>
  <c r="X1043" i="697"/>
  <c r="X1072" i="697"/>
  <c r="X1064" i="697"/>
  <c r="X1065" i="697"/>
  <c r="X1372" i="697"/>
  <c r="X1066" i="697"/>
  <c r="X1296" i="697"/>
  <c r="X1067" i="697"/>
  <c r="X1144" i="697"/>
  <c r="X1181" i="697"/>
  <c r="X1182" i="697"/>
  <c r="X1204" i="697"/>
  <c r="X1073" i="697"/>
  <c r="X1074" i="697"/>
  <c r="X1081" i="697"/>
  <c r="X1183" i="697"/>
  <c r="X1090" i="697"/>
  <c r="X1322" i="697"/>
  <c r="X1184" i="697"/>
  <c r="X1229" i="697"/>
  <c r="X1270" i="697"/>
  <c r="X1194" i="697"/>
  <c r="X1094" i="697"/>
  <c r="X1323" i="697"/>
  <c r="X1290" i="697"/>
  <c r="X1216" i="697"/>
  <c r="X1241" i="697"/>
  <c r="X1105" i="697"/>
  <c r="X1095" i="697"/>
  <c r="X1217" i="697"/>
  <c r="X1231" i="697"/>
  <c r="X979" i="697"/>
  <c r="X1106" i="697"/>
  <c r="X1107" i="697"/>
  <c r="X1271" i="697"/>
  <c r="X1108" i="697"/>
  <c r="X1297" i="697"/>
  <c r="X1110" i="697"/>
  <c r="X1138" i="697"/>
  <c r="X1109" i="697"/>
  <c r="X1111" i="697"/>
  <c r="X1126" i="697"/>
  <c r="X1145" i="697"/>
  <c r="X1146" i="697"/>
  <c r="X1134" i="697"/>
  <c r="X1272" i="697"/>
  <c r="X1273" i="697"/>
  <c r="X1147" i="697"/>
  <c r="X1148" i="697"/>
  <c r="X1149" i="697"/>
  <c r="X1150" i="697"/>
  <c r="X1151" i="697"/>
  <c r="X1114" i="697"/>
  <c r="X1135" i="697"/>
  <c r="X1127" i="697"/>
  <c r="X1128" i="697"/>
  <c r="X1266" i="697"/>
  <c r="X1115" i="697"/>
  <c r="X1116" i="697"/>
  <c r="X1117" i="697"/>
  <c r="X1152" i="697"/>
  <c r="Y196" i="697"/>
  <c r="Y6" i="697"/>
  <c r="Y15" i="697"/>
  <c r="Y45" i="697"/>
  <c r="Y209" i="697"/>
  <c r="Y5" i="697"/>
  <c r="Y105" i="697"/>
  <c r="Y87" i="697"/>
  <c r="Y27" i="697"/>
  <c r="Y30" i="697"/>
  <c r="Y89" i="697"/>
  <c r="Y114" i="697"/>
  <c r="Y125" i="697"/>
  <c r="Y67" i="697"/>
  <c r="Y76" i="697"/>
  <c r="Y52" i="697"/>
  <c r="Y53" i="697"/>
  <c r="Y56" i="697"/>
  <c r="Y35" i="697"/>
  <c r="Y61" i="697"/>
  <c r="Y92" i="697"/>
  <c r="Y109" i="697"/>
  <c r="Y38" i="697"/>
  <c r="Y176" i="697"/>
  <c r="Y206" i="697"/>
  <c r="Y39" i="697"/>
  <c r="Y236" i="697"/>
  <c r="Y255" i="697"/>
  <c r="Y94" i="697"/>
  <c r="Y237" i="697"/>
  <c r="Y162" i="697"/>
  <c r="Y70" i="697"/>
  <c r="Y73" i="697"/>
  <c r="Y150" i="697"/>
  <c r="Y155" i="697"/>
  <c r="Y145" i="697"/>
  <c r="Y146" i="697"/>
  <c r="Y229" i="697"/>
  <c r="Y284" i="697"/>
  <c r="Y835" i="697"/>
  <c r="Y184" i="697"/>
  <c r="Y198" i="697"/>
  <c r="Y149" i="697"/>
  <c r="Y138" i="697"/>
  <c r="Y281" i="697"/>
  <c r="Y373" i="697"/>
  <c r="Y357" i="697"/>
  <c r="Y166" i="697"/>
  <c r="Y173" i="697"/>
  <c r="Y266" i="697"/>
  <c r="Y194" i="697"/>
  <c r="Y179" i="697"/>
  <c r="Y375" i="697"/>
  <c r="Y203" i="697"/>
  <c r="Y223" i="697"/>
  <c r="Y205" i="697"/>
  <c r="Y530" i="697"/>
  <c r="Y218" i="697"/>
  <c r="Y341" i="697"/>
  <c r="Y342" i="697"/>
  <c r="Y345" i="697"/>
  <c r="Y407" i="697"/>
  <c r="Y348" i="697"/>
  <c r="Y293" i="697"/>
  <c r="Y464" i="697"/>
  <c r="Y382" i="697"/>
  <c r="Y508" i="697"/>
  <c r="Y384" i="697"/>
  <c r="Y465" i="697"/>
  <c r="Y543" i="697"/>
  <c r="Y452" i="697"/>
  <c r="Y390" i="697"/>
  <c r="Y326" i="697"/>
  <c r="Y353" i="697"/>
  <c r="Y329" i="697"/>
  <c r="Y453" i="697"/>
  <c r="Y370" i="697"/>
  <c r="Y490" i="697"/>
  <c r="Y368" i="697"/>
  <c r="Y474" i="697"/>
  <c r="Y403" i="697"/>
  <c r="Y478" i="697"/>
  <c r="Y592" i="697"/>
  <c r="Y448" i="697"/>
  <c r="Y645" i="697"/>
  <c r="Y562" i="697"/>
  <c r="Y550" i="697"/>
  <c r="Y685" i="697"/>
  <c r="Y634" i="697"/>
  <c r="Y611" i="697"/>
  <c r="Y793" i="697"/>
  <c r="Y654" i="697"/>
  <c r="Y854" i="697"/>
  <c r="Y648" i="697"/>
  <c r="Y651" i="697"/>
  <c r="Y631" i="697"/>
  <c r="Y699" i="697"/>
  <c r="Y652" i="697"/>
  <c r="Y656" i="697"/>
  <c r="Y666" i="697"/>
  <c r="Y845" i="697"/>
  <c r="Y724" i="697"/>
  <c r="Y780" i="697"/>
  <c r="Y791" i="697"/>
  <c r="Y797" i="697"/>
  <c r="Y993" i="697"/>
  <c r="Y847" i="697"/>
  <c r="Y872" i="697"/>
  <c r="Y877" i="697"/>
  <c r="Y883" i="697"/>
  <c r="Y1071" i="697"/>
  <c r="Y1102" i="697"/>
  <c r="Y971" i="697"/>
  <c r="Y1003" i="697"/>
  <c r="Y1229" i="697"/>
  <c r="Y1123" i="697"/>
  <c r="Y1268" i="697"/>
  <c r="Y1358" i="697"/>
  <c r="Y1413" i="697"/>
  <c r="Y1464" i="697"/>
  <c r="Y1355" i="697"/>
  <c r="Z1292" i="697"/>
  <c r="Z103" i="697"/>
  <c r="Z104" i="697"/>
  <c r="Z22" i="697"/>
  <c r="Z23" i="697"/>
  <c r="Z12" i="697"/>
  <c r="Z196" i="697"/>
  <c r="Z4" i="697"/>
  <c r="Z24" i="697"/>
  <c r="Z208" i="697"/>
  <c r="Z6" i="697"/>
  <c r="Z13" i="697"/>
  <c r="Z14" i="697"/>
  <c r="Z2" i="697"/>
  <c r="Z15" i="697"/>
  <c r="Z16" i="697"/>
  <c r="Z34" i="697"/>
  <c r="Z17" i="697"/>
  <c r="Z45" i="697"/>
  <c r="Z77" i="697"/>
  <c r="Z117" i="697"/>
  <c r="Z78" i="697"/>
  <c r="Z79" i="697"/>
  <c r="Z80" i="697"/>
  <c r="Z40" i="697"/>
  <c r="Z3" i="697"/>
  <c r="Z209" i="697"/>
  <c r="Z5" i="697"/>
  <c r="Z18" i="697"/>
  <c r="Z19" i="697"/>
  <c r="Z20" i="697"/>
  <c r="Z7" i="697"/>
  <c r="Z8" i="697"/>
  <c r="Z10" i="697"/>
  <c r="Z105" i="697"/>
  <c r="Z106" i="697"/>
  <c r="Z107" i="697"/>
  <c r="Z11" i="697"/>
  <c r="Z81" i="697"/>
  <c r="Z174" i="697"/>
  <c r="Z175" i="697"/>
  <c r="Z82" i="697"/>
  <c r="Z83" i="697"/>
  <c r="Z118" i="697"/>
  <c r="Z84" i="697"/>
  <c r="Z85" i="697"/>
  <c r="Z86" i="697"/>
  <c r="Z87" i="697"/>
  <c r="Z21" i="697"/>
  <c r="Z210" i="697"/>
  <c r="Z88" i="697"/>
  <c r="Z27" i="697"/>
  <c r="Z28" i="697"/>
  <c r="Z29" i="697"/>
  <c r="Z30" i="697"/>
  <c r="Z31" i="697"/>
  <c r="Z32" i="697"/>
  <c r="Z33" i="697"/>
  <c r="Z219" i="697"/>
  <c r="Z89" i="697"/>
  <c r="Z90" i="697"/>
  <c r="Z96" i="697"/>
  <c r="Z114" i="697"/>
  <c r="Z125" i="697"/>
  <c r="Z67" i="697"/>
  <c r="Z171" i="697"/>
  <c r="Z76" i="697"/>
  <c r="Z46" i="697"/>
  <c r="Z47" i="697"/>
  <c r="Z48" i="697"/>
  <c r="Z37" i="697"/>
  <c r="Z49" i="697"/>
  <c r="Z50" i="697"/>
  <c r="Z51" i="697"/>
  <c r="Z52" i="697"/>
  <c r="Z53" i="697"/>
  <c r="Z54" i="697"/>
  <c r="Z55" i="697"/>
  <c r="Z56" i="697"/>
  <c r="Z119" i="697"/>
  <c r="Z57" i="697"/>
  <c r="Z115" i="697"/>
  <c r="Z35" i="697"/>
  <c r="Z58" i="697"/>
  <c r="Z59" i="697"/>
  <c r="Z60" i="697"/>
  <c r="Z61" i="697"/>
  <c r="Z62" i="697"/>
  <c r="Z63" i="697"/>
  <c r="Z126" i="697"/>
  <c r="Z116" i="697"/>
  <c r="Z120" i="697"/>
  <c r="Z91" i="697"/>
  <c r="Z133" i="697"/>
  <c r="Z92" i="697"/>
  <c r="Z93" i="697"/>
  <c r="Z36" i="697"/>
  <c r="Z108" i="697"/>
  <c r="Z109" i="697"/>
  <c r="Z110" i="697"/>
  <c r="Z111" i="697"/>
  <c r="Z64" i="697"/>
  <c r="Z213" i="697"/>
  <c r="Z134" i="697"/>
  <c r="Z131" i="697"/>
  <c r="Z140" i="697"/>
  <c r="Z38" i="697"/>
  <c r="Z399" i="697"/>
  <c r="Z68" i="697"/>
  <c r="Z65" i="697"/>
  <c r="Z176" i="697"/>
  <c r="Z127" i="697"/>
  <c r="Z129" i="697"/>
  <c r="Z97" i="697"/>
  <c r="Z206" i="697"/>
  <c r="Z39" i="697"/>
  <c r="Z66" i="697"/>
  <c r="Z230" i="697"/>
  <c r="Z254" i="697"/>
  <c r="Z160" i="697"/>
  <c r="Z41" i="697"/>
  <c r="Z42" i="697"/>
  <c r="Z75" i="697"/>
  <c r="Z44" i="697"/>
  <c r="Z121" i="697"/>
  <c r="Z43" i="697"/>
  <c r="Z236" i="697"/>
  <c r="Z255" i="697"/>
  <c r="Z25" i="697"/>
  <c r="Z26" i="697"/>
  <c r="Z94" i="697"/>
  <c r="Z237" i="697"/>
  <c r="Z214" i="697"/>
  <c r="Z256" i="697"/>
  <c r="Z135" i="697"/>
  <c r="Z161" i="697"/>
  <c r="Z257" i="697"/>
  <c r="Z207" i="697"/>
  <c r="Z162" i="697"/>
  <c r="Z177" i="697"/>
  <c r="Z122" i="697"/>
  <c r="Z163" i="697"/>
  <c r="Z69" i="697"/>
  <c r="Z70" i="697"/>
  <c r="Z71" i="697"/>
  <c r="Z72" i="697"/>
  <c r="Z73" i="697"/>
  <c r="Z74" i="697"/>
  <c r="Z258" i="697"/>
  <c r="Z178" i="697"/>
  <c r="Z150" i="697"/>
  <c r="Z141" i="697"/>
  <c r="Z151" i="697"/>
  <c r="Z152" i="697"/>
  <c r="Z211" i="697"/>
  <c r="Z142" i="697"/>
  <c r="Z153" i="697"/>
  <c r="Z154" i="697"/>
  <c r="Z155" i="697"/>
  <c r="Z156" i="697"/>
  <c r="Z143" i="697"/>
  <c r="Z144" i="697"/>
  <c r="Z145" i="697"/>
  <c r="Z146" i="697"/>
  <c r="Z157" i="697"/>
  <c r="Z158" i="697"/>
  <c r="Z229" i="697"/>
  <c r="Z95" i="697"/>
  <c r="Z159" i="697"/>
  <c r="Z240" i="697"/>
  <c r="Z98" i="697"/>
  <c r="Z99" i="697"/>
  <c r="Z100" i="697"/>
  <c r="Z101" i="697"/>
  <c r="Z284" i="697"/>
  <c r="Z102" i="697"/>
  <c r="Z275" i="697"/>
  <c r="Z197" i="697"/>
  <c r="Z231" i="697"/>
  <c r="Z147" i="697"/>
  <c r="Z112" i="697"/>
  <c r="Z148" i="697"/>
  <c r="Z113" i="697"/>
  <c r="Z259" i="697"/>
  <c r="Z123" i="697"/>
  <c r="Z252" i="697"/>
  <c r="Z238" i="697"/>
  <c r="Z232" i="697"/>
  <c r="Z253" i="697"/>
  <c r="Z233" i="697"/>
  <c r="Z835" i="697"/>
  <c r="Z124" i="697"/>
  <c r="Z234" i="697"/>
  <c r="Z244" i="697"/>
  <c r="Z260" i="697"/>
  <c r="Z181" i="697"/>
  <c r="Z182" i="697"/>
  <c r="Z183" i="697"/>
  <c r="Z184" i="697"/>
  <c r="Z172" i="697"/>
  <c r="Z330" i="697"/>
  <c r="Z245" i="697"/>
  <c r="Z128" i="697"/>
  <c r="Z285" i="697"/>
  <c r="Z130" i="697"/>
  <c r="Z132" i="697"/>
  <c r="Z198" i="697"/>
  <c r="Z349" i="697"/>
  <c r="Z185" i="697"/>
  <c r="Z312" i="697"/>
  <c r="Z136" i="697"/>
  <c r="Z276" i="697"/>
  <c r="Z241" i="697"/>
  <c r="Z277" i="697"/>
  <c r="Z408" i="697"/>
  <c r="Z286" i="697"/>
  <c r="Z278" i="697"/>
  <c r="Z279" i="697"/>
  <c r="Z280" i="697"/>
  <c r="Z149" i="697"/>
  <c r="Z261" i="697"/>
  <c r="Z137" i="697"/>
  <c r="Z220" i="697"/>
  <c r="Z394" i="697"/>
  <c r="Z305" i="697"/>
  <c r="Z164" i="697"/>
  <c r="Z138" i="697"/>
  <c r="Z139" i="697"/>
  <c r="Z186" i="697"/>
  <c r="Z221" i="697"/>
  <c r="Z281" i="697"/>
  <c r="Z331" i="697"/>
  <c r="Z262" i="697"/>
  <c r="Z263" i="697"/>
  <c r="Z306" i="697"/>
  <c r="Z320" i="697"/>
  <c r="Z332" i="697"/>
  <c r="Z199" i="697"/>
  <c r="Z373" i="697"/>
  <c r="Z357" i="697"/>
  <c r="Z282" i="697"/>
  <c r="Z165" i="697"/>
  <c r="Z166" i="697"/>
  <c r="Z167" i="697"/>
  <c r="Z168" i="697"/>
  <c r="Z169" i="697"/>
  <c r="Z170" i="697"/>
  <c r="Z333" i="697"/>
  <c r="Z374" i="697"/>
  <c r="Z187" i="697"/>
  <c r="Z200" i="697"/>
  <c r="Z173" i="697"/>
  <c r="Z201" i="697"/>
  <c r="Z265" i="697"/>
  <c r="Z266" i="697"/>
  <c r="Z235" i="697"/>
  <c r="Z188" i="697"/>
  <c r="Z189" i="697"/>
  <c r="Z190" i="697"/>
  <c r="Z191" i="697"/>
  <c r="Z192" i="697"/>
  <c r="Z193" i="697"/>
  <c r="Z194" i="697"/>
  <c r="Z195" i="697"/>
  <c r="Z215" i="697"/>
  <c r="Z307" i="697"/>
  <c r="Z179" i="697"/>
  <c r="Z180" i="697"/>
  <c r="Z313" i="697"/>
  <c r="Z267" i="697"/>
  <c r="Z268" i="697"/>
  <c r="Z269" i="697"/>
  <c r="Z222" i="697"/>
  <c r="Z334" i="697"/>
  <c r="Z375" i="697"/>
  <c r="Z202" i="697"/>
  <c r="Z335" i="697"/>
  <c r="Z442" i="697"/>
  <c r="Z203" i="697"/>
  <c r="Z204" i="697"/>
  <c r="Z301" i="697"/>
  <c r="Z376" i="697"/>
  <c r="Z223" i="697"/>
  <c r="Z224" i="697"/>
  <c r="Z225" i="697"/>
  <c r="Z226" i="697"/>
  <c r="Z205" i="697"/>
  <c r="Z303" i="697"/>
  <c r="Z336" i="697"/>
  <c r="Z337" i="697"/>
  <c r="Z308" i="697"/>
  <c r="Z216" i="697"/>
  <c r="Z212" i="697"/>
  <c r="Z338" i="697"/>
  <c r="Z530" i="697"/>
  <c r="Z395" i="697"/>
  <c r="Z217" i="697"/>
  <c r="Z377" i="697"/>
  <c r="Z218" i="697"/>
  <c r="Z227" i="697"/>
  <c r="Z297" i="697"/>
  <c r="Z339" i="697"/>
  <c r="Z340" i="697"/>
  <c r="Z228" i="697"/>
  <c r="Z298" i="697"/>
  <c r="Z504" i="697"/>
  <c r="Z242" i="697"/>
  <c r="Z341" i="697"/>
  <c r="Z314" i="697"/>
  <c r="Z361" i="697"/>
  <c r="Z342" i="697"/>
  <c r="Z283" i="697"/>
  <c r="Z531" i="697"/>
  <c r="Z270" i="697"/>
  <c r="Z271" i="697"/>
  <c r="Z343" i="697"/>
  <c r="Z315" i="697"/>
  <c r="Z239" i="697"/>
  <c r="Z344" i="697"/>
  <c r="Z345" i="697"/>
  <c r="Z346" i="697"/>
  <c r="Z411" i="697"/>
  <c r="Z378" i="697"/>
  <c r="Z347" i="697"/>
  <c r="Z379" i="697"/>
  <c r="Z406" i="697"/>
  <c r="Z362" i="697"/>
  <c r="Z363" i="697"/>
  <c r="Z243" i="697"/>
  <c r="Z364" i="697"/>
  <c r="Z407" i="697"/>
  <c r="Z348" i="697"/>
  <c r="Z380" i="697"/>
  <c r="Z272" i="697"/>
  <c r="Z246" i="697"/>
  <c r="Z287" i="697"/>
  <c r="Z365" i="697"/>
  <c r="Z274" i="697"/>
  <c r="Z247" i="697"/>
  <c r="Z248" i="697"/>
  <c r="Z249" i="697"/>
  <c r="Z250" i="697"/>
  <c r="Z251" i="697"/>
  <c r="Z273" i="697"/>
  <c r="Z288" i="697"/>
  <c r="Z289" i="697"/>
  <c r="Z422" i="697"/>
  <c r="Z388" i="697"/>
  <c r="Z302" i="697"/>
  <c r="Z290" i="697"/>
  <c r="Z316" i="697"/>
  <c r="Z317" i="697"/>
  <c r="Z291" i="697"/>
  <c r="Z292" i="697"/>
  <c r="Z293" i="697"/>
  <c r="Z294" i="697"/>
  <c r="Z264" i="697"/>
  <c r="Z389" i="697"/>
  <c r="Z460" i="697"/>
  <c r="Z461" i="697"/>
  <c r="Z462" i="697"/>
  <c r="Z463" i="697"/>
  <c r="Z464" i="697"/>
  <c r="Z505" i="697"/>
  <c r="Z669" i="697"/>
  <c r="Z423" i="697"/>
  <c r="Z396" i="697"/>
  <c r="Z409" i="697"/>
  <c r="Z381" i="697"/>
  <c r="Z424" i="697"/>
  <c r="Z382" i="697"/>
  <c r="Z443" i="697"/>
  <c r="Z506" i="697"/>
  <c r="Z507" i="697"/>
  <c r="Z523" i="697"/>
  <c r="Z485" i="697"/>
  <c r="Z295" i="697"/>
  <c r="Z296" i="697"/>
  <c r="Z524" i="697"/>
  <c r="Z425" i="697"/>
  <c r="Z410" i="697"/>
  <c r="Z444" i="697"/>
  <c r="Z352" i="697"/>
  <c r="Z397" i="697"/>
  <c r="Z299" i="697"/>
  <c r="Z300" i="697"/>
  <c r="Z383" i="697"/>
  <c r="Z508" i="697"/>
  <c r="Z509" i="697"/>
  <c r="Z510" i="697"/>
  <c r="Z384" i="697"/>
  <c r="Z426" i="697"/>
  <c r="Z532" i="697"/>
  <c r="Z304" i="697"/>
  <c r="Z614" i="697"/>
  <c r="Z360" i="697"/>
  <c r="Z427" i="697"/>
  <c r="Z428" i="697"/>
  <c r="Z309" i="697"/>
  <c r="Z465" i="697"/>
  <c r="Z466" i="697"/>
  <c r="Z310" i="697"/>
  <c r="Z543" i="697"/>
  <c r="Z544" i="697"/>
  <c r="Z311" i="697"/>
  <c r="Z445" i="697"/>
  <c r="Z413" i="697"/>
  <c r="Z450" i="697"/>
  <c r="Z487" i="697"/>
  <c r="Z318" i="697"/>
  <c r="Z319" i="697"/>
  <c r="Z518" i="697"/>
  <c r="Z519" i="697"/>
  <c r="Z451" i="697"/>
  <c r="Z452" i="697"/>
  <c r="Z429" i="697"/>
  <c r="Z467" i="697"/>
  <c r="Z468" i="697"/>
  <c r="Z390" i="697"/>
  <c r="Z326" i="697"/>
  <c r="Z321" i="697"/>
  <c r="Z322" i="697"/>
  <c r="Z323" i="697"/>
  <c r="Z324" i="697"/>
  <c r="Z325" i="697"/>
  <c r="Z391" i="697"/>
  <c r="Z353" i="697"/>
  <c r="Z385" i="697"/>
  <c r="Z671" i="697"/>
  <c r="Z327" i="697"/>
  <c r="Z328" i="697"/>
  <c r="Z386" i="697"/>
  <c r="Z400" i="697"/>
  <c r="Z401" i="697"/>
  <c r="Z329" i="697"/>
  <c r="Z354" i="697"/>
  <c r="Z355" i="697"/>
  <c r="Z469" i="697"/>
  <c r="Z358" i="697"/>
  <c r="Z520" i="697"/>
  <c r="Z430" i="697"/>
  <c r="Z367" i="697"/>
  <c r="Z453" i="697"/>
  <c r="Z623" i="697"/>
  <c r="Z546" i="697"/>
  <c r="Z624" i="697"/>
  <c r="Z625" i="697"/>
  <c r="Z431" i="697"/>
  <c r="Z350" i="697"/>
  <c r="Z446" i="697"/>
  <c r="Z414" i="697"/>
  <c r="Z432" i="697"/>
  <c r="Z454" i="697"/>
  <c r="Z351" i="697"/>
  <c r="Z455" i="697"/>
  <c r="Z488" i="697"/>
  <c r="Z502" i="697"/>
  <c r="Z369" i="697"/>
  <c r="Z370" i="697"/>
  <c r="Z470" i="697"/>
  <c r="Z402" i="697"/>
  <c r="Z356" i="697"/>
  <c r="Z371" i="697"/>
  <c r="Z489" i="697"/>
  <c r="Z626" i="697"/>
  <c r="Z627" i="697"/>
  <c r="Z490" i="697"/>
  <c r="Z359" i="697"/>
  <c r="Z471" i="697"/>
  <c r="Z368" i="697"/>
  <c r="Z525" i="697"/>
  <c r="Z472" i="697"/>
  <c r="Z366" i="697"/>
  <c r="Z491" i="697"/>
  <c r="Z492" i="697"/>
  <c r="Z433" i="697"/>
  <c r="Z473" i="697"/>
  <c r="Z493" i="697"/>
  <c r="Z372" i="697"/>
  <c r="Z526" i="697"/>
  <c r="Z387" i="697"/>
  <c r="Z474" i="697"/>
  <c r="Z475" i="697"/>
  <c r="Z476" i="697"/>
  <c r="Z477" i="697"/>
  <c r="Z398" i="697"/>
  <c r="Z434" i="697"/>
  <c r="Z628" i="697"/>
  <c r="Z527" i="697"/>
  <c r="Z545" i="697"/>
  <c r="Z392" i="697"/>
  <c r="Z435" i="697"/>
  <c r="Z436" i="697"/>
  <c r="Z393" i="697"/>
  <c r="Z403" i="697"/>
  <c r="Z404" i="697"/>
  <c r="Z511" i="697"/>
  <c r="Z512" i="697"/>
  <c r="Z513" i="697"/>
  <c r="Z514" i="697"/>
  <c r="Z670" i="697"/>
  <c r="Z478" i="697"/>
  <c r="Z494" i="697"/>
  <c r="Z629" i="697"/>
  <c r="Z584" i="697"/>
  <c r="Z405" i="697"/>
  <c r="Z538" i="697"/>
  <c r="Z539" i="697"/>
  <c r="Z528" i="697"/>
  <c r="Z554" i="697"/>
  <c r="Z555" i="697"/>
  <c r="Z412" i="697"/>
  <c r="Z637" i="697"/>
  <c r="Z415" i="697"/>
  <c r="Z479" i="697"/>
  <c r="Z480" i="697"/>
  <c r="Z615" i="697"/>
  <c r="Z592" i="697"/>
  <c r="Z441" i="697"/>
  <c r="Z662" i="697"/>
  <c r="Z447" i="697"/>
  <c r="Z416" i="697"/>
  <c r="Z417" i="697"/>
  <c r="Z418" i="697"/>
  <c r="Z419" i="697"/>
  <c r="Z420" i="697"/>
  <c r="Z421" i="697"/>
  <c r="Z486" i="697"/>
  <c r="Z498" i="697"/>
  <c r="Z499" i="697"/>
  <c r="Z448" i="697"/>
  <c r="Z449" i="697"/>
  <c r="Z457" i="697"/>
  <c r="Z481" i="697"/>
  <c r="Z515" i="697"/>
  <c r="Z677" i="697"/>
  <c r="Z439" i="697"/>
  <c r="Z672" i="697"/>
  <c r="Z616" i="697"/>
  <c r="Z617" i="697"/>
  <c r="Z529" i="697"/>
  <c r="Z437" i="697"/>
  <c r="Z438" i="697"/>
  <c r="Z547" i="697"/>
  <c r="Z548" i="697"/>
  <c r="Z714" i="697"/>
  <c r="Z673" i="697"/>
  <c r="Z440" i="697"/>
  <c r="Z500" i="697"/>
  <c r="Z715" i="697"/>
  <c r="Z716" i="697"/>
  <c r="Z657" i="697"/>
  <c r="Z638" i="697"/>
  <c r="Z456" i="697"/>
  <c r="Z639" i="697"/>
  <c r="Z593" i="697"/>
  <c r="Z674" i="697"/>
  <c r="Z556" i="697"/>
  <c r="Z594" i="697"/>
  <c r="Z459" i="697"/>
  <c r="Z458" i="697"/>
  <c r="Z645" i="697"/>
  <c r="Z482" i="697"/>
  <c r="Z675" i="697"/>
  <c r="Z676" i="697"/>
  <c r="Z483" i="697"/>
  <c r="Z663" i="697"/>
  <c r="Z682" i="697"/>
  <c r="Z557" i="697"/>
  <c r="Z558" i="697"/>
  <c r="Z559" i="697"/>
  <c r="Z560" i="697"/>
  <c r="Z678" i="697"/>
  <c r="Z595" i="697"/>
  <c r="Z484" i="697"/>
  <c r="Z495" i="697"/>
  <c r="Z561" i="697"/>
  <c r="Z562" i="697"/>
  <c r="Z563" i="697"/>
  <c r="Z564" i="697"/>
  <c r="Z731" i="697"/>
  <c r="Z658" i="697"/>
  <c r="Z590" i="697"/>
  <c r="Z497" i="697"/>
  <c r="Z496" i="697"/>
  <c r="Z516" i="697"/>
  <c r="Z517" i="697"/>
  <c r="Z618" i="697"/>
  <c r="Z619" i="697"/>
  <c r="Z679" i="697"/>
  <c r="Z501" i="697"/>
  <c r="Z503" i="697"/>
  <c r="Z620" i="697"/>
  <c r="Z596" i="697"/>
  <c r="Z701" i="697"/>
  <c r="Z664" i="697"/>
  <c r="Z659" i="697"/>
  <c r="Z680" i="697"/>
  <c r="Z565" i="697"/>
  <c r="Z566" i="697"/>
  <c r="Z567" i="697"/>
  <c r="Z568" i="697"/>
  <c r="Z621" i="697"/>
  <c r="Z702" i="697"/>
  <c r="Z732" i="697"/>
  <c r="Z751" i="697"/>
  <c r="Z717" i="697"/>
  <c r="Z646" i="697"/>
  <c r="Z521" i="697"/>
  <c r="Z681" i="697"/>
  <c r="Z522" i="697"/>
  <c r="Z533" i="697"/>
  <c r="Z549" i="697"/>
  <c r="Z577" i="697"/>
  <c r="Z610" i="697"/>
  <c r="Z752" i="697"/>
  <c r="Z534" i="697"/>
  <c r="Z581" i="697"/>
  <c r="Z587" i="697"/>
  <c r="Z588" i="697"/>
  <c r="Z660" i="697"/>
  <c r="Z718" i="697"/>
  <c r="Z550" i="697"/>
  <c r="Z551" i="697"/>
  <c r="Z552" i="697"/>
  <c r="Z753" i="697"/>
  <c r="Z782" i="697"/>
  <c r="Z536" i="697"/>
  <c r="Z683" i="697"/>
  <c r="Z866" i="697"/>
  <c r="Z578" i="697"/>
  <c r="Z535" i="697"/>
  <c r="Z684" i="697"/>
  <c r="Z754" i="697"/>
  <c r="Z537" i="697"/>
  <c r="Z540" i="697"/>
  <c r="Z755" i="697"/>
  <c r="Z685" i="697"/>
  <c r="Z686" i="697"/>
  <c r="Z705" i="697"/>
  <c r="Z541" i="697"/>
  <c r="Z542" i="697"/>
  <c r="Z687" i="697"/>
  <c r="Z733" i="697"/>
  <c r="Z836" i="697"/>
  <c r="Z756" i="697"/>
  <c r="Z569" i="697"/>
  <c r="Z706" i="697"/>
  <c r="Z707" i="697"/>
  <c r="Z734" i="697"/>
  <c r="Z735" i="697"/>
  <c r="Z580" i="697"/>
  <c r="Z585" i="697"/>
  <c r="Z630" i="697"/>
  <c r="Z553" i="697"/>
  <c r="Z749" i="697"/>
  <c r="Z688" i="697"/>
  <c r="Z837" i="697"/>
  <c r="Z634" i="697"/>
  <c r="Z757" i="697"/>
  <c r="Z783" i="697"/>
  <c r="Z689" i="697"/>
  <c r="Z576" i="697"/>
  <c r="Z758" i="697"/>
  <c r="Z759" i="697"/>
  <c r="Z760" i="697"/>
  <c r="Z690" i="697"/>
  <c r="Z579" i="697"/>
  <c r="Z784" i="697"/>
  <c r="Z838" i="697"/>
  <c r="Z761" i="697"/>
  <c r="Z811" i="697"/>
  <c r="Z691" i="697"/>
  <c r="Z815" i="697"/>
  <c r="Z889" i="697"/>
  <c r="Z582" i="697"/>
  <c r="Z665" i="697"/>
  <c r="Z583" i="697"/>
  <c r="Z586" i="697"/>
  <c r="Z692" i="697"/>
  <c r="Z719" i="697"/>
  <c r="Z661" i="697"/>
  <c r="Z762" i="697"/>
  <c r="Z763" i="697"/>
  <c r="Z611" i="697"/>
  <c r="Z816" i="697"/>
  <c r="Z720" i="697"/>
  <c r="Z693" i="697"/>
  <c r="Z589" i="697"/>
  <c r="Z839" i="697"/>
  <c r="Z591" i="697"/>
  <c r="Z721" i="697"/>
  <c r="Z597" i="697"/>
  <c r="Z598" i="697"/>
  <c r="Z764" i="697"/>
  <c r="Z694" i="697"/>
  <c r="Z840" i="697"/>
  <c r="Z793" i="697"/>
  <c r="Z765" i="697"/>
  <c r="Z601" i="697"/>
  <c r="Z695" i="697"/>
  <c r="Z599" i="697"/>
  <c r="Z600" i="697"/>
  <c r="Z812" i="697"/>
  <c r="Z785" i="697"/>
  <c r="Z722" i="697"/>
  <c r="Z602" i="697"/>
  <c r="Z603" i="697"/>
  <c r="Z604" i="697"/>
  <c r="Z605" i="697"/>
  <c r="Z606" i="697"/>
  <c r="Z607" i="697"/>
  <c r="Z608" i="697"/>
  <c r="Z609" i="697"/>
  <c r="Z738" i="697"/>
  <c r="Z739" i="697"/>
  <c r="Z740" i="697"/>
  <c r="Z741" i="697"/>
  <c r="Z742" i="697"/>
  <c r="Z766" i="697"/>
  <c r="Z923" i="697"/>
  <c r="Z902" i="697"/>
  <c r="Z654" i="697"/>
  <c r="Z723" i="697"/>
  <c r="Z647" i="697"/>
  <c r="Z854" i="697"/>
  <c r="Z648" i="697"/>
  <c r="Z696" i="697"/>
  <c r="Z697" i="697"/>
  <c r="Z649" i="697"/>
  <c r="Z650" i="697"/>
  <c r="Z698" i="697"/>
  <c r="Z612" i="697"/>
  <c r="Z613" i="697"/>
  <c r="Z651" i="697"/>
  <c r="Z767" i="697"/>
  <c r="Z768" i="697"/>
  <c r="Z631" i="697"/>
  <c r="Z743" i="697"/>
  <c r="Z622" i="697"/>
  <c r="Z841" i="697"/>
  <c r="Z769" i="697"/>
  <c r="Z632" i="697"/>
  <c r="Z633" i="697"/>
  <c r="Z770" i="697"/>
  <c r="Z640" i="697"/>
  <c r="Z744" i="697"/>
  <c r="Z890" i="697"/>
  <c r="Z867" i="697"/>
  <c r="Z855" i="697"/>
  <c r="Z635" i="697"/>
  <c r="Z891" i="697"/>
  <c r="Z699" i="697"/>
  <c r="Z903" i="697"/>
  <c r="Z773" i="697"/>
  <c r="Z636" i="697"/>
  <c r="Z641" i="697"/>
  <c r="Z652" i="697"/>
  <c r="Z642" i="697"/>
  <c r="Z643" i="697"/>
  <c r="Z868" i="697"/>
  <c r="Z892" i="697"/>
  <c r="Z856" i="697"/>
  <c r="Z842" i="697"/>
  <c r="Z893" i="697"/>
  <c r="Z843" i="697"/>
  <c r="Z644" i="697"/>
  <c r="Z799" i="697"/>
  <c r="Z844" i="697"/>
  <c r="Z857" i="697"/>
  <c r="Z653" i="697"/>
  <c r="Z655" i="697"/>
  <c r="Z858" i="697"/>
  <c r="Z656" i="697"/>
  <c r="Z745" i="697"/>
  <c r="Z746" i="697"/>
  <c r="Z666" i="697"/>
  <c r="Z859" i="697"/>
  <c r="Z747" i="697"/>
  <c r="Z924" i="697"/>
  <c r="Z925" i="697"/>
  <c r="Z926" i="697"/>
  <c r="Z869" i="697"/>
  <c r="Z667" i="697"/>
  <c r="Z750" i="697"/>
  <c r="Z668" i="697"/>
  <c r="Z845" i="697"/>
  <c r="Z1029" i="697"/>
  <c r="Z700" i="697"/>
  <c r="Z703" i="697"/>
  <c r="Z704" i="697"/>
  <c r="Z927" i="697"/>
  <c r="Z928" i="697"/>
  <c r="Z879" i="697"/>
  <c r="Z846" i="697"/>
  <c r="Z929" i="697"/>
  <c r="Z860" i="697"/>
  <c r="Z794" i="697"/>
  <c r="Z861" i="697"/>
  <c r="Z930" i="697"/>
  <c r="Z894" i="697"/>
  <c r="Z870" i="697"/>
  <c r="Z862" i="697"/>
  <c r="Z931" i="697"/>
  <c r="Z932" i="697"/>
  <c r="Z933" i="697"/>
  <c r="Z708" i="697"/>
  <c r="Z709" i="697"/>
  <c r="Z710" i="697"/>
  <c r="Z711" i="697"/>
  <c r="Z712" i="697"/>
  <c r="Z713" i="697"/>
  <c r="Z786" i="697"/>
  <c r="Z787" i="697"/>
  <c r="Z952" i="697"/>
  <c r="Z788" i="697"/>
  <c r="Z809" i="697"/>
  <c r="Z810" i="697"/>
  <c r="Z736" i="697"/>
  <c r="Z748" i="697"/>
  <c r="Z774" i="697"/>
  <c r="Z775" i="697"/>
  <c r="Z776" i="697"/>
  <c r="Z789" i="697"/>
  <c r="Z934" i="697"/>
  <c r="Z724" i="697"/>
  <c r="Z725" i="697"/>
  <c r="Z726" i="697"/>
  <c r="Z727" i="697"/>
  <c r="Z790" i="697"/>
  <c r="Z1021" i="697"/>
  <c r="Z728" i="697"/>
  <c r="Z729" i="697"/>
  <c r="Z730" i="697"/>
  <c r="Z953" i="697"/>
  <c r="Z871" i="697"/>
  <c r="Z817" i="697"/>
  <c r="Z737" i="697"/>
  <c r="Z1084" i="697"/>
  <c r="Z880" i="697"/>
  <c r="Z863" i="697"/>
  <c r="Z570" i="697"/>
  <c r="Z571" i="697"/>
  <c r="Z572" i="697"/>
  <c r="Z573" i="697"/>
  <c r="Z574" i="697"/>
  <c r="Z575" i="697"/>
  <c r="Z771" i="697"/>
  <c r="Z772" i="697"/>
  <c r="Z954" i="697"/>
  <c r="Z955" i="697"/>
  <c r="Z980" i="697"/>
  <c r="Z777" i="697"/>
  <c r="Z956" i="697"/>
  <c r="Z981" i="697"/>
  <c r="Z982" i="697"/>
  <c r="Z983" i="697"/>
  <c r="Z904" i="697"/>
  <c r="Z984" i="697"/>
  <c r="Z912" i="697"/>
  <c r="Z913" i="697"/>
  <c r="Z778" i="697"/>
  <c r="Z957" i="697"/>
  <c r="Z881" i="697"/>
  <c r="Z779" i="697"/>
  <c r="Z780" i="697"/>
  <c r="Z905" i="697"/>
  <c r="Z985" i="697"/>
  <c r="Z781" i="697"/>
  <c r="Z906" i="697"/>
  <c r="Z948" i="697"/>
  <c r="Z935" i="697"/>
  <c r="Z936" i="697"/>
  <c r="Z791" i="697"/>
  <c r="Z795" i="697"/>
  <c r="Z937" i="697"/>
  <c r="Z986" i="697"/>
  <c r="Z895" i="697"/>
  <c r="Z896" i="697"/>
  <c r="Z914" i="697"/>
  <c r="Z958" i="697"/>
  <c r="Z792" i="697"/>
  <c r="Z987" i="697"/>
  <c r="Z800" i="697"/>
  <c r="Z988" i="697"/>
  <c r="Z959" i="697"/>
  <c r="Z801" i="697"/>
  <c r="Z796" i="697"/>
  <c r="Z989" i="697"/>
  <c r="Z797" i="697"/>
  <c r="Z798" i="697"/>
  <c r="Z802" i="697"/>
  <c r="Z990" i="697"/>
  <c r="Z803" i="697"/>
  <c r="Z804" i="697"/>
  <c r="Z805" i="697"/>
  <c r="Z806" i="697"/>
  <c r="Z807" i="697"/>
  <c r="Z808" i="697"/>
  <c r="Z1022" i="697"/>
  <c r="Z1005" i="697"/>
  <c r="Z813" i="697"/>
  <c r="Z814" i="697"/>
  <c r="Z991" i="697"/>
  <c r="Z992" i="697"/>
  <c r="Z993" i="697"/>
  <c r="Z818" i="697"/>
  <c r="Z938" i="697"/>
  <c r="Z819" i="697"/>
  <c r="Z820" i="697"/>
  <c r="Z821" i="697"/>
  <c r="Z822" i="697"/>
  <c r="Z823" i="697"/>
  <c r="Z824" i="697"/>
  <c r="Z825" i="697"/>
  <c r="Z826" i="697"/>
  <c r="Z939" i="697"/>
  <c r="Z827" i="697"/>
  <c r="Z828" i="697"/>
  <c r="Z915" i="697"/>
  <c r="Z897" i="697"/>
  <c r="Z829" i="697"/>
  <c r="Z830" i="697"/>
  <c r="Z847" i="697"/>
  <c r="Z831" i="697"/>
  <c r="Z832" i="697"/>
  <c r="Z833" i="697"/>
  <c r="Z1000" i="697"/>
  <c r="Z960" i="697"/>
  <c r="Z834" i="697"/>
  <c r="Z1030" i="697"/>
  <c r="Z875" i="697"/>
  <c r="Z898" i="697"/>
  <c r="Z916" i="697"/>
  <c r="Z917" i="697"/>
  <c r="Z852" i="697"/>
  <c r="Z872" i="697"/>
  <c r="Z886" i="697"/>
  <c r="Z848" i="697"/>
  <c r="Z918" i="697"/>
  <c r="Z1143" i="697"/>
  <c r="Z876" i="697"/>
  <c r="Z877" i="697"/>
  <c r="Z878" i="697"/>
  <c r="Z994" i="697"/>
  <c r="Z850" i="697"/>
  <c r="Z849" i="697"/>
  <c r="Z1001" i="697"/>
  <c r="Z899" i="697"/>
  <c r="Z1002" i="697"/>
  <c r="Z1006" i="697"/>
  <c r="Z851" i="697"/>
  <c r="Z940" i="697"/>
  <c r="Z941" i="697"/>
  <c r="Z1007" i="697"/>
  <c r="Z995" i="697"/>
  <c r="Z1213" i="697"/>
  <c r="Z853" i="697"/>
  <c r="Z1023" i="697"/>
  <c r="Z1008" i="697"/>
  <c r="Z1044" i="697"/>
  <c r="Z864" i="697"/>
  <c r="Z865" i="697"/>
  <c r="Z942" i="697"/>
  <c r="Z1024" i="697"/>
  <c r="Z873" i="697"/>
  <c r="Z943" i="697"/>
  <c r="Z1045" i="697"/>
  <c r="Z1046" i="697"/>
  <c r="Z1047" i="697"/>
  <c r="Z874" i="697"/>
  <c r="Z1025" i="697"/>
  <c r="Z1031" i="697"/>
  <c r="Z1048" i="697"/>
  <c r="Z882" i="697"/>
  <c r="Z883" i="697"/>
  <c r="Z884" i="697"/>
  <c r="Z885" i="697"/>
  <c r="Z1049" i="697"/>
  <c r="Z1050" i="697"/>
  <c r="Z900" i="697"/>
  <c r="Z887" i="697"/>
  <c r="Z888" i="697"/>
  <c r="Z1091" i="697"/>
  <c r="Z1068" i="697"/>
  <c r="Z1075" i="697"/>
  <c r="Z901" i="697"/>
  <c r="Z1096" i="697"/>
  <c r="Z907" i="697"/>
  <c r="Z908" i="697"/>
  <c r="Z909" i="697"/>
  <c r="Z910" i="697"/>
  <c r="Z911" i="697"/>
  <c r="Z1168" i="697"/>
  <c r="Z944" i="697"/>
  <c r="Z1097" i="697"/>
  <c r="Z1069" i="697"/>
  <c r="Z1051" i="697"/>
  <c r="Z919" i="697"/>
  <c r="Z920" i="697"/>
  <c r="Z921" i="697"/>
  <c r="Z922" i="697"/>
  <c r="Z1076" i="697"/>
  <c r="Z945" i="697"/>
  <c r="Z1162" i="697"/>
  <c r="Z1169" i="697"/>
  <c r="Z1082" i="697"/>
  <c r="Z946" i="697"/>
  <c r="Z1083" i="697"/>
  <c r="Z1131" i="697"/>
  <c r="Z1077" i="697"/>
  <c r="Z1052" i="697"/>
  <c r="Z1098" i="697"/>
  <c r="Z1070" i="697"/>
  <c r="Z1085" i="697"/>
  <c r="Z947" i="697"/>
  <c r="Z9" i="697"/>
  <c r="Z1032" i="697"/>
  <c r="Z1053" i="697"/>
  <c r="Z949" i="697"/>
  <c r="Z950" i="697"/>
  <c r="Z1092" i="697"/>
  <c r="Z1099" i="697"/>
  <c r="Z1130" i="697"/>
  <c r="Z1078" i="697"/>
  <c r="Z951" i="697"/>
  <c r="Z1037" i="697"/>
  <c r="Z1071" i="697"/>
  <c r="Z1100" i="697"/>
  <c r="Z1086" i="697"/>
  <c r="Z1087" i="697"/>
  <c r="Z1101" i="697"/>
  <c r="Z1088" i="697"/>
  <c r="Z1239" i="697"/>
  <c r="Z1089" i="697"/>
  <c r="Z1009" i="697"/>
  <c r="Z972" i="697"/>
  <c r="Z1054" i="697"/>
  <c r="Z1033" i="697"/>
  <c r="Z1102" i="697"/>
  <c r="Z1010" i="697"/>
  <c r="Z961" i="697"/>
  <c r="Z962" i="697"/>
  <c r="Z963" i="697"/>
  <c r="Z964" i="697"/>
  <c r="Z965" i="697"/>
  <c r="Z966" i="697"/>
  <c r="Z967" i="697"/>
  <c r="Z968" i="697"/>
  <c r="Z969" i="697"/>
  <c r="Z970" i="697"/>
  <c r="Z971" i="697"/>
  <c r="Z1055" i="697"/>
  <c r="Z1056" i="697"/>
  <c r="Z1057" i="697"/>
  <c r="Z1058" i="697"/>
  <c r="Z1059" i="697"/>
  <c r="Z1060" i="697"/>
  <c r="Z1011" i="697"/>
  <c r="Z1190" i="697"/>
  <c r="Z1012" i="697"/>
  <c r="Z973" i="697"/>
  <c r="Z974" i="697"/>
  <c r="Z1124" i="697"/>
  <c r="Z996" i="697"/>
  <c r="Z1118" i="697"/>
  <c r="Z1013" i="697"/>
  <c r="Z1191" i="697"/>
  <c r="Z1014" i="697"/>
  <c r="Z975" i="697"/>
  <c r="Z1015" i="697"/>
  <c r="Z1016" i="697"/>
  <c r="Z976" i="697"/>
  <c r="Z1040" i="697"/>
  <c r="Z977" i="697"/>
  <c r="Z1093" i="697"/>
  <c r="Z1112" i="697"/>
  <c r="Z1017" i="697"/>
  <c r="Z1103" i="697"/>
  <c r="Z1018" i="697"/>
  <c r="Z1019" i="697"/>
  <c r="Z978" i="697"/>
  <c r="Z1214" i="697"/>
  <c r="Z1061" i="697"/>
  <c r="Z1104" i="697"/>
  <c r="Z1320" i="697"/>
  <c r="Z1293" i="697"/>
  <c r="Z1192" i="697"/>
  <c r="Z1207" i="697"/>
  <c r="Z1289" i="697"/>
  <c r="Z1253" i="697"/>
  <c r="Z1321" i="697"/>
  <c r="Z1240" i="697"/>
  <c r="Z1157" i="697"/>
  <c r="Z997" i="697"/>
  <c r="Z998" i="697"/>
  <c r="Z999" i="697"/>
  <c r="Z1520" i="697"/>
  <c r="Z1158" i="697"/>
  <c r="Z1132" i="697"/>
  <c r="Z1003" i="697"/>
  <c r="Z1062" i="697"/>
  <c r="Z1063" i="697"/>
  <c r="Z1004" i="697"/>
  <c r="Z1170" i="697"/>
  <c r="Z1020" i="697"/>
  <c r="Z1274" i="697"/>
  <c r="Z1278" i="697"/>
  <c r="Z1176" i="697"/>
  <c r="Z1294" i="697"/>
  <c r="Z1034" i="697"/>
  <c r="Z1163" i="697"/>
  <c r="Z1026" i="697"/>
  <c r="Z1027" i="697"/>
  <c r="Z1028" i="697"/>
  <c r="Z1521" i="697"/>
  <c r="Z1133" i="697"/>
  <c r="Z1177" i="697"/>
  <c r="Z1035" i="697"/>
  <c r="Z1036" i="697"/>
  <c r="Z1249" i="697"/>
  <c r="Z1171" i="697"/>
  <c r="Z1193" i="697"/>
  <c r="Z1038" i="697"/>
  <c r="Z1079" i="697"/>
  <c r="Z1178" i="697"/>
  <c r="Z1039" i="697"/>
  <c r="Z1230" i="697"/>
  <c r="Z1179" i="697"/>
  <c r="Z1113" i="697"/>
  <c r="Z1080" i="697"/>
  <c r="Z1180" i="697"/>
  <c r="Z1295" i="697"/>
  <c r="Z1041" i="697"/>
  <c r="Z1215" i="697"/>
  <c r="Z1042" i="697"/>
  <c r="Z1043" i="697"/>
  <c r="Z1072" i="697"/>
  <c r="Z1064" i="697"/>
  <c r="Z1065" i="697"/>
  <c r="Z1372" i="697"/>
  <c r="Z1066" i="697"/>
  <c r="Z1296" i="697"/>
  <c r="Z1067" i="697"/>
  <c r="Z1144" i="697"/>
  <c r="Z1181" i="697"/>
  <c r="Z1182" i="697"/>
  <c r="Z1204" i="697"/>
  <c r="Z1073" i="697"/>
  <c r="Z1074" i="697"/>
  <c r="Z1081" i="697"/>
  <c r="Z1183" i="697"/>
  <c r="Z1090" i="697"/>
  <c r="Z1322" i="697"/>
  <c r="Z1184" i="697"/>
  <c r="Z1229" i="697"/>
  <c r="Z1270" i="697"/>
  <c r="Z1194" i="697"/>
  <c r="Z1094" i="697"/>
  <c r="Z1323" i="697"/>
  <c r="Z1290" i="697"/>
  <c r="Z1216" i="697"/>
  <c r="Z1241" i="697"/>
  <c r="Z1105" i="697"/>
  <c r="Z1095" i="697"/>
  <c r="Z1217" i="697"/>
  <c r="Z1231" i="697"/>
  <c r="Z979" i="697"/>
  <c r="Z1106" i="697"/>
  <c r="Z1107" i="697"/>
  <c r="Z1271" i="697"/>
  <c r="Z1108" i="697"/>
  <c r="Z1297" i="697"/>
  <c r="Z1110" i="697"/>
  <c r="Z1138" i="697"/>
  <c r="Z1109" i="697"/>
  <c r="Z1111" i="697"/>
  <c r="Z1126" i="697"/>
  <c r="Z1145" i="697"/>
  <c r="Z1146" i="697"/>
  <c r="Z1134" i="697"/>
  <c r="Z1272" i="697"/>
  <c r="Z1273" i="697"/>
  <c r="Z1147" i="697"/>
  <c r="Z1148" i="697"/>
  <c r="Z1149" i="697"/>
  <c r="Z1150" i="697"/>
  <c r="Z1151" i="697"/>
  <c r="Z1114" i="697"/>
  <c r="Z1135" i="697"/>
  <c r="Z1127" i="697"/>
  <c r="Z1128" i="697"/>
  <c r="Z1266" i="697"/>
  <c r="Z1115" i="697"/>
  <c r="Z1116" i="697"/>
  <c r="Z1117" i="697"/>
  <c r="Z1152" i="697"/>
  <c r="Z1242" i="697"/>
  <c r="Z1119" i="697"/>
  <c r="Z1120" i="697"/>
  <c r="Z1218" i="697"/>
  <c r="Z1121" i="697"/>
  <c r="Z1122" i="697"/>
  <c r="Z1123" i="697"/>
  <c r="Z1195" i="697"/>
  <c r="Z1125" i="697"/>
  <c r="Z1129" i="697"/>
  <c r="Z1174" i="697"/>
  <c r="Z1136" i="697"/>
  <c r="Z1236" i="697"/>
  <c r="Z1326" i="697"/>
  <c r="Z1208" i="697"/>
  <c r="Z1254" i="697"/>
  <c r="Z1137" i="697"/>
  <c r="Z1365" i="697"/>
  <c r="Z1327" i="697"/>
  <c r="Z1139" i="697"/>
  <c r="Z1140" i="697"/>
  <c r="Z1141" i="697"/>
  <c r="Z1159" i="697"/>
  <c r="Z1153" i="697"/>
  <c r="Z1142" i="697"/>
  <c r="Z1160" i="697"/>
  <c r="Z1154" i="697"/>
  <c r="Z1155" i="697"/>
  <c r="Z1156" i="697"/>
  <c r="Z1366" i="697"/>
  <c r="Z1185" i="697"/>
  <c r="Z1161" i="697"/>
  <c r="Z1334" i="697"/>
  <c r="Z1255" i="697"/>
  <c r="Z1298" i="697"/>
  <c r="Z1267" i="697"/>
  <c r="Z1196" i="697"/>
  <c r="Z1197" i="697"/>
  <c r="Z1268" i="697"/>
  <c r="Z1164" i="697"/>
  <c r="Z1335" i="697"/>
  <c r="Z1328" i="697"/>
  <c r="Z1165" i="697"/>
  <c r="Z1166" i="697"/>
  <c r="Z1275" i="697"/>
  <c r="Z1276" i="697"/>
  <c r="Z1256" i="697"/>
  <c r="Z1172" i="697"/>
  <c r="Z1329" i="697"/>
  <c r="Z1324" i="697"/>
  <c r="Z1299" i="697"/>
  <c r="Z1186" i="697"/>
  <c r="Z1175" i="697"/>
  <c r="Z1173" i="697"/>
  <c r="Z1330" i="697"/>
  <c r="Z1300" i="697"/>
  <c r="Z1367" i="697"/>
  <c r="Z1368" i="697"/>
  <c r="Z1378" i="697"/>
  <c r="Z1377" i="697"/>
  <c r="Z1301" i="697"/>
  <c r="Z1331" i="697"/>
  <c r="Z1187" i="697"/>
  <c r="Z1188" i="697"/>
  <c r="Z1357" i="697"/>
  <c r="Z1369" i="697"/>
  <c r="Z1439" i="697"/>
  <c r="Z1302" i="697"/>
  <c r="Z1189" i="697"/>
  <c r="Z1277" i="697"/>
  <c r="Z1358" i="697"/>
  <c r="Z1198" i="697"/>
  <c r="Z1199" i="697"/>
  <c r="Z1200" i="697"/>
  <c r="Z1201" i="697"/>
  <c r="Z1202" i="697"/>
  <c r="Z1203" i="697"/>
  <c r="Z1209" i="697"/>
  <c r="Z1244" i="697"/>
  <c r="Z1359" i="697"/>
  <c r="Z1219" i="697"/>
  <c r="Z1220" i="697"/>
  <c r="Z1205" i="697"/>
  <c r="Z1167" i="697"/>
  <c r="Z1221" i="697"/>
  <c r="Z1222" i="697"/>
  <c r="Z1257" i="697"/>
  <c r="Z1206" i="697"/>
  <c r="Z1223" i="697"/>
  <c r="Z1224" i="697"/>
  <c r="Z1225" i="697"/>
  <c r="Z1210" i="697"/>
  <c r="Z1336" i="697"/>
  <c r="Z1337" i="697"/>
  <c r="Z1338" i="697"/>
  <c r="Z1339" i="697"/>
  <c r="Z1373" i="697"/>
  <c r="Z1258" i="697"/>
  <c r="Z1340" i="697"/>
  <c r="Z1211" i="697"/>
  <c r="Z1212" i="697"/>
  <c r="Z1226" i="697"/>
  <c r="Z1227" i="697"/>
  <c r="Z1285" i="697"/>
  <c r="Z1259" i="697"/>
  <c r="Z1228" i="697"/>
  <c r="Z1476" i="697"/>
  <c r="Z1379" i="697"/>
  <c r="Z1303" i="697"/>
  <c r="Z1345" i="697"/>
  <c r="Z1360" i="697"/>
  <c r="Z1440" i="697"/>
  <c r="Z1401" i="697"/>
  <c r="Z1344" i="697"/>
  <c r="Z1232" i="697"/>
  <c r="Z1361" i="697"/>
  <c r="Z1269" i="697"/>
  <c r="Z1233" i="697"/>
  <c r="Z1234" i="697"/>
  <c r="Z1423" i="697"/>
  <c r="Z1325" i="697"/>
  <c r="Z1245" i="697"/>
  <c r="Z1491" i="697"/>
  <c r="Z1235" i="697"/>
  <c r="Z1380" i="697"/>
  <c r="Z1495" i="697"/>
  <c r="Z1250" i="697"/>
  <c r="Z1363" i="697"/>
  <c r="Z1237" i="697"/>
  <c r="Z1238" i="697"/>
  <c r="Z1463" i="697"/>
  <c r="Z1374" i="697"/>
  <c r="Z1246" i="697"/>
  <c r="Z1243" i="697"/>
  <c r="Z1247" i="697"/>
  <c r="Z1410" i="697"/>
  <c r="Z1411" i="697"/>
  <c r="Z1370" i="697"/>
  <c r="Z1417" i="697"/>
  <c r="Z1381" i="697"/>
  <c r="Z1248" i="697"/>
  <c r="Z1251" i="697"/>
  <c r="Z1252" i="697"/>
  <c r="Z1432" i="697"/>
  <c r="Z1375" i="697"/>
  <c r="Z1382" i="697"/>
  <c r="Z1260" i="697"/>
  <c r="Z1280" i="697"/>
  <c r="Z1281" i="697"/>
  <c r="Z1282" i="697"/>
  <c r="Z1283" i="697"/>
  <c r="Z1284" i="697"/>
  <c r="Z1433" i="697"/>
  <c r="Z1434" i="697"/>
  <c r="Z1261" i="697"/>
  <c r="Z1264" i="697"/>
  <c r="Z1262" i="697"/>
  <c r="Z1263" i="697"/>
  <c r="Z1383" i="697"/>
  <c r="Z1265" i="697"/>
  <c r="Z1522" i="697"/>
  <c r="Z1394" i="697"/>
  <c r="Z1441" i="697"/>
  <c r="Z1305" i="697"/>
  <c r="Z1286" i="697"/>
  <c r="Z1306" i="697"/>
  <c r="Z1451" i="697"/>
  <c r="Z1455" i="697"/>
  <c r="Z1319" i="697"/>
  <c r="Z1435" i="697"/>
  <c r="Z1279" i="697"/>
  <c r="Z1287" i="697"/>
  <c r="Z1442" i="697"/>
  <c r="Z1412" i="697"/>
  <c r="Z1395" i="697"/>
  <c r="Z1288" i="697"/>
  <c r="Z1396" i="697"/>
  <c r="Z1510" i="697"/>
  <c r="Z1413" i="697"/>
  <c r="Z1389" i="697"/>
  <c r="Z1291" i="697"/>
  <c r="Z1492" i="697"/>
  <c r="Z1496" i="697"/>
  <c r="Z1390" i="697"/>
  <c r="Z1304" i="697"/>
  <c r="Z1397" i="697"/>
  <c r="Z1418" i="697"/>
  <c r="Z1317" i="697"/>
  <c r="Z1307" i="697"/>
  <c r="Z1308" i="697"/>
  <c r="Z1309" i="697"/>
  <c r="Z1310" i="697"/>
  <c r="Z1311" i="697"/>
  <c r="Z1312" i="697"/>
  <c r="Z1313" i="697"/>
  <c r="Z1314" i="697"/>
  <c r="Z1315" i="697"/>
  <c r="Z1316" i="697"/>
  <c r="Z1398" i="697"/>
  <c r="Z1414" i="697"/>
  <c r="Z1346" i="697"/>
  <c r="Z1347" i="697"/>
  <c r="Z1464" i="697"/>
  <c r="Z1348" i="697"/>
  <c r="Z1349" i="697"/>
  <c r="Z1350" i="697"/>
  <c r="Z1399" i="697"/>
  <c r="Z1400" i="697"/>
  <c r="Z1351" i="697"/>
  <c r="Z1352" i="697"/>
  <c r="Z1386" i="697"/>
  <c r="Z1318" i="697"/>
  <c r="Z1353" i="697"/>
  <c r="Z1354" i="697"/>
  <c r="Z1429" i="697"/>
  <c r="Z1477" i="697"/>
  <c r="Z1523" i="697"/>
  <c r="Z1524" i="697"/>
  <c r="Z1355" i="697"/>
  <c r="Z1332" i="697"/>
  <c r="Z1333" i="697"/>
  <c r="Z1525" i="697"/>
  <c r="Z1478" i="697"/>
  <c r="Z1472" i="697"/>
  <c r="Z1511" i="697"/>
  <c r="Z1342" i="697"/>
  <c r="Z1341" i="697"/>
  <c r="Z1424" i="697"/>
  <c r="Z1343" i="697"/>
  <c r="Z1474" i="697"/>
  <c r="Z1516" i="697"/>
  <c r="Z1479" i="697"/>
  <c r="Z1526" i="697"/>
  <c r="Z1465" i="697"/>
  <c r="Z1425" i="697"/>
  <c r="Z1480" i="697"/>
  <c r="Z1356" i="697"/>
  <c r="Z1481" i="697"/>
  <c r="Z1512" i="697"/>
  <c r="Z1473" i="697"/>
  <c r="Z1482" i="697"/>
  <c r="Z1362" i="697"/>
  <c r="Z1483" i="697"/>
  <c r="Z1484" i="697"/>
  <c r="Z1391" i="697"/>
  <c r="Z1364" i="697"/>
  <c r="Z1527" i="697"/>
  <c r="Z1513" i="697"/>
  <c r="Z1376" i="697"/>
  <c r="Z1402" i="697"/>
  <c r="Z1403" i="697"/>
  <c r="Z1404" i="697"/>
  <c r="Z1405" i="697"/>
  <c r="Z1371" i="697"/>
  <c r="Z1528" i="697"/>
  <c r="Z1436" i="697"/>
  <c r="Z1529" i="697"/>
  <c r="Z1437" i="697"/>
  <c r="Z1530" i="697"/>
  <c r="Z1485" i="697"/>
  <c r="Z1531" i="697"/>
  <c r="Z1514" i="697"/>
  <c r="Z1532" i="697"/>
  <c r="Z1486" i="697"/>
  <c r="Z1533" i="697"/>
  <c r="Z1384" i="697"/>
  <c r="Z1385" i="697"/>
  <c r="Z1387" i="697"/>
  <c r="Z1534" i="697"/>
  <c r="Z1535" i="697"/>
  <c r="Z1536" i="697"/>
  <c r="Z1388" i="697"/>
  <c r="Z1392" i="697"/>
  <c r="Z1393" i="697"/>
  <c r="Z1416" i="697"/>
  <c r="Z1537" i="697"/>
  <c r="Z1406" i="697"/>
  <c r="Z1538" i="697"/>
  <c r="Z1407" i="697"/>
  <c r="Z1539" i="697"/>
  <c r="Z1438" i="697"/>
  <c r="Z1487" i="697"/>
  <c r="Z1540" i="697"/>
  <c r="Z1443" i="697"/>
  <c r="Z1444" i="697"/>
  <c r="Z1445" i="697"/>
  <c r="Z1420" i="697"/>
  <c r="Z1408" i="697"/>
  <c r="Z1497" i="697"/>
  <c r="Z1498" i="697"/>
  <c r="Z1499" i="697"/>
  <c r="Z1446" i="697"/>
  <c r="Z1517" i="697"/>
  <c r="Z1518" i="697"/>
  <c r="Z1489" i="697"/>
  <c r="Z1541" i="697"/>
  <c r="Z1447" i="697"/>
  <c r="Z1448" i="697"/>
  <c r="Z1542" i="697"/>
  <c r="Z1415" i="697"/>
  <c r="Z1488" i="697"/>
  <c r="Z1543" i="697"/>
  <c r="Z1544" i="697"/>
  <c r="Z1545" i="697"/>
  <c r="Z1419" i="697"/>
  <c r="Z1546" i="697"/>
  <c r="Z1547" i="697"/>
  <c r="Z1421" i="697"/>
  <c r="Z1422" i="697"/>
  <c r="Z1548" i="697"/>
  <c r="Z1459" i="697"/>
  <c r="Z1549" i="697"/>
  <c r="Z1426" i="697"/>
  <c r="Z1460" i="697"/>
  <c r="Z1461" i="697"/>
  <c r="Z1427" i="697"/>
  <c r="Z1428" i="697"/>
  <c r="Z1449" i="697"/>
  <c r="Z1431" i="697"/>
  <c r="Z1430" i="697"/>
  <c r="Z1490" i="697"/>
  <c r="Z1452" i="697"/>
  <c r="Z1550" i="697"/>
  <c r="Z1456" i="697"/>
  <c r="Z1450" i="697"/>
  <c r="Z1551" i="697"/>
  <c r="Z1552" i="697"/>
  <c r="Z1519" i="697"/>
  <c r="Z1457" i="697"/>
  <c r="Z1458" i="697"/>
  <c r="Z1462" i="697"/>
  <c r="Z1453" i="697"/>
  <c r="Z1409" i="697"/>
  <c r="Z1454" i="697"/>
  <c r="Z1553" i="697"/>
  <c r="Z1554" i="697"/>
  <c r="Z1555" i="697"/>
  <c r="Z1556" i="697"/>
  <c r="Z1557" i="697"/>
  <c r="Z1558" i="697"/>
  <c r="Z1466" i="697"/>
  <c r="Z1467" i="697"/>
  <c r="Z1468" i="697"/>
  <c r="Z1469" i="697"/>
  <c r="Z1559" i="697"/>
  <c r="Z1475" i="697"/>
  <c r="Z1470" i="697"/>
  <c r="Z1471" i="697"/>
  <c r="Z1560" i="697"/>
  <c r="Z1561" i="697"/>
  <c r="Z1562" i="697"/>
  <c r="Z1563" i="697"/>
  <c r="Z1564" i="697"/>
  <c r="Z1565" i="697"/>
  <c r="Z1566" i="697"/>
  <c r="Z1567" i="697"/>
  <c r="Z1568" i="697"/>
  <c r="Z1569" i="697"/>
  <c r="Z1570" i="697"/>
  <c r="Z1571" i="697"/>
  <c r="Z1572" i="697"/>
  <c r="Z1493" i="697"/>
  <c r="Z1494" i="697"/>
  <c r="Z1573" i="697"/>
  <c r="Z1574" i="697"/>
  <c r="Z1575" i="697"/>
  <c r="Z1576" i="697"/>
  <c r="Z1577" i="697"/>
  <c r="Z1578" i="697"/>
  <c r="Z1579" i="697"/>
  <c r="Z1580" i="697"/>
  <c r="Z1581" i="697"/>
  <c r="Z1582" i="697"/>
  <c r="Z1583" i="697"/>
  <c r="Z1584" i="697"/>
  <c r="Z1585" i="697"/>
  <c r="Z1500" i="697"/>
  <c r="Z1501" i="697"/>
  <c r="Z1502" i="697"/>
  <c r="Z1503" i="697"/>
  <c r="Z1504" i="697"/>
  <c r="Z1505" i="697"/>
  <c r="Z1506" i="697"/>
  <c r="Z1586" i="697"/>
  <c r="Z1587" i="697"/>
  <c r="Z1588" i="697"/>
  <c r="Z1589" i="697"/>
  <c r="Z1507" i="697"/>
  <c r="Z1590" i="697"/>
  <c r="Z1508" i="697"/>
  <c r="Z1591" i="697"/>
  <c r="Z1592" i="697"/>
  <c r="Z1593" i="697"/>
  <c r="Z1509" i="697"/>
  <c r="Z1515" i="697"/>
  <c r="X1585" i="697" l="1"/>
  <c r="X1340" i="697"/>
  <c r="X1251" i="697"/>
  <c r="T1588" i="697"/>
  <c r="X1544" i="697"/>
  <c r="Y1251" i="697"/>
  <c r="X1342" i="697"/>
  <c r="X1493" i="697"/>
  <c r="Y1475" i="697"/>
  <c r="X1475" i="697"/>
  <c r="Y1454" i="697"/>
  <c r="X1454" i="697"/>
  <c r="Y1543" i="697"/>
  <c r="X1543" i="697"/>
  <c r="X1364" i="697"/>
  <c r="Y1364" i="697"/>
  <c r="Y1354" i="697"/>
  <c r="X1354" i="697"/>
  <c r="X1350" i="697"/>
  <c r="Y1350" i="697"/>
  <c r="X1394" i="697"/>
  <c r="Y1394" i="697"/>
  <c r="X1255" i="697"/>
  <c r="Y1255" i="697"/>
  <c r="Y1588" i="697"/>
  <c r="X1588" i="697"/>
  <c r="X1575" i="697"/>
  <c r="Y1575" i="697"/>
  <c r="X1569" i="697"/>
  <c r="Y1569" i="697"/>
  <c r="X1556" i="697"/>
  <c r="X1498" i="697"/>
  <c r="Y1498" i="697"/>
  <c r="X1437" i="697"/>
  <c r="Y1437" i="697"/>
  <c r="X1312" i="697"/>
  <c r="Y1312" i="697"/>
  <c r="X1412" i="697"/>
  <c r="Y1412" i="697"/>
  <c r="Y1238" i="697"/>
  <c r="X1238" i="697"/>
  <c r="X1258" i="697"/>
  <c r="Y1258" i="697"/>
  <c r="X1209" i="697"/>
  <c r="Y1276" i="697"/>
  <c r="X1276" i="697"/>
  <c r="Y1493" i="697"/>
  <c r="Y1209" i="697"/>
  <c r="X1565" i="697"/>
  <c r="X1492" i="697"/>
  <c r="X1326" i="697"/>
  <c r="Y1509" i="697"/>
  <c r="P1509" i="697" s="1"/>
  <c r="Q1509" i="697" s="1"/>
  <c r="R1509" i="697" s="1"/>
  <c r="X1509" i="697"/>
  <c r="X1579" i="697"/>
  <c r="Y1579" i="697"/>
  <c r="X1561" i="697"/>
  <c r="Y1561" i="697"/>
  <c r="X1467" i="697"/>
  <c r="Y1467" i="697"/>
  <c r="X1452" i="697"/>
  <c r="Y1452" i="697"/>
  <c r="Y1548" i="697"/>
  <c r="X1548" i="697"/>
  <c r="X1538" i="697"/>
  <c r="X1481" i="697"/>
  <c r="Y1481" i="697"/>
  <c r="X1282" i="697"/>
  <c r="Y1282" i="697"/>
  <c r="X1233" i="697"/>
  <c r="Y1233" i="697"/>
  <c r="X1345" i="697"/>
  <c r="Y1345" i="697"/>
  <c r="Y1222" i="697"/>
  <c r="X1222" i="697"/>
  <c r="X1369" i="697"/>
  <c r="Y1369" i="697"/>
  <c r="X1173" i="697"/>
  <c r="Y1173" i="697"/>
  <c r="X1141" i="697"/>
  <c r="Y1141" i="697"/>
  <c r="Y1119" i="697"/>
  <c r="X1119" i="697"/>
  <c r="Y1538" i="697"/>
  <c r="X1501" i="697"/>
  <c r="X1535" i="697"/>
  <c r="X1592" i="697"/>
  <c r="X1507" i="697"/>
  <c r="X1586" i="697"/>
  <c r="X1503" i="697"/>
  <c r="X1573" i="697"/>
  <c r="X1571" i="697"/>
  <c r="X1567" i="697"/>
  <c r="X1471" i="697"/>
  <c r="X1489" i="697"/>
  <c r="X1499" i="697"/>
  <c r="X1540" i="697"/>
  <c r="X1407" i="697"/>
  <c r="X1416" i="697"/>
  <c r="X1536" i="697"/>
  <c r="X1385" i="697"/>
  <c r="X1532" i="697"/>
  <c r="X1530" i="697"/>
  <c r="X1527" i="697"/>
  <c r="X1483" i="697"/>
  <c r="X1512" i="697"/>
  <c r="X1425" i="697"/>
  <c r="X1516" i="697"/>
  <c r="X1341" i="697"/>
  <c r="X1478" i="697"/>
  <c r="X1429" i="697"/>
  <c r="X1386" i="697"/>
  <c r="X1399" i="697"/>
  <c r="X1464" i="697"/>
  <c r="X1398" i="697"/>
  <c r="X1313" i="697"/>
  <c r="X1309" i="697"/>
  <c r="X1418" i="697"/>
  <c r="X1413" i="697"/>
  <c r="X1395" i="697"/>
  <c r="X1451" i="697"/>
  <c r="X1441" i="697"/>
  <c r="X1261" i="697"/>
  <c r="X1283" i="697"/>
  <c r="X1260" i="697"/>
  <c r="X1252" i="697"/>
  <c r="X1247" i="697"/>
  <c r="X1463" i="697"/>
  <c r="X1250" i="697"/>
  <c r="X1234" i="697"/>
  <c r="X1360" i="697"/>
  <c r="X1227" i="697"/>
  <c r="X1338" i="697"/>
  <c r="X1257" i="697"/>
  <c r="X1205" i="697"/>
  <c r="X1244" i="697"/>
  <c r="X1201" i="697"/>
  <c r="X1358" i="697"/>
  <c r="X1439" i="697"/>
  <c r="X1187" i="697"/>
  <c r="X1378" i="697"/>
  <c r="X1330" i="697"/>
  <c r="X1299" i="697"/>
  <c r="X1268" i="697"/>
  <c r="X1298" i="697"/>
  <c r="X1154" i="697"/>
  <c r="X1159" i="697"/>
  <c r="X1327" i="697"/>
  <c r="X1208" i="697"/>
  <c r="X1174" i="697"/>
  <c r="X1123" i="697"/>
  <c r="X1120" i="697"/>
  <c r="Y1580" i="697"/>
  <c r="X1580" i="697"/>
  <c r="Y1562" i="697"/>
  <c r="X1562" i="697"/>
  <c r="Y1586" i="697"/>
  <c r="Y1573" i="697"/>
  <c r="Y1527" i="697"/>
  <c r="Y1512" i="697"/>
  <c r="Y1516" i="697"/>
  <c r="Y1478" i="697"/>
  <c r="Y1429" i="697"/>
  <c r="Y1399" i="697"/>
  <c r="Y1398" i="697"/>
  <c r="Y1309" i="697"/>
  <c r="Y1395" i="697"/>
  <c r="Y1451" i="697"/>
  <c r="Y1244" i="697"/>
  <c r="Y1187" i="697"/>
  <c r="Y1208" i="697"/>
  <c r="X1459" i="697"/>
  <c r="X1542" i="697"/>
  <c r="X1383" i="697"/>
  <c r="X1491" i="697"/>
  <c r="X1225" i="697"/>
  <c r="X1165" i="697"/>
  <c r="Y1470" i="697"/>
  <c r="X1470" i="697"/>
  <c r="Y1557" i="697"/>
  <c r="X1557" i="697"/>
  <c r="Y1462" i="697"/>
  <c r="X1462" i="697"/>
  <c r="Y1550" i="697"/>
  <c r="X1550" i="697"/>
  <c r="Y1499" i="697"/>
  <c r="Y1540" i="697"/>
  <c r="Y1416" i="697"/>
  <c r="Y1385" i="697"/>
  <c r="Y1530" i="697"/>
  <c r="Y1283" i="697"/>
  <c r="Y1252" i="697"/>
  <c r="Y1247" i="697"/>
  <c r="Y1250" i="697"/>
  <c r="Y1234" i="697"/>
  <c r="Y1360" i="697"/>
  <c r="Y1227" i="697"/>
  <c r="Y1338" i="697"/>
  <c r="Y1205" i="697"/>
  <c r="Y1439" i="697"/>
  <c r="Y1299" i="697"/>
  <c r="Y1298" i="697"/>
  <c r="Y1327" i="697"/>
  <c r="Y1120" i="697"/>
  <c r="X1576" i="697"/>
  <c r="X1566" i="697"/>
  <c r="X1468" i="697"/>
  <c r="X1552" i="697"/>
  <c r="X1528" i="697"/>
  <c r="X1417" i="697"/>
  <c r="Y1577" i="697"/>
  <c r="X1577" i="697"/>
  <c r="Y1494" i="697"/>
  <c r="X1494" i="697"/>
  <c r="Y1547" i="697"/>
  <c r="X1547" i="697"/>
  <c r="X1476" i="697"/>
  <c r="Y1431" i="697"/>
  <c r="X1431" i="697"/>
  <c r="Y1567" i="697"/>
  <c r="Y1489" i="697"/>
  <c r="Y1407" i="697"/>
  <c r="Y1536" i="697"/>
  <c r="Y1532" i="697"/>
  <c r="Y1261" i="697"/>
  <c r="Y1260" i="697"/>
  <c r="Y1463" i="697"/>
  <c r="Y1476" i="697"/>
  <c r="Y1201" i="697"/>
  <c r="Y1378" i="697"/>
  <c r="Y1154" i="697"/>
  <c r="Y1174" i="697"/>
  <c r="X1581" i="697"/>
  <c r="X1570" i="697"/>
  <c r="X1563" i="697"/>
  <c r="X1553" i="697"/>
  <c r="X1461" i="697"/>
  <c r="X1444" i="697"/>
  <c r="X1447" i="697"/>
  <c r="X1405" i="697"/>
  <c r="Y1444" i="697"/>
  <c r="X1526" i="697"/>
  <c r="X1333" i="697"/>
  <c r="X1307" i="697"/>
  <c r="Y1307" i="697"/>
  <c r="X1319" i="697"/>
  <c r="X1551" i="697"/>
  <c r="X1546" i="697"/>
  <c r="X1518" i="697"/>
  <c r="X1393" i="697"/>
  <c r="X1514" i="697"/>
  <c r="X1362" i="697"/>
  <c r="X1474" i="697"/>
  <c r="X1352" i="697"/>
  <c r="X1316" i="697"/>
  <c r="X1510" i="697"/>
  <c r="X1306" i="697"/>
  <c r="X1382" i="697"/>
  <c r="X1243" i="697"/>
  <c r="X1344" i="697"/>
  <c r="X1226" i="697"/>
  <c r="X1220" i="697"/>
  <c r="X1277" i="697"/>
  <c r="X1324" i="697"/>
  <c r="X1197" i="697"/>
  <c r="X1365" i="697"/>
  <c r="X1122" i="697"/>
  <c r="Y1572" i="697"/>
  <c r="X1572" i="697"/>
  <c r="X1564" i="697"/>
  <c r="Y1564" i="697"/>
  <c r="Y1466" i="697"/>
  <c r="X1466" i="697"/>
  <c r="Y1426" i="697"/>
  <c r="X1426" i="697"/>
  <c r="X1419" i="697"/>
  <c r="X1438" i="697"/>
  <c r="X1392" i="697"/>
  <c r="X1482" i="697"/>
  <c r="Y1482" i="697"/>
  <c r="X1457" i="697"/>
  <c r="X1533" i="697"/>
  <c r="X1346" i="697"/>
  <c r="Y1568" i="697"/>
  <c r="X1568" i="697"/>
  <c r="Y1560" i="697"/>
  <c r="X1560" i="697"/>
  <c r="Y1409" i="697"/>
  <c r="X1409" i="697"/>
  <c r="X1490" i="697"/>
  <c r="Y1422" i="697"/>
  <c r="X1422" i="697"/>
  <c r="X1497" i="697"/>
  <c r="X1534" i="697"/>
  <c r="X1356" i="697"/>
  <c r="Y1419" i="697"/>
  <c r="Y1497" i="697"/>
  <c r="Y1392" i="697"/>
  <c r="Y1447" i="697"/>
  <c r="Y1438" i="697"/>
  <c r="Y1526" i="697"/>
  <c r="Y1319" i="697"/>
  <c r="X1428" i="697"/>
  <c r="X1380" i="697"/>
  <c r="X1259" i="697"/>
  <c r="X1301" i="697"/>
  <c r="X1335" i="697"/>
  <c r="Y1582" i="697"/>
  <c r="X1582" i="697"/>
  <c r="X1578" i="697"/>
  <c r="Y1574" i="697"/>
  <c r="X1574" i="697"/>
  <c r="Y1559" i="697"/>
  <c r="X1559" i="697"/>
  <c r="X1555" i="697"/>
  <c r="Y1555" i="697"/>
  <c r="Y1450" i="697"/>
  <c r="X1450" i="697"/>
  <c r="X1488" i="697"/>
  <c r="X1517" i="697"/>
  <c r="X1406" i="697"/>
  <c r="X1531" i="697"/>
  <c r="X1529" i="697"/>
  <c r="X1376" i="697"/>
  <c r="X1391" i="697"/>
  <c r="X1343" i="697"/>
  <c r="X1511" i="697"/>
  <c r="X1523" i="697"/>
  <c r="X1353" i="697"/>
  <c r="X1351" i="697"/>
  <c r="X1349" i="697"/>
  <c r="X1315" i="697"/>
  <c r="X1311" i="697"/>
  <c r="X1304" i="697"/>
  <c r="X1291" i="697"/>
  <c r="X1396" i="697"/>
  <c r="X1442" i="697"/>
  <c r="X1286" i="697"/>
  <c r="X1522" i="697"/>
  <c r="X1433" i="697"/>
  <c r="Y1433" i="697"/>
  <c r="X1281" i="697"/>
  <c r="Y1281" i="697"/>
  <c r="X1375" i="697"/>
  <c r="X1248" i="697"/>
  <c r="Y1248" i="697"/>
  <c r="X1246" i="697"/>
  <c r="Y1246" i="697"/>
  <c r="Y1237" i="697"/>
  <c r="X1237" i="697"/>
  <c r="Y1325" i="697"/>
  <c r="X1325" i="697"/>
  <c r="X1269" i="697"/>
  <c r="Y1269" i="697"/>
  <c r="X1401" i="697"/>
  <c r="Y1401" i="697"/>
  <c r="Y1303" i="697"/>
  <c r="X1303" i="697"/>
  <c r="X1212" i="697"/>
  <c r="Y1212" i="697"/>
  <c r="X1373" i="697"/>
  <c r="Y1373" i="697"/>
  <c r="X1223" i="697"/>
  <c r="Y1223" i="697"/>
  <c r="X1221" i="697"/>
  <c r="Y1221" i="697"/>
  <c r="X1219" i="697"/>
  <c r="Y1219" i="697"/>
  <c r="X1203" i="697"/>
  <c r="Y1203" i="697"/>
  <c r="X1189" i="697"/>
  <c r="Y1189" i="697"/>
  <c r="X1357" i="697"/>
  <c r="Y1357" i="697"/>
  <c r="Y1367" i="697"/>
  <c r="X1367" i="697"/>
  <c r="X1175" i="697"/>
  <c r="Y1175" i="697"/>
  <c r="X1329" i="697"/>
  <c r="Y1329" i="697"/>
  <c r="Y1275" i="697"/>
  <c r="X1275" i="697"/>
  <c r="X1196" i="697"/>
  <c r="Y1196" i="697"/>
  <c r="X1334" i="697"/>
  <c r="Y1334" i="697"/>
  <c r="Y1142" i="697"/>
  <c r="X1142" i="697"/>
  <c r="X1140" i="697"/>
  <c r="Y1140" i="697"/>
  <c r="X1137" i="697"/>
  <c r="Y1137" i="697"/>
  <c r="X1236" i="697"/>
  <c r="Y1236" i="697"/>
  <c r="X1121" i="697"/>
  <c r="Y1121" i="697"/>
  <c r="X1242" i="697"/>
  <c r="X1554" i="697"/>
  <c r="X1453" i="697"/>
  <c r="X1519" i="697"/>
  <c r="X1430" i="697"/>
  <c r="X1427" i="697"/>
  <c r="X1421" i="697"/>
  <c r="X1415" i="697"/>
  <c r="X1541" i="697"/>
  <c r="X1408" i="697"/>
  <c r="X1443" i="697"/>
  <c r="X1537" i="697"/>
  <c r="X1387" i="697"/>
  <c r="X1485" i="697"/>
  <c r="X1436" i="697"/>
  <c r="X1404" i="697"/>
  <c r="X1484" i="697"/>
  <c r="X1480" i="697"/>
  <c r="X1479" i="697"/>
  <c r="X1472" i="697"/>
  <c r="X1332" i="697"/>
  <c r="X1477" i="697"/>
  <c r="X1400" i="697"/>
  <c r="X1414" i="697"/>
  <c r="X1310" i="697"/>
  <c r="X1390" i="697"/>
  <c r="X1288" i="697"/>
  <c r="X1287" i="697"/>
  <c r="X1305" i="697"/>
  <c r="X1264" i="697"/>
  <c r="X1284" i="697"/>
  <c r="X1280" i="697"/>
  <c r="X1381" i="697"/>
  <c r="X1410" i="697"/>
  <c r="X1374" i="697"/>
  <c r="X1235" i="697"/>
  <c r="X1361" i="697"/>
  <c r="X1379" i="697"/>
  <c r="X1211" i="697"/>
  <c r="X1210" i="697"/>
  <c r="X1167" i="697"/>
  <c r="Y1592" i="697"/>
  <c r="Y1571" i="697"/>
  <c r="Y1556" i="697"/>
  <c r="Y1453" i="697"/>
  <c r="Y1415" i="697"/>
  <c r="Y1541" i="697"/>
  <c r="Y1408" i="697"/>
  <c r="Y1443" i="697"/>
  <c r="Y1537" i="697"/>
  <c r="Y1387" i="697"/>
  <c r="Y1485" i="697"/>
  <c r="Y1436" i="697"/>
  <c r="Y1404" i="697"/>
  <c r="Y1484" i="697"/>
  <c r="Y1480" i="697"/>
  <c r="Y1479" i="697"/>
  <c r="Y1472" i="697"/>
  <c r="Y1332" i="697"/>
  <c r="Y1477" i="697"/>
  <c r="Y1400" i="697"/>
  <c r="Y1414" i="697"/>
  <c r="Y1310" i="697"/>
  <c r="Y1390" i="697"/>
  <c r="Y1288" i="697"/>
  <c r="Y1287" i="697"/>
  <c r="Y1305" i="697"/>
  <c r="Y1264" i="697"/>
  <c r="Y1284" i="697"/>
  <c r="Y1280" i="697"/>
  <c r="Y1381" i="697"/>
  <c r="Y1410" i="697"/>
  <c r="Y1374" i="697"/>
  <c r="Y1235" i="697"/>
  <c r="Y1361" i="697"/>
  <c r="Y1379" i="697"/>
  <c r="Y1211" i="697"/>
  <c r="Y1210" i="697"/>
  <c r="X1469" i="697"/>
  <c r="X1558" i="697"/>
  <c r="X1456" i="697"/>
  <c r="X1549" i="697"/>
  <c r="X1545" i="697"/>
  <c r="X1446" i="697"/>
  <c r="X1539" i="697"/>
  <c r="X1388" i="697"/>
  <c r="X1486" i="697"/>
  <c r="X1513" i="697"/>
  <c r="X1473" i="697"/>
  <c r="X1424" i="697"/>
  <c r="X1318" i="697"/>
  <c r="X1348" i="697"/>
  <c r="X1314" i="697"/>
  <c r="X1317" i="697"/>
  <c r="X1389" i="697"/>
  <c r="X1455" i="697"/>
  <c r="X1265" i="697"/>
  <c r="X1432" i="697"/>
  <c r="X1363" i="697"/>
  <c r="X1423" i="697"/>
  <c r="X1440" i="697"/>
  <c r="X1285" i="697"/>
  <c r="X1339" i="697"/>
  <c r="X1206" i="697"/>
  <c r="Y1507" i="697"/>
  <c r="Y1427" i="697"/>
  <c r="Y1421" i="697"/>
  <c r="Y1508" i="697"/>
  <c r="X1508" i="697"/>
  <c r="Y1505" i="697"/>
  <c r="X1505" i="697"/>
  <c r="X1458" i="697"/>
  <c r="X1460" i="697"/>
  <c r="X1448" i="697"/>
  <c r="X1487" i="697"/>
  <c r="X1384" i="697"/>
  <c r="X1402" i="697"/>
  <c r="X1465" i="697"/>
  <c r="X1524" i="697"/>
  <c r="X1347" i="697"/>
  <c r="X1397" i="697"/>
  <c r="X1435" i="697"/>
  <c r="X1434" i="697"/>
  <c r="X1370" i="697"/>
  <c r="X1245" i="697"/>
  <c r="X1228" i="697"/>
  <c r="X1224" i="697"/>
  <c r="X1200" i="697"/>
  <c r="X1368" i="697"/>
  <c r="X1328" i="697"/>
  <c r="X1160" i="697"/>
  <c r="X1129" i="697"/>
  <c r="Y1242" i="697"/>
  <c r="X1587" i="697"/>
  <c r="X1593" i="697"/>
  <c r="Y1593" i="697"/>
  <c r="Y1587" i="697"/>
  <c r="X1590" i="697"/>
  <c r="X1504" i="697"/>
  <c r="X1500" i="697"/>
  <c r="X1515" i="697"/>
  <c r="P1515" i="697" s="1"/>
  <c r="Q1515" i="697" s="1"/>
  <c r="R1515" i="697" s="1"/>
  <c r="X1591" i="697"/>
  <c r="X1589" i="697"/>
  <c r="X1506" i="697"/>
  <c r="X1502" i="697"/>
  <c r="X1584" i="697"/>
  <c r="X1583" i="697"/>
  <c r="Y1583" i="697"/>
  <c r="D1344" i="697"/>
  <c r="D918" i="697"/>
  <c r="D1071" i="697"/>
  <c r="D1549" i="697"/>
  <c r="P1591" i="697"/>
  <c r="Q1591" i="697" s="1"/>
  <c r="R1591" i="697" s="1"/>
  <c r="D892" i="697"/>
  <c r="D1329" i="697"/>
  <c r="D1488" i="697"/>
  <c r="D523" i="697"/>
  <c r="D889" i="697"/>
  <c r="D1296" i="697"/>
  <c r="D89" i="697"/>
  <c r="D526" i="697"/>
  <c r="D890" i="697"/>
  <c r="D84" i="697"/>
  <c r="D893" i="697"/>
  <c r="D1300" i="697"/>
  <c r="D1479" i="697"/>
  <c r="D1485" i="697"/>
  <c r="D1570" i="697"/>
  <c r="D1557" i="697"/>
  <c r="D1126" i="697"/>
  <c r="D1219" i="697"/>
  <c r="D1346" i="697"/>
  <c r="D1438" i="697"/>
  <c r="D1565" i="697"/>
  <c r="D1185" i="697"/>
  <c r="D1578" i="697"/>
  <c r="D839" i="697"/>
  <c r="P1508" i="697" l="1"/>
  <c r="Q1508" i="697" s="1"/>
  <c r="R1508" i="697" s="1"/>
  <c r="P1592" i="697"/>
  <c r="Q1592" i="697" s="1"/>
  <c r="R1592" i="697" s="1"/>
  <c r="D75" i="697"/>
  <c r="D377" i="697"/>
  <c r="D671" i="697"/>
  <c r="D677" i="697"/>
  <c r="D682" i="697"/>
  <c r="D829" i="697"/>
  <c r="D1278" i="697"/>
  <c r="D1119" i="697"/>
  <c r="D1388" i="697"/>
  <c r="D210" i="697"/>
  <c r="D830" i="697"/>
  <c r="D1125" i="697"/>
  <c r="D1430" i="697"/>
  <c r="D610" i="697"/>
  <c r="D690" i="697"/>
  <c r="D1047" i="697"/>
  <c r="D1153" i="697"/>
  <c r="D1401" i="697"/>
  <c r="D1243" i="697"/>
  <c r="D1279" i="697"/>
  <c r="D1517" i="697"/>
  <c r="D1415" i="697"/>
  <c r="D1519" i="697"/>
  <c r="D217" i="697"/>
  <c r="D669" i="697"/>
  <c r="D685" i="697"/>
  <c r="D1274" i="697"/>
  <c r="D1516" i="697"/>
  <c r="D1518" i="697"/>
  <c r="D1419" i="697"/>
  <c r="P1593" i="697"/>
  <c r="Q1593" i="697" s="1"/>
  <c r="R1593" i="697" s="1"/>
  <c r="D837" i="697"/>
  <c r="D838" i="697"/>
  <c r="D1086" i="697"/>
  <c r="D1320" i="697"/>
  <c r="D1523" i="697"/>
  <c r="D530" i="697"/>
  <c r="D1089" i="697"/>
  <c r="D1524" i="697"/>
  <c r="D1525" i="697"/>
  <c r="D394" i="697"/>
  <c r="D395" i="697"/>
  <c r="D1321" i="697"/>
  <c r="D1088" i="697"/>
  <c r="D493" i="697"/>
  <c r="D679" i="697"/>
  <c r="D681" i="697"/>
  <c r="D1070" i="697"/>
  <c r="D1194" i="697"/>
  <c r="D1526" i="697"/>
  <c r="D136" i="697"/>
  <c r="D342" i="697"/>
  <c r="D490" i="697"/>
  <c r="D492" i="697"/>
  <c r="D494" i="697"/>
  <c r="D952" i="697"/>
  <c r="D953" i="697"/>
  <c r="D1366" i="697"/>
  <c r="D1492" i="697"/>
  <c r="D1543" i="697"/>
  <c r="D1583" i="697"/>
  <c r="D331" i="697"/>
  <c r="D341" i="697"/>
  <c r="D343" i="697"/>
  <c r="D347" i="697"/>
  <c r="D348" i="697"/>
  <c r="D1190" i="697"/>
  <c r="D1192" i="697"/>
  <c r="D123" i="697"/>
  <c r="D487" i="697"/>
  <c r="D678" i="697"/>
  <c r="D684" i="697"/>
  <c r="D1069" i="697"/>
  <c r="D1540" i="697"/>
  <c r="D1491" i="697"/>
  <c r="D48" i="697"/>
  <c r="D60" i="697"/>
  <c r="D256" i="697"/>
  <c r="D263" i="697"/>
  <c r="D423" i="697"/>
  <c r="D428" i="697"/>
  <c r="D672" i="697"/>
  <c r="D689" i="697"/>
  <c r="D1027" i="697"/>
  <c r="D1533" i="697"/>
  <c r="D61" i="697"/>
  <c r="D254" i="697"/>
  <c r="D260" i="697"/>
  <c r="D422" i="697"/>
  <c r="D434" i="697"/>
  <c r="D673" i="697"/>
  <c r="D686" i="697"/>
  <c r="D687" i="697"/>
  <c r="D1030" i="697"/>
  <c r="D1064" i="697"/>
  <c r="D46" i="697"/>
  <c r="D58" i="697"/>
  <c r="D62" i="697"/>
  <c r="D255" i="697"/>
  <c r="D259" i="697"/>
  <c r="D429" i="697"/>
  <c r="D431" i="697"/>
  <c r="D432" i="697"/>
  <c r="D433" i="697"/>
  <c r="D435" i="697"/>
  <c r="D675" i="697"/>
  <c r="D692" i="697"/>
  <c r="D694" i="697"/>
  <c r="D1029" i="697"/>
  <c r="D1065" i="697"/>
  <c r="D1187" i="697"/>
  <c r="D47" i="697"/>
  <c r="D59" i="697"/>
  <c r="D63" i="697"/>
  <c r="D257" i="697"/>
  <c r="D258" i="697"/>
  <c r="D427" i="697"/>
  <c r="D430" i="697"/>
  <c r="D436" i="697"/>
  <c r="D676" i="697"/>
  <c r="D683" i="697"/>
  <c r="D688" i="697"/>
  <c r="D695" i="697"/>
  <c r="D1372" i="697"/>
  <c r="D1537" i="697"/>
  <c r="D338" i="697"/>
  <c r="D339" i="697"/>
  <c r="D406" i="697"/>
  <c r="D760" i="697"/>
  <c r="D1520" i="697"/>
  <c r="D1367" i="697"/>
  <c r="D1531" i="697"/>
  <c r="D1559" i="697"/>
  <c r="D176" i="697"/>
  <c r="D639" i="697"/>
  <c r="D717" i="697"/>
  <c r="D984" i="697"/>
  <c r="D1241" i="697"/>
  <c r="D1369" i="697"/>
  <c r="D1434" i="697"/>
  <c r="D1435" i="697"/>
  <c r="D333" i="697"/>
  <c r="D629" i="697"/>
  <c r="D1022" i="697"/>
  <c r="D1096" i="697"/>
  <c r="D1097" i="697"/>
  <c r="D332" i="697"/>
  <c r="D502" i="697"/>
  <c r="D637" i="697"/>
  <c r="D638" i="697"/>
  <c r="D755" i="697"/>
  <c r="D759" i="697"/>
  <c r="D868" i="697"/>
  <c r="D1240" i="697"/>
  <c r="D751" i="697"/>
  <c r="D1094" i="697"/>
  <c r="D1535" i="697"/>
  <c r="D1091" i="697"/>
  <c r="D197" i="697"/>
  <c r="D624" i="697"/>
  <c r="D854" i="697"/>
  <c r="D859" i="697"/>
  <c r="D1032" i="697"/>
  <c r="D1568" i="697"/>
  <c r="D76" i="697"/>
  <c r="D625" i="697"/>
  <c r="D525" i="697"/>
  <c r="D862" i="697"/>
  <c r="D865" i="697"/>
  <c r="D1326" i="697"/>
  <c r="D1474" i="697"/>
  <c r="D1548" i="697"/>
  <c r="D443" i="697"/>
  <c r="D1230" i="697"/>
  <c r="D1330" i="697"/>
  <c r="D262" i="697"/>
  <c r="D301" i="697"/>
  <c r="D707" i="697"/>
  <c r="D1031" i="697"/>
  <c r="D1207" i="697"/>
  <c r="D1232" i="697"/>
  <c r="D1417" i="697"/>
  <c r="D391" i="697"/>
  <c r="D1092" i="697"/>
  <c r="D128" i="697"/>
  <c r="D723" i="697"/>
  <c r="D1256" i="697"/>
  <c r="D1536" i="697"/>
  <c r="D722" i="697"/>
  <c r="D319" i="697"/>
  <c r="D846" i="697"/>
  <c r="D948" i="697"/>
  <c r="D1103" i="697"/>
  <c r="D174" i="697"/>
  <c r="D177" i="697"/>
  <c r="D721" i="697"/>
  <c r="D842" i="697"/>
  <c r="D175" i="697"/>
  <c r="D471" i="697"/>
  <c r="D1104" i="697"/>
  <c r="D1429" i="697"/>
  <c r="D1580" i="697"/>
  <c r="D1021" i="697"/>
  <c r="D531" i="697"/>
  <c r="D1589" i="697"/>
  <c r="D841" i="697"/>
  <c r="D41" i="697"/>
  <c r="D488" i="697"/>
  <c r="D1560" i="697"/>
  <c r="D446" i="697"/>
  <c r="D1574" i="697"/>
  <c r="D1195" i="697"/>
  <c r="D1374" i="697"/>
  <c r="D2" i="697"/>
  <c r="D834" i="697"/>
  <c r="D632" i="697"/>
  <c r="D1371" i="697"/>
  <c r="D1556" i="697"/>
  <c r="D227" i="697"/>
  <c r="D540" i="697"/>
  <c r="D727" i="697"/>
  <c r="D972" i="697"/>
  <c r="D17" i="697"/>
  <c r="D55" i="697"/>
  <c r="D115" i="697"/>
  <c r="D144" i="697"/>
  <c r="D193" i="697"/>
  <c r="D292" i="697"/>
  <c r="D649" i="697"/>
  <c r="D775" i="697"/>
  <c r="D876" i="697"/>
  <c r="D1017" i="697"/>
  <c r="D1223" i="697"/>
  <c r="D1353" i="697"/>
  <c r="D1447" i="697"/>
  <c r="D56" i="697"/>
  <c r="D145" i="697"/>
  <c r="D190" i="697"/>
  <c r="D194" i="697"/>
  <c r="D352" i="697"/>
  <c r="D448" i="697"/>
  <c r="D550" i="697"/>
  <c r="D650" i="697"/>
  <c r="D776" i="697"/>
  <c r="D877" i="697"/>
  <c r="D1145" i="697"/>
  <c r="D1127" i="697"/>
  <c r="D1345" i="697"/>
  <c r="D1575" i="697"/>
  <c r="D22" i="697"/>
  <c r="D146" i="697"/>
  <c r="D191" i="697"/>
  <c r="D287" i="697"/>
  <c r="D354" i="697"/>
  <c r="D449" i="697"/>
  <c r="D551" i="697"/>
  <c r="D1018" i="697"/>
  <c r="D54" i="697"/>
  <c r="D57" i="697"/>
  <c r="D143" i="697"/>
  <c r="D157" i="697"/>
  <c r="D192" i="697"/>
  <c r="D291" i="697"/>
  <c r="D355" i="697"/>
  <c r="D774" i="697"/>
  <c r="D1348" i="697"/>
  <c r="D1443" i="697"/>
  <c r="D1225" i="697"/>
  <c r="D82" i="697"/>
  <c r="D279" i="697"/>
  <c r="D1555" i="697"/>
  <c r="D280" i="697"/>
  <c r="D281" i="697"/>
  <c r="D614" i="697"/>
  <c r="D616" i="697"/>
  <c r="D1569" i="697"/>
  <c r="D283" i="697"/>
  <c r="D617" i="697"/>
  <c r="D985" i="697"/>
  <c r="D1521" i="697"/>
  <c r="D615" i="697"/>
  <c r="D986" i="697"/>
  <c r="D989" i="697"/>
  <c r="D1100" i="697"/>
  <c r="D1567" i="697"/>
  <c r="D592" i="697"/>
  <c r="D645" i="697"/>
  <c r="D793" i="697"/>
  <c r="D855" i="697"/>
  <c r="D794" i="697"/>
  <c r="D933" i="697"/>
  <c r="D1433" i="697"/>
  <c r="D1572" i="697"/>
  <c r="D1587" i="697"/>
  <c r="D373" i="697"/>
  <c r="D407" i="697"/>
  <c r="D861" i="697"/>
  <c r="D987" i="697"/>
  <c r="D1099" i="697"/>
  <c r="D1215" i="697"/>
  <c r="D1368" i="697"/>
  <c r="D1538" i="697"/>
  <c r="D1546" i="697"/>
  <c r="D93" i="697"/>
  <c r="D593" i="697"/>
  <c r="D646" i="697"/>
  <c r="D705" i="697"/>
  <c r="D706" i="697"/>
  <c r="D930" i="697"/>
  <c r="D374" i="697"/>
  <c r="D894" i="697"/>
  <c r="D1432" i="697"/>
  <c r="D1477" i="697"/>
  <c r="D1528" i="697"/>
  <c r="D1547" i="697"/>
  <c r="D1544" i="697"/>
  <c r="D469" i="697"/>
  <c r="D595" i="697"/>
  <c r="D993" i="697"/>
  <c r="D1357" i="697"/>
  <c r="D88" i="697"/>
  <c r="D538" i="697"/>
  <c r="D1023" i="697"/>
  <c r="D232" i="697"/>
  <c r="D397" i="697"/>
  <c r="D470" i="697"/>
  <c r="D472" i="697"/>
  <c r="D539" i="697"/>
  <c r="D314" i="697"/>
  <c r="D473" i="697"/>
  <c r="D1359" i="697"/>
  <c r="D1550" i="697"/>
  <c r="D1383" i="697"/>
  <c r="D78" i="697"/>
  <c r="D504" i="697"/>
  <c r="D627" i="697"/>
  <c r="D815" i="697"/>
  <c r="D816" i="697"/>
  <c r="D1322" i="697"/>
  <c r="D1590" i="697"/>
  <c r="D515" i="697"/>
  <c r="D1084" i="697"/>
  <c r="D1588" i="697"/>
  <c r="D505" i="697"/>
  <c r="D1093" i="697"/>
  <c r="D1323" i="697"/>
  <c r="D670" i="697"/>
  <c r="D817" i="697"/>
  <c r="D1090" i="697"/>
  <c r="D1584" i="697"/>
  <c r="D1586" i="697"/>
  <c r="D312" i="697"/>
  <c r="D1168" i="697"/>
  <c r="D623" i="697"/>
  <c r="D1162" i="697"/>
  <c r="D1496" i="697"/>
  <c r="D1539" i="697"/>
  <c r="D207" i="697"/>
  <c r="D451" i="697"/>
  <c r="D1236" i="697"/>
  <c r="D45" i="697"/>
  <c r="D1076" i="697"/>
  <c r="D1370" i="697"/>
  <c r="D303" i="697"/>
  <c r="D749" i="697"/>
  <c r="D881" i="697"/>
  <c r="D1000" i="697"/>
  <c r="D1571" i="697"/>
  <c r="D1473" i="697"/>
  <c r="D253" i="697"/>
  <c r="D1102" i="697"/>
  <c r="D1193" i="697"/>
  <c r="D1380" i="697"/>
  <c r="D1522" i="697"/>
  <c r="D213" i="697"/>
  <c r="D1327" i="697"/>
  <c r="D836" i="697"/>
  <c r="D840" i="697"/>
  <c r="D718" i="697"/>
  <c r="D1294" i="697"/>
  <c r="D1303" i="697"/>
  <c r="D1529" i="697"/>
  <c r="D86" i="697"/>
  <c r="D284" i="697"/>
  <c r="D285" i="697"/>
  <c r="D485" i="697"/>
  <c r="D982" i="697"/>
  <c r="D1299" i="697"/>
  <c r="D1532" i="697"/>
  <c r="D1564" i="697"/>
  <c r="D1437" i="697"/>
  <c r="D1172" i="697"/>
  <c r="D661" i="697"/>
  <c r="D1054" i="697"/>
  <c r="D1113" i="697"/>
  <c r="D92" i="697"/>
  <c r="D621" i="697"/>
  <c r="D618" i="697"/>
  <c r="D767" i="697"/>
  <c r="D1025" i="697"/>
  <c r="D90" i="697"/>
  <c r="D619" i="697"/>
  <c r="D620" i="697"/>
  <c r="D1144" i="697"/>
  <c r="D1424" i="697"/>
  <c r="D1581" i="697"/>
  <c r="D230" i="697"/>
  <c r="D233" i="697"/>
  <c r="D361" i="697"/>
  <c r="D364" i="697"/>
  <c r="D444" i="697"/>
  <c r="D445" i="697"/>
  <c r="D491" i="697"/>
  <c r="D554" i="697"/>
  <c r="D658" i="697"/>
  <c r="D756" i="697"/>
  <c r="D870" i="697"/>
  <c r="D1157" i="697"/>
  <c r="D1216" i="697"/>
  <c r="D1534" i="697"/>
  <c r="D1582" i="697"/>
  <c r="D79" i="697"/>
  <c r="D231" i="697"/>
  <c r="D362" i="697"/>
  <c r="D765" i="697"/>
  <c r="D869" i="697"/>
  <c r="D981" i="697"/>
  <c r="D1085" i="697"/>
  <c r="D1087" i="697"/>
  <c r="D1158" i="697"/>
  <c r="D1328" i="697"/>
  <c r="D1382" i="697"/>
  <c r="D1561" i="697"/>
  <c r="D77" i="697"/>
  <c r="D80" i="697"/>
  <c r="D276" i="697"/>
  <c r="D363" i="697"/>
  <c r="D409" i="697"/>
  <c r="D757" i="697"/>
  <c r="D763" i="697"/>
  <c r="D766" i="697"/>
  <c r="D871" i="697"/>
  <c r="D1045" i="697"/>
  <c r="D1050" i="697"/>
  <c r="D1180" i="697"/>
  <c r="D1358" i="697"/>
  <c r="D234" i="697"/>
  <c r="D365" i="697"/>
  <c r="D410" i="697"/>
  <c r="D659" i="697"/>
  <c r="D770" i="697"/>
  <c r="D988" i="697"/>
  <c r="D994" i="697"/>
  <c r="D1044" i="697"/>
  <c r="D1218" i="697"/>
  <c r="D1361" i="697"/>
  <c r="D1414" i="697"/>
  <c r="D1541" i="697"/>
  <c r="D1585" i="697"/>
  <c r="D1530" i="697"/>
  <c r="D1360" i="697"/>
  <c r="D1464" i="697"/>
  <c r="D103" i="697"/>
  <c r="D108" i="697"/>
  <c r="D183" i="697"/>
  <c r="D265" i="697"/>
  <c r="D267" i="697"/>
  <c r="D270" i="697"/>
  <c r="D463" i="697"/>
  <c r="D468" i="697"/>
  <c r="D474" i="697"/>
  <c r="D558" i="697"/>
  <c r="D562" i="697"/>
  <c r="D568" i="697"/>
  <c r="D570" i="697"/>
  <c r="D574" i="697"/>
  <c r="D941" i="697"/>
  <c r="D1056" i="697"/>
  <c r="D1060" i="697"/>
  <c r="D1062" i="697"/>
  <c r="D1272" i="697"/>
  <c r="D1275" i="697"/>
  <c r="D1281" i="697"/>
  <c r="D1396" i="697"/>
  <c r="D1405" i="697"/>
  <c r="D1428" i="697"/>
  <c r="D104" i="697"/>
  <c r="D105" i="697"/>
  <c r="D109" i="697"/>
  <c r="D268" i="697"/>
  <c r="D271" i="697"/>
  <c r="D460" i="697"/>
  <c r="D464" i="697"/>
  <c r="D475" i="697"/>
  <c r="D479" i="697"/>
  <c r="D559" i="697"/>
  <c r="D563" i="697"/>
  <c r="D565" i="697"/>
  <c r="D747" i="697"/>
  <c r="D571" i="697"/>
  <c r="D575" i="697"/>
  <c r="D1053" i="697"/>
  <c r="D1057" i="697"/>
  <c r="D1063" i="697"/>
  <c r="D1273" i="697"/>
  <c r="D1276" i="697"/>
  <c r="D1277" i="697"/>
  <c r="D1282" i="697"/>
  <c r="D1397" i="697"/>
  <c r="D1402" i="697"/>
  <c r="D1460" i="697"/>
  <c r="D106" i="697"/>
  <c r="D110" i="697"/>
  <c r="D181" i="697"/>
  <c r="D269" i="697"/>
  <c r="D461" i="697"/>
  <c r="D476" i="697"/>
  <c r="D480" i="697"/>
  <c r="D560" i="697"/>
  <c r="D564" i="697"/>
  <c r="D566" i="697"/>
  <c r="D739" i="697"/>
  <c r="D572" i="697"/>
  <c r="D935" i="697"/>
  <c r="D937" i="697"/>
  <c r="D938" i="697"/>
  <c r="D1052" i="697"/>
  <c r="D1058" i="697"/>
  <c r="D1061" i="697"/>
  <c r="D111" i="697"/>
  <c r="D182" i="697"/>
  <c r="D185" i="697"/>
  <c r="D186" i="697"/>
  <c r="D462" i="697"/>
  <c r="D467" i="697"/>
  <c r="D477" i="697"/>
  <c r="D557" i="697"/>
  <c r="D561" i="697"/>
  <c r="D567" i="697"/>
  <c r="D573" i="697"/>
  <c r="D940" i="697"/>
  <c r="D1055" i="697"/>
  <c r="D1059" i="697"/>
  <c r="D1270" i="697"/>
  <c r="D1280" i="697"/>
  <c r="D1284" i="697"/>
  <c r="D1400" i="697"/>
  <c r="D1462" i="697"/>
  <c r="D1563" i="697"/>
  <c r="D1576" i="697"/>
  <c r="D1283" i="697"/>
  <c r="D1398" i="697"/>
  <c r="D1407" i="697"/>
  <c r="D1591" i="697"/>
  <c r="D1399" i="697"/>
  <c r="D1403" i="697"/>
  <c r="D1461" i="697"/>
  <c r="D1404" i="697"/>
  <c r="D1459" i="697"/>
  <c r="D1427" i="697"/>
  <c r="D1562" i="697"/>
  <c r="D424" i="697"/>
  <c r="D81" i="697"/>
  <c r="D1293" i="697"/>
  <c r="D426" i="697"/>
  <c r="D662" i="697"/>
  <c r="D1298" i="697"/>
  <c r="D275" i="697"/>
  <c r="D278" i="697"/>
  <c r="D665" i="697"/>
  <c r="D983" i="697"/>
  <c r="D1068" i="697"/>
  <c r="D1297" i="697"/>
  <c r="D1545" i="697"/>
  <c r="D239" i="697"/>
  <c r="D300" i="697"/>
  <c r="D356" i="697"/>
  <c r="D405" i="697"/>
  <c r="D668" i="697"/>
  <c r="D853" i="697"/>
  <c r="D1189" i="697"/>
  <c r="D1237" i="697"/>
  <c r="D1304" i="697"/>
  <c r="D537" i="697"/>
  <c r="D591" i="697"/>
  <c r="D798" i="697"/>
  <c r="D833" i="697"/>
  <c r="D888" i="697"/>
  <c r="D1238" i="697"/>
  <c r="D139" i="697"/>
  <c r="D180" i="697"/>
  <c r="D228" i="697"/>
  <c r="D440" i="697"/>
  <c r="D998" i="697"/>
  <c r="D1165" i="697"/>
  <c r="D8" i="697"/>
  <c r="D299" i="697"/>
  <c r="D521" i="697"/>
  <c r="D612" i="697"/>
  <c r="D777" i="697"/>
  <c r="D999" i="697"/>
  <c r="D1139" i="697"/>
  <c r="D1166" i="697"/>
  <c r="D1235" i="697"/>
  <c r="D1265" i="697"/>
  <c r="D1558" i="697"/>
  <c r="D1553" i="697"/>
  <c r="D122" i="697"/>
  <c r="D1101" i="697"/>
  <c r="D845" i="697"/>
  <c r="D843" i="697"/>
  <c r="D252" i="697"/>
  <c r="D307" i="697"/>
  <c r="D754" i="697"/>
  <c r="D1181" i="697"/>
  <c r="D308" i="697"/>
  <c r="D761" i="697"/>
  <c r="D762" i="697"/>
  <c r="D1182" i="697"/>
  <c r="D118" i="697"/>
  <c r="D119" i="697"/>
  <c r="D120" i="697"/>
  <c r="D102" i="697"/>
  <c r="D664" i="697"/>
  <c r="D1130" i="697"/>
  <c r="D1439" i="697"/>
  <c r="D117" i="697"/>
  <c r="D305" i="697"/>
  <c r="D380" i="697"/>
  <c r="D381" i="697"/>
  <c r="D527" i="697"/>
  <c r="D528" i="697"/>
  <c r="D858" i="697"/>
  <c r="D860" i="697"/>
  <c r="D990" i="697"/>
  <c r="D1024" i="697"/>
  <c r="D1441" i="697"/>
  <c r="D1554" i="697"/>
  <c r="D1527" i="697"/>
  <c r="D240" i="697"/>
  <c r="D337" i="697"/>
  <c r="D596" i="697"/>
  <c r="D879" i="697"/>
  <c r="D1048" i="697"/>
  <c r="D1217" i="697"/>
  <c r="D1482" i="697"/>
  <c r="D135" i="697"/>
  <c r="D344" i="697"/>
  <c r="D453" i="697"/>
  <c r="D455" i="697"/>
  <c r="D555" i="697"/>
  <c r="D594" i="697"/>
  <c r="D1049" i="697"/>
  <c r="D1184" i="697"/>
  <c r="D1331" i="697"/>
  <c r="D1481" i="697"/>
  <c r="D1551" i="697"/>
  <c r="D134" i="697"/>
  <c r="D172" i="697"/>
  <c r="D450" i="697"/>
  <c r="D693" i="697"/>
  <c r="D880" i="697"/>
  <c r="D1163" i="697"/>
  <c r="D1183" i="697"/>
  <c r="D241" i="697"/>
  <c r="D346" i="697"/>
  <c r="D454" i="697"/>
  <c r="D660" i="697"/>
  <c r="D1254" i="697"/>
  <c r="D1267" i="697"/>
  <c r="D1379" i="697"/>
  <c r="D1381" i="697"/>
  <c r="D1389" i="697"/>
  <c r="D1390" i="697"/>
  <c r="D1478" i="697"/>
  <c r="D1484" i="697"/>
  <c r="D1552" i="697"/>
  <c r="D1476" i="697"/>
  <c r="D1480" i="697"/>
  <c r="D1486" i="697"/>
  <c r="D1471" i="697"/>
  <c r="D1483" i="697"/>
  <c r="D1542" i="697"/>
  <c r="D1573" i="697"/>
  <c r="D396" i="697"/>
  <c r="D701" i="697"/>
  <c r="D286" i="697"/>
  <c r="D785" i="697"/>
  <c r="D1176" i="697"/>
  <c r="D1179" i="697"/>
  <c r="D1186" i="697"/>
  <c r="D1566" i="697"/>
  <c r="D914" i="697"/>
  <c r="D1174" i="697"/>
  <c r="D1436" i="697"/>
  <c r="D1577" i="697"/>
  <c r="D844" i="697"/>
  <c r="D121" i="697"/>
  <c r="D489" i="697"/>
  <c r="D835" i="697"/>
  <c r="D85" i="697" l="1"/>
  <c r="D1592" i="697"/>
  <c r="D1112" i="697"/>
  <c r="D315" i="697"/>
  <c r="D995" i="697"/>
  <c r="D1579" i="697"/>
  <c r="D1593" i="697"/>
  <c r="D1051" i="697"/>
  <c r="D178" i="697"/>
  <c r="D1425" i="697"/>
  <c r="D1143" i="697"/>
  <c r="D91" i="697"/>
  <c r="D633" i="697"/>
  <c r="D1255" i="697"/>
  <c r="D1301" i="697"/>
  <c r="D906" i="697"/>
  <c r="D126" i="697"/>
  <c r="D769" i="697"/>
  <c r="B17" i="16"/>
  <c r="B16" i="16"/>
  <c r="B13" i="16"/>
  <c r="B12" i="16"/>
  <c r="E764" i="6"/>
  <c r="E784" i="6"/>
  <c r="J784" i="6"/>
  <c r="K784" i="6"/>
  <c r="E783" i="6"/>
  <c r="J783" i="6"/>
  <c r="K783" i="6"/>
  <c r="E782" i="6"/>
  <c r="F782" i="6"/>
  <c r="J782" i="6"/>
  <c r="K782" i="6"/>
  <c r="E781" i="6"/>
  <c r="J781" i="6"/>
  <c r="K781" i="6"/>
  <c r="B9" i="16" l="1"/>
  <c r="B8" i="16"/>
  <c r="AD3" i="157"/>
  <c r="F2" i="104" l="1"/>
  <c r="B28" i="15" l="1"/>
  <c r="B24" i="15"/>
  <c r="B23" i="15"/>
  <c r="B22" i="15"/>
  <c r="B21" i="15"/>
  <c r="B19" i="15"/>
  <c r="B18" i="15"/>
  <c r="B17" i="15"/>
  <c r="B16" i="15"/>
  <c r="B14" i="15"/>
  <c r="B13" i="15"/>
  <c r="B12" i="15"/>
  <c r="B11" i="15"/>
  <c r="B10" i="15"/>
  <c r="B7" i="15"/>
  <c r="B5" i="15"/>
  <c r="B4" i="15"/>
  <c r="B3" i="15"/>
  <c r="B2" i="15"/>
  <c r="J780" i="6"/>
  <c r="K780" i="6"/>
  <c r="E780" i="6"/>
  <c r="J779" i="6" l="1"/>
  <c r="K779" i="6"/>
  <c r="F779" i="6"/>
  <c r="E779" i="6"/>
  <c r="J778" i="6"/>
  <c r="K778" i="6"/>
  <c r="F778" i="6"/>
  <c r="E778" i="6"/>
  <c r="E777" i="6" l="1"/>
  <c r="J777" i="6"/>
  <c r="K777" i="6"/>
  <c r="F777" i="6"/>
  <c r="D776" i="6"/>
  <c r="C776" i="6" s="1"/>
  <c r="E776" i="6" l="1"/>
  <c r="J776" i="6"/>
  <c r="K776" i="6"/>
  <c r="D775" i="6" l="1"/>
  <c r="C775" i="6" s="1"/>
  <c r="D774" i="6"/>
  <c r="C774" i="6" s="1"/>
  <c r="J774" i="6" s="1"/>
  <c r="J773" i="6"/>
  <c r="K773" i="6"/>
  <c r="F773" i="6"/>
  <c r="E773" i="6"/>
  <c r="J775" i="6" l="1"/>
  <c r="K775" i="6"/>
  <c r="E775" i="6"/>
  <c r="E774" i="6"/>
  <c r="K774" i="6"/>
  <c r="J772" i="6" l="1"/>
  <c r="K772" i="6"/>
  <c r="F772" i="6"/>
  <c r="E772" i="6"/>
  <c r="J771" i="6"/>
  <c r="K771" i="6"/>
  <c r="F771" i="6"/>
  <c r="E771" i="6"/>
  <c r="D770" i="6"/>
  <c r="C770" i="6" l="1"/>
  <c r="J770" i="6" s="1"/>
  <c r="B14" i="16"/>
  <c r="K770" i="6" l="1"/>
  <c r="E770" i="6"/>
  <c r="J769" i="6" l="1"/>
  <c r="E769" i="6"/>
  <c r="J768" i="6"/>
  <c r="K768" i="6"/>
  <c r="F768" i="6"/>
  <c r="E768" i="6"/>
  <c r="J767" i="6"/>
  <c r="K767" i="6"/>
  <c r="E767" i="6"/>
  <c r="K769" i="6" l="1"/>
  <c r="J766" i="6" l="1"/>
  <c r="K766" i="6"/>
  <c r="E766" i="6"/>
  <c r="B7" i="16" s="1"/>
  <c r="E765" i="6"/>
  <c r="F765" i="6"/>
  <c r="J765" i="6"/>
  <c r="K765" i="6"/>
  <c r="J764" i="6"/>
  <c r="K764" i="6"/>
  <c r="J763" i="6" l="1"/>
  <c r="K763" i="6"/>
  <c r="F763" i="6"/>
  <c r="E763" i="6"/>
  <c r="F762" i="6"/>
  <c r="E762" i="6"/>
  <c r="J762" i="6"/>
  <c r="K762" i="6"/>
  <c r="E761" i="6"/>
  <c r="F761" i="6"/>
  <c r="J761" i="6"/>
  <c r="K761" i="6"/>
  <c r="D760" i="6"/>
  <c r="C760" i="6" s="1"/>
  <c r="B26" i="15" s="1"/>
  <c r="F776" i="6" l="1"/>
  <c r="J760" i="6"/>
  <c r="F760" i="6"/>
  <c r="K760" i="6"/>
  <c r="E760" i="6"/>
  <c r="J759" i="6" l="1"/>
  <c r="K759" i="6"/>
  <c r="F759" i="6"/>
  <c r="E759" i="6"/>
  <c r="D758" i="6"/>
  <c r="C758" i="6" s="1"/>
  <c r="J757" i="6"/>
  <c r="K757" i="6"/>
  <c r="F757" i="6"/>
  <c r="E757" i="6"/>
  <c r="D756" i="6"/>
  <c r="C756" i="6" s="1"/>
  <c r="J755" i="6"/>
  <c r="K755" i="6"/>
  <c r="F755" i="6"/>
  <c r="E755" i="6"/>
  <c r="D754" i="6"/>
  <c r="C754" i="6" s="1"/>
  <c r="E744" i="6"/>
  <c r="E745" i="6"/>
  <c r="E747" i="6"/>
  <c r="E748" i="6"/>
  <c r="E749" i="6"/>
  <c r="E751" i="6"/>
  <c r="E753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8" i="6"/>
  <c r="E59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90" i="6"/>
  <c r="E691" i="6"/>
  <c r="E692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8" i="6"/>
  <c r="E729" i="6"/>
  <c r="E730" i="6"/>
  <c r="E732" i="6"/>
  <c r="E733" i="6"/>
  <c r="E734" i="6"/>
  <c r="E735" i="6"/>
  <c r="E736" i="6"/>
  <c r="E737" i="6"/>
  <c r="E738" i="6"/>
  <c r="E739" i="6"/>
  <c r="E740" i="6"/>
  <c r="E741" i="6"/>
  <c r="E754" i="6" l="1"/>
  <c r="J758" i="6"/>
  <c r="K758" i="6"/>
  <c r="E758" i="6"/>
  <c r="J756" i="6"/>
  <c r="K756" i="6"/>
  <c r="E756" i="6"/>
  <c r="J754" i="6"/>
  <c r="K754" i="6"/>
  <c r="J344" i="6" l="1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4" i="6"/>
  <c r="J396" i="6"/>
  <c r="J398" i="6"/>
  <c r="J400" i="6"/>
  <c r="J402" i="6"/>
  <c r="J404" i="6"/>
  <c r="J406" i="6"/>
  <c r="J407" i="6"/>
  <c r="J409" i="6"/>
  <c r="J411" i="6"/>
  <c r="J413" i="6"/>
  <c r="J415" i="6"/>
  <c r="J418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90" i="6"/>
  <c r="J723" i="6"/>
  <c r="J727" i="6"/>
  <c r="J730" i="6"/>
  <c r="J731" i="6"/>
  <c r="J734" i="6"/>
  <c r="J737" i="6"/>
  <c r="J738" i="6"/>
  <c r="J739" i="6"/>
  <c r="J740" i="6"/>
  <c r="J748" i="6"/>
  <c r="J749" i="6"/>
  <c r="J750" i="6"/>
  <c r="J751" i="6"/>
  <c r="J753" i="6"/>
  <c r="K753" i="6"/>
  <c r="C752" i="6"/>
  <c r="F751" i="6"/>
  <c r="K751" i="6"/>
  <c r="D750" i="6"/>
  <c r="E750" i="6" s="1"/>
  <c r="F750" i="6"/>
  <c r="D727" i="6"/>
  <c r="E727" i="6" s="1"/>
  <c r="K749" i="6"/>
  <c r="F748" i="6"/>
  <c r="K748" i="6"/>
  <c r="B25" i="15" l="1"/>
  <c r="F764" i="6"/>
  <c r="J752" i="6"/>
  <c r="E752" i="6"/>
  <c r="K750" i="6"/>
  <c r="F752" i="6"/>
  <c r="K752" i="6"/>
  <c r="F747" i="6" l="1"/>
  <c r="J747" i="6"/>
  <c r="K747" i="6"/>
  <c r="D746" i="6"/>
  <c r="C746" i="6" s="1"/>
  <c r="E746" i="6" s="1"/>
  <c r="D743" i="6"/>
  <c r="C743" i="6" s="1"/>
  <c r="D742" i="6"/>
  <c r="C742" i="6" s="1"/>
  <c r="F745" i="6"/>
  <c r="J745" i="6"/>
  <c r="K745" i="6"/>
  <c r="F744" i="6"/>
  <c r="J744" i="6"/>
  <c r="K744" i="6"/>
  <c r="F741" i="6"/>
  <c r="J741" i="6"/>
  <c r="K741" i="6"/>
  <c r="F740" i="6"/>
  <c r="K740" i="6"/>
  <c r="F774" i="6" l="1"/>
  <c r="B9" i="15"/>
  <c r="F756" i="6"/>
  <c r="J742" i="6"/>
  <c r="E742" i="6"/>
  <c r="E743" i="6"/>
  <c r="F743" i="6"/>
  <c r="J743" i="6"/>
  <c r="K746" i="6"/>
  <c r="J746" i="6"/>
  <c r="K743" i="6"/>
  <c r="K742" i="6"/>
  <c r="F735" i="6" l="1"/>
  <c r="J732" i="6"/>
  <c r="J735" i="6"/>
  <c r="K732" i="6"/>
  <c r="K735" i="6"/>
  <c r="K739" i="6"/>
  <c r="F736" i="6"/>
  <c r="J736" i="6"/>
  <c r="K736" i="6"/>
  <c r="K690" i="6"/>
  <c r="F734" i="6" l="1"/>
  <c r="D734" i="6"/>
  <c r="K734" i="6"/>
  <c r="F729" i="6"/>
  <c r="J729" i="6"/>
  <c r="K729" i="6"/>
  <c r="F728" i="6"/>
  <c r="J728" i="6"/>
  <c r="K728" i="6"/>
  <c r="F432" i="6"/>
  <c r="J432" i="6"/>
  <c r="K432" i="6"/>
  <c r="K738" i="6"/>
  <c r="F725" i="6"/>
  <c r="J725" i="6"/>
  <c r="K725" i="6"/>
  <c r="F724" i="6"/>
  <c r="J724" i="6"/>
  <c r="K724" i="6"/>
  <c r="C726" i="6"/>
  <c r="F727" i="6"/>
  <c r="K737" i="6"/>
  <c r="D731" i="6"/>
  <c r="E731" i="6" s="1"/>
  <c r="F731" i="6"/>
  <c r="F723" i="6"/>
  <c r="K723" i="6"/>
  <c r="F730" i="6"/>
  <c r="K730" i="6"/>
  <c r="B20" i="15" l="1"/>
  <c r="F781" i="6"/>
  <c r="E726" i="6"/>
  <c r="F726" i="6"/>
  <c r="K726" i="6"/>
  <c r="J726" i="6"/>
  <c r="K731" i="6"/>
  <c r="K727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C693" i="6" l="1"/>
  <c r="E693" i="6" s="1"/>
  <c r="J692" i="6"/>
  <c r="K692" i="6"/>
  <c r="F691" i="6"/>
  <c r="J691" i="6"/>
  <c r="K691" i="6"/>
  <c r="F733" i="6"/>
  <c r="J733" i="6"/>
  <c r="K733" i="6"/>
  <c r="F419" i="6"/>
  <c r="J419" i="6"/>
  <c r="K419" i="6"/>
  <c r="F516" i="6"/>
  <c r="K516" i="6"/>
  <c r="F663" i="6"/>
  <c r="J663" i="6"/>
  <c r="K663" i="6"/>
  <c r="C676" i="6"/>
  <c r="F599" i="6"/>
  <c r="F600" i="6"/>
  <c r="F601" i="6"/>
  <c r="F602" i="6"/>
  <c r="F603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1" i="6"/>
  <c r="F550" i="6"/>
  <c r="F552" i="6"/>
  <c r="F553" i="6"/>
  <c r="F554" i="6"/>
  <c r="F555" i="6"/>
  <c r="F556" i="6"/>
  <c r="F557" i="6"/>
  <c r="F558" i="6"/>
  <c r="F559" i="6"/>
  <c r="F561" i="6"/>
  <c r="F560" i="6"/>
  <c r="F563" i="6"/>
  <c r="F562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8" i="6"/>
  <c r="F577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C689" i="6"/>
  <c r="B15" i="15" s="1"/>
  <c r="J216" i="6"/>
  <c r="F784" i="6" l="1"/>
  <c r="B29" i="15"/>
  <c r="F767" i="6"/>
  <c r="F766" i="6"/>
  <c r="J689" i="6"/>
  <c r="E689" i="6"/>
  <c r="J676" i="6"/>
  <c r="E676" i="6"/>
  <c r="J693" i="6"/>
  <c r="F753" i="6"/>
  <c r="F749" i="6"/>
  <c r="F738" i="6"/>
  <c r="F739" i="6"/>
  <c r="F690" i="6"/>
  <c r="F737" i="6"/>
  <c r="K693" i="6"/>
  <c r="F693" i="6"/>
  <c r="F676" i="6"/>
  <c r="K676" i="6"/>
  <c r="F91" i="6"/>
  <c r="F285" i="6"/>
  <c r="F51" i="6"/>
  <c r="J147" i="6"/>
  <c r="J91" i="6"/>
  <c r="J285" i="6"/>
  <c r="J51" i="6"/>
  <c r="K91" i="6"/>
  <c r="K285" i="6"/>
  <c r="K51" i="6"/>
  <c r="F56" i="6"/>
  <c r="J56" i="6"/>
  <c r="K56" i="6"/>
  <c r="F150" i="6"/>
  <c r="J150" i="6"/>
  <c r="K150" i="6"/>
  <c r="J675" i="6"/>
  <c r="J662" i="6"/>
  <c r="K675" i="6"/>
  <c r="K662" i="6"/>
  <c r="K688" i="6"/>
  <c r="F481" i="6"/>
  <c r="J481" i="6"/>
  <c r="K481" i="6"/>
  <c r="F689" i="6"/>
  <c r="K689" i="6"/>
  <c r="F306" i="6"/>
  <c r="J306" i="6"/>
  <c r="K306" i="6"/>
  <c r="D603" i="6"/>
  <c r="E603" i="6" s="1"/>
  <c r="F466" i="6"/>
  <c r="J466" i="6"/>
  <c r="K466" i="6"/>
  <c r="F467" i="6"/>
  <c r="F468" i="6"/>
  <c r="J467" i="6"/>
  <c r="J468" i="6"/>
  <c r="K467" i="6"/>
  <c r="K468" i="6"/>
  <c r="B18" i="16" l="1"/>
  <c r="K603" i="6"/>
  <c r="B20" i="16" l="1"/>
  <c r="F431" i="6"/>
  <c r="K431" i="6"/>
  <c r="F531" i="6"/>
  <c r="K531" i="6"/>
  <c r="F530" i="6"/>
  <c r="K530" i="6"/>
  <c r="F493" i="6" l="1"/>
  <c r="J493" i="6"/>
  <c r="K493" i="6"/>
  <c r="F492" i="6"/>
  <c r="J492" i="6"/>
  <c r="K492" i="6"/>
  <c r="F50" i="6" l="1"/>
  <c r="J146" i="6"/>
  <c r="J50" i="6"/>
  <c r="K146" i="6"/>
  <c r="K50" i="6"/>
  <c r="F284" i="6"/>
  <c r="J284" i="6"/>
  <c r="K284" i="6"/>
  <c r="D60" i="6"/>
  <c r="J215" i="6"/>
  <c r="K215" i="6"/>
  <c r="F90" i="6"/>
  <c r="J90" i="6"/>
  <c r="K90" i="6"/>
  <c r="F38" i="6"/>
  <c r="J38" i="6"/>
  <c r="K38" i="6"/>
  <c r="F529" i="6"/>
  <c r="K529" i="6"/>
  <c r="F149" i="6"/>
  <c r="J149" i="6"/>
  <c r="K149" i="6"/>
  <c r="E60" i="6" l="1"/>
  <c r="F60" i="6" l="1"/>
  <c r="J60" i="6"/>
  <c r="K60" i="6"/>
  <c r="F59" i="6"/>
  <c r="J59" i="6"/>
  <c r="K59" i="6"/>
  <c r="F58" i="6"/>
  <c r="J58" i="6"/>
  <c r="K58" i="6"/>
  <c r="D527" i="6" l="1"/>
  <c r="E527" i="6" s="1"/>
  <c r="D602" i="6"/>
  <c r="E602" i="6" s="1"/>
  <c r="F515" i="6"/>
  <c r="J515" i="6"/>
  <c r="K515" i="6"/>
  <c r="J674" i="6"/>
  <c r="J661" i="6"/>
  <c r="K674" i="6"/>
  <c r="K661" i="6"/>
  <c r="K687" i="6"/>
  <c r="F480" i="6"/>
  <c r="F491" i="6"/>
  <c r="J480" i="6"/>
  <c r="J491" i="6"/>
  <c r="K480" i="6"/>
  <c r="K491" i="6"/>
  <c r="F464" i="6"/>
  <c r="J464" i="6"/>
  <c r="K464" i="6"/>
  <c r="F465" i="6"/>
  <c r="J465" i="6"/>
  <c r="K465" i="6"/>
  <c r="F430" i="6"/>
  <c r="K430" i="6"/>
  <c r="F420" i="6"/>
  <c r="K420" i="6"/>
  <c r="F528" i="6"/>
  <c r="K528" i="6"/>
  <c r="F514" i="6" l="1"/>
  <c r="J514" i="6"/>
  <c r="K514" i="6"/>
  <c r="K602" i="6" l="1"/>
  <c r="F513" i="6"/>
  <c r="J513" i="6"/>
  <c r="K513" i="6"/>
  <c r="F305" i="6"/>
  <c r="J305" i="6"/>
  <c r="K305" i="6"/>
  <c r="F49" i="6"/>
  <c r="J49" i="6"/>
  <c r="K49" i="6"/>
  <c r="J145" i="6"/>
  <c r="K145" i="6"/>
  <c r="F283" i="6"/>
  <c r="J283" i="6"/>
  <c r="K283" i="6"/>
  <c r="F37" i="6"/>
  <c r="J37" i="6"/>
  <c r="K37" i="6"/>
  <c r="F89" i="6"/>
  <c r="J89" i="6"/>
  <c r="K89" i="6"/>
  <c r="J214" i="6"/>
  <c r="K214" i="6"/>
  <c r="F343" i="6" l="1"/>
  <c r="J343" i="6"/>
  <c r="K343" i="6"/>
  <c r="F342" i="6"/>
  <c r="J342" i="6"/>
  <c r="K342" i="6"/>
  <c r="F418" i="6"/>
  <c r="K418" i="6"/>
  <c r="D526" i="6" l="1"/>
  <c r="E526" i="6" s="1"/>
  <c r="D601" i="6"/>
  <c r="E601" i="6" s="1"/>
  <c r="F462" i="6" l="1"/>
  <c r="F429" i="6"/>
  <c r="F463" i="6"/>
  <c r="F88" i="6"/>
  <c r="F512" i="6"/>
  <c r="F36" i="6"/>
  <c r="F48" i="6"/>
  <c r="F341" i="6"/>
  <c r="F304" i="6"/>
  <c r="F415" i="6"/>
  <c r="F479" i="6"/>
  <c r="F490" i="6"/>
  <c r="J462" i="6"/>
  <c r="J463" i="6"/>
  <c r="J213" i="6"/>
  <c r="J88" i="6"/>
  <c r="J512" i="6"/>
  <c r="J36" i="6"/>
  <c r="J48" i="6"/>
  <c r="J341" i="6"/>
  <c r="J304" i="6"/>
  <c r="J479" i="6"/>
  <c r="J490" i="6"/>
  <c r="J673" i="6"/>
  <c r="J660" i="6"/>
  <c r="K462" i="6"/>
  <c r="K429" i="6"/>
  <c r="K463" i="6"/>
  <c r="K213" i="6"/>
  <c r="K88" i="6"/>
  <c r="K512" i="6"/>
  <c r="K36" i="6"/>
  <c r="K48" i="6"/>
  <c r="K341" i="6"/>
  <c r="K601" i="6"/>
  <c r="K304" i="6"/>
  <c r="K415" i="6"/>
  <c r="K479" i="6"/>
  <c r="K490" i="6"/>
  <c r="K673" i="6"/>
  <c r="K660" i="6"/>
  <c r="K686" i="6"/>
  <c r="F526" i="6"/>
  <c r="K526" i="6"/>
  <c r="F527" i="6"/>
  <c r="K527" i="6"/>
  <c r="F148" i="6"/>
  <c r="J148" i="6"/>
  <c r="K148" i="6"/>
  <c r="J144" i="6" l="1"/>
  <c r="K144" i="6"/>
  <c r="F282" i="6"/>
  <c r="J282" i="6"/>
  <c r="K282" i="6"/>
  <c r="F57" i="6" l="1"/>
  <c r="D57" i="6"/>
  <c r="E57" i="6" s="1"/>
  <c r="J57" i="6"/>
  <c r="K57" i="6" l="1"/>
  <c r="D600" i="6" l="1"/>
  <c r="E600" i="6" s="1"/>
  <c r="D525" i="6"/>
  <c r="E525" i="6" s="1"/>
  <c r="F417" i="6" l="1"/>
  <c r="J417" i="6"/>
  <c r="K417" i="6"/>
  <c r="F416" i="6"/>
  <c r="J416" i="6"/>
  <c r="K416" i="6"/>
  <c r="F461" i="6"/>
  <c r="J461" i="6"/>
  <c r="K461" i="6"/>
  <c r="F35" i="6" l="1"/>
  <c r="F47" i="6"/>
  <c r="F87" i="6"/>
  <c r="F302" i="6"/>
  <c r="F340" i="6"/>
  <c r="F413" i="6"/>
  <c r="F414" i="6"/>
  <c r="F428" i="6"/>
  <c r="F458" i="6"/>
  <c r="F460" i="6"/>
  <c r="F459" i="6"/>
  <c r="F478" i="6"/>
  <c r="F489" i="6"/>
  <c r="F511" i="6"/>
  <c r="F525" i="6"/>
  <c r="J35" i="6"/>
  <c r="J47" i="6"/>
  <c r="J87" i="6"/>
  <c r="J143" i="6"/>
  <c r="J212" i="6"/>
  <c r="J302" i="6"/>
  <c r="J340" i="6"/>
  <c r="J414" i="6"/>
  <c r="J458" i="6"/>
  <c r="J460" i="6"/>
  <c r="J459" i="6"/>
  <c r="J478" i="6"/>
  <c r="J489" i="6"/>
  <c r="J511" i="6"/>
  <c r="J672" i="6"/>
  <c r="J659" i="6"/>
  <c r="K35" i="6"/>
  <c r="K47" i="6"/>
  <c r="K87" i="6"/>
  <c r="K143" i="6"/>
  <c r="K212" i="6"/>
  <c r="K302" i="6"/>
  <c r="K340" i="6"/>
  <c r="K413" i="6"/>
  <c r="K414" i="6"/>
  <c r="K428" i="6"/>
  <c r="K458" i="6"/>
  <c r="K460" i="6"/>
  <c r="K459" i="6"/>
  <c r="K478" i="6"/>
  <c r="K489" i="6"/>
  <c r="K511" i="6"/>
  <c r="K525" i="6"/>
  <c r="K600" i="6"/>
  <c r="K672" i="6"/>
  <c r="K659" i="6"/>
  <c r="K685" i="6"/>
  <c r="F281" i="6"/>
  <c r="J281" i="6"/>
  <c r="K281" i="6"/>
  <c r="F303" i="6" l="1"/>
  <c r="J303" i="6"/>
  <c r="K303" i="6"/>
  <c r="F310" i="6" l="1"/>
  <c r="J310" i="6"/>
  <c r="K310" i="6"/>
  <c r="D599" i="6" l="1"/>
  <c r="E599" i="6" s="1"/>
  <c r="K599" i="6" l="1"/>
  <c r="F524" i="6"/>
  <c r="K524" i="6"/>
  <c r="F280" i="6"/>
  <c r="F46" i="6"/>
  <c r="F86" i="6"/>
  <c r="F301" i="6"/>
  <c r="F339" i="6"/>
  <c r="F34" i="6"/>
  <c r="F411" i="6"/>
  <c r="F412" i="6"/>
  <c r="F427" i="6"/>
  <c r="F455" i="6"/>
  <c r="F456" i="6"/>
  <c r="F457" i="6"/>
  <c r="F477" i="6"/>
  <c r="F488" i="6"/>
  <c r="F510" i="6"/>
  <c r="J280" i="6"/>
  <c r="J46" i="6"/>
  <c r="J86" i="6"/>
  <c r="J142" i="6"/>
  <c r="J211" i="6"/>
  <c r="J301" i="6"/>
  <c r="J339" i="6"/>
  <c r="J34" i="6"/>
  <c r="J412" i="6"/>
  <c r="J455" i="6"/>
  <c r="J456" i="6"/>
  <c r="J457" i="6"/>
  <c r="J477" i="6"/>
  <c r="J488" i="6"/>
  <c r="J671" i="6"/>
  <c r="J658" i="6"/>
  <c r="J510" i="6"/>
  <c r="K280" i="6"/>
  <c r="K46" i="6"/>
  <c r="K86" i="6"/>
  <c r="K142" i="6"/>
  <c r="K211" i="6"/>
  <c r="K301" i="6"/>
  <c r="K339" i="6"/>
  <c r="K34" i="6"/>
  <c r="K411" i="6"/>
  <c r="K412" i="6"/>
  <c r="K427" i="6"/>
  <c r="K455" i="6"/>
  <c r="K456" i="6"/>
  <c r="K457" i="6"/>
  <c r="K477" i="6"/>
  <c r="K488" i="6"/>
  <c r="K671" i="6"/>
  <c r="K658" i="6"/>
  <c r="K684" i="6"/>
  <c r="K510" i="6"/>
  <c r="D598" i="6" l="1"/>
  <c r="E598" i="6" s="1"/>
  <c r="F598" i="6"/>
  <c r="F521" i="6"/>
  <c r="K521" i="6"/>
  <c r="F509" i="6"/>
  <c r="J509" i="6"/>
  <c r="K509" i="6"/>
  <c r="J670" i="6"/>
  <c r="J657" i="6"/>
  <c r="K670" i="6"/>
  <c r="K657" i="6"/>
  <c r="K683" i="6"/>
  <c r="F476" i="6"/>
  <c r="F487" i="6"/>
  <c r="J476" i="6"/>
  <c r="J487" i="6"/>
  <c r="K476" i="6"/>
  <c r="K487" i="6"/>
  <c r="F454" i="6"/>
  <c r="J454" i="6"/>
  <c r="K454" i="6"/>
  <c r="F453" i="6"/>
  <c r="J453" i="6"/>
  <c r="K453" i="6"/>
  <c r="F452" i="6"/>
  <c r="J452" i="6"/>
  <c r="K452" i="6"/>
  <c r="F426" i="6"/>
  <c r="K426" i="6"/>
  <c r="F410" i="6"/>
  <c r="J410" i="6"/>
  <c r="K410" i="6"/>
  <c r="F409" i="6"/>
  <c r="K409" i="6"/>
  <c r="F33" i="6"/>
  <c r="J33" i="6"/>
  <c r="K33" i="6"/>
  <c r="F338" i="6"/>
  <c r="J338" i="6"/>
  <c r="K338" i="6"/>
  <c r="F44" i="6"/>
  <c r="F85" i="6"/>
  <c r="F300" i="6"/>
  <c r="J44" i="6"/>
  <c r="J85" i="6"/>
  <c r="J141" i="6"/>
  <c r="J210" i="6"/>
  <c r="J300" i="6"/>
  <c r="K44" i="6"/>
  <c r="K85" i="6"/>
  <c r="K141" i="6"/>
  <c r="K210" i="6"/>
  <c r="K300" i="6"/>
  <c r="K598" i="6" l="1"/>
  <c r="F279" i="6" l="1"/>
  <c r="J279" i="6"/>
  <c r="K279" i="6"/>
  <c r="F523" i="6"/>
  <c r="K523" i="6"/>
  <c r="F522" i="6" l="1"/>
  <c r="K522" i="6"/>
  <c r="F45" i="6" l="1"/>
  <c r="J45" i="6"/>
  <c r="K45" i="6"/>
  <c r="K597" i="6" l="1"/>
  <c r="F508" i="6"/>
  <c r="J508" i="6"/>
  <c r="K508" i="6"/>
  <c r="F407" i="6"/>
  <c r="K407" i="6"/>
  <c r="F278" i="6" l="1"/>
  <c r="J278" i="6"/>
  <c r="K278" i="6"/>
  <c r="F408" i="6"/>
  <c r="F425" i="6"/>
  <c r="F449" i="6"/>
  <c r="F450" i="6"/>
  <c r="F451" i="6"/>
  <c r="F475" i="6"/>
  <c r="F486" i="6"/>
  <c r="F507" i="6"/>
  <c r="F520" i="6"/>
  <c r="J408" i="6"/>
  <c r="J449" i="6"/>
  <c r="J450" i="6"/>
  <c r="J451" i="6"/>
  <c r="J475" i="6"/>
  <c r="J486" i="6"/>
  <c r="J507" i="6"/>
  <c r="J669" i="6"/>
  <c r="J656" i="6"/>
  <c r="K408" i="6"/>
  <c r="K425" i="6"/>
  <c r="K449" i="6"/>
  <c r="K450" i="6"/>
  <c r="K451" i="6"/>
  <c r="K475" i="6"/>
  <c r="K486" i="6"/>
  <c r="K507" i="6"/>
  <c r="K520" i="6"/>
  <c r="K596" i="6"/>
  <c r="K669" i="6"/>
  <c r="K656" i="6"/>
  <c r="K682" i="6"/>
  <c r="F32" i="6"/>
  <c r="F43" i="6"/>
  <c r="F84" i="6"/>
  <c r="F277" i="6"/>
  <c r="F299" i="6"/>
  <c r="F337" i="6"/>
  <c r="F406" i="6"/>
  <c r="J32" i="6"/>
  <c r="J43" i="6"/>
  <c r="J84" i="6"/>
  <c r="J140" i="6"/>
  <c r="J209" i="6"/>
  <c r="J277" i="6"/>
  <c r="J299" i="6"/>
  <c r="J337" i="6"/>
  <c r="K32" i="6"/>
  <c r="K43" i="6"/>
  <c r="K84" i="6"/>
  <c r="K140" i="6"/>
  <c r="K209" i="6"/>
  <c r="K277" i="6"/>
  <c r="K299" i="6"/>
  <c r="K337" i="6"/>
  <c r="K406" i="6"/>
  <c r="F404" i="6" l="1"/>
  <c r="F405" i="6"/>
  <c r="J405" i="6"/>
  <c r="K404" i="6"/>
  <c r="K405" i="6"/>
  <c r="F402" i="6"/>
  <c r="F403" i="6"/>
  <c r="F474" i="6"/>
  <c r="F485" i="6"/>
  <c r="J403" i="6"/>
  <c r="J474" i="6"/>
  <c r="J485" i="6"/>
  <c r="J668" i="6"/>
  <c r="J655" i="6"/>
  <c r="K402" i="6"/>
  <c r="K403" i="6"/>
  <c r="K474" i="6"/>
  <c r="K485" i="6"/>
  <c r="K668" i="6"/>
  <c r="K655" i="6"/>
  <c r="K681" i="6"/>
  <c r="F336" i="6"/>
  <c r="F424" i="6"/>
  <c r="F447" i="6"/>
  <c r="F506" i="6"/>
  <c r="F448" i="6"/>
  <c r="F42" i="6"/>
  <c r="J336" i="6"/>
  <c r="J447" i="6"/>
  <c r="J506" i="6"/>
  <c r="J448" i="6"/>
  <c r="J42" i="6"/>
  <c r="K336" i="6"/>
  <c r="K424" i="6"/>
  <c r="K447" i="6"/>
  <c r="K506" i="6"/>
  <c r="K448" i="6"/>
  <c r="K595" i="6"/>
  <c r="K42" i="6"/>
  <c r="F519" i="6"/>
  <c r="F276" i="6"/>
  <c r="F446" i="6"/>
  <c r="F31" i="6"/>
  <c r="F83" i="6"/>
  <c r="F298" i="6"/>
  <c r="J276" i="6"/>
  <c r="J446" i="6"/>
  <c r="J31" i="6"/>
  <c r="J83" i="6"/>
  <c r="J139" i="6"/>
  <c r="J208" i="6"/>
  <c r="J298" i="6"/>
  <c r="K519" i="6"/>
  <c r="K276" i="6"/>
  <c r="K446" i="6"/>
  <c r="K31" i="6"/>
  <c r="K83" i="6"/>
  <c r="K139" i="6"/>
  <c r="K208" i="6"/>
  <c r="K298" i="6"/>
  <c r="K680" i="6"/>
  <c r="J654" i="6"/>
  <c r="K654" i="6"/>
  <c r="J667" i="6"/>
  <c r="K667" i="6"/>
  <c r="F473" i="6"/>
  <c r="J473" i="6"/>
  <c r="K473" i="6"/>
  <c r="F401" i="6"/>
  <c r="J401" i="6"/>
  <c r="K401" i="6"/>
  <c r="F400" i="6"/>
  <c r="K400" i="6"/>
  <c r="F484" i="6"/>
  <c r="J484" i="6"/>
  <c r="K484" i="6"/>
  <c r="F41" i="6"/>
  <c r="J41" i="6"/>
  <c r="K41" i="6"/>
  <c r="K594" i="6"/>
  <c r="F505" i="6"/>
  <c r="J505" i="6"/>
  <c r="K505" i="6"/>
  <c r="F444" i="6"/>
  <c r="J444" i="6"/>
  <c r="K444" i="6"/>
  <c r="F445" i="6"/>
  <c r="J445" i="6"/>
  <c r="K445" i="6"/>
  <c r="F518" i="6"/>
  <c r="F443" i="6"/>
  <c r="F423" i="6"/>
  <c r="J443" i="6"/>
  <c r="K518" i="6"/>
  <c r="K443" i="6"/>
  <c r="K423" i="6"/>
  <c r="J138" i="6"/>
  <c r="K138" i="6"/>
  <c r="F297" i="6" l="1"/>
  <c r="J297" i="6"/>
  <c r="K297" i="6"/>
  <c r="F82" i="6"/>
  <c r="J82" i="6"/>
  <c r="K82" i="6"/>
  <c r="F30" i="6"/>
  <c r="F335" i="6"/>
  <c r="J30" i="6"/>
  <c r="J335" i="6"/>
  <c r="K30" i="6"/>
  <c r="K335" i="6"/>
  <c r="F275" i="6"/>
  <c r="J275" i="6"/>
  <c r="K275" i="6"/>
  <c r="F274" i="6" l="1"/>
  <c r="J274" i="6"/>
  <c r="K274" i="6"/>
  <c r="F440" i="6"/>
  <c r="J440" i="6"/>
  <c r="K440" i="6"/>
  <c r="F442" i="6"/>
  <c r="J442" i="6"/>
  <c r="K442" i="6"/>
  <c r="F422" i="6"/>
  <c r="K422" i="6"/>
  <c r="F441" i="6"/>
  <c r="J441" i="6"/>
  <c r="K441" i="6"/>
  <c r="F472" i="6"/>
  <c r="J472" i="6"/>
  <c r="J666" i="6"/>
  <c r="J653" i="6"/>
  <c r="K472" i="6"/>
  <c r="K666" i="6"/>
  <c r="K653" i="6"/>
  <c r="K679" i="6"/>
  <c r="F483" i="6"/>
  <c r="F29" i="6"/>
  <c r="F81" i="6"/>
  <c r="F273" i="6"/>
  <c r="F296" i="6"/>
  <c r="F334" i="6"/>
  <c r="F504" i="6"/>
  <c r="F398" i="6"/>
  <c r="F399" i="6"/>
  <c r="J483" i="6"/>
  <c r="J29" i="6"/>
  <c r="J81" i="6"/>
  <c r="J137" i="6"/>
  <c r="J207" i="6"/>
  <c r="J273" i="6"/>
  <c r="J296" i="6"/>
  <c r="J334" i="6"/>
  <c r="J504" i="6"/>
  <c r="J399" i="6"/>
  <c r="K483" i="6"/>
  <c r="K29" i="6"/>
  <c r="K81" i="6"/>
  <c r="K137" i="6"/>
  <c r="K207" i="6"/>
  <c r="K273" i="6"/>
  <c r="K296" i="6"/>
  <c r="K334" i="6"/>
  <c r="K504" i="6"/>
  <c r="K593" i="6"/>
  <c r="K398" i="6"/>
  <c r="K399" i="6"/>
  <c r="J206" i="6" l="1"/>
  <c r="K206" i="6"/>
  <c r="F40" i="6"/>
  <c r="J40" i="6"/>
  <c r="K40" i="6"/>
  <c r="J205" i="6"/>
  <c r="K205" i="6"/>
  <c r="F517" i="6" l="1"/>
  <c r="K517" i="6"/>
  <c r="F421" i="6"/>
  <c r="K421" i="6"/>
  <c r="F482" i="6"/>
  <c r="J482" i="6"/>
  <c r="K482" i="6"/>
  <c r="F503" i="6"/>
  <c r="J503" i="6"/>
  <c r="K503" i="6"/>
  <c r="F437" i="6"/>
  <c r="J437" i="6"/>
  <c r="K437" i="6"/>
  <c r="F439" i="6"/>
  <c r="J439" i="6"/>
  <c r="K439" i="6"/>
  <c r="F438" i="6"/>
  <c r="J438" i="6"/>
  <c r="K438" i="6"/>
  <c r="F471" i="6"/>
  <c r="J471" i="6"/>
  <c r="K471" i="6"/>
  <c r="F436" i="6"/>
  <c r="J436" i="6"/>
  <c r="K436" i="6"/>
  <c r="F396" i="6"/>
  <c r="F397" i="6"/>
  <c r="J397" i="6"/>
  <c r="K396" i="6"/>
  <c r="K397" i="6"/>
  <c r="K592" i="6"/>
  <c r="F28" i="6" l="1"/>
  <c r="F80" i="6"/>
  <c r="F272" i="6"/>
  <c r="F295" i="6"/>
  <c r="F333" i="6"/>
  <c r="J665" i="6"/>
  <c r="J652" i="6"/>
  <c r="J28" i="6"/>
  <c r="J80" i="6"/>
  <c r="J136" i="6"/>
  <c r="J272" i="6"/>
  <c r="J295" i="6"/>
  <c r="J333" i="6"/>
  <c r="K665" i="6"/>
  <c r="K652" i="6"/>
  <c r="K678" i="6"/>
  <c r="K28" i="6"/>
  <c r="K80" i="6"/>
  <c r="K136" i="6"/>
  <c r="K272" i="6"/>
  <c r="K295" i="6"/>
  <c r="K333" i="6"/>
  <c r="F394" i="6" l="1"/>
  <c r="F395" i="6"/>
  <c r="J395" i="6"/>
  <c r="K394" i="6"/>
  <c r="K395" i="6"/>
  <c r="F470" i="6" l="1"/>
  <c r="J470" i="6"/>
  <c r="K470" i="6"/>
  <c r="F392" i="6"/>
  <c r="F393" i="6"/>
  <c r="J393" i="6"/>
  <c r="J664" i="6"/>
  <c r="J651" i="6"/>
  <c r="K392" i="6"/>
  <c r="K393" i="6"/>
  <c r="K664" i="6"/>
  <c r="K651" i="6"/>
  <c r="K677" i="6"/>
  <c r="F502" i="6"/>
  <c r="F435" i="6"/>
  <c r="J502" i="6"/>
  <c r="J435" i="6"/>
  <c r="K502" i="6"/>
  <c r="K591" i="6"/>
  <c r="K435" i="6"/>
  <c r="F433" i="6"/>
  <c r="F434" i="6"/>
  <c r="J433" i="6"/>
  <c r="J434" i="6"/>
  <c r="K433" i="6"/>
  <c r="K434" i="6"/>
  <c r="F79" i="6"/>
  <c r="J79" i="6"/>
  <c r="K79" i="6"/>
  <c r="J203" i="6"/>
  <c r="K203" i="6"/>
  <c r="F469" i="6" l="1"/>
  <c r="J469" i="6"/>
  <c r="K469" i="6"/>
  <c r="J135" i="6" l="1"/>
  <c r="K135" i="6"/>
  <c r="F78" i="6"/>
  <c r="F332" i="6"/>
  <c r="F294" i="6"/>
  <c r="F271" i="6"/>
  <c r="J78" i="6"/>
  <c r="J332" i="6"/>
  <c r="J294" i="6"/>
  <c r="J271" i="6"/>
  <c r="J202" i="6"/>
  <c r="K78" i="6"/>
  <c r="K332" i="6"/>
  <c r="K294" i="6"/>
  <c r="K271" i="6"/>
  <c r="K202" i="6"/>
  <c r="F27" i="6"/>
  <c r="J27" i="6"/>
  <c r="K27" i="6"/>
  <c r="K590" i="6"/>
  <c r="F55" i="6"/>
  <c r="J55" i="6"/>
  <c r="K55" i="6"/>
  <c r="J650" i="6"/>
  <c r="K650" i="6"/>
  <c r="F391" i="6" l="1"/>
  <c r="K391" i="6"/>
  <c r="F270" i="6"/>
  <c r="J270" i="6"/>
  <c r="K270" i="6"/>
  <c r="F26" i="6" l="1"/>
  <c r="F77" i="6"/>
  <c r="F269" i="6"/>
  <c r="F293" i="6"/>
  <c r="F331" i="6"/>
  <c r="F501" i="6"/>
  <c r="J26" i="6"/>
  <c r="J77" i="6"/>
  <c r="J134" i="6"/>
  <c r="J201" i="6"/>
  <c r="J269" i="6"/>
  <c r="J293" i="6"/>
  <c r="J331" i="6"/>
  <c r="J501" i="6"/>
  <c r="K26" i="6"/>
  <c r="K77" i="6"/>
  <c r="K134" i="6"/>
  <c r="K201" i="6"/>
  <c r="K269" i="6"/>
  <c r="K293" i="6"/>
  <c r="K331" i="6"/>
  <c r="K501" i="6"/>
  <c r="F390" i="6"/>
  <c r="K589" i="6"/>
  <c r="K390" i="6"/>
  <c r="F500" i="6"/>
  <c r="J500" i="6"/>
  <c r="K500" i="6"/>
  <c r="F268" i="6" l="1"/>
  <c r="J268" i="6"/>
  <c r="K268" i="6"/>
  <c r="F25" i="6"/>
  <c r="F76" i="6"/>
  <c r="F330" i="6"/>
  <c r="F292" i="6"/>
  <c r="J25" i="6"/>
  <c r="J76" i="6"/>
  <c r="J330" i="6"/>
  <c r="J292" i="6"/>
  <c r="J133" i="6"/>
  <c r="J200" i="6"/>
  <c r="K25" i="6"/>
  <c r="K76" i="6"/>
  <c r="K330" i="6"/>
  <c r="K292" i="6"/>
  <c r="K133" i="6"/>
  <c r="K200" i="6"/>
  <c r="F290" i="6"/>
  <c r="J290" i="6"/>
  <c r="K290" i="6"/>
  <c r="C649" i="6"/>
  <c r="F783" i="6" s="1"/>
  <c r="B27" i="15" l="1"/>
  <c r="F780" i="6"/>
  <c r="F769" i="6"/>
  <c r="E649" i="6"/>
  <c r="F732" i="6"/>
  <c r="F692" i="6"/>
  <c r="F688" i="6"/>
  <c r="F675" i="6"/>
  <c r="F662" i="6"/>
  <c r="F674" i="6"/>
  <c r="F687" i="6"/>
  <c r="F661" i="6"/>
  <c r="F660" i="6"/>
  <c r="F673" i="6"/>
  <c r="F686" i="6"/>
  <c r="F685" i="6"/>
  <c r="F659" i="6"/>
  <c r="F672" i="6"/>
  <c r="F671" i="6"/>
  <c r="F684" i="6"/>
  <c r="F658" i="6"/>
  <c r="F683" i="6"/>
  <c r="F657" i="6"/>
  <c r="F670" i="6"/>
  <c r="F669" i="6"/>
  <c r="F682" i="6"/>
  <c r="F656" i="6"/>
  <c r="F681" i="6"/>
  <c r="F655" i="6"/>
  <c r="F668" i="6"/>
  <c r="F667" i="6"/>
  <c r="F680" i="6"/>
  <c r="F654" i="6"/>
  <c r="F666" i="6"/>
  <c r="F679" i="6"/>
  <c r="F653" i="6"/>
  <c r="F651" i="6"/>
  <c r="F652" i="6"/>
  <c r="F677" i="6"/>
  <c r="F678" i="6"/>
  <c r="F664" i="6"/>
  <c r="F665" i="6"/>
  <c r="F650" i="6"/>
  <c r="B10" i="16" l="1"/>
  <c r="F649" i="6" l="1"/>
  <c r="J649" i="6"/>
  <c r="K649" i="6"/>
  <c r="F389" i="6"/>
  <c r="K389" i="6"/>
  <c r="K588" i="6"/>
  <c r="F499" i="6"/>
  <c r="J499" i="6"/>
  <c r="K499" i="6"/>
  <c r="F267" i="6"/>
  <c r="J132" i="6"/>
  <c r="J267" i="6"/>
  <c r="J199" i="6"/>
  <c r="K132" i="6"/>
  <c r="K267" i="6"/>
  <c r="K199" i="6"/>
  <c r="F24" i="6"/>
  <c r="F75" i="6"/>
  <c r="F329" i="6"/>
  <c r="F291" i="6"/>
  <c r="J24" i="6"/>
  <c r="J75" i="6"/>
  <c r="J329" i="6"/>
  <c r="J291" i="6"/>
  <c r="K24" i="6"/>
  <c r="K75" i="6"/>
  <c r="K329" i="6"/>
  <c r="K291" i="6"/>
  <c r="F388" i="6" l="1"/>
  <c r="F648" i="6"/>
  <c r="J648" i="6"/>
  <c r="K388" i="6"/>
  <c r="K648" i="6"/>
  <c r="K587" i="6" l="1"/>
  <c r="F289" i="6"/>
  <c r="J289" i="6"/>
  <c r="K289" i="6"/>
  <c r="F266" i="6"/>
  <c r="J266" i="6"/>
  <c r="J131" i="6"/>
  <c r="K131" i="6"/>
  <c r="F498" i="6"/>
  <c r="J498" i="6"/>
  <c r="K498" i="6"/>
  <c r="C198" i="6"/>
  <c r="E198" i="6" s="1"/>
  <c r="F328" i="6"/>
  <c r="J328" i="6"/>
  <c r="K328" i="6"/>
  <c r="F74" i="6"/>
  <c r="J74" i="6"/>
  <c r="K74" i="6"/>
  <c r="F23" i="6"/>
  <c r="J23" i="6"/>
  <c r="K23" i="6"/>
  <c r="F288" i="6"/>
  <c r="J288" i="6"/>
  <c r="K288" i="6"/>
  <c r="K266" i="6" l="1"/>
  <c r="F647" i="6" l="1"/>
  <c r="J647" i="6"/>
  <c r="K647" i="6"/>
  <c r="F497" i="6"/>
  <c r="J497" i="6"/>
  <c r="K497" i="6"/>
  <c r="F387" i="6" l="1"/>
  <c r="K387" i="6"/>
  <c r="F496" i="6" l="1"/>
  <c r="J496" i="6"/>
  <c r="K496" i="6"/>
  <c r="K586" i="6"/>
  <c r="F327" i="6" l="1"/>
  <c r="J327" i="6"/>
  <c r="K327" i="6"/>
  <c r="J265" i="6"/>
  <c r="C197" i="6"/>
  <c r="E197" i="6" s="1"/>
  <c r="C130" i="6"/>
  <c r="E130" i="6" s="1"/>
  <c r="F73" i="6"/>
  <c r="J73" i="6"/>
  <c r="K73" i="6"/>
  <c r="F22" i="6"/>
  <c r="J22" i="6"/>
  <c r="K22" i="6"/>
  <c r="K265" i="6" l="1"/>
  <c r="K197" i="6"/>
  <c r="J197" i="6"/>
  <c r="F646" i="6"/>
  <c r="J646" i="6"/>
  <c r="K646" i="6"/>
  <c r="F21" i="6" l="1"/>
  <c r="J21" i="6"/>
  <c r="K21" i="6"/>
  <c r="F19" i="6" l="1"/>
  <c r="F20" i="6"/>
  <c r="J19" i="6"/>
  <c r="J20" i="6"/>
  <c r="K19" i="6"/>
  <c r="K20" i="6"/>
  <c r="F18" i="6"/>
  <c r="J18" i="6"/>
  <c r="K18" i="6"/>
  <c r="F17" i="6"/>
  <c r="J17" i="6"/>
  <c r="K17" i="6"/>
  <c r="F386" i="6" l="1"/>
  <c r="K386" i="6"/>
  <c r="F287" i="6"/>
  <c r="J287" i="6"/>
  <c r="K287" i="6"/>
  <c r="K585" i="6" l="1"/>
  <c r="D495" i="6"/>
  <c r="E495" i="6" s="1"/>
  <c r="F495" i="6"/>
  <c r="J495" i="6"/>
  <c r="K495" i="6" l="1"/>
  <c r="K578" i="6" l="1"/>
  <c r="F326" i="6" l="1"/>
  <c r="J326" i="6"/>
  <c r="K326" i="6"/>
  <c r="D196" i="6"/>
  <c r="C196" i="6" s="1"/>
  <c r="D129" i="6"/>
  <c r="C129" i="6" s="1"/>
  <c r="F72" i="6"/>
  <c r="J72" i="6"/>
  <c r="K72" i="6"/>
  <c r="F16" i="6"/>
  <c r="J16" i="6"/>
  <c r="K16" i="6"/>
  <c r="F645" i="6"/>
  <c r="J645" i="6"/>
  <c r="K645" i="6"/>
  <c r="F770" i="6" l="1"/>
  <c r="B8" i="15"/>
  <c r="F775" i="6"/>
  <c r="B19" i="16"/>
  <c r="B15" i="16" s="1"/>
  <c r="B6" i="15"/>
  <c r="F754" i="6"/>
  <c r="E129" i="6"/>
  <c r="F758" i="6"/>
  <c r="E196" i="6"/>
  <c r="F742" i="6"/>
  <c r="F746" i="6"/>
  <c r="F216" i="6"/>
  <c r="K216" i="6" s="1"/>
  <c r="F147" i="6"/>
  <c r="K147" i="6" s="1"/>
  <c r="F146" i="6"/>
  <c r="F215" i="6"/>
  <c r="F145" i="6"/>
  <c r="F214" i="6"/>
  <c r="F213" i="6"/>
  <c r="F144" i="6"/>
  <c r="F143" i="6"/>
  <c r="F212" i="6"/>
  <c r="F142" i="6"/>
  <c r="F211" i="6"/>
  <c r="F141" i="6"/>
  <c r="F210" i="6"/>
  <c r="F140" i="6"/>
  <c r="F209" i="6"/>
  <c r="F139" i="6"/>
  <c r="F208" i="6"/>
  <c r="F138" i="6"/>
  <c r="F207" i="6"/>
  <c r="F137" i="6"/>
  <c r="F205" i="6"/>
  <c r="F206" i="6"/>
  <c r="F136" i="6"/>
  <c r="F203" i="6"/>
  <c r="F135" i="6"/>
  <c r="F202" i="6"/>
  <c r="F134" i="6"/>
  <c r="F201" i="6"/>
  <c r="F133" i="6"/>
  <c r="F200" i="6"/>
  <c r="F132" i="6"/>
  <c r="F199" i="6"/>
  <c r="F131" i="6"/>
  <c r="F197" i="6"/>
  <c r="K264" i="6"/>
  <c r="J264" i="6"/>
  <c r="F196" i="6"/>
  <c r="J196" i="6"/>
  <c r="K196" i="6"/>
  <c r="K129" i="6"/>
  <c r="F129" i="6"/>
  <c r="J129" i="6"/>
  <c r="F385" i="6" l="1"/>
  <c r="K385" i="6"/>
  <c r="J204" i="6" l="1"/>
  <c r="K204" i="6"/>
  <c r="F204" i="6"/>
  <c r="D494" i="6"/>
  <c r="F494" i="6"/>
  <c r="J494" i="6"/>
  <c r="K494" i="6"/>
  <c r="K584" i="6"/>
  <c r="F286" i="6"/>
  <c r="J286" i="6"/>
  <c r="K286" i="6"/>
  <c r="D309" i="6"/>
  <c r="E309" i="6" s="1"/>
  <c r="F309" i="6"/>
  <c r="J309" i="6"/>
  <c r="F71" i="6"/>
  <c r="J71" i="6"/>
  <c r="K71" i="6"/>
  <c r="F325" i="6"/>
  <c r="J325" i="6"/>
  <c r="K325" i="6"/>
  <c r="F644" i="6"/>
  <c r="J644" i="6"/>
  <c r="K644" i="6"/>
  <c r="K309" i="6" l="1"/>
  <c r="D384" i="6"/>
  <c r="E384" i="6" s="1"/>
  <c r="D383" i="6"/>
  <c r="E383" i="6" s="1"/>
  <c r="F383" i="6"/>
  <c r="F384" i="6"/>
  <c r="K583" i="6"/>
  <c r="K383" i="6" l="1"/>
  <c r="K384" i="6"/>
  <c r="F70" i="6"/>
  <c r="J70" i="6"/>
  <c r="K70" i="6"/>
  <c r="K127" i="6"/>
  <c r="F127" i="6"/>
  <c r="K194" i="6"/>
  <c r="F194" i="6"/>
  <c r="J194" i="6"/>
  <c r="F324" i="6"/>
  <c r="J324" i="6"/>
  <c r="K324" i="6"/>
  <c r="F15" i="6"/>
  <c r="J15" i="6"/>
  <c r="K15" i="6"/>
  <c r="F643" i="6"/>
  <c r="J643" i="6"/>
  <c r="K643" i="6"/>
  <c r="K195" i="6" l="1"/>
  <c r="F195" i="6"/>
  <c r="J195" i="6"/>
  <c r="K128" i="6"/>
  <c r="F128" i="6"/>
  <c r="J128" i="6"/>
  <c r="J127" i="6"/>
  <c r="F217" i="6" l="1"/>
  <c r="F344" i="6"/>
  <c r="F345" i="6"/>
  <c r="F93" i="6"/>
  <c r="F218" i="6"/>
  <c r="F346" i="6"/>
  <c r="F94" i="6"/>
  <c r="F219" i="6"/>
  <c r="F347" i="6"/>
  <c r="F95" i="6"/>
  <c r="F220" i="6"/>
  <c r="F348" i="6"/>
  <c r="F96" i="6"/>
  <c r="F221" i="6"/>
  <c r="F349" i="6"/>
  <c r="F350" i="6"/>
  <c r="F97" i="6"/>
  <c r="F222" i="6"/>
  <c r="F351" i="6"/>
  <c r="F98" i="6"/>
  <c r="F223" i="6"/>
  <c r="F352" i="6"/>
  <c r="F151" i="6"/>
  <c r="F152" i="6"/>
  <c r="F153" i="6"/>
  <c r="F154" i="6"/>
  <c r="F155" i="6"/>
  <c r="F156" i="6"/>
  <c r="F157" i="6"/>
  <c r="F158" i="6"/>
  <c r="F99" i="6"/>
  <c r="F224" i="6"/>
  <c r="F353" i="6"/>
  <c r="F159" i="6"/>
  <c r="F100" i="6"/>
  <c r="F225" i="6"/>
  <c r="F354" i="6"/>
  <c r="F160" i="6"/>
  <c r="F161" i="6"/>
  <c r="F101" i="6"/>
  <c r="F226" i="6"/>
  <c r="F355" i="6"/>
  <c r="F102" i="6"/>
  <c r="F227" i="6"/>
  <c r="F356" i="6"/>
  <c r="F162" i="6"/>
  <c r="F103" i="6"/>
  <c r="F228" i="6"/>
  <c r="F357" i="6"/>
  <c r="F163" i="6"/>
  <c r="F229" i="6"/>
  <c r="F104" i="6"/>
  <c r="F230" i="6"/>
  <c r="F358" i="6"/>
  <c r="F164" i="6"/>
  <c r="F105" i="6"/>
  <c r="F165" i="6"/>
  <c r="F231" i="6"/>
  <c r="F232" i="6"/>
  <c r="F359" i="6"/>
  <c r="F166" i="6"/>
  <c r="F106" i="6"/>
  <c r="F233" i="6"/>
  <c r="F234" i="6"/>
  <c r="F360" i="6"/>
  <c r="F167" i="6"/>
  <c r="F235" i="6"/>
  <c r="F52" i="6"/>
  <c r="F361" i="6"/>
  <c r="F168" i="6"/>
  <c r="F169" i="6"/>
  <c r="F236" i="6"/>
  <c r="F170" i="6"/>
  <c r="F237" i="6"/>
  <c r="F171" i="6"/>
  <c r="F307" i="6"/>
  <c r="F172" i="6"/>
  <c r="F238" i="6"/>
  <c r="F362" i="6"/>
  <c r="F107" i="6"/>
  <c r="F363" i="6"/>
  <c r="F173" i="6"/>
  <c r="F239" i="6"/>
  <c r="F108" i="6"/>
  <c r="F308" i="6"/>
  <c r="F364" i="6"/>
  <c r="F109" i="6"/>
  <c r="F174" i="6"/>
  <c r="F240" i="6"/>
  <c r="F110" i="6"/>
  <c r="F365" i="6"/>
  <c r="F111" i="6"/>
  <c r="F175" i="6"/>
  <c r="F241" i="6"/>
  <c r="F53" i="6"/>
  <c r="F242" i="6"/>
  <c r="F366" i="6"/>
  <c r="F2" i="6"/>
  <c r="F112" i="6"/>
  <c r="F176" i="6"/>
  <c r="F243" i="6"/>
  <c r="F605" i="6"/>
  <c r="F367" i="6"/>
  <c r="F113" i="6"/>
  <c r="F177" i="6"/>
  <c r="F244" i="6"/>
  <c r="F178" i="6"/>
  <c r="F3" i="6"/>
  <c r="F245" i="6"/>
  <c r="F606" i="6"/>
  <c r="F368" i="6"/>
  <c r="F114" i="6"/>
  <c r="F4" i="6"/>
  <c r="F179" i="6"/>
  <c r="F180" i="6"/>
  <c r="F607" i="6"/>
  <c r="F369" i="6"/>
  <c r="F115" i="6"/>
  <c r="F181" i="6"/>
  <c r="F311" i="6"/>
  <c r="F370" i="6"/>
  <c r="F371" i="6"/>
  <c r="F608" i="6"/>
  <c r="F312" i="6"/>
  <c r="F182" i="6"/>
  <c r="F609" i="6"/>
  <c r="F372" i="6"/>
  <c r="F610" i="6"/>
  <c r="F116" i="6"/>
  <c r="F183" i="6"/>
  <c r="F313" i="6"/>
  <c r="F5" i="6"/>
  <c r="F611" i="6"/>
  <c r="F373" i="6"/>
  <c r="F612" i="6"/>
  <c r="F613" i="6"/>
  <c r="F6" i="6"/>
  <c r="F117" i="6"/>
  <c r="F184" i="6"/>
  <c r="F314" i="6"/>
  <c r="F614" i="6"/>
  <c r="F615" i="6"/>
  <c r="F374" i="6"/>
  <c r="F616" i="6"/>
  <c r="F61" i="6"/>
  <c r="F617" i="6"/>
  <c r="F118" i="6"/>
  <c r="F7" i="6"/>
  <c r="F185" i="6"/>
  <c r="F315" i="6"/>
  <c r="F618" i="6"/>
  <c r="F375" i="6"/>
  <c r="F619" i="6"/>
  <c r="F620" i="6"/>
  <c r="F621" i="6"/>
  <c r="F8" i="6"/>
  <c r="F62" i="6"/>
  <c r="F119" i="6"/>
  <c r="F186" i="6"/>
  <c r="F316" i="6"/>
  <c r="F376" i="6"/>
  <c r="F622" i="6"/>
  <c r="F623" i="6"/>
  <c r="F120" i="6"/>
  <c r="F63" i="6"/>
  <c r="F187" i="6"/>
  <c r="F317" i="6"/>
  <c r="F624" i="6"/>
  <c r="F625" i="6"/>
  <c r="F626" i="6"/>
  <c r="F627" i="6"/>
  <c r="F628" i="6"/>
  <c r="F629" i="6"/>
  <c r="F377" i="6"/>
  <c r="F630" i="6"/>
  <c r="F9" i="6"/>
  <c r="F64" i="6"/>
  <c r="F121" i="6"/>
  <c r="F188" i="6"/>
  <c r="F318" i="6"/>
  <c r="F631" i="6"/>
  <c r="F632" i="6"/>
  <c r="F378" i="6"/>
  <c r="F633" i="6"/>
  <c r="F634" i="6"/>
  <c r="F10" i="6"/>
  <c r="F65" i="6"/>
  <c r="F122" i="6"/>
  <c r="F189" i="6"/>
  <c r="F319" i="6"/>
  <c r="F54" i="6"/>
  <c r="F635" i="6"/>
  <c r="F636" i="6"/>
  <c r="F637" i="6"/>
  <c r="F638" i="6"/>
  <c r="F379" i="6"/>
  <c r="F11" i="6"/>
  <c r="F66" i="6"/>
  <c r="F123" i="6"/>
  <c r="F190" i="6"/>
  <c r="F320" i="6"/>
  <c r="F639" i="6"/>
  <c r="F380" i="6"/>
  <c r="F640" i="6"/>
  <c r="F12" i="6"/>
  <c r="F67" i="6"/>
  <c r="F124" i="6"/>
  <c r="F191" i="6"/>
  <c r="F321" i="6"/>
  <c r="F381" i="6"/>
  <c r="F641" i="6"/>
  <c r="F642" i="6"/>
  <c r="F192" i="6"/>
  <c r="F382" i="6"/>
  <c r="F125" i="6"/>
  <c r="F14" i="6"/>
  <c r="F69" i="6"/>
  <c r="F126" i="6"/>
  <c r="F193" i="6"/>
  <c r="F323" i="6"/>
  <c r="F13" i="6"/>
  <c r="F68" i="6"/>
  <c r="F322" i="6"/>
  <c r="F92" i="6"/>
  <c r="K582" i="6" l="1"/>
  <c r="J262" i="6" l="1"/>
  <c r="K262" i="6"/>
  <c r="J642" i="6" l="1"/>
  <c r="K642" i="6"/>
  <c r="J263" i="6" l="1"/>
  <c r="K263" i="6"/>
  <c r="J639" i="6" l="1"/>
  <c r="J640" i="6"/>
  <c r="J12" i="6"/>
  <c r="J67" i="6"/>
  <c r="J124" i="6"/>
  <c r="J191" i="6"/>
  <c r="J259" i="6"/>
  <c r="J321" i="6"/>
  <c r="J641" i="6"/>
  <c r="J13" i="6"/>
  <c r="J68" i="6"/>
  <c r="J192" i="6"/>
  <c r="J260" i="6"/>
  <c r="J322" i="6"/>
  <c r="J125" i="6"/>
  <c r="J14" i="6"/>
  <c r="J69" i="6"/>
  <c r="J126" i="6"/>
  <c r="J193" i="6"/>
  <c r="J261" i="6"/>
  <c r="J323" i="6"/>
  <c r="K639" i="6"/>
  <c r="K380" i="6"/>
  <c r="K640" i="6"/>
  <c r="K12" i="6"/>
  <c r="K67" i="6"/>
  <c r="K124" i="6"/>
  <c r="K191" i="6"/>
  <c r="K259" i="6"/>
  <c r="K321" i="6"/>
  <c r="K580" i="6"/>
  <c r="K381" i="6"/>
  <c r="K641" i="6"/>
  <c r="K13" i="6"/>
  <c r="K68" i="6"/>
  <c r="K192" i="6"/>
  <c r="K260" i="6"/>
  <c r="K322" i="6"/>
  <c r="K125" i="6"/>
  <c r="K581" i="6"/>
  <c r="K382" i="6"/>
  <c r="K14" i="6"/>
  <c r="K69" i="6"/>
  <c r="K126" i="6"/>
  <c r="K193" i="6"/>
  <c r="K261" i="6"/>
  <c r="K323" i="6"/>
  <c r="K579" i="6" l="1"/>
  <c r="K258" i="6"/>
  <c r="K190" i="6"/>
  <c r="J190" i="6"/>
  <c r="K123" i="6"/>
  <c r="J123" i="6"/>
  <c r="K66" i="6"/>
  <c r="J66" i="6"/>
  <c r="K11" i="6"/>
  <c r="J11" i="6"/>
  <c r="K379" i="6"/>
  <c r="K638" i="6"/>
  <c r="J638" i="6"/>
  <c r="K577" i="6"/>
  <c r="K637" i="6"/>
  <c r="J637" i="6"/>
  <c r="K636" i="6"/>
  <c r="J636" i="6"/>
  <c r="K635" i="6"/>
  <c r="J635" i="6"/>
  <c r="K54" i="6"/>
  <c r="J54" i="6"/>
  <c r="K576" i="6"/>
  <c r="K122" i="6"/>
  <c r="J122" i="6"/>
  <c r="K65" i="6"/>
  <c r="J65" i="6"/>
  <c r="K10" i="6"/>
  <c r="J10" i="6"/>
  <c r="K634" i="6"/>
  <c r="J634" i="6"/>
  <c r="K633" i="6"/>
  <c r="J633" i="6"/>
  <c r="K378" i="6"/>
  <c r="K632" i="6"/>
  <c r="J632" i="6"/>
  <c r="K575" i="6"/>
  <c r="K631" i="6"/>
  <c r="J631" i="6"/>
  <c r="K318" i="6"/>
  <c r="J318" i="6"/>
  <c r="K256" i="6"/>
  <c r="J256" i="6"/>
  <c r="K188" i="6"/>
  <c r="J188" i="6"/>
  <c r="K121" i="6"/>
  <c r="J121" i="6"/>
  <c r="K64" i="6"/>
  <c r="J64" i="6"/>
  <c r="K9" i="6"/>
  <c r="J9" i="6"/>
  <c r="K630" i="6"/>
  <c r="J630" i="6"/>
  <c r="K377" i="6"/>
  <c r="K629" i="6"/>
  <c r="J629" i="6"/>
  <c r="K628" i="6"/>
  <c r="J628" i="6"/>
  <c r="K627" i="6"/>
  <c r="J627" i="6"/>
  <c r="K574" i="6"/>
  <c r="K626" i="6"/>
  <c r="J626" i="6"/>
  <c r="K625" i="6"/>
  <c r="J625" i="6"/>
  <c r="K624" i="6"/>
  <c r="J624" i="6"/>
  <c r="K317" i="6"/>
  <c r="J317" i="6"/>
  <c r="K255" i="6"/>
  <c r="J255" i="6"/>
  <c r="K187" i="6"/>
  <c r="J187" i="6"/>
  <c r="K63" i="6"/>
  <c r="J63" i="6"/>
  <c r="K120" i="6"/>
  <c r="J120" i="6"/>
  <c r="K623" i="6"/>
  <c r="J623" i="6"/>
  <c r="K622" i="6"/>
  <c r="J622" i="6"/>
  <c r="K376" i="6"/>
  <c r="K573" i="6"/>
  <c r="K316" i="6"/>
  <c r="J316" i="6"/>
  <c r="K254" i="6"/>
  <c r="J254" i="6"/>
  <c r="K186" i="6"/>
  <c r="J186" i="6"/>
  <c r="K119" i="6"/>
  <c r="J119" i="6"/>
  <c r="K62" i="6"/>
  <c r="J62" i="6"/>
  <c r="K8" i="6"/>
  <c r="J8" i="6"/>
  <c r="K621" i="6"/>
  <c r="J621" i="6"/>
  <c r="K620" i="6"/>
  <c r="J620" i="6"/>
  <c r="K619" i="6"/>
  <c r="J619" i="6"/>
  <c r="K375" i="6"/>
  <c r="K618" i="6"/>
  <c r="J618" i="6"/>
  <c r="K572" i="6"/>
  <c r="K315" i="6"/>
  <c r="J315" i="6"/>
  <c r="K253" i="6"/>
  <c r="J253" i="6"/>
  <c r="K185" i="6"/>
  <c r="J185" i="6"/>
  <c r="K7" i="6"/>
  <c r="J7" i="6"/>
  <c r="K118" i="6"/>
  <c r="J118" i="6"/>
  <c r="K617" i="6"/>
  <c r="J617" i="6"/>
  <c r="K61" i="6"/>
  <c r="J61" i="6"/>
  <c r="K616" i="6"/>
  <c r="J616" i="6"/>
  <c r="K374" i="6"/>
  <c r="K615" i="6"/>
  <c r="J615" i="6"/>
  <c r="K614" i="6"/>
  <c r="J614" i="6"/>
  <c r="K314" i="6"/>
  <c r="J314" i="6"/>
  <c r="K252" i="6"/>
  <c r="J252" i="6"/>
  <c r="K184" i="6"/>
  <c r="J184" i="6"/>
  <c r="K117" i="6"/>
  <c r="J117" i="6"/>
  <c r="K6" i="6"/>
  <c r="J6" i="6"/>
  <c r="K613" i="6"/>
  <c r="J613" i="6"/>
  <c r="K251" i="6"/>
  <c r="J251" i="6"/>
  <c r="K612" i="6"/>
  <c r="J612" i="6"/>
  <c r="K373" i="6"/>
  <c r="K571" i="6"/>
  <c r="K611" i="6"/>
  <c r="J611" i="6"/>
  <c r="K5" i="6"/>
  <c r="J5" i="6"/>
  <c r="K250" i="6"/>
  <c r="J250" i="6"/>
  <c r="K313" i="6"/>
  <c r="J313" i="6"/>
  <c r="K249" i="6"/>
  <c r="J249" i="6"/>
  <c r="K183" i="6"/>
  <c r="J183" i="6"/>
  <c r="K116" i="6"/>
  <c r="J116" i="6"/>
  <c r="K610" i="6"/>
  <c r="J610" i="6"/>
  <c r="K372" i="6"/>
  <c r="K609" i="6"/>
  <c r="J609" i="6"/>
  <c r="K570" i="6"/>
  <c r="K182" i="6"/>
  <c r="J182" i="6"/>
  <c r="K312" i="6"/>
  <c r="J312" i="6"/>
  <c r="K248" i="6"/>
  <c r="J248" i="6"/>
  <c r="K569" i="6"/>
  <c r="K568" i="6"/>
  <c r="K608" i="6"/>
  <c r="J608" i="6"/>
  <c r="K567" i="6"/>
  <c r="K371" i="6"/>
  <c r="K370" i="6"/>
  <c r="K311" i="6"/>
  <c r="J311" i="6"/>
  <c r="K181" i="6"/>
  <c r="J181" i="6"/>
  <c r="K115" i="6"/>
  <c r="J115" i="6"/>
  <c r="K566" i="6"/>
  <c r="K369" i="6"/>
  <c r="K607" i="6"/>
  <c r="J607" i="6"/>
  <c r="K565" i="6"/>
  <c r="K180" i="6"/>
  <c r="J180" i="6"/>
  <c r="K246" i="6"/>
  <c r="J246" i="6"/>
  <c r="K179" i="6"/>
  <c r="J179" i="6"/>
  <c r="K4" i="6"/>
  <c r="J4" i="6"/>
  <c r="K114" i="6"/>
  <c r="J114" i="6"/>
  <c r="K368" i="6"/>
  <c r="K606" i="6"/>
  <c r="J606" i="6"/>
  <c r="K564" i="6"/>
  <c r="K245" i="6"/>
  <c r="J245" i="6"/>
  <c r="K3" i="6"/>
  <c r="J3" i="6"/>
  <c r="K178" i="6"/>
  <c r="J178" i="6"/>
  <c r="K563" i="6"/>
  <c r="K562" i="6"/>
  <c r="K244" i="6"/>
  <c r="J244" i="6"/>
  <c r="K177" i="6"/>
  <c r="J177" i="6"/>
  <c r="K113" i="6"/>
  <c r="J113" i="6"/>
  <c r="K367" i="6"/>
  <c r="K605" i="6"/>
  <c r="J605" i="6"/>
  <c r="K243" i="6"/>
  <c r="J243" i="6"/>
  <c r="K176" i="6"/>
  <c r="J176" i="6"/>
  <c r="K112" i="6"/>
  <c r="J112" i="6"/>
  <c r="K2" i="6"/>
  <c r="J2" i="6"/>
  <c r="K561" i="6"/>
  <c r="K560" i="6"/>
  <c r="K366" i="6"/>
  <c r="K242" i="6"/>
  <c r="J242" i="6"/>
  <c r="K53" i="6"/>
  <c r="J53" i="6"/>
  <c r="K559" i="6"/>
  <c r="K241" i="6"/>
  <c r="J241" i="6"/>
  <c r="K175" i="6"/>
  <c r="J175" i="6"/>
  <c r="K111" i="6"/>
  <c r="J111" i="6"/>
  <c r="K558" i="6"/>
  <c r="K365" i="6"/>
  <c r="K557" i="6"/>
  <c r="K110" i="6"/>
  <c r="J110" i="6"/>
  <c r="K240" i="6"/>
  <c r="J240" i="6"/>
  <c r="K174" i="6"/>
  <c r="J174" i="6"/>
  <c r="K109" i="6"/>
  <c r="J109" i="6"/>
  <c r="K364" i="6"/>
  <c r="K556" i="6"/>
  <c r="K555" i="6"/>
  <c r="K554" i="6"/>
  <c r="K308" i="6"/>
  <c r="J308" i="6"/>
  <c r="K108" i="6"/>
  <c r="J108" i="6"/>
  <c r="K239" i="6"/>
  <c r="J239" i="6"/>
  <c r="K173" i="6"/>
  <c r="J173" i="6"/>
  <c r="K553" i="6"/>
  <c r="K363" i="6"/>
  <c r="K552" i="6"/>
  <c r="K107" i="6"/>
  <c r="J107" i="6"/>
  <c r="K362" i="6"/>
  <c r="K238" i="6"/>
  <c r="J238" i="6"/>
  <c r="K172" i="6"/>
  <c r="J172" i="6"/>
  <c r="K307" i="6"/>
  <c r="J307" i="6"/>
  <c r="K551" i="6"/>
  <c r="K550" i="6"/>
  <c r="K171" i="6"/>
  <c r="J171" i="6"/>
  <c r="K237" i="6"/>
  <c r="J237" i="6"/>
  <c r="K170" i="6"/>
  <c r="J170" i="6"/>
  <c r="K236" i="6"/>
  <c r="J236" i="6"/>
  <c r="K169" i="6"/>
  <c r="J169" i="6"/>
  <c r="K168" i="6"/>
  <c r="J168" i="6"/>
  <c r="K549" i="6"/>
  <c r="K52" i="6"/>
  <c r="J52" i="6"/>
  <c r="K235" i="6"/>
  <c r="J235" i="6"/>
  <c r="K167" i="6"/>
  <c r="J167" i="6"/>
  <c r="K360" i="6"/>
  <c r="K234" i="6"/>
  <c r="J234" i="6"/>
  <c r="K233" i="6"/>
  <c r="J233" i="6"/>
  <c r="K548" i="6"/>
  <c r="K106" i="6"/>
  <c r="J106" i="6"/>
  <c r="K166" i="6"/>
  <c r="J166" i="6"/>
  <c r="K359" i="6"/>
  <c r="K232" i="6"/>
  <c r="J232" i="6"/>
  <c r="K547" i="6"/>
  <c r="K231" i="6"/>
  <c r="J231" i="6"/>
  <c r="K165" i="6"/>
  <c r="J165" i="6"/>
  <c r="K105" i="6"/>
  <c r="J105" i="6"/>
  <c r="K546" i="6"/>
  <c r="K164" i="6"/>
  <c r="J164" i="6"/>
  <c r="K358" i="6"/>
  <c r="K230" i="6"/>
  <c r="J230" i="6"/>
  <c r="K545" i="6"/>
  <c r="K104" i="6"/>
  <c r="J104" i="6"/>
  <c r="K229" i="6"/>
  <c r="J229" i="6"/>
  <c r="K163" i="6"/>
  <c r="J163" i="6"/>
  <c r="K228" i="6"/>
  <c r="J228" i="6"/>
  <c r="K544" i="6"/>
  <c r="K103" i="6"/>
  <c r="J103" i="6"/>
  <c r="K162" i="6"/>
  <c r="J162" i="6"/>
  <c r="K356" i="6"/>
  <c r="K227" i="6"/>
  <c r="J227" i="6"/>
  <c r="K543" i="6"/>
  <c r="K102" i="6"/>
  <c r="J102" i="6"/>
  <c r="K355" i="6"/>
  <c r="K226" i="6"/>
  <c r="J226" i="6"/>
  <c r="K542" i="6"/>
  <c r="K101" i="6"/>
  <c r="J101" i="6"/>
  <c r="K161" i="6"/>
  <c r="J161" i="6"/>
  <c r="K160" i="6"/>
  <c r="J160" i="6"/>
  <c r="K354" i="6"/>
  <c r="K541" i="6"/>
  <c r="K225" i="6"/>
  <c r="J225" i="6"/>
  <c r="K100" i="6"/>
  <c r="J100" i="6"/>
  <c r="K159" i="6"/>
  <c r="J159" i="6"/>
  <c r="K353" i="6"/>
  <c r="K224" i="6"/>
  <c r="J224" i="6"/>
  <c r="K540" i="6"/>
  <c r="K99" i="6"/>
  <c r="J99" i="6"/>
  <c r="K158" i="6"/>
  <c r="J158" i="6"/>
  <c r="K157" i="6"/>
  <c r="J157" i="6"/>
  <c r="K156" i="6"/>
  <c r="J156" i="6"/>
  <c r="K155" i="6"/>
  <c r="J155" i="6"/>
  <c r="K154" i="6"/>
  <c r="J154" i="6"/>
  <c r="K153" i="6"/>
  <c r="J153" i="6"/>
  <c r="K152" i="6"/>
  <c r="J152" i="6"/>
  <c r="K151" i="6"/>
  <c r="J151" i="6"/>
  <c r="K352" i="6"/>
  <c r="K223" i="6"/>
  <c r="J223" i="6"/>
  <c r="K539" i="6"/>
  <c r="K98" i="6"/>
  <c r="J98" i="6"/>
  <c r="K351" i="6"/>
  <c r="K538" i="6"/>
  <c r="K222" i="6"/>
  <c r="J222" i="6"/>
  <c r="K97" i="6"/>
  <c r="J97" i="6"/>
  <c r="K350" i="6"/>
  <c r="K349" i="6"/>
  <c r="K537" i="6"/>
  <c r="K221" i="6"/>
  <c r="J221" i="6"/>
  <c r="K96" i="6"/>
  <c r="J96" i="6"/>
  <c r="K348" i="6"/>
  <c r="K220" i="6"/>
  <c r="J220" i="6"/>
  <c r="K536" i="6"/>
  <c r="K95" i="6"/>
  <c r="J95" i="6"/>
  <c r="K347" i="6"/>
  <c r="K219" i="6"/>
  <c r="J219" i="6"/>
  <c r="K535" i="6"/>
  <c r="K94" i="6"/>
  <c r="J94" i="6"/>
  <c r="K346" i="6"/>
  <c r="K218" i="6"/>
  <c r="J218" i="6"/>
  <c r="K533" i="6"/>
  <c r="K93" i="6"/>
  <c r="J93" i="6"/>
  <c r="K345" i="6"/>
  <c r="K344" i="6"/>
  <c r="K532" i="6"/>
  <c r="K217" i="6"/>
  <c r="J217" i="6"/>
  <c r="K92" i="6"/>
  <c r="J92" i="6"/>
  <c r="B1" i="12"/>
  <c r="S1520" i="697" l="1"/>
  <c r="S1522" i="697"/>
  <c r="S1523" i="697"/>
  <c r="S1526" i="697"/>
  <c r="S1529" i="697"/>
  <c r="S1531" i="697"/>
  <c r="S1533" i="697"/>
  <c r="S1534" i="697"/>
  <c r="S1555" i="697"/>
  <c r="S1559" i="697"/>
  <c r="S1560" i="697"/>
  <c r="S1564" i="697"/>
  <c r="S1568" i="697"/>
  <c r="S1572" i="697"/>
  <c r="S1574" i="697"/>
  <c r="S1578" i="697"/>
  <c r="S1582" i="697"/>
  <c r="S1587" i="697"/>
  <c r="S1590" i="697"/>
  <c r="S1593" i="697"/>
  <c r="S1524" i="697"/>
  <c r="S1525" i="697"/>
  <c r="S1527" i="697"/>
  <c r="S1528" i="697"/>
  <c r="S1536" i="697"/>
  <c r="S1540" i="697"/>
  <c r="S1542" i="697"/>
  <c r="S1544" i="697"/>
  <c r="S1547" i="697"/>
  <c r="S1550" i="697"/>
  <c r="S1552" i="697"/>
  <c r="S1553" i="697"/>
  <c r="S1558" i="697"/>
  <c r="S1561" i="697"/>
  <c r="S1566" i="697"/>
  <c r="S1571" i="697"/>
  <c r="S1575" i="697"/>
  <c r="S1580" i="697"/>
  <c r="S1585" i="697"/>
  <c r="S1586" i="697"/>
  <c r="S1537" i="697"/>
  <c r="S1539" i="697"/>
  <c r="S1541" i="697"/>
  <c r="S1545" i="697"/>
  <c r="S1549" i="697"/>
  <c r="S1554" i="697"/>
  <c r="S1562" i="697"/>
  <c r="S1567" i="697"/>
  <c r="S1576" i="697"/>
  <c r="S1581" i="697"/>
  <c r="S1588" i="697"/>
  <c r="S1591" i="697"/>
  <c r="S1532" i="697"/>
  <c r="S1556" i="697"/>
  <c r="S1563" i="697"/>
  <c r="S1569" i="697"/>
  <c r="S1577" i="697"/>
  <c r="S1583" i="697"/>
  <c r="S1589" i="697"/>
  <c r="S1592" i="697"/>
  <c r="S1535" i="697"/>
  <c r="S1546" i="697"/>
  <c r="S1521" i="697"/>
  <c r="S1530" i="697"/>
  <c r="S1551" i="697"/>
  <c r="S1557" i="697"/>
  <c r="S1565" i="697"/>
  <c r="S1573" i="697"/>
  <c r="S1538" i="697"/>
  <c r="S1543" i="697"/>
  <c r="S1570" i="697"/>
  <c r="S1579" i="697"/>
  <c r="S1548" i="697"/>
  <c r="S1584" i="697"/>
  <c r="K361" i="6"/>
  <c r="J258" i="6"/>
  <c r="K357" i="6" l="1"/>
  <c r="K320" i="6" l="1"/>
  <c r="J320" i="6"/>
  <c r="K319" i="6" l="1"/>
  <c r="J319" i="6"/>
  <c r="K257" i="6" l="1"/>
  <c r="J257" i="6"/>
  <c r="K189" i="6" l="1"/>
  <c r="J189" i="6"/>
  <c r="K534" i="6" l="1"/>
  <c r="J130" i="6" l="1"/>
  <c r="F130" i="6"/>
  <c r="K130" i="6"/>
  <c r="F253" i="6"/>
  <c r="F254" i="6"/>
  <c r="F265" i="6"/>
  <c r="F249" i="6"/>
  <c r="F264" i="6"/>
  <c r="F256" i="6"/>
  <c r="F263" i="6"/>
  <c r="F247" i="6"/>
  <c r="F258" i="6"/>
  <c r="F251" i="6"/>
  <c r="F259" i="6"/>
  <c r="F257" i="6"/>
  <c r="F255" i="6"/>
  <c r="F262" i="6"/>
  <c r="K247" i="6"/>
  <c r="F250" i="6"/>
  <c r="J247" i="6"/>
  <c r="F260" i="6"/>
  <c r="F261" i="6"/>
  <c r="F248" i="6"/>
  <c r="F252" i="6"/>
  <c r="F246" i="6"/>
  <c r="J198" i="6" l="1"/>
  <c r="F198" i="6"/>
  <c r="K198" i="6" l="1"/>
  <c r="F39" i="6"/>
  <c r="K39" i="6" s="1"/>
  <c r="J39" i="6"/>
  <c r="F604" i="6"/>
  <c r="K60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administracion</author>
  </authors>
  <commentList>
    <comment ref="A2" authorId="0" shapeId="0" xr:uid="{FA00574D-04FA-427A-A929-F861A639130F}">
      <text>
        <r>
          <rPr>
            <b/>
            <sz val="9"/>
            <color indexed="81"/>
            <rFont val="Tahoma"/>
            <family val="2"/>
          </rPr>
          <t>administracion:</t>
        </r>
        <r>
          <rPr>
            <sz val="9"/>
            <color indexed="81"/>
            <rFont val="Tahoma"/>
            <family val="2"/>
          </rPr>
          <t xml:space="preserve">
los proveedores que contengan esta palabra en el nombre no operan en el reporte.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</author>
  </authors>
  <commentList>
    <comment ref="A2" authorId="0" shapeId="0" xr:uid="{88D963EF-B1EA-4465-9389-6D76C3C3A44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3" authorId="0" shapeId="0" xr:uid="{0E35F7E3-4892-441B-9C36-36513EAE420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4" authorId="0" shapeId="0" xr:uid="{6E42A368-8ED8-4EF7-9E36-E83B49E05D5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5" authorId="0" shapeId="0" xr:uid="{149E088B-DD5B-4FDA-9545-9EB8027B03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6" authorId="0" shapeId="0" xr:uid="{2EA1BD87-697A-4B7B-8103-DF6425F82E6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21" authorId="0" shapeId="0" xr:uid="{760CBFB6-C754-49F6-865E-4BAD09A47C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calcula en la hoja "factura vencidas" y luego pegar el dato aquí.</t>
        </r>
      </text>
    </comment>
    <comment ref="A22" authorId="0" shapeId="0" xr:uid="{128444A8-DCF9-4DE0-B9E6-5FD2BA06338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3" authorId="0" shapeId="0" xr:uid="{70EF2813-EDDB-4BA2-A747-CF5FA211F66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4" authorId="0" shapeId="0" xr:uid="{6EA09FAD-D28A-4788-9137-75933B5DBC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5" authorId="0" shapeId="0" xr:uid="{3282B2BE-CD79-4579-8B1F-FAABB483608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6" authorId="0" shapeId="0" xr:uid="{F6A287FF-0876-40CB-B87A-DA5AD63355E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7" authorId="0" shapeId="0" xr:uid="{CD953C46-6BA2-40EB-A08E-CEF0CC1375F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8" authorId="0" shapeId="0" xr:uid="{598C6307-7687-4C76-B404-8EDA640252D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9" authorId="0" shapeId="0" xr:uid="{F0B66273-5A82-4CFF-8B6E-40F0ED9BFB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30" authorId="0" shapeId="0" xr:uid="{9D43A644-4878-4A20-A7FD-2E5AB08A53E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</commentList>
</comments>
</file>

<file path=xl/sharedStrings.xml><?xml version="1.0" encoding="utf-8"?>
<sst xmlns="http://schemas.openxmlformats.org/spreadsheetml/2006/main" count="6542" uniqueCount="1833">
  <si>
    <t>Fecha de hoy</t>
  </si>
  <si>
    <t>FECHA DE FACTURACIÓN</t>
  </si>
  <si>
    <t># DE FACTURA</t>
  </si>
  <si>
    <t>PROVEEDOR</t>
  </si>
  <si>
    <t>PLAZO Días</t>
  </si>
  <si>
    <t>NOTAS</t>
  </si>
  <si>
    <t>FECHA DE PAGO</t>
  </si>
  <si>
    <t>Estado de la factura</t>
  </si>
  <si>
    <t>STATUR</t>
  </si>
  <si>
    <t>TRONEX</t>
  </si>
  <si>
    <t>WIDEX</t>
  </si>
  <si>
    <t>DW</t>
  </si>
  <si>
    <t>YERMIN</t>
  </si>
  <si>
    <t>UNITEC</t>
  </si>
  <si>
    <t>SP PULSOS</t>
  </si>
  <si>
    <t>RAGO</t>
  </si>
  <si>
    <t>MPS</t>
  </si>
  <si>
    <t>HYR</t>
  </si>
  <si>
    <t>NICOMAR</t>
  </si>
  <si>
    <t>AMG</t>
  </si>
  <si>
    <t>APC</t>
  </si>
  <si>
    <t>FLASH INTERNATIONAL</t>
  </si>
  <si>
    <t>TNR</t>
  </si>
  <si>
    <t>DUNCAN</t>
  </si>
  <si>
    <t>OPELSA</t>
  </si>
  <si>
    <t>MONTBLANC</t>
  </si>
  <si>
    <t>TENERGY</t>
  </si>
  <si>
    <t>IVA</t>
  </si>
  <si>
    <t>SISTECREDITO</t>
  </si>
  <si>
    <t>KENEX</t>
  </si>
  <si>
    <t>MAKING BUSINESS</t>
  </si>
  <si>
    <t>KINO COMPANY</t>
  </si>
  <si>
    <t>IMPORTACIONES UNIFER</t>
  </si>
  <si>
    <t>ABONOS</t>
  </si>
  <si>
    <t>$ INTERESES</t>
  </si>
  <si>
    <t>ELECTRONICAS I+D</t>
  </si>
  <si>
    <t>VALOR EN DOLARES</t>
  </si>
  <si>
    <t>Pagos del mes</t>
  </si>
  <si>
    <t>BTN</t>
  </si>
  <si>
    <t>OPELSA KENEX</t>
  </si>
  <si>
    <t>TERMOPAK</t>
  </si>
  <si>
    <t>ENERGIZER BRANDS</t>
  </si>
  <si>
    <t>ISMART ELECTRONICS</t>
  </si>
  <si>
    <t>ÉXITO</t>
  </si>
  <si>
    <t>COSOSTENIBLE</t>
  </si>
  <si>
    <t>ESTUCHES DE CELULAR</t>
  </si>
  <si>
    <t>BIGTRONICA</t>
  </si>
  <si>
    <t>FALABELLA</t>
  </si>
  <si>
    <t xml:space="preserve">IMPUESTOS TNR </t>
  </si>
  <si>
    <t>OPELSA TNR</t>
  </si>
  <si>
    <t>IMPUESTOS KENEX</t>
  </si>
  <si>
    <t>AEROSAN KENEX</t>
  </si>
  <si>
    <t>FLASH  - TNR</t>
  </si>
  <si>
    <t>FABRIRROLLOS</t>
  </si>
  <si>
    <t>FLASH - TNR</t>
  </si>
  <si>
    <t>FLASH - TNR - MONTBLANC</t>
  </si>
  <si>
    <t>OPELSA - TNR - MONTBLANC</t>
  </si>
  <si>
    <t>IMPUESTOS - TNR - MONTBLANC</t>
  </si>
  <si>
    <t>ROLDAN Y COMPAÑÍA - TNR - MONTBLANC</t>
  </si>
  <si>
    <t>21 GRADOS</t>
  </si>
  <si>
    <t>INNOVATECH</t>
  </si>
  <si>
    <t>IMPUESTOS  - FLASH - TNR</t>
  </si>
  <si>
    <t>FLASH - MONTBLANC</t>
  </si>
  <si>
    <t>IMPUESTOS - TENERGY</t>
  </si>
  <si>
    <t>OPELSA - TENERGY</t>
  </si>
  <si>
    <t>FLASH - TENERGY</t>
  </si>
  <si>
    <t>IMPUESTOS FLASH - MONTBLANC</t>
  </si>
  <si>
    <t>IMPUESTOS FLASH  - AMAZON</t>
  </si>
  <si>
    <t>URIEL GALLEGO</t>
  </si>
  <si>
    <t>EMT</t>
  </si>
  <si>
    <t>LOIX</t>
  </si>
  <si>
    <t>DISUIZA</t>
  </si>
  <si>
    <t>$ CAPITAL</t>
  </si>
  <si>
    <t>SALDO</t>
  </si>
  <si>
    <t>DETALLE</t>
  </si>
  <si>
    <t>PAGO</t>
  </si>
  <si>
    <t>GABRIEL JAIME BOTERO ARANGO</t>
  </si>
  <si>
    <t>SUBTOTAL</t>
  </si>
  <si>
    <t>IVA 19%</t>
  </si>
  <si>
    <t>Total</t>
  </si>
  <si>
    <t>Rete Fuente %</t>
  </si>
  <si>
    <t>FLASH IMPUESTOS - MONTBLANC</t>
  </si>
  <si>
    <t>FLASH IMPUESTOS - TNR</t>
  </si>
  <si>
    <t>IMPUESTOS FLASH - TNR</t>
  </si>
  <si>
    <t>LAURA HOYOS</t>
  </si>
  <si>
    <t>LOGIMEX KENEX</t>
  </si>
  <si>
    <t>MEGA</t>
  </si>
  <si>
    <t>NEW TIME BRIDGE</t>
  </si>
  <si>
    <t>OPELSA - KENEX</t>
  </si>
  <si>
    <t>SOMOS TECNOLOGIA</t>
  </si>
  <si>
    <t>DIAS DE PLAZO</t>
  </si>
  <si>
    <t>CORREO</t>
  </si>
  <si>
    <t>FLASH - Abajo</t>
  </si>
  <si>
    <t>CUENTA BANCARIA</t>
  </si>
  <si>
    <t>IMPUESTOS FLASH  - CASILLERO</t>
  </si>
  <si>
    <t/>
  </si>
  <si>
    <t>AHORROS BANCOLOMBIA N° 27200000468</t>
  </si>
  <si>
    <t>PSE</t>
  </si>
  <si>
    <t>COMPRAS DE CONTADO</t>
  </si>
  <si>
    <t>FLASH - casillero</t>
  </si>
  <si>
    <t>COMPRAS A CRÉDITO</t>
  </si>
  <si>
    <t>COMPRAS</t>
  </si>
  <si>
    <t>DEUDAS PROVEEDORES</t>
  </si>
  <si>
    <t>DEUDAS A BANCOS Y NATURALES</t>
  </si>
  <si>
    <t>SALDO BANCOS</t>
  </si>
  <si>
    <t>SALDO BANCOS Y EFECTIVO</t>
  </si>
  <si>
    <t>CARTERA</t>
  </si>
  <si>
    <t>DESCUENTO</t>
  </si>
  <si>
    <t>PROVEEDORES VENCIDOS</t>
  </si>
  <si>
    <t>PROVEEDORES NO VENCIDAS</t>
  </si>
  <si>
    <t>mes</t>
  </si>
  <si>
    <t>Sinoming china</t>
  </si>
  <si>
    <t>jack@sinomingproducts.com;info@servipilas.com</t>
  </si>
  <si>
    <t>KBH metering</t>
  </si>
  <si>
    <t>fiducuenta</t>
  </si>
  <si>
    <t>fidurenta</t>
  </si>
  <si>
    <t>payu</t>
  </si>
  <si>
    <r>
      <t xml:space="preserve">PAGOS DEL MES
</t>
    </r>
    <r>
      <rPr>
        <sz val="9"/>
        <rFont val="Calibri"/>
        <family val="2"/>
      </rPr>
      <t>(PROV + CREDT)</t>
    </r>
  </si>
  <si>
    <t>davivienda corriente</t>
  </si>
  <si>
    <t>itau corriente</t>
  </si>
  <si>
    <t>CORRIENTE BANCOLOMBIA No. 227-000104-25</t>
  </si>
  <si>
    <t>bancolombia ah 91215970731</t>
  </si>
  <si>
    <t>contabilidad@amgimportadora.com;mcastellanos@amgimportadora.com;girlesa.ruiz@servipilas.com;joriescobar64@gmail.com</t>
  </si>
  <si>
    <t>contabilidad@comercialweb.com.co;info@servipilas.com</t>
  </si>
  <si>
    <r>
      <t xml:space="preserve">DEUDAS
</t>
    </r>
    <r>
      <rPr>
        <sz val="9"/>
        <rFont val="Calibri"/>
        <family val="2"/>
      </rPr>
      <t>PROVEEDORES + BANCOS Y NATURALES</t>
    </r>
  </si>
  <si>
    <t>bancolombia ah 237-068 558-31</t>
  </si>
  <si>
    <t>SALDO PROVEEDOR</t>
  </si>
  <si>
    <t>Electronicas canare</t>
  </si>
  <si>
    <t>BANCOLOMBIA AHORROS 10352314124</t>
  </si>
  <si>
    <t>pse</t>
  </si>
  <si>
    <t>PV</t>
  </si>
  <si>
    <t>BANCOLOMBIA 3103</t>
  </si>
  <si>
    <t xml:space="preserve">BANCOLOMBIA USD$ </t>
  </si>
  <si>
    <t xml:space="preserve">CAJA SOCIAL </t>
  </si>
  <si>
    <t>Bancolombia cc 01058821343
Convenio 38847</t>
  </si>
  <si>
    <t xml:space="preserve">INVENTARIOS </t>
  </si>
  <si>
    <t>DINERO EN CAJA</t>
  </si>
  <si>
    <t>GASTOS</t>
  </si>
  <si>
    <t>VENTAS</t>
  </si>
  <si>
    <t>Coste financiero</t>
  </si>
  <si>
    <t>bcs corriente + corresponsal</t>
  </si>
  <si>
    <t>PRESTAMO</t>
  </si>
  <si>
    <t>SAYER - YERMIN</t>
  </si>
  <si>
    <t>JARLY SAS - JORGE ARREDONDO</t>
  </si>
  <si>
    <t>AJUSTE FIN DE MES</t>
  </si>
  <si>
    <t>intereses no pagados en 2020</t>
  </si>
  <si>
    <t>ajuste de cuentas con fernando</t>
  </si>
  <si>
    <t xml:space="preserve">Bancolombia AH 102-125 283-78 </t>
  </si>
  <si>
    <t>juan.suarez@cosostenible.com;girlesa.ruiz@servipilas.com;joriescobar64@gmail.com</t>
  </si>
  <si>
    <t>CARLOSARCILAMENSAJERIA@gmail.com;girlesa.ruiz@servipilas.com;joriescobar64@gmail.com</t>
  </si>
  <si>
    <t>yermingg@hotmail.com;girlesa.ruiz@servipilas.com;joriescobar64@gmail.com</t>
  </si>
  <si>
    <t>inspecciones@bomberossabaneta.com;girlesa.ruiz@servipilas.com;joriescobar64@gmail.com</t>
  </si>
  <si>
    <t>javiergomez_72@hotmail.com ;girlesa.ruiz@servipilas.com;joriescobar64@gmail.com</t>
  </si>
  <si>
    <t>Fernando.Carmona@energizer.com;girlesa.ruiz@servipilas.com;joriescobar64@gmail.com</t>
  </si>
  <si>
    <t>vromero@flashinternational.us;girlesa.ruiz@servipilas.com;joriescobar64@gmail.com</t>
  </si>
  <si>
    <t>cartera@jeway.com.co;girlesa.ruiz@servipilas.com;joriescobar64@gmail.com</t>
  </si>
  <si>
    <t>BRIGHTSIDELED2019@gmail.com;girlesa.ruiz@servipilas.com;joriescobar64@gmail.com</t>
  </si>
  <si>
    <t>criszapata1234@gmail.com;girlesa.ruiz@servipilas.com;joriescobar64@gmail.com</t>
  </si>
  <si>
    <t>ventasmegamundo@yahoo.es;girlesa.ruiz@servipilas.com;joriescobar64@gmail.com</t>
  </si>
  <si>
    <t>MVALENCIA@mps.com.co;girlesa.ruiz@servipilas.com;joriescobar64@gmail.com</t>
  </si>
  <si>
    <t>financiera@nalpicentral.com;girlesa.ruiz@servipilas.com;joriescobar64@gmail.com</t>
  </si>
  <si>
    <t>cartera@ienewline.com;andres.arroyave@ienewline.com;girlesa.ruiz@servipilas.com;joriescobar64@gmail.com</t>
  </si>
  <si>
    <t>Info.patex@gmail.com;girlesa.ruiz@servipilas.com;joriescobar64@gmail.com</t>
  </si>
  <si>
    <t>ragomedellin@gmail.com;girlesa.ruiz@servipilas.com;joriescobar64@gmail.com</t>
  </si>
  <si>
    <t>administracion@sapian.com.co;girlesa.ruiz@servipilas.com;joriescobar64@gmail.com</t>
  </si>
  <si>
    <t>senalizacionyavisos@gmail.com;girlesa.ruiz@servipilas.com;joriescobar64@gmail.com</t>
  </si>
  <si>
    <t>pagos@sistecredito.com;girlesa.ruiz@servipilas.com;joriescobar64@gmail.com</t>
  </si>
  <si>
    <t>soluenergiacentro@une.net.co;girlesa.ruiz@servipilas.com;joriescobar64@gmail.com</t>
  </si>
  <si>
    <t>cartera1@grupostatur.com;girlesa.ruiz@servipilas.com;joriescobar64@gmail.com</t>
  </si>
  <si>
    <t>libardopineda@tronex.com;girlesa.ruiz@servipilas.com;joriescobar64@gmail.com</t>
  </si>
  <si>
    <t>Tuspilas.co@gmail.com;girlesa.ruiz@servipilas.com;joriescobar64@gmail.com</t>
  </si>
  <si>
    <t>cxc11@unitecusa.com.co;jefecartera@unitecusa.com.co;girlesa.ruiz@servipilas.com;joriescobar64@gmail.com</t>
  </si>
  <si>
    <t>CBastidas@vyp.com.co;girlesa.ruiz@servipilas.com;joriescobar64@gmail.com</t>
  </si>
  <si>
    <t>BANCO DE BOGOTÁ cc 071-189-245</t>
  </si>
  <si>
    <t>supervisorventasbridge@gmail.com;newtimewatches1@gmail.com;girlesa.ruiz@servipilas.com;joriescobar64@gmail.com</t>
  </si>
  <si>
    <t>ALEKO</t>
  </si>
  <si>
    <t>SIMH</t>
  </si>
  <si>
    <t>electronicascanaresas@gmail.com;girlesa.ruiz@servipilas.com;joriescobar64@gmail.com</t>
  </si>
  <si>
    <t>facturasimh@simh.com.co;girlesa.ruiz@servipilas.com;joriescobar64@gmail.com</t>
  </si>
  <si>
    <t>ventas@ismartsas.com;girlesa.ruiz@servipilas.com;joriescobar64@gmail.com</t>
  </si>
  <si>
    <t>Pygimportadora@gmail.com;girlesa.ruiz@servipilas.com;joriescobar64@gmail.com</t>
  </si>
  <si>
    <t>davivienda cc 456369996909</t>
  </si>
  <si>
    <t>MSL - Somonsing China</t>
  </si>
  <si>
    <t>asistente@mslcorporate.com.co;girlesa.ruiz@servipilas.com;joriescobar64@gmail.com</t>
  </si>
  <si>
    <t>seguro colectivo</t>
  </si>
  <si>
    <t>bog.fa1@pressex.co;bog.fm1@pressex.co;kbaumgartner@pressex.co;girlesa.ruiz@servipilas.com;joriescobar64@gmail.com</t>
  </si>
  <si>
    <t>MUNDITONNER</t>
  </si>
  <si>
    <t>comercial@munditonner.com.co;girlesa.ruiz@servipilas.com;joriescobar64@gmail.com</t>
  </si>
  <si>
    <t>judy.torres@movecargo.co;girlesa.ruiz@servipilas.com;joriescobar64@gmail.com</t>
  </si>
  <si>
    <t>Pressex Logistics - tnr</t>
  </si>
  <si>
    <t xml:space="preserve">asistente@remarcalimitada.com;girlesa.ruiz@servipilas.com;joriescobar64@gmail.com
</t>
  </si>
  <si>
    <t>LOGIMEX TNR</t>
  </si>
  <si>
    <t>IMPUESTOS - TNR</t>
  </si>
  <si>
    <t>Pressex Logistics - casillero</t>
  </si>
  <si>
    <t>Pressex Logistics - montblanc</t>
  </si>
  <si>
    <t>aguadulce - sinming china</t>
  </si>
  <si>
    <t>MAXIPILAS</t>
  </si>
  <si>
    <t>mcastillo@kenextrading.com;agarcia@kenextrading.com;girlesa.ruiz@servipilas.com;joriescobar64@gmail.com</t>
  </si>
  <si>
    <t>para pagar fossil</t>
  </si>
  <si>
    <t>cartera@aerosan.com;girlesa.ruiz@servipilas.com;joriescobar64@gmail.com</t>
  </si>
  <si>
    <t xml:space="preserve">bancolombia cc 388-991169-88 </t>
  </si>
  <si>
    <t>DMARIO</t>
  </si>
  <si>
    <t>Pressex courier - casillero</t>
  </si>
  <si>
    <t>Pressex courier - Kenex</t>
  </si>
  <si>
    <t>Pressex courier - montblanc</t>
  </si>
  <si>
    <t>swizzeraux2@gmail.com;girlesa.ruiz@servipilas.com;joriescobar64@gmail.com</t>
  </si>
  <si>
    <t>IMPUESTOS - MONTBLANC</t>
  </si>
  <si>
    <t>LOGIMEX MONTBLANC</t>
  </si>
  <si>
    <t>JORGE ARREDONDO - JARLY SAS</t>
  </si>
  <si>
    <t>PROVECOL</t>
  </si>
  <si>
    <t>22 para pagar a don luciano,
8 para la cuenta corriente bancolombia,
10 para cuenta corriente davivienda</t>
  </si>
  <si>
    <t>Fecha</t>
  </si>
  <si>
    <t>carterabogota@aintercarga.com;girlesa.ruiz@servipilas.com;joriescobar64@gmail.com</t>
  </si>
  <si>
    <t>AINTERCARGA MONTBLANC</t>
  </si>
  <si>
    <t>TB PLUS</t>
  </si>
  <si>
    <t>??;girlesa.ruiz@servipilas.com;joriescobar64@gmail.com</t>
  </si>
  <si>
    <t>18/8/21 AJUSTE FIN DE MES</t>
  </si>
  <si>
    <t>STEREN</t>
  </si>
  <si>
    <t>MERCEDES PILAS</t>
  </si>
  <si>
    <t>globalpowerc2018@gmail.com;girlesa.ruiz@servipilas.com;joriescobar64@gmail.com</t>
  </si>
  <si>
    <t>admin@kinocompanysas.com.co;girlesa.ruiz@servipilas.com;joriescobar64@gmail.com</t>
  </si>
  <si>
    <t>propertymarketingsas@hotmail.com;girlesa.ruiz@servipilas.com;joriescobar64@gmail.com</t>
  </si>
  <si>
    <t>COMSISTEL</t>
  </si>
  <si>
    <t>BANCOLOMBIA corriente + ahorros</t>
  </si>
  <si>
    <t>MARIA MARTHA RAMIREZ ZULUAGA - JORGE ARREDONDO</t>
  </si>
  <si>
    <t>Pressex courier - tnr</t>
  </si>
  <si>
    <t>ALKOMPRAR</t>
  </si>
  <si>
    <t>consignado en la cuenta de daniel escobar</t>
  </si>
  <si>
    <t>juanzuluaga@ducon.com.co;girlesa.ruiz@servipilas.com;joriescobar64@gmail.com</t>
  </si>
  <si>
    <t>jarlysas@gmail.com;o.clockinternational@gmail.com;girlesa.ruiz@servipilas.com;joriescobar64@gmail.com</t>
  </si>
  <si>
    <t>ALEX MARINO ENRIQUEZ</t>
  </si>
  <si>
    <t>alexenriquez73.ae@gmail.com;girlesa.ruiz@servipilas.com;joriescobar64@gmail.com;info@servipilas.com</t>
  </si>
  <si>
    <t>financiero@dmariocolombia.com;cartera@dmariocolombia.com.co;girlesa.ruiz@servipilas.com;joriescobar64@gmail.com</t>
  </si>
  <si>
    <t>aleja-1305agudelo@hotmail.com;provecol@une.net.co;girlesa.ruiz@servipilas.com;joriescobar64@gmail.com</t>
  </si>
  <si>
    <t>JYN TECHNOLOGY</t>
  </si>
  <si>
    <t>ventasonline@disantioquia.com.co;girlesa.ruiz@servipilas.com;joriescobar64@gmail.com</t>
  </si>
  <si>
    <t>COEXITO servipilas</t>
  </si>
  <si>
    <t>COMERCIALIZADORA DEL ESTE</t>
  </si>
  <si>
    <t>CARPA - CASILLERO</t>
  </si>
  <si>
    <t>CARPA - MONTBLANC</t>
  </si>
  <si>
    <t>CARPA - TNR</t>
  </si>
  <si>
    <t>ALPHA</t>
  </si>
  <si>
    <t>SANTA BARBARA DISTRONIK</t>
  </si>
  <si>
    <t xml:space="preserve"> bateriasindustrialesbogota2@coexito.com.co;girlesa.ruiz@servipilas.com;joriescobar64@gmail.com</t>
  </si>
  <si>
    <t>lpena@tbplusenergy.com;girlesa.ruiz@servipilas.com;joriescobar64@gmail.com</t>
  </si>
  <si>
    <t>bacolombia ah 01012530214</t>
  </si>
  <si>
    <t>alejovelas0426@gmail.com;girlesa.ruiz@servipilas.com;joriescobar64@gmail.com</t>
  </si>
  <si>
    <t>vcortes@power-sonic.com;alexander.baur@power-sonic.com;jirias@power-sonic.com;girlesa.ruiz@servipilas.com;joriescobar64@gmail.com;info@servipilas.com</t>
  </si>
  <si>
    <t>howardlondono@impocarga.com;oswaldo.alvarez@logimexsas.com;girlesa.ruiz@servipilas.com;joriescobar64@gmail.com</t>
  </si>
  <si>
    <t>carloseuristika@hotmail.com;girlesa.ruiz@servipilas.com;joriescobar64@gmail.com</t>
  </si>
  <si>
    <t>dotaciones.ohana.eu@gmail.com;girlesa.ruiz@servipilas.com;joriescobar64@gmail.com</t>
  </si>
  <si>
    <t>Abajo A TU MANO</t>
  </si>
  <si>
    <t>variedades.sfg@gmail.com;girlesa.ruiz@servipilas.com;joriescobar64@gmail.com</t>
  </si>
  <si>
    <t>Abajo ALEX DAVAL</t>
  </si>
  <si>
    <t>Abajo ALIEXPRESS</t>
  </si>
  <si>
    <t>Abajo ANDREA RAMIREZ</t>
  </si>
  <si>
    <t>Abajo audifonos</t>
  </si>
  <si>
    <t>Abajo AURELIO PILAS</t>
  </si>
  <si>
    <t>Abajo AVELINA</t>
  </si>
  <si>
    <t>Abajo CAJONES DE RELOJ</t>
  </si>
  <si>
    <t>Abajo CARLOS MARIO BETANCUR</t>
  </si>
  <si>
    <t>Abajo CASILLERO</t>
  </si>
  <si>
    <t>Abajo COMERCIALIZADORA BYJ</t>
  </si>
  <si>
    <t>Abajo CONTADO</t>
  </si>
  <si>
    <t>Abajo DAVID HOYOS</t>
  </si>
  <si>
    <t>Abajo DIEGO RAMIREZ</t>
  </si>
  <si>
    <t>ABAJO DIY CLOCK</t>
  </si>
  <si>
    <t>Abajo DUBAN LOPEZ</t>
  </si>
  <si>
    <t>cartera@conbienes.com;girlesa.ruiz@servipilas.com;joriescobar64@gmail.com</t>
  </si>
  <si>
    <t>Abajo EFREN</t>
  </si>
  <si>
    <t>Abajo EL PALACIO NAVIDEÑO</t>
  </si>
  <si>
    <t>Abajo GERMAN PALACIOS</t>
  </si>
  <si>
    <t>Abajo Gloria Estrada</t>
  </si>
  <si>
    <t>gloritasz@gmail.com;girlesa.ruiz@servipilas.com;joriescobar64@gmail.com</t>
  </si>
  <si>
    <t>Abajo GLORIA SOTO</t>
  </si>
  <si>
    <t>Abajo GUSTAVO PULSOS</t>
  </si>
  <si>
    <t>Abajo HERMANO DE KAIROS</t>
  </si>
  <si>
    <t>Abajo HUMBERTO ALVAREZ</t>
  </si>
  <si>
    <t>Abajo INSTITUCIONALES</t>
  </si>
  <si>
    <t>Abajo IVA</t>
  </si>
  <si>
    <t>Abajo JORGE ARREDONDO - JARLY SAS</t>
  </si>
  <si>
    <t>Abajo LA ESQUINA DEL MACHETE</t>
  </si>
  <si>
    <t>Abajo MEGARED</t>
  </si>
  <si>
    <t>facturacion@losmolinos.com.co</t>
  </si>
  <si>
    <t>Abajo MERCEDES PILAS</t>
  </si>
  <si>
    <t>Abajo MODULOS</t>
  </si>
  <si>
    <t>Abajo NALPI</t>
  </si>
  <si>
    <t>Abajo OLGA CARDONA</t>
  </si>
  <si>
    <t>Abajo PILAS</t>
  </si>
  <si>
    <t>Abajo pulsos</t>
  </si>
  <si>
    <t>Abajo PYG</t>
  </si>
  <si>
    <t>Abajo REPUESTOS CALI</t>
  </si>
  <si>
    <t>stabarbaradistronik@gmail.com;girlesa.ruiz@servipilas.com;joriescobar64@gmail.com</t>
  </si>
  <si>
    <t>Abajo SANTA BARBARA DISTRONIK</t>
  </si>
  <si>
    <t>Abajo STARTIME</t>
  </si>
  <si>
    <t>Abajo SWIZZER REPUESTOS</t>
  </si>
  <si>
    <t>Abajo Tapabocas Juan Diego</t>
  </si>
  <si>
    <t>Abajo Termopack</t>
  </si>
  <si>
    <t>Abajo UNIVERSAL TIME</t>
  </si>
  <si>
    <t>Abajo W CUERO</t>
  </si>
  <si>
    <t>Abajo YERMIN</t>
  </si>
  <si>
    <t>Abajo YOLANDA</t>
  </si>
  <si>
    <t>Abajo ZUMA</t>
  </si>
  <si>
    <t>dua@cedesistemas.edu.co;girlesa.ruiz@servipilas.com;joriescobar64@gmail.com</t>
  </si>
  <si>
    <t>mobiliariomasproyectos@gmail.com;girlesa.ruiz@servipilas.com;joriescobar64@gmail.com</t>
  </si>
  <si>
    <t>MEGAMUNDO</t>
  </si>
  <si>
    <t>RODRIGUEZ Y URBINA</t>
  </si>
  <si>
    <t>días de vencimiento</t>
  </si>
  <si>
    <t>Abajo 11 TECHNOLOGIES</t>
  </si>
  <si>
    <t>ABAJO ALEKO</t>
  </si>
  <si>
    <t>Abajo BILLEN</t>
  </si>
  <si>
    <t>Abajo CAJONES GIRLESA</t>
  </si>
  <si>
    <t>Abajo CARETAS</t>
  </si>
  <si>
    <t>Abajo COSOSTENIBLE</t>
  </si>
  <si>
    <t>Abajo ELITE</t>
  </si>
  <si>
    <t>Abajo ELIZABETH LOAIZA</t>
  </si>
  <si>
    <t>Abajo EN EFECTIVO</t>
  </si>
  <si>
    <t>Abajo ESTANTERIA BELLO</t>
  </si>
  <si>
    <t>Abajo ESTUCHES DE RELOJ</t>
  </si>
  <si>
    <t>Abajo GLORIA BELLO</t>
  </si>
  <si>
    <t>Abajo HAROLD BRIGHTSIDE</t>
  </si>
  <si>
    <t>Abajo INNOVATECH</t>
  </si>
  <si>
    <t>Abajo JORGE DIAMANTE</t>
  </si>
  <si>
    <t>Abajo LA CENTRAL</t>
  </si>
  <si>
    <t>Abajo LAS GORDAS</t>
  </si>
  <si>
    <t>Abajo MAKING BUSINESS</t>
  </si>
  <si>
    <t>Abajo MARTA PUNTAZO - PYG</t>
  </si>
  <si>
    <t>Abajo MAYORCA</t>
  </si>
  <si>
    <t>Abajo MOLINOS</t>
  </si>
  <si>
    <t>Abajo OFICINA</t>
  </si>
  <si>
    <t>Abajo PATRICIA SUCERQUIA</t>
  </si>
  <si>
    <t>Abajo PUERTA DEL NORTE</t>
  </si>
  <si>
    <t>Abajo PULSOS ESPECIALES</t>
  </si>
  <si>
    <t>Abajo PULSOS G SHOCK</t>
  </si>
  <si>
    <t>Abajo RACKLO</t>
  </si>
  <si>
    <t>Abajo SAN DIEGO</t>
  </si>
  <si>
    <t>Abajo SANDIEGO</t>
  </si>
  <si>
    <t>Abajo SOUND TECHNOLOGY</t>
  </si>
  <si>
    <t>Abajo SP PULSOS</t>
  </si>
  <si>
    <t>Abajo TARJETAS DE REGALO</t>
  </si>
  <si>
    <t>Abajo TECNO MANHATAN</t>
  </si>
  <si>
    <t>Abajo URIEL GALLEGO</t>
  </si>
  <si>
    <t>Abajo URIEL GOMEZ</t>
  </si>
  <si>
    <t>Abajo WILFER GOMEZ - YERMN</t>
  </si>
  <si>
    <t>Total USD</t>
  </si>
  <si>
    <t xml:space="preserve">Abajo DANIEL ESCOBAR </t>
  </si>
  <si>
    <t xml:space="preserve">Abajo FONDO </t>
  </si>
  <si>
    <t>DAVIVIENDA ************6881</t>
  </si>
  <si>
    <t xml:space="preserve">Abajo FERNANDO JIMENEZ </t>
  </si>
  <si>
    <t xml:space="preserve">Abajo CATALINA SANCHEZ </t>
  </si>
  <si>
    <t xml:space="preserve">Abajo MARIANA </t>
  </si>
  <si>
    <t xml:space="preserve">Abajo ALBA  </t>
  </si>
  <si>
    <t>Abajo PIEDAD ESCOBAR</t>
  </si>
  <si>
    <t>Abajo CLAUDIA RUIZ</t>
  </si>
  <si>
    <t xml:space="preserve">Abajo DON LUCIANO </t>
  </si>
  <si>
    <t>Abajo JORGE IVAN ESCOBAR</t>
  </si>
  <si>
    <t xml:space="preserve">Abajo HERNAN MARIN </t>
  </si>
  <si>
    <t>COP</t>
  </si>
  <si>
    <t>COMERCIALIZADORA AVELINA</t>
  </si>
  <si>
    <t>avelinacomer@gmail.com;girlesa.ruiz@servipilas.com;joriescobar64@gmail.com</t>
  </si>
  <si>
    <t>ID RETENCION</t>
  </si>
  <si>
    <t>1% con base</t>
  </si>
  <si>
    <t>2,5% con base</t>
  </si>
  <si>
    <t>3,5% sin base</t>
  </si>
  <si>
    <t>3,5% con base</t>
  </si>
  <si>
    <t>4% sin base</t>
  </si>
  <si>
    <t>11% sin base</t>
  </si>
  <si>
    <t>año facturado</t>
  </si>
  <si>
    <t>base retencion</t>
  </si>
  <si>
    <t>indicador de columna</t>
  </si>
  <si>
    <t>retención aplicada</t>
  </si>
  <si>
    <t>1% sin base</t>
  </si>
  <si>
    <t>sandra.ospina@powest.com;girlesa.ruiz@servipilas.com;joriescobar64@gmail.com</t>
  </si>
  <si>
    <t>palabras que no operan</t>
  </si>
  <si>
    <t>Abajo Dotaciones Ohana X@</t>
  </si>
  <si>
    <t>COEXITO X@</t>
  </si>
  <si>
    <t>Abajo contado X@</t>
  </si>
  <si>
    <t>Allianz Seguros X@</t>
  </si>
  <si>
    <t>ARCOSISTEMAS X@</t>
  </si>
  <si>
    <t>BOMBEROS BELLOS X@</t>
  </si>
  <si>
    <t>BOMBEROS SABANETA X@</t>
  </si>
  <si>
    <t>CESDE X@</t>
  </si>
  <si>
    <t>COMERCIAL WEB X@</t>
  </si>
  <si>
    <t>CONSTRUCCIONES Y BIENES X@</t>
  </si>
  <si>
    <t>DIAN X@</t>
  </si>
  <si>
    <t>DISANTIOQUIA X@</t>
  </si>
  <si>
    <t>DUCON X@</t>
  </si>
  <si>
    <t>GB BIENES X@</t>
  </si>
  <si>
    <t>LA CENTRAL admistración X@</t>
  </si>
  <si>
    <t>Liberty seguros X@</t>
  </si>
  <si>
    <t>MARIANA PELAEZ X@</t>
  </si>
  <si>
    <t>MOLINOS administración X@</t>
  </si>
  <si>
    <t>Movistar movil X@</t>
  </si>
  <si>
    <t>MUNICIPIO DE MEDELLIN X@</t>
  </si>
  <si>
    <t>PATEX X@</t>
  </si>
  <si>
    <t>PROPERTY MARKETING X@</t>
  </si>
  <si>
    <t>REMARCA X@</t>
  </si>
  <si>
    <t>SANDIEGO X@</t>
  </si>
  <si>
    <t>SANTA JUANA (jorge escobar) X@</t>
  </si>
  <si>
    <t>SAPIAN X@</t>
  </si>
  <si>
    <t>SEÑALIZACIÓN Y AVISOS X@</t>
  </si>
  <si>
    <t>SIIGO X@</t>
  </si>
  <si>
    <t>SURA X@</t>
  </si>
  <si>
    <t>syco y acimpro X@</t>
  </si>
  <si>
    <t>TIGO FIJO X@</t>
  </si>
  <si>
    <t>TIGO MOVIL X@</t>
  </si>
  <si>
    <t>VYP X@</t>
  </si>
  <si>
    <t>CEDESISTEMAS X@</t>
  </si>
  <si>
    <t>M+P  X@</t>
  </si>
  <si>
    <t>sapian X@</t>
  </si>
  <si>
    <t>X@</t>
  </si>
  <si>
    <t>Abajo SIMON MDE</t>
  </si>
  <si>
    <t>gerencia@som-tec.com;girlesa.ruiz@servipilas.com;joriescobar64@gmail.com</t>
  </si>
  <si>
    <t>carlos.bohorquez@copapel.com;girlesa.ruiz@servipilas.com;joriescobar64@gmail.com</t>
  </si>
  <si>
    <t>wruiz@tsqsa.com;girlesa.ruiz@servipilas.com;joriescobar64@gmail.com</t>
  </si>
  <si>
    <t>Abajo NIA</t>
  </si>
  <si>
    <t>mercadopago</t>
  </si>
  <si>
    <t>TECNOSOLUCIONES X@</t>
  </si>
  <si>
    <t>Facturas vencidas a cierre del mes</t>
  </si>
  <si>
    <t>3. borrar fechas de pago posteriores al cierre de mes esudiado</t>
  </si>
  <si>
    <t>dias de credito</t>
  </si>
  <si>
    <t>venc</t>
  </si>
  <si>
    <t>4. cambiar fecha de cierre de mes</t>
  </si>
  <si>
    <t>VENCIDA</t>
  </si>
  <si>
    <t>cartera@makingbusiness.com.co;tesoreria@makingbusiness.com.co;girlesa.ruiz@servipilas.com;joriescobar64@gmail.com</t>
  </si>
  <si>
    <t xml:space="preserve"> dsmazuera@widexcolombia.com;cartera@widexcolombia.com;girlesa.ruiz@servipilas.com;joriescobar64@gmail.com</t>
  </si>
  <si>
    <t>11 TECHNOLOGIES</t>
  </si>
  <si>
    <t>KINESIS</t>
  </si>
  <si>
    <t>Facturas@kinnesis.com;girlesa.ruiz@servipilas.com;joriescobar64@gmail.com</t>
  </si>
  <si>
    <t>contabilidad@sandiego.com.co;girlesa.ruiz@servipilas.com;joriescobar64@gmail.com</t>
  </si>
  <si>
    <t>se pago el crdito de itaú y se abonó al de davivienda 2127</t>
  </si>
  <si>
    <t>ABAJO RODOLFO PARAMO X@</t>
  </si>
  <si>
    <t>Ruta para crear los pdf</t>
  </si>
  <si>
    <t>para pagar reforma de mayorca</t>
  </si>
  <si>
    <t>IEO ASOCIADOS</t>
  </si>
  <si>
    <t>Abajo FREDY SERNA</t>
  </si>
  <si>
    <t>CIDET X@</t>
  </si>
  <si>
    <t>DILOY COLOMBIA</t>
  </si>
  <si>
    <t>tesoreria@cidet.org.co;girlesa.ruiz@servipilas.com;joriescobar64@gmail.com</t>
  </si>
  <si>
    <t>COPAPEL X@</t>
  </si>
  <si>
    <t>Ajuste 15/07/2022</t>
  </si>
  <si>
    <t>LUZ MYRIAM GIRALDO ZUMA</t>
  </si>
  <si>
    <t>LMGS789@HOTMAIL.COM;girlesa.ruiz@servipilas.com;joriescobar64@gmail.com</t>
  </si>
  <si>
    <t>APC X@</t>
  </si>
  <si>
    <t>Abajo MERCADOLIBRE X@</t>
  </si>
  <si>
    <t>corporacion.trovemos@gmail.com;girlesa.ruiz@servipilas.com;joriescobar64@gmail.com</t>
  </si>
  <si>
    <t>COPORACION TROVEMOS X@</t>
  </si>
  <si>
    <t>syman07@hotmail.com;girlesa.ruiz@servipilas.com;joriescobar64@gmail.com</t>
  </si>
  <si>
    <t>SILLAS Y MANTENIMIENTOS X@</t>
  </si>
  <si>
    <t>lygonzalez@gmail.com;girlesa.ruiz@servipilas.com;joriescobar64@gmail.com</t>
  </si>
  <si>
    <t>EL IMPERIO DIGITAL - YERMIN</t>
  </si>
  <si>
    <t>yermingg@hotmail.com;rubizulu@hotmail.com;girlesa.ruiz@servipilas.com;joriescobar64@gmail.com</t>
  </si>
  <si>
    <t>para pagar vitrina mayorca</t>
  </si>
  <si>
    <t>julian@ieosas.com;girlesa.ruiz@servipilas.com;joriescobar64@gmail.com</t>
  </si>
  <si>
    <t>margaritadavid@hotmail.es;girlesa.ruiz@servipilas.com;joriescobar64@gmail.com;MERCADEO@servipilas.com</t>
  </si>
  <si>
    <t>RENTOLDOS SAS BANCOLOMBIA X@</t>
  </si>
  <si>
    <t>complementario jaime</t>
  </si>
  <si>
    <t>ISMART ELECTRONICS X@</t>
  </si>
  <si>
    <t>4% con base</t>
  </si>
  <si>
    <t>santiago.botero@apcmayorista.com;girlesa.ruiz@servipilas.com;joriescobar64@gmail.com</t>
  </si>
  <si>
    <t>GRUPOINTER LLANTAS X@</t>
  </si>
  <si>
    <t>INDUSTRIA ELECTRICA NEWLINE</t>
  </si>
  <si>
    <t>Abajo INVERSIONES ARCILA</t>
  </si>
  <si>
    <t>INVERSIONES ARCILA</t>
  </si>
  <si>
    <t>ajuste ago26/20222 con juan guillermo</t>
  </si>
  <si>
    <t>BIGTRONICA X@</t>
  </si>
  <si>
    <t>NACIONAL DE PILAS PANASONIC</t>
  </si>
  <si>
    <t>TUSPILAS.CO</t>
  </si>
  <si>
    <t>GRUPO ZAMBRANO</t>
  </si>
  <si>
    <t>logistic@grupozambrano.com;info@servipilas.com;girlesa.ruiz@servipilas.com;joriescobar64@gmail.com</t>
  </si>
  <si>
    <t>mdedcnvi@bateriasduncan.com.co;girlesa.ruiz@servipilas.com;joriescobar64@gmail.com</t>
  </si>
  <si>
    <t>PSICOLOGA BEATRIZ FLOREZ X@</t>
  </si>
  <si>
    <t>004 286 48 021 Bancolombia ahorros</t>
  </si>
  <si>
    <t>10242688219  Bancolombia ahorros</t>
  </si>
  <si>
    <t>LIA URIBE Seguridad y salud X@</t>
  </si>
  <si>
    <t>55126836537  Bancolombia ahorros</t>
  </si>
  <si>
    <t>liauribe@une.net.co;girlesa.ruiz@servipilas.com;joriescobar64@gmail.com</t>
  </si>
  <si>
    <t>XXXX</t>
  </si>
  <si>
    <t>SANTIAGO MURIEL Contador  X@</t>
  </si>
  <si>
    <t xml:space="preserve">91222722841  Bancolombia ahorros </t>
  </si>
  <si>
    <t>santiago30m@hotmail.com;girlesa.ruiz@servipilas.com;joriescobar64@gmail.com</t>
  </si>
  <si>
    <t>ABAJO PULSOS</t>
  </si>
  <si>
    <t>4330 dólar</t>
  </si>
  <si>
    <t>67300016442 CTA CTE Bancolombia</t>
  </si>
  <si>
    <t>24098035016 CTA Ahorros BCS</t>
  </si>
  <si>
    <t>00591647411 CTA CTE Bancolombia</t>
  </si>
  <si>
    <t>027010875 CTA CTE Banco Occidente</t>
  </si>
  <si>
    <t>ABAJO NIA</t>
  </si>
  <si>
    <t>Abajo MEGAMUNDO</t>
  </si>
  <si>
    <t>Abajo MUÑECOS J.M.J</t>
  </si>
  <si>
    <t>ABAJO MUÑECOS J.M.J</t>
  </si>
  <si>
    <t>MOLINOS</t>
  </si>
  <si>
    <t>SANDIEGO</t>
  </si>
  <si>
    <t>MAYORCA</t>
  </si>
  <si>
    <t>LA CENTRAL</t>
  </si>
  <si>
    <t>PUERTA DEL NORTE</t>
  </si>
  <si>
    <t>ABAJO CASILLERO</t>
  </si>
  <si>
    <t>VYP  P.A MERCURIO X@</t>
  </si>
  <si>
    <t>arrendamientos@vyp.com.co;girlesa.ruiz@servipilas.com;joriescobar64@gmail.com</t>
  </si>
  <si>
    <t>61100002255 Bancolombia corriente</t>
  </si>
  <si>
    <t>BANCOLOMBIA CTA CTE # 60959261381</t>
  </si>
  <si>
    <t>Abajo UNIFORMES</t>
  </si>
  <si>
    <t xml:space="preserve">AMERICAN INSAP INGENIERIA Y SERVICIOS </t>
  </si>
  <si>
    <t>AMERICAN INSAP INGENIERIA</t>
  </si>
  <si>
    <t>4900 DÓLAR</t>
  </si>
  <si>
    <t>15 CORRES 10 ARREDON</t>
  </si>
  <si>
    <t>SALDO A FAVOR</t>
  </si>
  <si>
    <t>ABAJO BRIDGE</t>
  </si>
  <si>
    <t>COEXITO x@</t>
  </si>
  <si>
    <t>IMPORTACIONES EL NORTEÑO</t>
  </si>
  <si>
    <t>DIEGO GIRALDO YEPES MUÑECOS</t>
  </si>
  <si>
    <t>TEMPEL COLOMBIA LTDA</t>
  </si>
  <si>
    <t>ABAJO PYG</t>
  </si>
  <si>
    <t>SF</t>
  </si>
  <si>
    <t>CENTRAL</t>
  </si>
  <si>
    <t>PNORTE</t>
  </si>
  <si>
    <t>INSTITUCIONALES</t>
  </si>
  <si>
    <t>S. A FAVOR</t>
  </si>
  <si>
    <t>AD 12199</t>
  </si>
  <si>
    <t>BANCOLOMBIA USD$ 2555318542</t>
  </si>
  <si>
    <t>kenex57910 oct22 $3363.35 recursos propios</t>
  </si>
  <si>
    <t>AD70418</t>
  </si>
  <si>
    <t>20977 1003</t>
  </si>
  <si>
    <t>21289 1003</t>
  </si>
  <si>
    <t>20935 2293</t>
  </si>
  <si>
    <t>21257 2293</t>
  </si>
  <si>
    <t>FE308</t>
  </si>
  <si>
    <t>SP7157</t>
  </si>
  <si>
    <t>LQ-13286720</t>
  </si>
  <si>
    <t>FV14972</t>
  </si>
  <si>
    <t>FESJ188074</t>
  </si>
  <si>
    <t>BM 420</t>
  </si>
  <si>
    <t>ANTICIPO FE532</t>
  </si>
  <si>
    <t>DANIEL CHINA</t>
  </si>
  <si>
    <t>A-2779</t>
  </si>
  <si>
    <t>A-2763</t>
  </si>
  <si>
    <t>A-2773</t>
  </si>
  <si>
    <t>ABAJO CONTADO</t>
  </si>
  <si>
    <t>A-2770</t>
  </si>
  <si>
    <t>ABAJO UNIVERSAL TIME</t>
  </si>
  <si>
    <t>A-2467</t>
  </si>
  <si>
    <t>A-2772</t>
  </si>
  <si>
    <t>A-2781 ANDRES GARZON</t>
  </si>
  <si>
    <t>A-2771 ANDRES GARZON</t>
  </si>
  <si>
    <t>3909 A-2780</t>
  </si>
  <si>
    <t>A-2758</t>
  </si>
  <si>
    <t>13E269251 INSTITU</t>
  </si>
  <si>
    <t>CED 1658 ALMA</t>
  </si>
  <si>
    <t>1064478 INST Y ALMA</t>
  </si>
  <si>
    <t>1064335 ALMA</t>
  </si>
  <si>
    <t>1064417 INSTITU</t>
  </si>
  <si>
    <t>FE-8901 ALMA</t>
  </si>
  <si>
    <t>SE-800 ALMA</t>
  </si>
  <si>
    <t>FN-80793 ALMA</t>
  </si>
  <si>
    <t>03MS6364 ALMA</t>
  </si>
  <si>
    <t>FE108 ALMA</t>
  </si>
  <si>
    <t>SE-805 ALMA</t>
  </si>
  <si>
    <t>5200 ALMA</t>
  </si>
  <si>
    <t>2080 INSTITU</t>
  </si>
  <si>
    <t>NIDIA LUZ DUQUE DUQUE</t>
  </si>
  <si>
    <t>1463 ALMA</t>
  </si>
  <si>
    <t>RE0163</t>
  </si>
  <si>
    <t>SERVI REFRIAIRE  X@</t>
  </si>
  <si>
    <t>FE1834</t>
  </si>
  <si>
    <t>NC172764</t>
  </si>
  <si>
    <t>62966 INSTITU</t>
  </si>
  <si>
    <t>03MS6416 ALMA</t>
  </si>
  <si>
    <t>03MS6433 ALMA</t>
  </si>
  <si>
    <t>PE8774 ALMA</t>
  </si>
  <si>
    <t>8739 ALMA</t>
  </si>
  <si>
    <t>Abajo BRIGHTSIDE</t>
  </si>
  <si>
    <t>FE9031</t>
  </si>
  <si>
    <t>comercial web x@</t>
  </si>
  <si>
    <t>2007318 JAIME ARCILA</t>
  </si>
  <si>
    <t>2008811 MARICELA</t>
  </si>
  <si>
    <t>TP8929 ALMA</t>
  </si>
  <si>
    <t>IFE44170 ALMA/INSTI</t>
  </si>
  <si>
    <t>3758 ALMA</t>
  </si>
  <si>
    <t>742 ALMA</t>
  </si>
  <si>
    <t>748 ALMA</t>
  </si>
  <si>
    <t>11482 ALMA</t>
  </si>
  <si>
    <t>ME530902 ALMA</t>
  </si>
  <si>
    <t>AD14402</t>
  </si>
  <si>
    <t>AD70801</t>
  </si>
  <si>
    <t>S-21600 ADMON</t>
  </si>
  <si>
    <t>S-21642 ADMON</t>
  </si>
  <si>
    <t>S-21919 EXTRA</t>
  </si>
  <si>
    <t>S-21951 EXTRA</t>
  </si>
  <si>
    <t>15818 ADMON</t>
  </si>
  <si>
    <t>03463 INTERES</t>
  </si>
  <si>
    <t>03577 INTERES</t>
  </si>
  <si>
    <t>03464 INTERES</t>
  </si>
  <si>
    <t>MDI5041829 INSTI</t>
  </si>
  <si>
    <t>MDI5041828 INST</t>
  </si>
  <si>
    <t>DISTRIBUIDORA VAMOS</t>
  </si>
  <si>
    <t>distribuidoravamossas@gmail.com;girlesa.ruiz@servipilas.com;joriescobar64@gmail.com</t>
  </si>
  <si>
    <t>FE5245</t>
  </si>
  <si>
    <t>FE316</t>
  </si>
  <si>
    <t>SP7421</t>
  </si>
  <si>
    <t>2005328 TABLET AME</t>
  </si>
  <si>
    <t>FEF5090 ALMA</t>
  </si>
  <si>
    <t>FEF5097 ALMA</t>
  </si>
  <si>
    <t>TP8969 ALMA</t>
  </si>
  <si>
    <t xml:space="preserve">A-2814 </t>
  </si>
  <si>
    <t>A-2804</t>
  </si>
  <si>
    <t>A-2821</t>
  </si>
  <si>
    <t>A-2795</t>
  </si>
  <si>
    <t>A-2784</t>
  </si>
  <si>
    <t>A-2793</t>
  </si>
  <si>
    <t>A-2813</t>
  </si>
  <si>
    <t>ABONO</t>
  </si>
  <si>
    <t>253842 ALMA Y INSTI</t>
  </si>
  <si>
    <t>2017671 LA CLARA</t>
  </si>
  <si>
    <t>A-2825</t>
  </si>
  <si>
    <t>S05981</t>
  </si>
  <si>
    <t>jessica.barrios@carpainternacional.com;girlesa.ruiz@servipilas.com;joriescobar64@gmail.com</t>
  </si>
  <si>
    <t>AJUSTE TERMINO CREDITO</t>
  </si>
  <si>
    <t>BANCOLOMBIA USD$ 2555324112</t>
  </si>
  <si>
    <t>KENEX58088</t>
  </si>
  <si>
    <t>BANCOLOMBIA CESANTIAS 0568</t>
  </si>
  <si>
    <t>DAVIVIENDA ************5101</t>
  </si>
  <si>
    <t>FV16064</t>
  </si>
  <si>
    <t>PM-5979</t>
  </si>
  <si>
    <t>BM 555</t>
  </si>
  <si>
    <t>CED1725 ALMA</t>
  </si>
  <si>
    <t>FETU5427 ALMA</t>
  </si>
  <si>
    <t>03MS6709 ALMA</t>
  </si>
  <si>
    <t>03MS6656 ALMA</t>
  </si>
  <si>
    <t>FE-9462 ALMA</t>
  </si>
  <si>
    <t>FENL42050 INSTI</t>
  </si>
  <si>
    <t>MDIS5041862 INSTI</t>
  </si>
  <si>
    <t>CED1714 ALMA</t>
  </si>
  <si>
    <t>ID-588 ALMA</t>
  </si>
  <si>
    <t>1067089 INSTI</t>
  </si>
  <si>
    <t>1067039 ALMA</t>
  </si>
  <si>
    <t>1066883 ALMA</t>
  </si>
  <si>
    <t>A-2380</t>
  </si>
  <si>
    <t>A-2829</t>
  </si>
  <si>
    <t>A-2838</t>
  </si>
  <si>
    <t>XXX</t>
  </si>
  <si>
    <t>PE9046 ALMA/INSTITU</t>
  </si>
  <si>
    <t>PM-6303</t>
  </si>
  <si>
    <t>SP7688</t>
  </si>
  <si>
    <t>S-22588 CE</t>
  </si>
  <si>
    <t>S-22270 ADMON</t>
  </si>
  <si>
    <t>S-22620 CE</t>
  </si>
  <si>
    <t>S-22312 ADMON</t>
  </si>
  <si>
    <t>3820 INTE</t>
  </si>
  <si>
    <t>3821 INTE</t>
  </si>
  <si>
    <t>3696 INTE</t>
  </si>
  <si>
    <t>FV17010 ADMON</t>
  </si>
  <si>
    <t>FE324</t>
  </si>
  <si>
    <t>FETU5495</t>
  </si>
  <si>
    <t>AD12606</t>
  </si>
  <si>
    <t>fv16694 ARRI</t>
  </si>
  <si>
    <t>BM682 ARRI</t>
  </si>
  <si>
    <t>191639 ARRI</t>
  </si>
  <si>
    <t>192754 INTE</t>
  </si>
  <si>
    <t>12481 NC</t>
  </si>
  <si>
    <t>2079 INSTITU</t>
  </si>
  <si>
    <t>NC127696</t>
  </si>
  <si>
    <t>ANTICIPO 559-560</t>
  </si>
  <si>
    <t>03MS6817 ALMA</t>
  </si>
  <si>
    <t>29838 ALMA</t>
  </si>
  <si>
    <t>PE9073</t>
  </si>
  <si>
    <t>FB1702</t>
  </si>
  <si>
    <t>A-2851</t>
  </si>
  <si>
    <t>A-2824</t>
  </si>
  <si>
    <t>A-2845</t>
  </si>
  <si>
    <t>A-2850</t>
  </si>
  <si>
    <t>A-2852</t>
  </si>
  <si>
    <t>A-2828</t>
  </si>
  <si>
    <t>A-2831</t>
  </si>
  <si>
    <t>ME533976</t>
  </si>
  <si>
    <t>ME534154</t>
  </si>
  <si>
    <t>PE9135</t>
  </si>
  <si>
    <t>FE5413</t>
  </si>
  <si>
    <t>13E275207</t>
  </si>
  <si>
    <t>NC100013385</t>
  </si>
  <si>
    <t xml:space="preserve">Abajo CARLOS MUÑOZ </t>
  </si>
  <si>
    <t>AJUSTE MAR15-23</t>
  </si>
  <si>
    <t>S-22984 OFI</t>
  </si>
  <si>
    <t>S-22942 LOC</t>
  </si>
  <si>
    <t>BM804</t>
  </si>
  <si>
    <t>FESJ193117</t>
  </si>
  <si>
    <t>FV17608 ARRI</t>
  </si>
  <si>
    <t>FV17862 ADMON</t>
  </si>
  <si>
    <t>INT04102 INTE</t>
  </si>
  <si>
    <t>INT04103 INTE</t>
  </si>
  <si>
    <t>INT04104 INTE</t>
  </si>
  <si>
    <t>SALDO PENDIE</t>
  </si>
  <si>
    <t>FE567</t>
  </si>
  <si>
    <t>FE 568</t>
  </si>
  <si>
    <t>ANTICIPO FE567-FE568</t>
  </si>
  <si>
    <t>dólar mar4700 promedio</t>
  </si>
  <si>
    <t>marzo</t>
  </si>
  <si>
    <t>INTERES INCLUYE PREDIAL</t>
  </si>
  <si>
    <t>AD12815</t>
  </si>
  <si>
    <t>ANTICIPO FE564-565</t>
  </si>
  <si>
    <t>FE564</t>
  </si>
  <si>
    <t>FE565</t>
  </si>
  <si>
    <t>SP 7976</t>
  </si>
  <si>
    <t>FE 332</t>
  </si>
  <si>
    <t>AD 71570</t>
  </si>
  <si>
    <t xml:space="preserve">AD71187 </t>
  </si>
  <si>
    <t>TP9040 ALMA</t>
  </si>
  <si>
    <t>8217 ALMA</t>
  </si>
  <si>
    <t>TP8915 ALMA</t>
  </si>
  <si>
    <t>E 11393 instu</t>
  </si>
  <si>
    <t>FE-9627 ALMA</t>
  </si>
  <si>
    <t>FE28221 ALMA</t>
  </si>
  <si>
    <t>TP9056 ALMA</t>
  </si>
  <si>
    <t>13E274604 INST</t>
  </si>
  <si>
    <t>17155 ALMA</t>
  </si>
  <si>
    <t>13E275026 INST</t>
  </si>
  <si>
    <t>FEV65761 INSTI</t>
  </si>
  <si>
    <t>FEV65865 INSTI</t>
  </si>
  <si>
    <t>17401 ALMA</t>
  </si>
  <si>
    <t>FEF5166 ALMA</t>
  </si>
  <si>
    <t>17400 ALMA</t>
  </si>
  <si>
    <t>RUSBEL GIRALDO SERNA</t>
  </si>
  <si>
    <t>qyqomaira0321@hotmail.com;girlesa.ruiz@servipilas.com;joriescobar64@gmail.com</t>
  </si>
  <si>
    <t>E-505 ALMA</t>
  </si>
  <si>
    <t>ME534661 INSTITU</t>
  </si>
  <si>
    <t>03MS6956 ALMA</t>
  </si>
  <si>
    <t>03MS6878 ALMA</t>
  </si>
  <si>
    <t>412 A-2864</t>
  </si>
  <si>
    <t>10538 A-2865</t>
  </si>
  <si>
    <t>373 A-2878</t>
  </si>
  <si>
    <t>A-2867</t>
  </si>
  <si>
    <t>A-2854</t>
  </si>
  <si>
    <t>A-2866</t>
  </si>
  <si>
    <t>A-2871</t>
  </si>
  <si>
    <t>A-2868 multirelojes</t>
  </si>
  <si>
    <t>PM-6655</t>
  </si>
  <si>
    <t>15454 ADMON</t>
  </si>
  <si>
    <t>Abajo RUSBEL GIRALDO SERNA</t>
  </si>
  <si>
    <t>A-2885</t>
  </si>
  <si>
    <t>A-2870</t>
  </si>
  <si>
    <t>Abajo TECNOPILAS</t>
  </si>
  <si>
    <t>A-2883</t>
  </si>
  <si>
    <t>A-2884</t>
  </si>
  <si>
    <t>A-2881</t>
  </si>
  <si>
    <t>FE1061 ALMA</t>
  </si>
  <si>
    <t>TP9178 ALMA</t>
  </si>
  <si>
    <t>FE2657 ALMA</t>
  </si>
  <si>
    <t>TP9177 ALMA</t>
  </si>
  <si>
    <t>TP9126 ALMA</t>
  </si>
  <si>
    <t>13E277298 INSTITU</t>
  </si>
  <si>
    <t>1068856 INSTITU</t>
  </si>
  <si>
    <t>43209 INSTITU</t>
  </si>
  <si>
    <t>2035898 ALMA</t>
  </si>
  <si>
    <t>30170 ALMA</t>
  </si>
  <si>
    <t>30060 INSTITU</t>
  </si>
  <si>
    <t>30091 ALMA</t>
  </si>
  <si>
    <t>30106 INSTU</t>
  </si>
  <si>
    <t>82408 ALMA</t>
  </si>
  <si>
    <t>ME534716 ALMA</t>
  </si>
  <si>
    <t>ME535465 ALMA/INSTITU</t>
  </si>
  <si>
    <t>5662 ALMA</t>
  </si>
  <si>
    <t>GBYJ22 ALMA</t>
  </si>
  <si>
    <t>1069205 INSTITU</t>
  </si>
  <si>
    <t>1069198 INSTITU</t>
  </si>
  <si>
    <t>30201 ALMA</t>
  </si>
  <si>
    <t>13E277646</t>
  </si>
  <si>
    <t>FEF5196 ALMA</t>
  </si>
  <si>
    <t>1069199 INSTITU</t>
  </si>
  <si>
    <t>03MS7062 ALMA</t>
  </si>
  <si>
    <t>67050 INSTITU</t>
  </si>
  <si>
    <t>FEIN56 ALMA</t>
  </si>
  <si>
    <t>KINNESIS SOLUTIONS</t>
  </si>
  <si>
    <t>FEK1614 ALMA</t>
  </si>
  <si>
    <t xml:space="preserve">13E275206 </t>
  </si>
  <si>
    <t>dólar Abril 4700 promedio</t>
  </si>
  <si>
    <t>FV18718 ADMON</t>
  </si>
  <si>
    <t>FV18465 ARRI</t>
  </si>
  <si>
    <t>BM 924 ARRI</t>
  </si>
  <si>
    <t xml:space="preserve">AD71954 </t>
  </si>
  <si>
    <t>S-23327 LOC</t>
  </si>
  <si>
    <t>S-23369 OFI</t>
  </si>
  <si>
    <t>AD13022</t>
  </si>
  <si>
    <t>SP 8244</t>
  </si>
  <si>
    <t>FESJ194447</t>
  </si>
  <si>
    <t>FESJ194705</t>
  </si>
  <si>
    <t>FE343</t>
  </si>
  <si>
    <t>ANTICIPO595-596</t>
  </si>
  <si>
    <t>FE595</t>
  </si>
  <si>
    <t>FE596</t>
  </si>
  <si>
    <t>03MS7149 ALMA</t>
  </si>
  <si>
    <t>2. eliminar filas con fecha de facturación posteriores al cierre de mes estudiada</t>
  </si>
  <si>
    <t>A-2898</t>
  </si>
  <si>
    <t>A-2916</t>
  </si>
  <si>
    <t>A-2912</t>
  </si>
  <si>
    <t>A-2913</t>
  </si>
  <si>
    <t>FEID36697</t>
  </si>
  <si>
    <t>FE29304 ALMA</t>
  </si>
  <si>
    <t>1069729 INSTITU</t>
  </si>
  <si>
    <t>1069983  INSTITU</t>
  </si>
  <si>
    <t>1069984 INSTITU</t>
  </si>
  <si>
    <t>44048 INSTITU</t>
  </si>
  <si>
    <t>ANTICIPO597-598</t>
  </si>
  <si>
    <t>FE597</t>
  </si>
  <si>
    <t>FE598</t>
  </si>
  <si>
    <t>FE597-FE598 SF</t>
  </si>
  <si>
    <t>CED1787 ALMA</t>
  </si>
  <si>
    <t>FE49 ALMA</t>
  </si>
  <si>
    <t>FETU5774 ALMA</t>
  </si>
  <si>
    <t>8013 ALMA</t>
  </si>
  <si>
    <t>FE10010 ALMA</t>
  </si>
  <si>
    <t>NC10010 ALMA</t>
  </si>
  <si>
    <t>SE879 ALMA</t>
  </si>
  <si>
    <t>GBYJ31 ALMA</t>
  </si>
  <si>
    <t>NC4706</t>
  </si>
  <si>
    <t>FEID37014 INSTITU</t>
  </si>
  <si>
    <t>PM-6984</t>
  </si>
  <si>
    <t>DEVOLUCION</t>
  </si>
  <si>
    <t>A-2927</t>
  </si>
  <si>
    <t>A-2934</t>
  </si>
  <si>
    <t>A-2919</t>
  </si>
  <si>
    <t>A-2935</t>
  </si>
  <si>
    <t>A-2928</t>
  </si>
  <si>
    <t>45887 ALMA</t>
  </si>
  <si>
    <t>ABAJO LAURA CORREA</t>
  </si>
  <si>
    <t xml:space="preserve">13E280479 </t>
  </si>
  <si>
    <t>13E280480</t>
  </si>
  <si>
    <t>30500 INSTITU</t>
  </si>
  <si>
    <t>ID-607 ALMA</t>
  </si>
  <si>
    <t>A-2950</t>
  </si>
  <si>
    <t>A-2938</t>
  </si>
  <si>
    <t>MP3404</t>
  </si>
  <si>
    <t>FESJ196109</t>
  </si>
  <si>
    <t>MDEC12582</t>
  </si>
  <si>
    <t>FV19572</t>
  </si>
  <si>
    <t>FV19314</t>
  </si>
  <si>
    <t>BM1055</t>
  </si>
  <si>
    <t>1069370 INSTITU</t>
  </si>
  <si>
    <t>871 ALMA</t>
  </si>
  <si>
    <t>TECH3150 ALMA</t>
  </si>
  <si>
    <t>ME538212 INSTITU</t>
  </si>
  <si>
    <t>FENL44685 INSTITU</t>
  </si>
  <si>
    <t>TP9364 ALMA</t>
  </si>
  <si>
    <t>ad13240</t>
  </si>
  <si>
    <t>SP8511</t>
  </si>
  <si>
    <t>AD72338</t>
  </si>
  <si>
    <t>FE352</t>
  </si>
  <si>
    <t>ABAJO SANTA MENSAJERIA</t>
  </si>
  <si>
    <t>FE 627</t>
  </si>
  <si>
    <t>ANTICIPO FE627-628</t>
  </si>
  <si>
    <t>FE 628</t>
  </si>
  <si>
    <t>PM-7280</t>
  </si>
  <si>
    <t>FE10046</t>
  </si>
  <si>
    <t>SALDO PENDIENTE</t>
  </si>
  <si>
    <t>S-23788 LOC</t>
  </si>
  <si>
    <t>S-23746 OFI</t>
  </si>
  <si>
    <t>ANTICIPO FE629-630</t>
  </si>
  <si>
    <t>FE 629</t>
  </si>
  <si>
    <t>FE 630</t>
  </si>
  <si>
    <t>83352 ALMA</t>
  </si>
  <si>
    <t>SE899 ALMA</t>
  </si>
  <si>
    <t>276716 ALMA</t>
  </si>
  <si>
    <t>30688 ALMA</t>
  </si>
  <si>
    <t>30743 ALMA</t>
  </si>
  <si>
    <t>30740 INSTITU</t>
  </si>
  <si>
    <t>44915 INSTITU</t>
  </si>
  <si>
    <t>1071505 INSTITU</t>
  </si>
  <si>
    <t>FEOG53 ALMA</t>
  </si>
  <si>
    <t>TP9379 ALMA</t>
  </si>
  <si>
    <t>TP9380 ALMA</t>
  </si>
  <si>
    <t>A-29786</t>
  </si>
  <si>
    <t>A-2957</t>
  </si>
  <si>
    <t>ABAJO CRISTAL SUIZO</t>
  </si>
  <si>
    <t>A-2965</t>
  </si>
  <si>
    <t>A-2987</t>
  </si>
  <si>
    <t>ABAJO ZUMA</t>
  </si>
  <si>
    <t>A-2968</t>
  </si>
  <si>
    <t>A-2975</t>
  </si>
  <si>
    <t>A-2669</t>
  </si>
  <si>
    <t>A-2974</t>
  </si>
  <si>
    <t>A-2966</t>
  </si>
  <si>
    <t>A-2980</t>
  </si>
  <si>
    <t>TP9493 ALMA</t>
  </si>
  <si>
    <t>13E284391 INSTITU</t>
  </si>
  <si>
    <t>FEI100098909 ALMA</t>
  </si>
  <si>
    <t>10722011 INSTITU</t>
  </si>
  <si>
    <t>45150 INSTITU</t>
  </si>
  <si>
    <t>45157 INSTITU</t>
  </si>
  <si>
    <t>45480 INSTITU</t>
  </si>
  <si>
    <t>45456 INSTITU</t>
  </si>
  <si>
    <t>12612 ALMA</t>
  </si>
  <si>
    <t>30817 ALMA</t>
  </si>
  <si>
    <t>70448 INSTITU</t>
  </si>
  <si>
    <t>83496 ALMA</t>
  </si>
  <si>
    <t>539022 ALMA</t>
  </si>
  <si>
    <t>03MS7528 ALMA</t>
  </si>
  <si>
    <t>03MS7455 ALMA</t>
  </si>
  <si>
    <t>1070529 INSTITU</t>
  </si>
  <si>
    <t>SP8778</t>
  </si>
  <si>
    <t>AJUSTE DE CREDITO</t>
  </si>
  <si>
    <t>DÓLAR 4350</t>
  </si>
  <si>
    <t>DANIEL ALIEXPRESS</t>
  </si>
  <si>
    <t>BM1184</t>
  </si>
  <si>
    <t>AD13449</t>
  </si>
  <si>
    <t>S07325 INSTITU</t>
  </si>
  <si>
    <t>AD72721</t>
  </si>
  <si>
    <t>FE620B</t>
  </si>
  <si>
    <t>A-3005</t>
  </si>
  <si>
    <t>A-3003</t>
  </si>
  <si>
    <t xml:space="preserve">ABAJO ANDRES GARZON </t>
  </si>
  <si>
    <t>A-3004</t>
  </si>
  <si>
    <t>ANTICIPO FE652-653</t>
  </si>
  <si>
    <t>FE467 Registro importacion</t>
  </si>
  <si>
    <t>S-24178 OFI</t>
  </si>
  <si>
    <t>S-24137 LOC</t>
  </si>
  <si>
    <t>PM-7628</t>
  </si>
  <si>
    <t>TP9596 ALMA</t>
  </si>
  <si>
    <t>13E284411 INSTITU</t>
  </si>
  <si>
    <t>13E284408 INSTITU</t>
  </si>
  <si>
    <t>FE5797 ALMA</t>
  </si>
  <si>
    <t>1073107 INSTITU</t>
  </si>
  <si>
    <t>PE9683 ALMA</t>
  </si>
  <si>
    <t>46281 INSTITU</t>
  </si>
  <si>
    <t>FV-2068876 DUVAN</t>
  </si>
  <si>
    <t>FV-2068131 ALMA</t>
  </si>
  <si>
    <t>FV-2068109 ALMA</t>
  </si>
  <si>
    <t>31150 ALMA</t>
  </si>
  <si>
    <t>31088 INSTITU</t>
  </si>
  <si>
    <t>71081 INSTITU</t>
  </si>
  <si>
    <t>70826 INSTITU</t>
  </si>
  <si>
    <t>FE-10477 ALMA</t>
  </si>
  <si>
    <t>ME540248 ALMA</t>
  </si>
  <si>
    <t>NC40207 DEVOL</t>
  </si>
  <si>
    <t>539616 DEVOL</t>
  </si>
  <si>
    <t>FETU6148 ALMA</t>
  </si>
  <si>
    <t>GBYJ76 ALMA</t>
  </si>
  <si>
    <t>A-3027</t>
  </si>
  <si>
    <t>A-3030</t>
  </si>
  <si>
    <t>A-2995</t>
  </si>
  <si>
    <t>A-2994</t>
  </si>
  <si>
    <t>A-3002</t>
  </si>
  <si>
    <t>A-2993</t>
  </si>
  <si>
    <t>A-3007</t>
  </si>
  <si>
    <t>A-3010</t>
  </si>
  <si>
    <t>A-3020</t>
  </si>
  <si>
    <t>03MS7768 ALMA</t>
  </si>
  <si>
    <t>13E286009</t>
  </si>
  <si>
    <t>FE31138 ALMA</t>
  </si>
  <si>
    <t>TP9655 ALMA</t>
  </si>
  <si>
    <t>A-3039</t>
  </si>
  <si>
    <t>13E281035</t>
  </si>
  <si>
    <t>13E281034</t>
  </si>
  <si>
    <t>ME541369 INSTITU</t>
  </si>
  <si>
    <t>A-3032</t>
  </si>
  <si>
    <t>R824</t>
  </si>
  <si>
    <t>A-3045</t>
  </si>
  <si>
    <t>A-3050</t>
  </si>
  <si>
    <t>FEID40648 INSTITU</t>
  </si>
  <si>
    <t xml:space="preserve">IMPERIO DIGITAL - WILFER GOMEZ </t>
  </si>
  <si>
    <t>31237 ALMA</t>
  </si>
  <si>
    <t>ID-678 ALMA</t>
  </si>
  <si>
    <t>SG2069 ALMA</t>
  </si>
  <si>
    <t>FEV-71767 INSTITU</t>
  </si>
  <si>
    <t>13E286730</t>
  </si>
  <si>
    <t>13E286729</t>
  </si>
  <si>
    <t>31263 ALMA</t>
  </si>
  <si>
    <t>03MS7819 ALMA</t>
  </si>
  <si>
    <t>ME541924 ALMA/INST</t>
  </si>
  <si>
    <t>DOLar4350</t>
  </si>
  <si>
    <t>FV21098 ARRI</t>
  </si>
  <si>
    <t>FV21353 ADMON</t>
  </si>
  <si>
    <t>AM-1565 ADMON</t>
  </si>
  <si>
    <t>S-97816 ARRI</t>
  </si>
  <si>
    <t>A-3033</t>
  </si>
  <si>
    <t>A-3052</t>
  </si>
  <si>
    <t>A-3047</t>
  </si>
  <si>
    <t>A-3051</t>
  </si>
  <si>
    <t>SF FAC-284391</t>
  </si>
  <si>
    <t>A-3062</t>
  </si>
  <si>
    <t>1073930 INSTITU</t>
  </si>
  <si>
    <t>1861 ALMA</t>
  </si>
  <si>
    <t>72327 INSTITU</t>
  </si>
  <si>
    <t>72191 INSTITU</t>
  </si>
  <si>
    <t>4416 ALMA</t>
  </si>
  <si>
    <t>4 ALMA</t>
  </si>
  <si>
    <t>ND1306</t>
  </si>
  <si>
    <t>SURANI ALEJANDRA OSORIO FRANCO</t>
  </si>
  <si>
    <t>AD13656</t>
  </si>
  <si>
    <t>AD73103</t>
  </si>
  <si>
    <t>WORLD TRADE NEW VISION SAS</t>
  </si>
  <si>
    <t>PROFORMA</t>
  </si>
  <si>
    <t>FESJ98967</t>
  </si>
  <si>
    <t>FESJ197531</t>
  </si>
  <si>
    <t>BM1317</t>
  </si>
  <si>
    <t>PM-7902</t>
  </si>
  <si>
    <t>ANTICIPO</t>
  </si>
  <si>
    <t>S-24572 OFI</t>
  </si>
  <si>
    <t>S-24531 LOC</t>
  </si>
  <si>
    <t>FV-2079797 JAIME Y MARLON</t>
  </si>
  <si>
    <t>FV-2070318 ELIZA CEL</t>
  </si>
  <si>
    <t>SF lo devolvieron a la cta cte</t>
  </si>
  <si>
    <t>A-3078</t>
  </si>
  <si>
    <t>A-3071</t>
  </si>
  <si>
    <t>A-3070</t>
  </si>
  <si>
    <t xml:space="preserve">BATERIAS EL ROBLE </t>
  </si>
  <si>
    <t>BR5516 INSTITU</t>
  </si>
  <si>
    <t>FB2238 INSTITU</t>
  </si>
  <si>
    <t>TP9687 ALMA</t>
  </si>
  <si>
    <t>TP9821 ALMA</t>
  </si>
  <si>
    <t>FEID41525 INSTITU</t>
  </si>
  <si>
    <t>FE5972 ALMA</t>
  </si>
  <si>
    <t>FVX18704 ALMA</t>
  </si>
  <si>
    <t>ID-694 ALMA</t>
  </si>
  <si>
    <t>1074188 INSTITU</t>
  </si>
  <si>
    <t>1074521 INSTITU</t>
  </si>
  <si>
    <t>FI294047 ALMA</t>
  </si>
  <si>
    <t>E-599 ALMA</t>
  </si>
  <si>
    <t>FE-11040 ALMA</t>
  </si>
  <si>
    <t>FE2161 INSTITU</t>
  </si>
  <si>
    <t>FE2159 ALMA</t>
  </si>
  <si>
    <t>ME542627 INSTITU</t>
  </si>
  <si>
    <t>ME542526 INSTITU</t>
  </si>
  <si>
    <t>03MS7991 ALMA</t>
  </si>
  <si>
    <t>03MS7954 ALMA</t>
  </si>
  <si>
    <t>EA-2490</t>
  </si>
  <si>
    <t>MUÑECOS - GRUPO ARISTIZABAL DUQUE</t>
  </si>
  <si>
    <t>GBYJ92 ALMA</t>
  </si>
  <si>
    <t>84643 ALMA</t>
  </si>
  <si>
    <t>FEI100106225</t>
  </si>
  <si>
    <t>FEI100106228</t>
  </si>
  <si>
    <t>FEV73382 INSTITU</t>
  </si>
  <si>
    <t>FV-2085477</t>
  </si>
  <si>
    <t>FEKM4476 ALMA</t>
  </si>
  <si>
    <t>PE9938 INSTITU</t>
  </si>
  <si>
    <t>1074997 INSTITU</t>
  </si>
  <si>
    <t>1074893 INSTITU</t>
  </si>
  <si>
    <t>FE32010 ALMA</t>
  </si>
  <si>
    <t>A-3088</t>
  </si>
  <si>
    <t>A-3100</t>
  </si>
  <si>
    <t>A-3096</t>
  </si>
  <si>
    <t>A-3094</t>
  </si>
  <si>
    <t>A-3092</t>
  </si>
  <si>
    <t>A-3097 2621</t>
  </si>
  <si>
    <t>A-3099 3074</t>
  </si>
  <si>
    <t>1073364 INSTITU</t>
  </si>
  <si>
    <t>FB2363 INSTITU</t>
  </si>
  <si>
    <t>SP9334</t>
  </si>
  <si>
    <t>SP9051</t>
  </si>
  <si>
    <t>AD13861</t>
  </si>
  <si>
    <t>AD73486</t>
  </si>
  <si>
    <t>interes de junio 2022 a junio de 2023</t>
  </si>
  <si>
    <t>FESJ00460</t>
  </si>
  <si>
    <t>ANTICIPO FE677</t>
  </si>
  <si>
    <t>ANTICIPO FE673</t>
  </si>
  <si>
    <t>ANTICIPO FE674</t>
  </si>
  <si>
    <t>FVE-216 INSTI</t>
  </si>
  <si>
    <t>4057 garantia</t>
  </si>
  <si>
    <t>PM-8282</t>
  </si>
  <si>
    <t>BM1446</t>
  </si>
  <si>
    <t>S-24930 LOC</t>
  </si>
  <si>
    <t>S-24971 OFI</t>
  </si>
  <si>
    <t>ABONO FEV73382 INSTITU</t>
  </si>
  <si>
    <t>MDIS5042067 INST</t>
  </si>
  <si>
    <t>MDIS5042035 INST</t>
  </si>
  <si>
    <t>74078 INSTITU</t>
  </si>
  <si>
    <t>298859 ALMA</t>
  </si>
  <si>
    <t>NC 50457</t>
  </si>
  <si>
    <t>SE-958 ALMA</t>
  </si>
  <si>
    <t>SE-970 ALMA</t>
  </si>
  <si>
    <t>NC BGNC43 ALMA</t>
  </si>
  <si>
    <t>ME544634 50/50</t>
  </si>
  <si>
    <t>FETU6398 ALMA</t>
  </si>
  <si>
    <t>FETU6489 ALMA</t>
  </si>
  <si>
    <t>03MS8205 ALMA</t>
  </si>
  <si>
    <t>1641 ALMA</t>
  </si>
  <si>
    <t>FEVT2758 ALMA</t>
  </si>
  <si>
    <t>ID-715 ALMA</t>
  </si>
  <si>
    <t>1075257 INSTITU</t>
  </si>
  <si>
    <t>1075975 INSTITU</t>
  </si>
  <si>
    <t>S07905 - RU3410</t>
  </si>
  <si>
    <t>75351 INSTITU</t>
  </si>
  <si>
    <t>75270 INSTITU</t>
  </si>
  <si>
    <t>75269 INSTITU</t>
  </si>
  <si>
    <t>75268 INSTITU</t>
  </si>
  <si>
    <t>FV-2085244 jorge andres</t>
  </si>
  <si>
    <t>ANTICIPO FE686</t>
  </si>
  <si>
    <t>FE686</t>
  </si>
  <si>
    <t>ANTICIPO FE685</t>
  </si>
  <si>
    <t>FE685</t>
  </si>
  <si>
    <t>FV22827 ARRI</t>
  </si>
  <si>
    <t>FV1969 ARRI</t>
  </si>
  <si>
    <t>FV22224 ADMON</t>
  </si>
  <si>
    <t>FV23078 ADMON</t>
  </si>
  <si>
    <t>INT05958 INTERES</t>
  </si>
  <si>
    <t>NC4842</t>
  </si>
  <si>
    <t>03MS8291 ALMA</t>
  </si>
  <si>
    <t>FI301712 ALMA</t>
  </si>
  <si>
    <t>31987 ALMA</t>
  </si>
  <si>
    <t>JOR268 ALMA</t>
  </si>
  <si>
    <t>IFE49923 INSTITU</t>
  </si>
  <si>
    <t>IFE49998 INSTITU</t>
  </si>
  <si>
    <t>1076559 INSTITU</t>
  </si>
  <si>
    <t>1076372 INSTITU</t>
  </si>
  <si>
    <t>TP10029 ALMA</t>
  </si>
  <si>
    <t>FE3084 ALMA</t>
  </si>
  <si>
    <t>A-3111</t>
  </si>
  <si>
    <t>A-3115</t>
  </si>
  <si>
    <t>A-3106</t>
  </si>
  <si>
    <t>9794  A-3131</t>
  </si>
  <si>
    <t>A-3147</t>
  </si>
  <si>
    <t>A-3138</t>
  </si>
  <si>
    <t>A-3139</t>
  </si>
  <si>
    <t>A-3130</t>
  </si>
  <si>
    <t>6844 A-3146</t>
  </si>
  <si>
    <t>1732 A-3108</t>
  </si>
  <si>
    <t>3481 A-3136</t>
  </si>
  <si>
    <t>3313 A-3116</t>
  </si>
  <si>
    <t>A-3135</t>
  </si>
  <si>
    <t>A-3123</t>
  </si>
  <si>
    <t>A-3114</t>
  </si>
  <si>
    <t>A-3122</t>
  </si>
  <si>
    <t>A-3133</t>
  </si>
  <si>
    <t>ajuste de interes termino credito</t>
  </si>
  <si>
    <t>BM 1574</t>
  </si>
  <si>
    <t>AD73868</t>
  </si>
  <si>
    <t>AD14075</t>
  </si>
  <si>
    <t>SP9616</t>
  </si>
  <si>
    <t>ARL NUTRICION</t>
  </si>
  <si>
    <t>SANTIAGO ALARMAR</t>
  </si>
  <si>
    <t>PSICOLOGA</t>
  </si>
  <si>
    <t>ABAJO IVA</t>
  </si>
  <si>
    <t>HERIKA</t>
  </si>
  <si>
    <t>ILUX</t>
  </si>
  <si>
    <t>operaciones@ilux.com.co;girlesa.ruiz@servipilas.com;joriescobar64@gmail.com</t>
  </si>
  <si>
    <t>Estudio credito pn</t>
  </si>
  <si>
    <t>FESJ201881</t>
  </si>
  <si>
    <t xml:space="preserve">NO DESCUENTO </t>
  </si>
  <si>
    <t>aristiduque0428@gmail.com;girlesa.ruiz@servipilas.com;joriescobar64@gmail.com</t>
  </si>
  <si>
    <t>IVAN ALONSO ARISTIZABAL DUQUE</t>
  </si>
  <si>
    <t>EA-2969 ALMA</t>
  </si>
  <si>
    <t>PM-8554</t>
  </si>
  <si>
    <t>S-25362 OFI</t>
  </si>
  <si>
    <t>S-25321 LOC</t>
  </si>
  <si>
    <t>CTACOBRO1</t>
  </si>
  <si>
    <t>IVA ERIKA</t>
  </si>
  <si>
    <t>IVA JORGE A</t>
  </si>
  <si>
    <t>RICARDO SANCHEZ</t>
  </si>
  <si>
    <t>04789 ALMA</t>
  </si>
  <si>
    <t>FETS-1932 pulso ML</t>
  </si>
  <si>
    <t>IVA DUVAN</t>
  </si>
  <si>
    <t>IVA GIRLESA</t>
  </si>
  <si>
    <t>GLORIA DECLRACION</t>
  </si>
  <si>
    <t>A-3167</t>
  </si>
  <si>
    <t>A-3163</t>
  </si>
  <si>
    <t>FV-2092074 ALMA</t>
  </si>
  <si>
    <t>A-3168</t>
  </si>
  <si>
    <t xml:space="preserve">A-3159 </t>
  </si>
  <si>
    <t>ABAJO EFREN</t>
  </si>
  <si>
    <t>9629 A-3156</t>
  </si>
  <si>
    <t>FERNANDO CARMONA</t>
  </si>
  <si>
    <t>A-3160</t>
  </si>
  <si>
    <t>A-3173</t>
  </si>
  <si>
    <t>295 A-3169</t>
  </si>
  <si>
    <t>1930 A-3162</t>
  </si>
  <si>
    <t>F1818 A-3166</t>
  </si>
  <si>
    <t>A-3170</t>
  </si>
  <si>
    <t>TP10091 ALMA</t>
  </si>
  <si>
    <t>200E2296 INSTITU</t>
  </si>
  <si>
    <t>200E2780 INSTITU</t>
  </si>
  <si>
    <t>200E3179INSTITU</t>
  </si>
  <si>
    <t>CED1968 ALMA</t>
  </si>
  <si>
    <t>DISTRIBUIDORA GIRZABAL</t>
  </si>
  <si>
    <t>oag15@hotmail.com;girlesa.ruiz@servipilas.com;joriescobar64@gmail.com</t>
  </si>
  <si>
    <t>FEA509 ALMA</t>
  </si>
  <si>
    <t>FEOG189 ALMA</t>
  </si>
  <si>
    <t>FEOG190 ALMA</t>
  </si>
  <si>
    <t>1076873 INSTITU</t>
  </si>
  <si>
    <t>1077414 INSTITU</t>
  </si>
  <si>
    <t>ABAJO JAIME RENDON MUÑECOS</t>
  </si>
  <si>
    <t>PE 10235 ALMA</t>
  </si>
  <si>
    <t xml:space="preserve">PE 10237 ALMA </t>
  </si>
  <si>
    <t>PE 10304INSTITU</t>
  </si>
  <si>
    <t>13710 ALMA</t>
  </si>
  <si>
    <t>13576 ALMA</t>
  </si>
  <si>
    <t>76452 INSTITU</t>
  </si>
  <si>
    <t>305929 ALMA</t>
  </si>
  <si>
    <t>FE11461 ALMA</t>
  </si>
  <si>
    <t>ME546463 INSTITU</t>
  </si>
  <si>
    <t>ME547257 INSTITU</t>
  </si>
  <si>
    <t>FETU6656 ALMA</t>
  </si>
  <si>
    <t>03MS8479 ALMA</t>
  </si>
  <si>
    <t>1744 ALMA</t>
  </si>
  <si>
    <t>FV-2098733 ALMA</t>
  </si>
  <si>
    <t>qyqcolbatteries@gmail.com;girlesa.ruiz@servipilas.com;joriescobar64@gmail.com</t>
  </si>
  <si>
    <t>Q&amp;Q COLBATTERIES SAS</t>
  </si>
  <si>
    <t>FE2395</t>
  </si>
  <si>
    <t>FENL50243 INST</t>
  </si>
  <si>
    <t>FE6269 ALMA</t>
  </si>
  <si>
    <t>TERMINO CREDITO</t>
  </si>
  <si>
    <t>ANTICIPO FE701</t>
  </si>
  <si>
    <t>FE701</t>
  </si>
  <si>
    <t>SURGURO JORGE</t>
  </si>
  <si>
    <t>BM1709</t>
  </si>
  <si>
    <t>FV23946 ADMON</t>
  </si>
  <si>
    <t>FV23693 ARRI</t>
  </si>
  <si>
    <t>ANTICIPO FEOG198 ALM</t>
  </si>
  <si>
    <t>NC8012 FEOG198 ALMA</t>
  </si>
  <si>
    <t>FEOG216 ALMA</t>
  </si>
  <si>
    <t>SP9893</t>
  </si>
  <si>
    <t>AD74256</t>
  </si>
  <si>
    <t>AD14284</t>
  </si>
  <si>
    <t>ANTICIPO FEV502</t>
  </si>
  <si>
    <t>ANTICIPO FEV501</t>
  </si>
  <si>
    <t>FEV501 SD</t>
  </si>
  <si>
    <t>FEV502 OFIC</t>
  </si>
  <si>
    <t>S-25757 OFI</t>
  </si>
  <si>
    <t>S-25716 LOC</t>
  </si>
  <si>
    <t>A-3187</t>
  </si>
  <si>
    <t>A-3183</t>
  </si>
  <si>
    <t>7100 A-3199</t>
  </si>
  <si>
    <t>A-3188</t>
  </si>
  <si>
    <t>A-3185</t>
  </si>
  <si>
    <t>A-3195</t>
  </si>
  <si>
    <t>A-3196</t>
  </si>
  <si>
    <t>A-3182</t>
  </si>
  <si>
    <t>AMAZING TECH GROUP</t>
  </si>
  <si>
    <t>g_tech_group@outlook.es</t>
  </si>
  <si>
    <t>COMERCIALIZADRA JLS</t>
  </si>
  <si>
    <t>FENL50657 INST</t>
  </si>
  <si>
    <t>FEAT 21 ALMA</t>
  </si>
  <si>
    <t>ID-751 ALMA</t>
  </si>
  <si>
    <t>1078309 INSTITU</t>
  </si>
  <si>
    <t>1078178 INSTITU</t>
  </si>
  <si>
    <t>1078438 INSTI</t>
  </si>
  <si>
    <t>FE705</t>
  </si>
  <si>
    <t>ANTICIPO FE705</t>
  </si>
  <si>
    <t>2106699 ALMA</t>
  </si>
  <si>
    <t>2108154 SILVIA</t>
  </si>
  <si>
    <t>2110905 SILVIA</t>
  </si>
  <si>
    <t>03MS8603 ALMA</t>
  </si>
  <si>
    <t>PM-8907</t>
  </si>
  <si>
    <t>ELIZA NVERA</t>
  </si>
  <si>
    <t>sntiago alarmar</t>
  </si>
  <si>
    <t>FESJ203348</t>
  </si>
  <si>
    <t>A-3209</t>
  </si>
  <si>
    <t>330772 DULCES</t>
  </si>
  <si>
    <t>EA-3222 ALMA</t>
  </si>
  <si>
    <t>EA-3223 ALMA</t>
  </si>
  <si>
    <t>IVA BEATRIZ</t>
  </si>
  <si>
    <t>IVA NIA</t>
  </si>
  <si>
    <t>GBYJ156 ALMA</t>
  </si>
  <si>
    <t>03MS8706 ALMA</t>
  </si>
  <si>
    <t>FETU6933 ALMA</t>
  </si>
  <si>
    <t>ME548935 INSTITU</t>
  </si>
  <si>
    <t>ME548885 ALMA</t>
  </si>
  <si>
    <t>FE11801 ALMA</t>
  </si>
  <si>
    <t>FE2430 ALMA</t>
  </si>
  <si>
    <t>FEV78262 INSTITU</t>
  </si>
  <si>
    <t>32468 INSTITU</t>
  </si>
  <si>
    <t>32479 ALMA</t>
  </si>
  <si>
    <t>NC13124 FACFE13576</t>
  </si>
  <si>
    <t>1079100 INSTITU</t>
  </si>
  <si>
    <t>1078699 INSTITU</t>
  </si>
  <si>
    <t>1079242 INSTITU</t>
  </si>
  <si>
    <t>SG2211 ALMA</t>
  </si>
  <si>
    <t>ID-765 ALMA</t>
  </si>
  <si>
    <t>FVX19679 ALMA</t>
  </si>
  <si>
    <t>FVX19676 ALMA</t>
  </si>
  <si>
    <t>FVX19699 ALMA</t>
  </si>
  <si>
    <t>FEOG198 ALMA 60</t>
  </si>
  <si>
    <t>FE332826 ALMA</t>
  </si>
  <si>
    <t>FEVT2796 ALMA</t>
  </si>
  <si>
    <t>TP10267 ALMA</t>
  </si>
  <si>
    <t>TP10290 ALMA</t>
  </si>
  <si>
    <t>FV-2115803 ALMA</t>
  </si>
  <si>
    <t>PE 10516 ALMA</t>
  </si>
  <si>
    <t>4557 A-3200</t>
  </si>
  <si>
    <t>F1913 A-3210</t>
  </si>
  <si>
    <t>7618 A-3206</t>
  </si>
  <si>
    <t>1979 A-3217</t>
  </si>
  <si>
    <t>A-3207</t>
  </si>
  <si>
    <t>4515 A-3211</t>
  </si>
  <si>
    <t>4530 A-3212</t>
  </si>
  <si>
    <t>695933 A-3198</t>
  </si>
  <si>
    <t>A-3201</t>
  </si>
  <si>
    <t>6297 A-3213</t>
  </si>
  <si>
    <t>A-3205</t>
  </si>
  <si>
    <t>4789 A-3202</t>
  </si>
  <si>
    <t>A-3181</t>
  </si>
  <si>
    <t>A-3186</t>
  </si>
  <si>
    <t>A-3197</t>
  </si>
  <si>
    <t>A-3204</t>
  </si>
  <si>
    <t>A-3208</t>
  </si>
  <si>
    <t>ANTICIPO FE714</t>
  </si>
  <si>
    <t>60425-60425</t>
  </si>
  <si>
    <t>ABONO CON CREDITO BCS3485</t>
  </si>
  <si>
    <t>ajuste TERMINO CREDITO</t>
  </si>
  <si>
    <t>CAJA SOCIAL 3485</t>
  </si>
  <si>
    <t>2118830 CEL JORGE</t>
  </si>
  <si>
    <t>HORAS EMPLADOS</t>
  </si>
  <si>
    <t>DEL 15 AL 30 NOV</t>
  </si>
  <si>
    <t>Pago 1 NOV de plan de celular familiar</t>
  </si>
  <si>
    <t>Pago 2 DIC  de plan de celular familiar</t>
  </si>
  <si>
    <t>IVA  silvia disantioquia</t>
  </si>
  <si>
    <t>IVA SILVIA mps</t>
  </si>
  <si>
    <t>Universidad Maricela</t>
  </si>
  <si>
    <t>BM1841</t>
  </si>
  <si>
    <t>FV24822 ADMON</t>
  </si>
  <si>
    <t>FV24567 ARRI</t>
  </si>
  <si>
    <t>FESJ204795</t>
  </si>
  <si>
    <t>AD14497</t>
  </si>
  <si>
    <t>SP10170</t>
  </si>
  <si>
    <t>S-26109 LOC</t>
  </si>
  <si>
    <t>S-26150 OFI</t>
  </si>
  <si>
    <t>PM-9143</t>
  </si>
  <si>
    <t>AD74638</t>
  </si>
  <si>
    <t xml:space="preserve">GASTOS VARIOS </t>
  </si>
  <si>
    <t>200E6514 INSTITU</t>
  </si>
  <si>
    <t>FE6841 INSTITU</t>
  </si>
  <si>
    <t>presicion en el tiempo</t>
  </si>
  <si>
    <t>A-3242</t>
  </si>
  <si>
    <t>A-3245</t>
  </si>
  <si>
    <t>FVX20281 ALMA</t>
  </si>
  <si>
    <t>FVX20309 ALMA</t>
  </si>
  <si>
    <t>FE35002 ALMA</t>
  </si>
  <si>
    <t>1079864 INSTITU</t>
  </si>
  <si>
    <t>32766 ALMA</t>
  </si>
  <si>
    <t>FV2123424 ALMA</t>
  </si>
  <si>
    <t>32866 ALMA</t>
  </si>
  <si>
    <t>FI316523 ALMA/INSTI</t>
  </si>
  <si>
    <t>FI317786 ALMA/INSTI</t>
  </si>
  <si>
    <t>FE12039 ALMA</t>
  </si>
  <si>
    <t>FE2394 ALMA</t>
  </si>
  <si>
    <t>ME550345 INSTITU</t>
  </si>
  <si>
    <t>A-3246</t>
  </si>
  <si>
    <t>EA-3468 ALMA</t>
  </si>
  <si>
    <t>DVAD-103</t>
  </si>
  <si>
    <t>venta reloj jaime</t>
  </si>
  <si>
    <t>del 01 al 5 de dic</t>
  </si>
  <si>
    <t>86760 ALMA</t>
  </si>
  <si>
    <t>85276 ALMA</t>
  </si>
  <si>
    <t>2144 ALMA</t>
  </si>
  <si>
    <t>I.C. ELECTRONICS SAS</t>
  </si>
  <si>
    <t>icelectronicsmedellin@hotmail.com</t>
  </si>
  <si>
    <t>00100000445 cta bancolombia ahorros</t>
  </si>
  <si>
    <t>fe3619 ALMA</t>
  </si>
  <si>
    <t>DOGY2594 ALMA</t>
  </si>
  <si>
    <t>DOGY2589 ALMA</t>
  </si>
  <si>
    <t>FN86757 ALMA</t>
  </si>
  <si>
    <t>SE1041 ALMA</t>
  </si>
  <si>
    <t>E720 ALMA</t>
  </si>
  <si>
    <t>FV2126064 ALMA</t>
  </si>
  <si>
    <t>PE10732 ALMA</t>
  </si>
  <si>
    <t>1080343 INSTITU</t>
  </si>
  <si>
    <t>1079895 INSTITU</t>
  </si>
  <si>
    <t>FE35193 ALAMA</t>
  </si>
  <si>
    <t>FEOG278 ALMA</t>
  </si>
  <si>
    <t>FE6526 ALMA</t>
  </si>
  <si>
    <t>CEC2079 ALMA</t>
  </si>
  <si>
    <t>TP10441 ALMA</t>
  </si>
  <si>
    <t>4638 A-3247</t>
  </si>
  <si>
    <t>4639 A-3256</t>
  </si>
  <si>
    <t>A-3265</t>
  </si>
  <si>
    <t>A-3253</t>
  </si>
  <si>
    <t>A-3269</t>
  </si>
  <si>
    <t>71251 A-3267</t>
  </si>
  <si>
    <t xml:space="preserve">FN85236 </t>
  </si>
  <si>
    <t>03MS8945 ALMA</t>
  </si>
  <si>
    <t>03MS8944 ALMA</t>
  </si>
  <si>
    <t>FN86810 ALMA</t>
  </si>
  <si>
    <t>ABONO EN EFETIVO</t>
  </si>
  <si>
    <t>FE2511 ALMA</t>
  </si>
  <si>
    <t>ME 551997 ALMA</t>
  </si>
  <si>
    <t>A-3240</t>
  </si>
  <si>
    <t>A-3226</t>
  </si>
  <si>
    <t>551959 A-3230</t>
  </si>
  <si>
    <t>402 A-3271</t>
  </si>
  <si>
    <t>1786 A-3277</t>
  </si>
  <si>
    <t>33205 ALMA</t>
  </si>
  <si>
    <t>TP10499 ALMA</t>
  </si>
  <si>
    <t>TP10521 ALMA</t>
  </si>
  <si>
    <t>TARJ PARQU</t>
  </si>
  <si>
    <t>del 16 al 27 de dic</t>
  </si>
  <si>
    <t>PULSOS ALBEIRO</t>
  </si>
  <si>
    <t>8239 A-3239</t>
  </si>
  <si>
    <t>10134 A-3228</t>
  </si>
  <si>
    <t>A-3229</t>
  </si>
  <si>
    <t>A-3286</t>
  </si>
  <si>
    <t>A-3285</t>
  </si>
  <si>
    <t>MARCO MAYORGA</t>
  </si>
  <si>
    <t>FVE124</t>
  </si>
  <si>
    <t>FE-12324 ALMA</t>
  </si>
  <si>
    <t>EFECTIVO</t>
  </si>
  <si>
    <t>Pago 3 ENE  de plan de celular familiar</t>
  </si>
  <si>
    <t>ANTICIPO 315688</t>
  </si>
  <si>
    <t>BONO UNIVERSIDAD DAYANA</t>
  </si>
  <si>
    <t>AD-75021</t>
  </si>
  <si>
    <t>FESJ206511</t>
  </si>
  <si>
    <t>BM1978</t>
  </si>
  <si>
    <t>Total2</t>
  </si>
  <si>
    <t>SF 13E274604 INST</t>
  </si>
  <si>
    <t>TC1068 AMEX</t>
  </si>
  <si>
    <t>TC8338 VISA</t>
  </si>
  <si>
    <t>TC2664 VISA TESORERA</t>
  </si>
  <si>
    <t>DAVIVIENDA ************5098</t>
  </si>
  <si>
    <t>FE2538</t>
  </si>
  <si>
    <t>LQ-14206309</t>
  </si>
  <si>
    <t>FV26076 ADMON</t>
  </si>
  <si>
    <t>FV25498 ARRI</t>
  </si>
  <si>
    <t>AD14701</t>
  </si>
  <si>
    <t>SP10437</t>
  </si>
  <si>
    <t>FV-2116367 ALMA</t>
  </si>
  <si>
    <t>S - 26505 LOC</t>
  </si>
  <si>
    <t>S - 26546 OFI</t>
  </si>
  <si>
    <t>PM-9485</t>
  </si>
  <si>
    <t>2099 a-3298</t>
  </si>
  <si>
    <t>FEKM5074 alama</t>
  </si>
  <si>
    <t>FE 2420 insti</t>
  </si>
  <si>
    <t>14338 alma</t>
  </si>
  <si>
    <t>4732 a-3311</t>
  </si>
  <si>
    <t>4750 a-3313</t>
  </si>
  <si>
    <t>4736 a-3312</t>
  </si>
  <si>
    <t>a-3309</t>
  </si>
  <si>
    <t>404 a-3299</t>
  </si>
  <si>
    <t>x</t>
  </si>
  <si>
    <t>de dic28 a ene15</t>
  </si>
  <si>
    <t>a-3300</t>
  </si>
  <si>
    <t>TECH4045 insti</t>
  </si>
  <si>
    <t>INSTI electronica victorinos a-3304</t>
  </si>
  <si>
    <t>A-3305 INSTI</t>
  </si>
  <si>
    <t>facturacion@lacentral.com.co;girlesa.ruiz@servipilas.com;joriescobar64@gmail.com</t>
  </si>
  <si>
    <t>Anticipo</t>
  </si>
  <si>
    <t>a-3302</t>
  </si>
  <si>
    <t>BANCOLOMBIA 9360</t>
  </si>
  <si>
    <t>FESJ206077 intreses noviembre</t>
  </si>
  <si>
    <t>SANTA JUANA (inversiones) X@</t>
  </si>
  <si>
    <t>ADMON X C INQ. LC PROPIO</t>
  </si>
  <si>
    <t>FE-12451 ALMA</t>
  </si>
  <si>
    <t>REOG244 ANTICIPO</t>
  </si>
  <si>
    <t>FEOG283 ANTICIPO</t>
  </si>
  <si>
    <t>ABAJO PRECISON DEL TIEMPO</t>
  </si>
  <si>
    <t>A-3323 /2965</t>
  </si>
  <si>
    <t>A-3322</t>
  </si>
  <si>
    <t>A-3314</t>
  </si>
  <si>
    <t>1899 A-3314</t>
  </si>
  <si>
    <t>10842/ALMA/INST</t>
  </si>
  <si>
    <t>1081854 INSTITU</t>
  </si>
  <si>
    <t>CTOF CASIO</t>
  </si>
  <si>
    <t>10633 ALMA</t>
  </si>
  <si>
    <t>FE 714 - KENEX 60425-60426</t>
  </si>
  <si>
    <t>NC 180</t>
  </si>
  <si>
    <t>60425 ALMA pagada con recursos ropios</t>
  </si>
  <si>
    <t>60426 ALMA pagadas con credito 2555381492</t>
  </si>
  <si>
    <t>BANCOLOMBIA USD$ 2555381492</t>
  </si>
  <si>
    <t xml:space="preserve">KENEX 60426 20-11-2023 </t>
  </si>
  <si>
    <t>AJUSTE POR TASA DE CAMBIO</t>
  </si>
  <si>
    <t>jaime aliexpress</t>
  </si>
  <si>
    <t>CS - 6170 tarjeta moto</t>
  </si>
  <si>
    <t>yvelasquez@nanicastation.com.co;facturas@nanicastation.com.co;girlesa.ruiz@servipilas.com;joriescobar64@gmail.com</t>
  </si>
  <si>
    <t>tecnopartes@ctof.co;girlesa.ruiz@servipilas.com;joriescobar64@gmail.com</t>
  </si>
  <si>
    <t>1882 TNR-316883-316927</t>
  </si>
  <si>
    <t>SE-1065 alma</t>
  </si>
  <si>
    <t>FV-2138790 pc sandiego</t>
  </si>
  <si>
    <t>2134861 pc girleza empresa</t>
  </si>
  <si>
    <t>CED 2152 alma</t>
  </si>
  <si>
    <t>10154 a-3333</t>
  </si>
  <si>
    <t>COMERCIALIZADORA UBRA JOT</t>
  </si>
  <si>
    <t>FU 4956 ALMA</t>
  </si>
  <si>
    <t>FEV81988 inst</t>
  </si>
  <si>
    <t>a-3335</t>
  </si>
  <si>
    <t>1900 a-3335</t>
  </si>
  <si>
    <t>53576 inst</t>
  </si>
  <si>
    <t>10679 alma</t>
  </si>
  <si>
    <t>ME553313 alma</t>
  </si>
  <si>
    <t>ME553651 inst</t>
  </si>
  <si>
    <t>fe2574 alma</t>
  </si>
  <si>
    <t>FETU7399 alma</t>
  </si>
  <si>
    <t>a-3336</t>
  </si>
  <si>
    <t>FE 737 - TNR-316883-316927</t>
  </si>
  <si>
    <t>FE 739 - TNR-316883-316927</t>
  </si>
  <si>
    <t>memoriasoriginales@gmail.com;girlesa.ruiz@servipilas.com;joriescobar64@gmail.com</t>
  </si>
  <si>
    <t>olga.acevedo@logimexsas.com;girlesa.ruiz@servipilas.com;joriescobar64@gmail.com;facturacion@servipilas.com</t>
  </si>
  <si>
    <t>03MS9161 alma</t>
  </si>
  <si>
    <t>75-71</t>
  </si>
  <si>
    <t>78-79-80</t>
  </si>
  <si>
    <t>CAJA SOCIAL CESANTIAS</t>
  </si>
  <si>
    <t>efectivos + megared + caja menor</t>
  </si>
  <si>
    <t>GIRLESA</t>
  </si>
  <si>
    <t>R-1477 A-3338</t>
  </si>
  <si>
    <t>FEVT 2817 /ALMA</t>
  </si>
  <si>
    <t>FENL53669 INSTITU</t>
  </si>
  <si>
    <t>FE 499</t>
  </si>
  <si>
    <t>405 ALMA</t>
  </si>
  <si>
    <t>FE7066 INSTITU</t>
  </si>
  <si>
    <t>del 15 al 31 de enero 24</t>
  </si>
  <si>
    <t>se consigno de mas</t>
  </si>
  <si>
    <t>S-26937 CONS</t>
  </si>
  <si>
    <t>S-26896 LOCAL</t>
  </si>
  <si>
    <t>BM2126</t>
  </si>
  <si>
    <t>comercializadorajls@hotmail.com; girlesa.ruiz@servipilas.com;joriescobar64@gmail.com</t>
  </si>
  <si>
    <t>FESJ208507</t>
  </si>
  <si>
    <t>SAN DIEGO</t>
  </si>
  <si>
    <t>INSTITU</t>
  </si>
  <si>
    <t>ALMA/INSTI</t>
  </si>
  <si>
    <t xml:space="preserve">MDIS7040100 </t>
  </si>
  <si>
    <t xml:space="preserve">MDIS5042179 </t>
  </si>
  <si>
    <t xml:space="preserve">MDIS5042180 </t>
  </si>
  <si>
    <t xml:space="preserve">JS388 </t>
  </si>
  <si>
    <t>TP10546</t>
  </si>
  <si>
    <t>FEV79828</t>
  </si>
  <si>
    <t>FEOG283</t>
  </si>
  <si>
    <t>FEOG244</t>
  </si>
  <si>
    <t>DEUDAS PROVEEDORES INSTITUCIONALES</t>
  </si>
  <si>
    <t>DEUDAS PROVEEDORES ALAMACENES</t>
  </si>
  <si>
    <t>ALMACENES</t>
  </si>
  <si>
    <t>INSTITUCIONALESES</t>
  </si>
  <si>
    <t>Origen
de los
Recursos</t>
  </si>
  <si>
    <t>AH BANCOLOMBIA</t>
  </si>
  <si>
    <t>CC BANCOLOMBIA</t>
  </si>
  <si>
    <t>DAVIVIENDA CC</t>
  </si>
  <si>
    <t>CAJA SOCIAL CC</t>
  </si>
  <si>
    <t>OTRO</t>
  </si>
  <si>
    <t>Descuento
$</t>
  </si>
  <si>
    <t>ReteFuente
$</t>
  </si>
  <si>
    <t>clopez@santajuana.com.co;girlesa.ruiz@servipilas.com;joriescobar64@gmail.com</t>
  </si>
  <si>
    <t>TC</t>
  </si>
  <si>
    <t>ReteFuente
%</t>
  </si>
  <si>
    <t>A3352</t>
  </si>
  <si>
    <t>A-3348</t>
  </si>
  <si>
    <t>TP10719</t>
  </si>
  <si>
    <t>FE2586</t>
  </si>
  <si>
    <t>FEID50290</t>
  </si>
  <si>
    <t>S A F</t>
  </si>
  <si>
    <t>ABAJO JUAN GUILLERMO</t>
  </si>
  <si>
    <t>NCE 192</t>
  </si>
  <si>
    <t>FETU7503</t>
  </si>
  <si>
    <t>ABAJO DANIEL ESCOBAR</t>
  </si>
  <si>
    <t>angela.navas@hyrdistribuciones.com; natalia.villada@hyrdistribuciones.com; girlesa.ruiz@servipilas.com;joriescobar64@gmail.com</t>
  </si>
  <si>
    <t>FE2604</t>
  </si>
  <si>
    <t>IFE53034</t>
  </si>
  <si>
    <t>FE337648</t>
  </si>
  <si>
    <t>A-3364</t>
  </si>
  <si>
    <t>pago IVA</t>
  </si>
  <si>
    <t>SO9143</t>
  </si>
  <si>
    <t xml:space="preserve">SERVEM </t>
  </si>
  <si>
    <t>ruben.montoya@serven.com.co;girlesa.ruiz@servipilas.com;joriescobar64@gmail.com</t>
  </si>
  <si>
    <t>FE7129</t>
  </si>
  <si>
    <t>del 1 al 15 feb</t>
  </si>
  <si>
    <t>FRANCISCO MURILLO</t>
  </si>
  <si>
    <t>AD14908</t>
  </si>
  <si>
    <t>TP10598</t>
  </si>
  <si>
    <t>ACTA817</t>
  </si>
  <si>
    <t>PAPELERIA EL PINGÜINO</t>
  </si>
  <si>
    <t>AD 75780</t>
  </si>
  <si>
    <t>SP10938</t>
  </si>
  <si>
    <t>PM-9847</t>
  </si>
  <si>
    <t>TECH4207</t>
  </si>
  <si>
    <t>ME554966</t>
  </si>
  <si>
    <t>FEV83270</t>
  </si>
  <si>
    <t>FEV83336</t>
  </si>
  <si>
    <t>fenl54285</t>
  </si>
  <si>
    <t>FB2904</t>
  </si>
  <si>
    <t>Abajo ANGELA ADRIANA ARISTIZABAL</t>
  </si>
  <si>
    <t>contabilidad@comsistel.com.co;girlesa.ruiz@servipilas.com;joriescobar64@gmail.com</t>
  </si>
  <si>
    <t>GLORIA CECILILA ESTRADA</t>
  </si>
  <si>
    <t>PE10993</t>
  </si>
  <si>
    <t>SOLO IVA</t>
  </si>
  <si>
    <t>PROFORMA 1</t>
  </si>
  <si>
    <t>PROFORMA 2</t>
  </si>
  <si>
    <t>del 15 al 29 feb</t>
  </si>
  <si>
    <t>FE2605</t>
  </si>
  <si>
    <t>FEA959</t>
  </si>
  <si>
    <t>fekm5201</t>
  </si>
  <si>
    <t>TP10811</t>
  </si>
  <si>
    <t>TP10812</t>
  </si>
  <si>
    <t>ME555343</t>
  </si>
  <si>
    <t>PYG YERRY JORDANO GALLO BUILES</t>
  </si>
  <si>
    <t>GBYJ238</t>
  </si>
  <si>
    <t>SURTI EXPRESS</t>
  </si>
  <si>
    <t>SURT - 128635</t>
  </si>
  <si>
    <t>03MS9390</t>
  </si>
  <si>
    <t>FE14896</t>
  </si>
  <si>
    <t>001-652</t>
  </si>
  <si>
    <t>A-3373</t>
  </si>
  <si>
    <t>A-3372</t>
  </si>
  <si>
    <t>A-3389</t>
  </si>
  <si>
    <t>A-3383</t>
  </si>
  <si>
    <t>Abajo ACCESORIOS PARA CELULAR GTA</t>
  </si>
  <si>
    <t>A-3375</t>
  </si>
  <si>
    <t>4831- A-3367</t>
  </si>
  <si>
    <t>4823 A-3390</t>
  </si>
  <si>
    <t>A-3384</t>
  </si>
  <si>
    <t>A-3370</t>
  </si>
  <si>
    <t>A-3385</t>
  </si>
  <si>
    <t>2116 a-3371</t>
  </si>
  <si>
    <t>6585- a-3368</t>
  </si>
  <si>
    <t>A-3392</t>
  </si>
  <si>
    <t>CUENTA COBRO 01</t>
  </si>
  <si>
    <t>contabilidad@logimexsas.com;girlesa.ruiz@servipilas.com;joriescobar64@gmail.com;facturacion@servipilas.com</t>
  </si>
  <si>
    <t>INTERESES Y FNG</t>
  </si>
  <si>
    <t>SI/NO</t>
  </si>
  <si>
    <t>SI</t>
  </si>
  <si>
    <t>NO</t>
  </si>
  <si>
    <t>BATTERY STORE</t>
  </si>
  <si>
    <t>PM-10188</t>
  </si>
  <si>
    <t>BM2258</t>
  </si>
  <si>
    <t>FV26653 admin</t>
  </si>
  <si>
    <t>FV26395 arriendo</t>
  </si>
  <si>
    <t>FV27261 arriendo</t>
  </si>
  <si>
    <t>S-27297-CONS</t>
  </si>
  <si>
    <t>S-27338-LOCAL</t>
  </si>
  <si>
    <t>AD-76532</t>
  </si>
  <si>
    <t>FV275218 admin</t>
  </si>
  <si>
    <t>AD15113</t>
  </si>
  <si>
    <t>FESJ209972</t>
  </si>
  <si>
    <t>SP11035</t>
  </si>
  <si>
    <t>PUERTA</t>
  </si>
  <si>
    <t>1082338 INSTITU</t>
  </si>
  <si>
    <t>FEOG309 anticipo</t>
  </si>
  <si>
    <t>FEOG309</t>
  </si>
  <si>
    <t>Abajo ANDRES RAMIREZ KAIROS</t>
  </si>
  <si>
    <t>REOG383 ANTICIPO</t>
  </si>
  <si>
    <t>FI337430</t>
  </si>
  <si>
    <t>FEV84404</t>
  </si>
  <si>
    <t>FVX21570</t>
  </si>
  <si>
    <t>FVX21569</t>
  </si>
  <si>
    <t>FV-2155535</t>
  </si>
  <si>
    <t>SE-1090</t>
  </si>
  <si>
    <t>PE 11099</t>
  </si>
  <si>
    <t>FVX21571</t>
  </si>
  <si>
    <t>del 1 al 15 mar</t>
  </si>
  <si>
    <t>a</t>
  </si>
  <si>
    <t>FV-2156495</t>
  </si>
  <si>
    <t>TP10915</t>
  </si>
  <si>
    <t>SURT - 131469</t>
  </si>
  <si>
    <t>TP10866</t>
  </si>
  <si>
    <t>TP10907</t>
  </si>
  <si>
    <t>TP10918</t>
  </si>
  <si>
    <t>TP10937</t>
  </si>
  <si>
    <t>TP10942</t>
  </si>
  <si>
    <t>TP10764</t>
  </si>
  <si>
    <t>Para abonar al leasing Davi</t>
  </si>
  <si>
    <t>A-3401</t>
  </si>
  <si>
    <t>A-3415</t>
  </si>
  <si>
    <t>A-3416</t>
  </si>
  <si>
    <t>6640 A-3402</t>
  </si>
  <si>
    <t>A-3408</t>
  </si>
  <si>
    <t>A-3407</t>
  </si>
  <si>
    <t>04799-A3419</t>
  </si>
  <si>
    <t>11717- a-3403</t>
  </si>
  <si>
    <t>REM-185 - A-3418</t>
  </si>
  <si>
    <t>SURT-132760</t>
  </si>
  <si>
    <t>81140-A3427</t>
  </si>
  <si>
    <t>CED 222</t>
  </si>
  <si>
    <t>NCE 200 A LA FRA 222</t>
  </si>
  <si>
    <t>ME557527</t>
  </si>
  <si>
    <t>SE-1099</t>
  </si>
  <si>
    <t>PE 11219</t>
  </si>
  <si>
    <t>FETU7791</t>
  </si>
  <si>
    <t>03MS9712</t>
  </si>
  <si>
    <t>FEV85277</t>
  </si>
  <si>
    <t>TP10974</t>
  </si>
  <si>
    <t>1004145 anticipo</t>
  </si>
  <si>
    <t>SG2359</t>
  </si>
  <si>
    <t>FEV85851</t>
  </si>
  <si>
    <t>FEVT-2862</t>
  </si>
  <si>
    <t>FETU7800</t>
  </si>
  <si>
    <t>del 15 al 31 mar</t>
  </si>
  <si>
    <t>10849 - A3363</t>
  </si>
  <si>
    <t>recepcion.medellin@girag.com;girlesa.ruiz@servipilas.com;joriescobar64@gmail.com</t>
  </si>
  <si>
    <t>GIRAG SAS</t>
  </si>
  <si>
    <t>S-27740 - CONSUL</t>
  </si>
  <si>
    <t>SOLO IVA GRUPO RPC SAS</t>
  </si>
  <si>
    <t>TP10719NC</t>
  </si>
  <si>
    <t>FESJ211475</t>
  </si>
  <si>
    <t>SO072324</t>
  </si>
  <si>
    <t>SO071915</t>
  </si>
  <si>
    <t>SO071918</t>
  </si>
  <si>
    <t>S-27697-LOCAL</t>
  </si>
  <si>
    <t>AD-77279</t>
  </si>
  <si>
    <t>BM2391</t>
  </si>
  <si>
    <t>FV28393 ADMON</t>
  </si>
  <si>
    <t>FV28134 ARRIENDO</t>
  </si>
  <si>
    <t>AD15321</t>
  </si>
  <si>
    <t>SP11301</t>
  </si>
  <si>
    <t>LOGIMEX BATTERY STORE</t>
  </si>
  <si>
    <t>FE2686</t>
  </si>
  <si>
    <t>6730 A-3438</t>
  </si>
  <si>
    <t>705280 A-3434</t>
  </si>
  <si>
    <t>12485 A-3437</t>
  </si>
  <si>
    <t>TP11054</t>
  </si>
  <si>
    <t>TP11053</t>
  </si>
  <si>
    <t>FE341138</t>
  </si>
  <si>
    <t>FEV86033</t>
  </si>
  <si>
    <t>FEV85922</t>
  </si>
  <si>
    <t>FENL 56153</t>
  </si>
  <si>
    <t>SE-1102</t>
  </si>
  <si>
    <t>FE-13422</t>
  </si>
  <si>
    <t>HFE1-1085144</t>
  </si>
  <si>
    <t>TP10998</t>
  </si>
  <si>
    <t>FEV86038</t>
  </si>
  <si>
    <t>MOVERCARGO - BATTERY STORE</t>
  </si>
  <si>
    <t>MOVERCARGO - SINOMING CHINA</t>
  </si>
  <si>
    <t>CARPA - POWER SONIC</t>
  </si>
  <si>
    <t>IMPOCARGO - POWER SONIC</t>
  </si>
  <si>
    <t>IMPUESTOS - POWER SONIC</t>
  </si>
  <si>
    <t>OPELSA - POWER SONIC</t>
  </si>
  <si>
    <t>POWER SONIC</t>
  </si>
  <si>
    <t>LOGIMEX - POWER SONIC</t>
  </si>
  <si>
    <t>REVO COLOMBIA SAS</t>
  </si>
  <si>
    <t>jeimmy.rojas@revo360.com; gerenteaduanera@wtnewvision.com; girlesa.ruiz@servipilas.com;joriescobar64@gmail.com</t>
  </si>
  <si>
    <t>REVO18</t>
  </si>
  <si>
    <t>FE2693</t>
  </si>
  <si>
    <t>del 1 al 15 abril</t>
  </si>
  <si>
    <t>03MS9967</t>
  </si>
  <si>
    <t>ME558984</t>
  </si>
  <si>
    <t>MDIS5042398 / BATERIA DELIO / JAIME</t>
  </si>
  <si>
    <t>4960-A-3435</t>
  </si>
  <si>
    <t>4957-A-3431 MOLINOS</t>
  </si>
  <si>
    <t>4848 -A-3446 MOLINOS</t>
  </si>
  <si>
    <t>4967-A-3450 MOLINOS</t>
  </si>
  <si>
    <t>4966-A-3451</t>
  </si>
  <si>
    <t>4977-A-3449 MOLINOS</t>
  </si>
  <si>
    <t>5000-A-3452 SANDIEGO</t>
  </si>
  <si>
    <t>HFE1-1086064</t>
  </si>
  <si>
    <t>MDIS5.042.408</t>
  </si>
  <si>
    <t>No. NC13457</t>
  </si>
  <si>
    <t>A-3448</t>
  </si>
  <si>
    <t>FE 2517- se hizo un cambio de pilas y le debemos el excedente preguntar a santiago</t>
  </si>
  <si>
    <t>Abajo GLORIA CECILILA ESTRADA</t>
  </si>
  <si>
    <t>200E21667</t>
  </si>
  <si>
    <t>200E8659 paga primo Bogotá</t>
  </si>
  <si>
    <t>Abajo ELECTRONICA VICTORINOS</t>
  </si>
  <si>
    <t>A-3440</t>
  </si>
  <si>
    <t>PM-10526</t>
  </si>
  <si>
    <t>SURT - 128635 retencion no practicada</t>
  </si>
  <si>
    <t>FE6802 abono</t>
  </si>
  <si>
    <t>FE6802 saldo a pagar $2.2393.320</t>
  </si>
  <si>
    <t>Devol retención Fras Dic</t>
  </si>
  <si>
    <t>AD15321 valor pendiente de pago</t>
  </si>
  <si>
    <t>MY CELLULAR DEPOT SAS</t>
  </si>
  <si>
    <t>mycellulardepotsas@gmail.com; girlesa.ruiz@servipilas.com;joriescobar64@gmail.com</t>
  </si>
  <si>
    <t>FE1731</t>
  </si>
  <si>
    <t>FE2713</t>
  </si>
  <si>
    <t>01/04/2025</t>
  </si>
  <si>
    <t>se abono 575 usd</t>
  </si>
  <si>
    <t>103646 Nos reitegraron el saldo a favor abril 19</t>
  </si>
  <si>
    <t>Retenciones no pagadas a la Dian, que se le debe de reintegrar de la vigencia 2023</t>
  </si>
  <si>
    <t>Abajo MANUFACTURAS HEFZI-BA Juan Manuel Pulsos</t>
  </si>
  <si>
    <t>A-3464</t>
  </si>
  <si>
    <t>FE37647</t>
  </si>
  <si>
    <t>SE-1121</t>
  </si>
  <si>
    <t>200E22535</t>
  </si>
  <si>
    <t>TP-11078</t>
  </si>
  <si>
    <t>200E22669</t>
  </si>
  <si>
    <t>FEV87042</t>
  </si>
  <si>
    <t>TP-11113</t>
  </si>
  <si>
    <t>FI349675</t>
  </si>
  <si>
    <t>FV-2174124</t>
  </si>
  <si>
    <t>TECH4562</t>
  </si>
  <si>
    <t>HFE1-1086529</t>
  </si>
  <si>
    <t>NC4641 CRUZADA CON LA FRA 35002 PAGADA EN ENERO</t>
  </si>
  <si>
    <t>SURT - NC 17185 APLICADA A LA FRA 128635</t>
  </si>
  <si>
    <t>2202 A-3465</t>
  </si>
  <si>
    <t>13101  A-3459</t>
  </si>
  <si>
    <t>8264 A-3460</t>
  </si>
  <si>
    <t>707026 - A3473 pte comprobante de pago tc</t>
  </si>
  <si>
    <t>HFE1-1086652</t>
  </si>
  <si>
    <t>FEV87609</t>
  </si>
  <si>
    <t>FE767 FRA KENEX 61138</t>
  </si>
  <si>
    <t>767 KENEX 61138</t>
  </si>
  <si>
    <t>ANTICIPO 82119</t>
  </si>
  <si>
    <t>793  KENEX 82119</t>
  </si>
  <si>
    <t>319350 MOVE CARGO</t>
  </si>
  <si>
    <t>319355 MOVE CARGO</t>
  </si>
  <si>
    <t>321154 LOGIMEX</t>
  </si>
  <si>
    <t>795 BATTERY STORE 321154</t>
  </si>
  <si>
    <t>ANTICIPO 321154</t>
  </si>
  <si>
    <t>FV-2174155</t>
  </si>
  <si>
    <t>INCLUYE AJUSTE</t>
  </si>
  <si>
    <t>ABAJO GIRLESA RUIZ</t>
  </si>
  <si>
    <t>ABAJO JORGE ARREDONDO - JARLY SAS</t>
  </si>
  <si>
    <t>ABAJO STARTIME</t>
  </si>
  <si>
    <t>ABAJO MERCEDES PILAS</t>
  </si>
  <si>
    <t>ABAJO YOLANDA</t>
  </si>
  <si>
    <t>ABAJO INVERSIONES ARCILA</t>
  </si>
  <si>
    <t>ABAJO GUSTAVO PULSOS</t>
  </si>
  <si>
    <t>ABAJO SWIZZER REPUESTOS</t>
  </si>
  <si>
    <t>ABAJO brightside</t>
  </si>
  <si>
    <t>ABAJO AVELINA</t>
  </si>
  <si>
    <t>ABAJO AURELIO PILAS</t>
  </si>
  <si>
    <t>ABAJO REPUESTOS CALI</t>
  </si>
  <si>
    <t>ABAJO MERCADOLIBRE X@</t>
  </si>
  <si>
    <t>ABAJO A TU MANO</t>
  </si>
  <si>
    <t>ABAJO NALPI</t>
  </si>
  <si>
    <t>ABAJO PULSOS ESPECIALES</t>
  </si>
  <si>
    <t>ABAJO ANGELA ADRIANA ARISTIZABAL</t>
  </si>
  <si>
    <t>ABAJO RUSBEL GIRALDO SERNA</t>
  </si>
  <si>
    <t>ABAJO TECNOPILAS</t>
  </si>
  <si>
    <t>ABAJO YERMIN</t>
  </si>
  <si>
    <t>ABAJO CAJONES DE RELOJ</t>
  </si>
  <si>
    <t>ABAJO OLGA CARDONA</t>
  </si>
  <si>
    <t>ABAJO UNIFORMES</t>
  </si>
  <si>
    <t>ABAJO MEGARED</t>
  </si>
  <si>
    <t>ABAJO ALIEXPRESS</t>
  </si>
  <si>
    <t>ABAJO GERMAN PALACIOS</t>
  </si>
  <si>
    <t>ABAJO GLORIA SOTO</t>
  </si>
  <si>
    <t>ABAJO ACCESORIOS PARA CELULAR GTA</t>
  </si>
  <si>
    <t>ABAJO ANDRES RAMIREZ KAIROS</t>
  </si>
  <si>
    <t>ABAJO GLORIA CECILILA ESTRADA</t>
  </si>
  <si>
    <t>ABAJO ELECTRONICA VICTORINOS</t>
  </si>
  <si>
    <t>ABAJO MANUFACTURAS HEFZI-BA Juan Manuel Pulsos</t>
  </si>
  <si>
    <t>FE2735</t>
  </si>
  <si>
    <t>REOG383</t>
  </si>
  <si>
    <t>C:\Users\Daniel\Downloads</t>
  </si>
  <si>
    <t>restrepoedision@yahoo.es; admon@surtiexpress.com.co;girlesa.ruiz@servipilas.com;joriescobar64@gmail.com</t>
  </si>
  <si>
    <t>compras centro</t>
  </si>
  <si>
    <t>cajones relojes</t>
  </si>
  <si>
    <t>FE3697</t>
  </si>
  <si>
    <t>FV-2176051</t>
  </si>
  <si>
    <t>FV-2176413</t>
  </si>
  <si>
    <t>Molinos</t>
  </si>
  <si>
    <t>la central</t>
  </si>
  <si>
    <t>sandiego</t>
  </si>
  <si>
    <t>puerta</t>
  </si>
  <si>
    <t>mayorca</t>
  </si>
  <si>
    <t>Pagada</t>
  </si>
  <si>
    <t>4903-A3406</t>
  </si>
  <si>
    <t>saldo a favor por pago extra 4823</t>
  </si>
  <si>
    <t>estado pago</t>
  </si>
  <si>
    <t>CRÉDITO</t>
  </si>
  <si>
    <t>1. hacer click en el botón "traer Datos</t>
  </si>
  <si>
    <t>Nota: la formula no suma los porveedores con los simbolos "X@"</t>
  </si>
  <si>
    <t>Cierre de mes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</si>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</sst>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8" formatCode="&quot;$&quot;\ #,##0.00;[Red]\-&quot;$&quot;\ #,##0.00"/>
    <numFmt numFmtId="43" formatCode="_-* #,##0.00_-;\-* #,##0.00_-;_-* &quot;-&quot;??_-;_-@_-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&quot;$&quot;\ #,##0_);[Red]\(&quot;$&quot;\ #,##0\)"/>
    <numFmt numFmtId="168" formatCode="&quot;$&quot;#,##0;[Red]\-&quot;$&quot;#,##0"/>
    <numFmt numFmtId="169" formatCode="0.0%"/>
    <numFmt numFmtId="170" formatCode="dd\ &quot;de&quot;\ mmmm\ &quot;de&quot;\ yyyy"/>
    <numFmt numFmtId="171" formatCode="&quot;$&quot;#,##0.0;[Red]\-&quot;$&quot;#,##0.0"/>
    <numFmt numFmtId="172" formatCode="dd/mm/yyyy;@"/>
    <numFmt numFmtId="174" formatCode="dd/mm/yy"/>
  </numFmts>
  <fonts count="3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Bell MT"/>
      <family val="1"/>
    </font>
    <font>
      <b/>
      <sz val="11"/>
      <name val="Calibri"/>
      <family val="2"/>
    </font>
    <font>
      <sz val="9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sz val="9"/>
      <name val="Bell MT"/>
      <family val="1"/>
    </font>
    <font>
      <b/>
      <sz val="9"/>
      <name val="Bell MT"/>
      <family val="1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rgb="FFE2EFD9"/>
      </patternFill>
    </fill>
    <fill>
      <patternFill patternType="solid">
        <fgColor rgb="FFD8D8D8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theme="9" tint="0.79998168889431442"/>
        <bgColor rgb="FFD9E2F3"/>
      </patternFill>
    </fill>
    <fill>
      <patternFill patternType="solid">
        <fgColor theme="4" tint="0.79998168889431442"/>
        <bgColor rgb="FFD9E2F3"/>
      </patternFill>
    </fill>
    <fill>
      <patternFill patternType="solid">
        <fgColor theme="4" tint="0.79998168889431442"/>
        <bgColor rgb="FFE2EFD9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4" fillId="0" borderId="0" applyNumberFormat="0" applyFill="0" applyBorder="0" applyAlignment="0" applyProtection="0"/>
    <xf numFmtId="0" fontId="15" fillId="0" borderId="0"/>
    <xf numFmtId="166" fontId="17" fillId="0" borderId="0" applyFont="0" applyFill="0" applyBorder="0" applyAlignment="0" applyProtection="0"/>
    <xf numFmtId="43" fontId="17" fillId="0" borderId="0" applyFont="0" applyFill="0" applyBorder="0" applyAlignment="0" applyProtection="0"/>
  </cellStyleXfs>
  <cellXfs count="157">
    <xf numFmtId="0" fontId="0" fillId="0" borderId="0" xfId="0"/>
    <xf numFmtId="14" fontId="4" fillId="0" borderId="1" xfId="0" applyNumberFormat="1" applyFont="1" applyBorder="1" applyAlignment="1">
      <alignment horizontal="center" vertical="center"/>
    </xf>
    <xf numFmtId="15" fontId="4" fillId="0" borderId="3" xfId="0" applyNumberFormat="1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/>
    </xf>
    <xf numFmtId="168" fontId="7" fillId="0" borderId="0" xfId="0" applyNumberFormat="1" applyFont="1" applyAlignment="1">
      <alignment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/>
    <xf numFmtId="1" fontId="7" fillId="0" borderId="0" xfId="0" applyNumberFormat="1" applyFont="1" applyAlignment="1">
      <alignment horizontal="left"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3" fillId="4" borderId="4" xfId="0" applyFont="1" applyFill="1" applyBorder="1" applyAlignment="1">
      <alignment horizontal="left" vertical="center" wrapText="1"/>
    </xf>
    <xf numFmtId="0" fontId="5" fillId="0" borderId="0" xfId="0" applyFont="1" applyAlignment="1">
      <alignment vertical="center"/>
    </xf>
    <xf numFmtId="16" fontId="0" fillId="0" borderId="0" xfId="0" applyNumberFormat="1"/>
    <xf numFmtId="170" fontId="0" fillId="0" borderId="0" xfId="0" applyNumberFormat="1"/>
    <xf numFmtId="165" fontId="1" fillId="3" borderId="0" xfId="0" applyNumberFormat="1" applyFont="1" applyFill="1" applyAlignment="1">
      <alignment horizontal="center" vertical="center" wrapText="1"/>
    </xf>
    <xf numFmtId="14" fontId="6" fillId="0" borderId="0" xfId="0" applyNumberFormat="1" applyFont="1" applyAlignment="1">
      <alignment vertical="center"/>
    </xf>
    <xf numFmtId="165" fontId="1" fillId="3" borderId="0" xfId="0" applyNumberFormat="1" applyFont="1" applyFill="1" applyAlignment="1">
      <alignment vertical="center"/>
    </xf>
    <xf numFmtId="164" fontId="9" fillId="3" borderId="0" xfId="0" applyNumberFormat="1" applyFont="1" applyFill="1" applyAlignment="1">
      <alignment vertical="center"/>
    </xf>
    <xf numFmtId="164" fontId="0" fillId="0" borderId="0" xfId="0" applyNumberFormat="1"/>
    <xf numFmtId="169" fontId="0" fillId="0" borderId="0" xfId="0" applyNumberFormat="1"/>
    <xf numFmtId="169" fontId="0" fillId="6" borderId="0" xfId="0" applyNumberFormat="1" applyFill="1"/>
    <xf numFmtId="0" fontId="0" fillId="6" borderId="0" xfId="0" applyFill="1"/>
    <xf numFmtId="164" fontId="0" fillId="6" borderId="0" xfId="0" applyNumberFormat="1" applyFill="1"/>
    <xf numFmtId="1" fontId="16" fillId="6" borderId="0" xfId="0" applyNumberFormat="1" applyFont="1" applyFill="1"/>
    <xf numFmtId="169" fontId="16" fillId="6" borderId="0" xfId="0" applyNumberFormat="1" applyFont="1" applyFill="1"/>
    <xf numFmtId="1" fontId="16" fillId="0" borderId="0" xfId="0" applyNumberFormat="1" applyFont="1"/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7" borderId="0" xfId="0" applyFill="1" applyAlignment="1">
      <alignment horizontal="center" vertical="center"/>
    </xf>
    <xf numFmtId="0" fontId="19" fillId="7" borderId="0" xfId="1" quotePrefix="1" applyFont="1" applyFill="1" applyAlignment="1">
      <alignment horizontal="center" vertical="center"/>
    </xf>
    <xf numFmtId="0" fontId="0" fillId="0" borderId="8" xfId="0" applyBorder="1"/>
    <xf numFmtId="0" fontId="0" fillId="0" borderId="0" xfId="0" applyAlignment="1">
      <alignment horizontal="center"/>
    </xf>
    <xf numFmtId="165" fontId="18" fillId="5" borderId="6" xfId="0" applyNumberFormat="1" applyFont="1" applyFill="1" applyBorder="1" applyAlignment="1">
      <alignment vertical="center" wrapText="1"/>
    </xf>
    <xf numFmtId="0" fontId="0" fillId="10" borderId="0" xfId="0" applyFill="1"/>
    <xf numFmtId="168" fontId="7" fillId="10" borderId="0" xfId="0" applyNumberFormat="1" applyFont="1" applyFill="1" applyAlignment="1">
      <alignment vertical="center"/>
    </xf>
    <xf numFmtId="168" fontId="1" fillId="10" borderId="0" xfId="0" applyNumberFormat="1" applyFont="1" applyFill="1" applyAlignment="1">
      <alignment vertical="center"/>
    </xf>
    <xf numFmtId="10" fontId="1" fillId="10" borderId="0" xfId="0" applyNumberFormat="1" applyFont="1" applyFill="1" applyAlignment="1">
      <alignment vertical="center"/>
    </xf>
    <xf numFmtId="0" fontId="16" fillId="11" borderId="0" xfId="0" applyFont="1" applyFill="1" applyAlignment="1">
      <alignment horizontal="center" vertical="center"/>
    </xf>
    <xf numFmtId="172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174" fontId="7" fillId="0" borderId="0" xfId="0" applyNumberFormat="1" applyFont="1" applyAlignment="1">
      <alignment horizontal="left" vertical="center"/>
    </xf>
    <xf numFmtId="0" fontId="16" fillId="10" borderId="0" xfId="0" applyFont="1" applyFill="1"/>
    <xf numFmtId="1" fontId="8" fillId="10" borderId="0" xfId="0" applyNumberFormat="1" applyFont="1" applyFill="1" applyAlignment="1">
      <alignment horizontal="left" vertical="center"/>
    </xf>
    <xf numFmtId="0" fontId="10" fillId="9" borderId="12" xfId="0" applyFont="1" applyFill="1" applyBorder="1" applyAlignment="1">
      <alignment vertical="center" wrapText="1"/>
    </xf>
    <xf numFmtId="172" fontId="0" fillId="0" borderId="11" xfId="0" applyNumberFormat="1" applyBorder="1" applyAlignment="1">
      <alignment vertical="center"/>
    </xf>
    <xf numFmtId="172" fontId="0" fillId="0" borderId="10" xfId="0" applyNumberFormat="1" applyBorder="1" applyAlignment="1">
      <alignment vertical="center"/>
    </xf>
    <xf numFmtId="164" fontId="13" fillId="12" borderId="14" xfId="0" applyNumberFormat="1" applyFont="1" applyFill="1" applyBorder="1" applyAlignment="1">
      <alignment vertical="center"/>
    </xf>
    <xf numFmtId="164" fontId="13" fillId="13" borderId="14" xfId="0" applyNumberFormat="1" applyFont="1" applyFill="1" applyBorder="1" applyAlignment="1">
      <alignment vertical="center"/>
    </xf>
    <xf numFmtId="164" fontId="12" fillId="12" borderId="14" xfId="0" applyNumberFormat="1" applyFont="1" applyFill="1" applyBorder="1" applyAlignment="1">
      <alignment vertical="center"/>
    </xf>
    <xf numFmtId="164" fontId="12" fillId="14" borderId="14" xfId="0" applyNumberFormat="1" applyFont="1" applyFill="1" applyBorder="1" applyAlignment="1">
      <alignment vertical="center"/>
    </xf>
    <xf numFmtId="164" fontId="12" fillId="15" borderId="14" xfId="0" applyNumberFormat="1" applyFont="1" applyFill="1" applyBorder="1" applyAlignment="1">
      <alignment vertical="center"/>
    </xf>
    <xf numFmtId="0" fontId="13" fillId="12" borderId="13" xfId="0" applyFont="1" applyFill="1" applyBorder="1" applyAlignment="1">
      <alignment vertical="center"/>
    </xf>
    <xf numFmtId="0" fontId="13" fillId="13" borderId="13" xfId="0" applyFont="1" applyFill="1" applyBorder="1" applyAlignment="1">
      <alignment vertical="center"/>
    </xf>
    <xf numFmtId="0" fontId="10" fillId="12" borderId="13" xfId="0" applyFont="1" applyFill="1" applyBorder="1" applyAlignment="1">
      <alignment vertical="center" wrapText="1"/>
    </xf>
    <xf numFmtId="0" fontId="10" fillId="14" borderId="13" xfId="0" applyFont="1" applyFill="1" applyBorder="1" applyAlignment="1">
      <alignment vertical="center" wrapText="1"/>
    </xf>
    <xf numFmtId="0" fontId="10" fillId="15" borderId="13" xfId="0" applyFont="1" applyFill="1" applyBorder="1" applyAlignment="1">
      <alignment vertical="center" wrapText="1"/>
    </xf>
    <xf numFmtId="168" fontId="7" fillId="10" borderId="9" xfId="0" applyNumberFormat="1" applyFont="1" applyFill="1" applyBorder="1" applyAlignment="1">
      <alignment vertical="center"/>
    </xf>
    <xf numFmtId="172" fontId="5" fillId="2" borderId="9" xfId="0" applyNumberFormat="1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22" fillId="0" borderId="15" xfId="0" applyFont="1" applyBorder="1"/>
    <xf numFmtId="0" fontId="0" fillId="0" borderId="3" xfId="0" applyBorder="1"/>
    <xf numFmtId="0" fontId="0" fillId="0" borderId="7" xfId="0" applyBorder="1"/>
    <xf numFmtId="0" fontId="0" fillId="0" borderId="16" xfId="0" applyBorder="1"/>
    <xf numFmtId="0" fontId="0" fillId="11" borderId="0" xfId="0" applyFill="1"/>
    <xf numFmtId="168" fontId="7" fillId="11" borderId="9" xfId="0" applyNumberFormat="1" applyFont="1" applyFill="1" applyBorder="1" applyAlignment="1">
      <alignment vertical="center"/>
    </xf>
    <xf numFmtId="166" fontId="0" fillId="0" borderId="0" xfId="3" applyFont="1" applyAlignment="1">
      <alignment vertical="center"/>
    </xf>
    <xf numFmtId="43" fontId="0" fillId="5" borderId="0" xfId="4" applyFont="1" applyFill="1" applyAlignment="1">
      <alignment vertical="center"/>
    </xf>
    <xf numFmtId="1" fontId="0" fillId="0" borderId="0" xfId="0" applyNumberFormat="1" applyAlignment="1">
      <alignment vertical="center"/>
    </xf>
    <xf numFmtId="1" fontId="24" fillId="10" borderId="0" xfId="0" applyNumberFormat="1" applyFont="1" applyFill="1" applyAlignment="1">
      <alignment horizontal="center" vertical="center"/>
    </xf>
    <xf numFmtId="172" fontId="8" fillId="10" borderId="0" xfId="0" applyNumberFormat="1" applyFont="1" applyFill="1" applyAlignment="1">
      <alignment vertical="center"/>
    </xf>
    <xf numFmtId="14" fontId="7" fillId="10" borderId="0" xfId="0" applyNumberFormat="1" applyFont="1" applyFill="1" applyAlignment="1">
      <alignment horizontal="left" vertical="center"/>
    </xf>
    <xf numFmtId="1" fontId="25" fillId="11" borderId="0" xfId="0" applyNumberFormat="1" applyFont="1" applyFill="1" applyAlignment="1">
      <alignment horizontal="center" vertical="center" wrapText="1"/>
    </xf>
    <xf numFmtId="172" fontId="7" fillId="11" borderId="9" xfId="0" applyNumberFormat="1" applyFont="1" applyFill="1" applyBorder="1" applyAlignment="1">
      <alignment horizontal="center" vertical="center" wrapText="1"/>
    </xf>
    <xf numFmtId="165" fontId="5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8" fontId="1" fillId="0" borderId="0" xfId="0" applyNumberFormat="1" applyFont="1" applyAlignment="1">
      <alignment vertical="center"/>
    </xf>
    <xf numFmtId="10" fontId="1" fillId="0" borderId="0" xfId="0" applyNumberFormat="1" applyFont="1" applyAlignment="1">
      <alignment vertical="center"/>
    </xf>
    <xf numFmtId="14" fontId="18" fillId="8" borderId="6" xfId="0" applyNumberFormat="1" applyFont="1" applyFill="1" applyBorder="1" applyAlignment="1">
      <alignment horizontal="center" vertical="center" wrapText="1"/>
    </xf>
    <xf numFmtId="0" fontId="0" fillId="8" borderId="0" xfId="0" applyFill="1" applyAlignment="1">
      <alignment vertical="center"/>
    </xf>
    <xf numFmtId="8" fontId="0" fillId="8" borderId="0" xfId="0" applyNumberFormat="1" applyFill="1" applyAlignment="1">
      <alignment vertical="center"/>
    </xf>
    <xf numFmtId="165" fontId="0" fillId="8" borderId="0" xfId="0" applyNumberFormat="1" applyFill="1" applyAlignment="1">
      <alignment vertical="center"/>
    </xf>
    <xf numFmtId="1" fontId="0" fillId="8" borderId="0" xfId="0" applyNumberFormat="1" applyFill="1" applyAlignment="1">
      <alignment vertical="center"/>
    </xf>
    <xf numFmtId="14" fontId="0" fillId="8" borderId="0" xfId="0" applyNumberFormat="1" applyFill="1" applyAlignment="1">
      <alignment vertical="center"/>
    </xf>
    <xf numFmtId="172" fontId="0" fillId="8" borderId="0" xfId="0" applyNumberFormat="1" applyFill="1" applyAlignment="1">
      <alignment vertical="center"/>
    </xf>
    <xf numFmtId="1" fontId="28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165" fontId="0" fillId="0" borderId="0" xfId="0" applyNumberFormat="1" applyAlignment="1">
      <alignment horizontal="left" vertical="center" wrapText="1"/>
    </xf>
    <xf numFmtId="165" fontId="16" fillId="8" borderId="17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 vertical="center"/>
    </xf>
    <xf numFmtId="0" fontId="0" fillId="0" borderId="0" xfId="0" applyAlignment="1">
      <alignment vertical="center" wrapText="1"/>
    </xf>
    <xf numFmtId="169" fontId="0" fillId="0" borderId="0" xfId="0" applyNumberFormat="1" applyAlignment="1">
      <alignment vertical="center"/>
    </xf>
    <xf numFmtId="0" fontId="16" fillId="0" borderId="0" xfId="0" applyFont="1"/>
    <xf numFmtId="165" fontId="18" fillId="0" borderId="5" xfId="0" applyNumberFormat="1" applyFont="1" applyBorder="1" applyAlignment="1">
      <alignment horizontal="center" vertical="center" wrapText="1"/>
    </xf>
    <xf numFmtId="165" fontId="18" fillId="0" borderId="17" xfId="0" applyNumberFormat="1" applyFont="1" applyBorder="1" applyAlignment="1">
      <alignment horizontal="center" vertical="center" wrapText="1"/>
    </xf>
    <xf numFmtId="172" fontId="7" fillId="0" borderId="0" xfId="0" applyNumberFormat="1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1" fontId="7" fillId="0" borderId="0" xfId="0" applyNumberFormat="1" applyFont="1" applyFill="1" applyAlignment="1">
      <alignment horizontal="left" vertical="center" wrapText="1"/>
    </xf>
    <xf numFmtId="0" fontId="1" fillId="0" borderId="0" xfId="0" applyFont="1" applyFill="1" applyAlignment="1">
      <alignment horizontal="center" vertical="center" wrapText="1"/>
    </xf>
    <xf numFmtId="172" fontId="6" fillId="0" borderId="0" xfId="0" applyNumberFormat="1" applyFont="1" applyFill="1" applyAlignment="1">
      <alignment vertical="center"/>
    </xf>
    <xf numFmtId="14" fontId="7" fillId="0" borderId="0" xfId="0" applyNumberFormat="1" applyFont="1" applyFill="1" applyAlignment="1">
      <alignment horizontal="left" vertical="center"/>
    </xf>
    <xf numFmtId="1" fontId="8" fillId="0" borderId="0" xfId="0" applyNumberFormat="1" applyFont="1" applyFill="1" applyAlignment="1">
      <alignment horizontal="left" vertical="center"/>
    </xf>
    <xf numFmtId="171" fontId="7" fillId="0" borderId="0" xfId="0" applyNumberFormat="1" applyFont="1" applyFill="1" applyAlignment="1">
      <alignment vertical="center"/>
    </xf>
    <xf numFmtId="168" fontId="7" fillId="0" borderId="0" xfId="0" applyNumberFormat="1" applyFont="1" applyFill="1" applyAlignment="1">
      <alignment vertical="center"/>
    </xf>
    <xf numFmtId="174" fontId="7" fillId="0" borderId="0" xfId="0" applyNumberFormat="1" applyFont="1" applyFill="1" applyAlignment="1">
      <alignment horizontal="left" vertical="center"/>
    </xf>
    <xf numFmtId="1" fontId="7" fillId="0" borderId="0" xfId="0" applyNumberFormat="1" applyFont="1" applyFill="1" applyAlignment="1">
      <alignment horizontal="left" vertical="center"/>
    </xf>
    <xf numFmtId="174" fontId="6" fillId="0" borderId="0" xfId="0" applyNumberFormat="1" applyFont="1" applyFill="1" applyAlignment="1">
      <alignment vertical="center"/>
    </xf>
    <xf numFmtId="165" fontId="5" fillId="0" borderId="0" xfId="0" applyNumberFormat="1" applyFont="1" applyFill="1" applyAlignment="1">
      <alignment vertical="center"/>
    </xf>
    <xf numFmtId="165" fontId="6" fillId="0" borderId="0" xfId="0" applyNumberFormat="1" applyFont="1" applyFill="1" applyAlignment="1">
      <alignment vertical="center"/>
    </xf>
    <xf numFmtId="1" fontId="7" fillId="0" borderId="0" xfId="0" applyNumberFormat="1" applyFont="1" applyFill="1" applyAlignment="1">
      <alignment horizontal="right" vertical="center"/>
    </xf>
    <xf numFmtId="14" fontId="8" fillId="0" borderId="0" xfId="0" applyNumberFormat="1" applyFont="1" applyFill="1" applyAlignment="1">
      <alignment vertical="center"/>
    </xf>
    <xf numFmtId="167" fontId="8" fillId="0" borderId="0" xfId="0" applyNumberFormat="1" applyFont="1" applyFill="1" applyAlignment="1">
      <alignment vertical="center"/>
    </xf>
    <xf numFmtId="167" fontId="8" fillId="0" borderId="0" xfId="0" applyNumberFormat="1" applyFont="1" applyFill="1" applyAlignment="1">
      <alignment horizontal="center" vertical="center" wrapText="1"/>
    </xf>
    <xf numFmtId="165" fontId="7" fillId="0" borderId="0" xfId="0" applyNumberFormat="1" applyFont="1" applyFill="1" applyAlignment="1">
      <alignment horizontal="center" vertical="center" wrapText="1"/>
    </xf>
    <xf numFmtId="164" fontId="7" fillId="0" borderId="2" xfId="0" applyNumberFormat="1" applyFont="1" applyFill="1" applyBorder="1" applyAlignment="1">
      <alignment horizontal="center" vertical="center" wrapText="1"/>
    </xf>
    <xf numFmtId="0" fontId="8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165" fontId="8" fillId="0" borderId="0" xfId="0" applyNumberFormat="1" applyFont="1" applyFill="1" applyAlignment="1">
      <alignment vertical="center"/>
    </xf>
    <xf numFmtId="164" fontId="8" fillId="0" borderId="0" xfId="0" applyNumberFormat="1" applyFont="1" applyFill="1" applyAlignment="1">
      <alignment horizontal="center" vertical="center"/>
    </xf>
    <xf numFmtId="164" fontId="8" fillId="0" borderId="0" xfId="0" applyNumberFormat="1" applyFont="1" applyFill="1" applyAlignment="1">
      <alignment vertical="center"/>
    </xf>
    <xf numFmtId="172" fontId="8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horizontal="center" vertical="center"/>
    </xf>
    <xf numFmtId="165" fontId="8" fillId="0" borderId="0" xfId="0" applyNumberFormat="1" applyFont="1" applyFill="1" applyAlignment="1">
      <alignment vertical="center" wrapText="1"/>
    </xf>
    <xf numFmtId="164" fontId="1" fillId="0" borderId="0" xfId="0" applyNumberFormat="1" applyFont="1" applyFill="1" applyAlignment="1">
      <alignment vertical="center"/>
    </xf>
    <xf numFmtId="167" fontId="7" fillId="0" borderId="0" xfId="0" applyNumberFormat="1" applyFont="1" applyFill="1" applyAlignment="1">
      <alignment horizontal="center" vertical="center" wrapText="1"/>
    </xf>
    <xf numFmtId="164" fontId="7" fillId="0" borderId="0" xfId="0" applyNumberFormat="1" applyFont="1" applyFill="1" applyAlignment="1">
      <alignment horizontal="center" vertical="center" wrapText="1"/>
    </xf>
    <xf numFmtId="172" fontId="16" fillId="0" borderId="0" xfId="0" applyNumberFormat="1" applyFont="1" applyAlignment="1">
      <alignment vertical="center"/>
    </xf>
    <xf numFmtId="14" fontId="29" fillId="0" borderId="0" xfId="0" applyNumberFormat="1" applyFont="1" applyAlignment="1">
      <alignment horizontal="left" vertical="center"/>
    </xf>
    <xf numFmtId="174" fontId="29" fillId="0" borderId="0" xfId="0" applyNumberFormat="1" applyFont="1" applyAlignment="1">
      <alignment horizontal="left" vertical="center"/>
    </xf>
    <xf numFmtId="0" fontId="0" fillId="0" borderId="0" xfId="0" applyFont="1" applyAlignment="1">
      <alignment vertical="center"/>
    </xf>
    <xf numFmtId="0" fontId="16" fillId="0" borderId="0" xfId="0" applyFont="1" applyAlignment="1">
      <alignment horizontal="left" vertical="center" wrapText="1"/>
    </xf>
    <xf numFmtId="1" fontId="16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1" fontId="24" fillId="0" borderId="0" xfId="0" applyNumberFormat="1" applyFont="1" applyFill="1" applyAlignment="1">
      <alignment horizontal="center" vertical="center" wrapText="1"/>
    </xf>
    <xf numFmtId="164" fontId="24" fillId="0" borderId="0" xfId="0" applyNumberFormat="1" applyFont="1" applyFill="1" applyAlignment="1">
      <alignment horizontal="center" vertical="center" wrapText="1"/>
    </xf>
    <xf numFmtId="169" fontId="24" fillId="0" borderId="0" xfId="0" applyNumberFormat="1" applyFont="1" applyFill="1" applyAlignment="1">
      <alignment horizontal="center" vertical="center" wrapText="1"/>
    </xf>
    <xf numFmtId="172" fontId="23" fillId="0" borderId="0" xfId="0" applyNumberFormat="1" applyFont="1" applyFill="1" applyAlignment="1">
      <alignment horizontal="center" vertical="center" wrapText="1"/>
    </xf>
    <xf numFmtId="1" fontId="25" fillId="0" borderId="0" xfId="0" applyNumberFormat="1" applyFont="1" applyFill="1" applyAlignment="1">
      <alignment horizontal="center" vertical="center" wrapText="1"/>
    </xf>
    <xf numFmtId="164" fontId="25" fillId="0" borderId="0" xfId="0" applyNumberFormat="1" applyFont="1" applyFill="1" applyAlignment="1">
      <alignment horizontal="center" vertical="center" wrapText="1"/>
    </xf>
    <xf numFmtId="169" fontId="25" fillId="0" borderId="0" xfId="0" applyNumberFormat="1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" fontId="24" fillId="0" borderId="0" xfId="0" applyNumberFormat="1" applyFont="1" applyFill="1" applyAlignment="1">
      <alignment horizontal="center" vertical="center"/>
    </xf>
    <xf numFmtId="164" fontId="24" fillId="0" borderId="0" xfId="0" applyNumberFormat="1" applyFont="1" applyFill="1" applyAlignment="1">
      <alignment horizontal="center" vertical="center"/>
    </xf>
    <xf numFmtId="169" fontId="24" fillId="0" borderId="0" xfId="0" applyNumberFormat="1" applyFont="1" applyFill="1" applyAlignment="1">
      <alignment horizontal="center" vertical="center"/>
    </xf>
    <xf numFmtId="168" fontId="26" fillId="0" borderId="0" xfId="0" applyNumberFormat="1" applyFont="1" applyFill="1" applyAlignment="1">
      <alignment vertical="center"/>
    </xf>
    <xf numFmtId="10" fontId="26" fillId="0" borderId="0" xfId="0" applyNumberFormat="1" applyFont="1" applyFill="1" applyAlignment="1">
      <alignment vertical="center"/>
    </xf>
    <xf numFmtId="168" fontId="23" fillId="0" borderId="0" xfId="0" applyNumberFormat="1" applyFont="1" applyFill="1" applyAlignment="1">
      <alignment vertical="center"/>
    </xf>
    <xf numFmtId="1" fontId="25" fillId="0" borderId="0" xfId="0" applyNumberFormat="1" applyFont="1" applyFill="1" applyAlignment="1">
      <alignment horizontal="center" vertical="center"/>
    </xf>
    <xf numFmtId="164" fontId="25" fillId="0" borderId="0" xfId="0" applyNumberFormat="1" applyFont="1" applyFill="1" applyAlignment="1">
      <alignment horizontal="center" vertical="center"/>
    </xf>
    <xf numFmtId="169" fontId="25" fillId="0" borderId="0" xfId="0" applyNumberFormat="1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27" fillId="0" borderId="0" xfId="0" applyFont="1" applyFill="1" applyAlignment="1">
      <alignment vertical="center"/>
    </xf>
  </cellXfs>
  <cellStyles count="5">
    <cellStyle name="Comma" xfId="4" builtinId="3"/>
    <cellStyle name="Currency" xfId="3" builtinId="4"/>
    <cellStyle name="Hyperlink" xfId="1" builtinId="8"/>
    <cellStyle name="Normal" xfId="0" builtinId="0"/>
    <cellStyle name="Normal 2" xfId="2" xr:uid="{B02E93D6-0E93-4B55-B3EA-813C71BAF781}"/>
  </cellStyles>
  <dxfs count="1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/mm/yyyy"/>
      <alignment horizontal="left" vertical="center" textRotation="0" wrapText="0" indent="0" justifyLastLine="0" shrinkToFit="0" readingOrder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9" formatCode="0.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dd/mm/yyyy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dd/mm/yyyy;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9" formatCode="0.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4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</font>
      <numFmt numFmtId="172" formatCode="dd/mm/yyyy;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&quot;$&quot;#,##0_);[Red]\(&quot;$&quot;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numFmt numFmtId="165" formatCode="&quot;$&quot;#,##0.00_);[Red]\(&quot;$&quot;#,##0.00\)"/>
      <alignment horizontal="left" vertical="center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vertic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vertic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vertical="center" textRotation="0" indent="0" justifyLastLine="0" shrinkToFit="0" readingOrder="0"/>
    </dxf>
    <dxf>
      <numFmt numFmtId="165" formatCode="&quot;$&quot;#,##0.00_);[Red]\(&quot;$&quot;#,##0.00\)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65" formatCode="&quot;$&quot;#,##0.00_);[Red]\(&quot;$&quot;#,##0.00\)"/>
      <alignment vertical="center" textRotation="0" indent="0" justifyLastLine="0" shrinkToFit="0" readingOrder="0"/>
    </dxf>
    <dxf>
      <font>
        <b/>
        <sz val="12"/>
        <color auto="1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2" formatCode="&quot;$&quot;\ #,##0.00;[Red]\-&quot;$&quot;\ 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sz val="10"/>
        <color auto="1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4" formatCode="dd/mm/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sz val="10"/>
        <color auto="1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1" formatCode="&quot;$&quot;#,##0.0;[Red]\-&quot;$&quot;#,##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dd/mm/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4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2" formatCode="dd/mm/yyyy;@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border outline="0">
        <top style="thin">
          <color auto="1"/>
        </top>
      </border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color theme="1" tint="0.34998626667073579"/>
      </font>
      <fill>
        <patternFill>
          <bgColor theme="0" tint="-0.14996795556505021"/>
        </patternFill>
      </fill>
    </dxf>
  </dxfs>
  <tableStyles count="1" defaultTableStyle="TableStyleMedium2" defaultPivotStyle="PivotStyleLight16">
    <tableStyle name="Estilo de tabla 1" pivot="0" count="1" xr9:uid="{50409F57-F246-4994-A2D7-E93D33FC964C}">
      <tableStyleElement type="wholeTable" dxfId="148"/>
    </tableStyle>
  </tableStyles>
  <colors>
    <mruColors>
      <color rgb="FF94D61E"/>
      <color rgb="FF080CAA"/>
      <color rgb="FFD8CFE3"/>
      <color rgb="FF500000"/>
      <color rgb="FFE5E3E3"/>
      <color rgb="FFAB6D6D"/>
      <color rgb="FF6F3505"/>
      <color rgb="FF757171"/>
      <color rgb="FF860000"/>
      <color rgb="FF4D3A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8</xdr:row>
      <xdr:rowOff>57150</xdr:rowOff>
    </xdr:from>
    <xdr:to>
      <xdr:col>11</xdr:col>
      <xdr:colOff>495301</xdr:colOff>
      <xdr:row>24</xdr:row>
      <xdr:rowOff>142875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7CFC031-21B1-46E6-ACD9-C3E27780F7E9}"/>
            </a:ext>
          </a:extLst>
        </xdr:cNvPr>
        <xdr:cNvGrpSpPr/>
      </xdr:nvGrpSpPr>
      <xdr:grpSpPr>
        <a:xfrm>
          <a:off x="4105275" y="1520190"/>
          <a:ext cx="5023486" cy="3011805"/>
          <a:chOff x="4210050" y="771525"/>
          <a:chExt cx="4886326" cy="3133725"/>
        </a:xfrm>
        <a:solidFill>
          <a:schemeClr val="accent4">
            <a:lumMod val="20000"/>
            <a:lumOff val="80000"/>
          </a:schemeClr>
        </a:solidFill>
      </xdr:grpSpPr>
      <xdr:sp macro="" textlink="">
        <xdr:nvSpPr>
          <xdr:cNvPr id="2" name="1 Rectángulo">
            <a:extLst>
              <a:ext uri="{FF2B5EF4-FFF2-40B4-BE49-F238E27FC236}">
                <a16:creationId xmlns:a16="http://schemas.microsoft.com/office/drawing/2014/main" id="{8AB6CF04-BE27-4755-9F12-EE6CFF60E90E}"/>
              </a:ext>
            </a:extLst>
          </xdr:cNvPr>
          <xdr:cNvSpPr/>
        </xdr:nvSpPr>
        <xdr:spPr>
          <a:xfrm>
            <a:off x="4210050" y="771525"/>
            <a:ext cx="4886326" cy="3133725"/>
          </a:xfrm>
          <a:prstGeom prst="rect">
            <a:avLst/>
          </a:prstGeom>
          <a:grp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[0]!FORMULARIO" textlink="">
        <xdr:nvSpPr>
          <xdr:cNvPr id="3" name="2 CuadroTexto">
            <a:extLst>
              <a:ext uri="{FF2B5EF4-FFF2-40B4-BE49-F238E27FC236}">
                <a16:creationId xmlns:a16="http://schemas.microsoft.com/office/drawing/2014/main" id="{A5D548A5-0B0B-4C6E-96DF-204E06A43C0F}"/>
              </a:ext>
            </a:extLst>
          </xdr:cNvPr>
          <xdr:cNvSpPr txBox="1"/>
        </xdr:nvSpPr>
        <xdr:spPr>
          <a:xfrm>
            <a:off x="5266135" y="1800226"/>
            <a:ext cx="2801540" cy="1009650"/>
          </a:xfrm>
          <a:prstGeom prst="bevel">
            <a:avLst>
              <a:gd name="adj" fmla="val 5896"/>
            </a:avLst>
          </a:prstGeom>
          <a:grpFill/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600" b="1">
                <a:solidFill>
                  <a:sysClr val="windowText" lastClr="000000"/>
                </a:solidFill>
              </a:rPr>
              <a:t>MENÚ</a:t>
            </a:r>
            <a:r>
              <a:rPr lang="es-ES" sz="1600" b="1" baseline="0">
                <a:solidFill>
                  <a:sysClr val="windowText" lastClr="000000"/>
                </a:solidFill>
              </a:rPr>
              <a:t> DE TAREAS</a:t>
            </a:r>
            <a:endParaRPr lang="es-ES" sz="16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403860</xdr:colOff>
      <xdr:row>1</xdr:row>
      <xdr:rowOff>22860</xdr:rowOff>
    </xdr:from>
    <xdr:to>
      <xdr:col>17</xdr:col>
      <xdr:colOff>742950</xdr:colOff>
      <xdr:row>2</xdr:row>
      <xdr:rowOff>125730</xdr:rowOff>
    </xdr:to>
    <xdr:sp macro="[0]!copia_FProveedor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02FBDC-8A10-C1B2-5CAF-7DA9D13479A8}"/>
            </a:ext>
          </a:extLst>
        </xdr:cNvPr>
        <xdr:cNvSpPr/>
      </xdr:nvSpPr>
      <xdr:spPr>
        <a:xfrm>
          <a:off x="5036820" y="274320"/>
          <a:ext cx="1101090" cy="35433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/>
            <a:t>Traer datos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stella\trabajo_estella\trabajo%20bancolombia\progr_ext_v7_21031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ursos_ext"/>
      <sheetName val="logistica"/>
      <sheetName val="becarios"/>
      <sheetName val="vicep"/>
      <sheetName val="vicep ppto"/>
      <sheetName val="info ejec"/>
      <sheetName val="informes"/>
      <sheetName val="info_f"/>
      <sheetName val="infoxvicep"/>
      <sheetName val="tablas"/>
      <sheetName val="info ejec Det"/>
      <sheetName val="PLANTA 2 Q FEBRERO 2013"/>
      <sheetName val="ppt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ADMINISTRACION DE ACTIVOS</v>
          </cell>
        </row>
        <row r="3">
          <cell r="B3" t="str">
            <v>APRENDIZ  BOGOTA</v>
          </cell>
        </row>
        <row r="4">
          <cell r="B4" t="str">
            <v>APRENDIZ  SUR</v>
          </cell>
        </row>
        <row r="5">
          <cell r="B5" t="str">
            <v>APRENDIZ ANTIOQUIA</v>
          </cell>
        </row>
        <row r="6">
          <cell r="B6" t="str">
            <v>APRENDIZ CARIBE</v>
          </cell>
        </row>
        <row r="7">
          <cell r="B7" t="str">
            <v>APRENDIZ CENTRO</v>
          </cell>
        </row>
        <row r="8">
          <cell r="B8" t="str">
            <v>APRENDIZ DIRECCION GENERAL</v>
          </cell>
        </row>
        <row r="9">
          <cell r="B9" t="str">
            <v>AREA  REQUERIMIENTOS CAPTACIONES  Y COL</v>
          </cell>
        </row>
        <row r="10">
          <cell r="B10" t="str">
            <v>AREA  REQUERIMIENTOS DE TARJETAS</v>
          </cell>
        </row>
        <row r="11">
          <cell r="B11" t="str">
            <v>AREA APOYO GESTION DE RO Y CONTINUIDAD</v>
          </cell>
        </row>
        <row r="12">
          <cell r="B12" t="str">
            <v>AREA JURIDICA DISTRIBUCION Y VENTAS</v>
          </cell>
        </row>
        <row r="13">
          <cell r="B13" t="str">
            <v>AREA MERCADO CAMBIARIO</v>
          </cell>
        </row>
        <row r="14">
          <cell r="B14" t="str">
            <v>AREA NOVEDADES GESTION HUMANA</v>
          </cell>
        </row>
        <row r="15">
          <cell r="B15" t="str">
            <v>AREA PROCESAMIENTO PGC</v>
          </cell>
        </row>
        <row r="16">
          <cell r="B16" t="str">
            <v>AREA REQ LINES DE NEG Y PROC DE APOYO</v>
          </cell>
        </row>
        <row r="17">
          <cell r="B17" t="str">
            <v>AREA REQUERIMIENTOS ENTES DE CONTROL</v>
          </cell>
        </row>
        <row r="18">
          <cell r="B18" t="str">
            <v>AREA REVISION S</v>
          </cell>
        </row>
        <row r="19">
          <cell r="B19" t="str">
            <v>AREA SERV INFORMACION APOYO AL NEGOCIO</v>
          </cell>
        </row>
        <row r="20">
          <cell r="B20" t="str">
            <v>AREA SERV TARJETAHABIENTES DEBITO CRED</v>
          </cell>
        </row>
        <row r="21">
          <cell r="B21" t="str">
            <v>AREA SERV TARJETAHABIENTES PERSONAL</v>
          </cell>
        </row>
        <row r="22">
          <cell r="B22" t="str">
            <v>AREA SERVICIOS CHEQUES Y AFC</v>
          </cell>
        </row>
        <row r="23">
          <cell r="B23" t="str">
            <v>AREA SERVICIOS DE PAGOS</v>
          </cell>
        </row>
        <row r="24">
          <cell r="B24" t="str">
            <v>ARQUITECTURA APLICATIVA Y TECNICA</v>
          </cell>
        </row>
        <row r="25">
          <cell r="B25" t="str">
            <v>ASESORIA MONEDA EXTRANJERA BE ANTIOQUIA</v>
          </cell>
        </row>
        <row r="26">
          <cell r="B26" t="str">
            <v>ASESORIA MONEDA EXTRANJERA BE BOGOTA</v>
          </cell>
        </row>
        <row r="27">
          <cell r="B27" t="str">
            <v>ASESORIA MONEDA EXTRANJERA BE CARIBE</v>
          </cell>
        </row>
        <row r="28">
          <cell r="B28" t="str">
            <v>ASESORIA MONEDA EXTRANJERA BE SUR</v>
          </cell>
        </row>
        <row r="29">
          <cell r="B29" t="str">
            <v>BANCA DE INVERSION</v>
          </cell>
        </row>
        <row r="30">
          <cell r="B30" t="str">
            <v>BANCA ESPECIALIZADA BUCARAMANGA DS</v>
          </cell>
        </row>
        <row r="31">
          <cell r="B31" t="str">
            <v>BANCOLOMBIA PANAMA BOGOTA</v>
          </cell>
        </row>
        <row r="32">
          <cell r="B32" t="str">
            <v>BECARIOS</v>
          </cell>
        </row>
        <row r="33">
          <cell r="B33" t="str">
            <v>CALIDAD DE VIDA BOGOTA</v>
          </cell>
        </row>
        <row r="34">
          <cell r="B34" t="str">
            <v>CALIDAD DE VIDA CARIBE</v>
          </cell>
        </row>
        <row r="35">
          <cell r="B35" t="str">
            <v>CALIDAD DE VIDA CENTRO</v>
          </cell>
        </row>
        <row r="36">
          <cell r="B36" t="str">
            <v>CELUAL CANAL SURA BOG YCENTRO</v>
          </cell>
        </row>
        <row r="37">
          <cell r="B37" t="str">
            <v>CELULA  2</v>
          </cell>
        </row>
        <row r="38">
          <cell r="B38" t="str">
            <v>CELULA  3</v>
          </cell>
        </row>
        <row r="39">
          <cell r="B39" t="str">
            <v>CELULA  4</v>
          </cell>
        </row>
        <row r="40">
          <cell r="B40" t="str">
            <v>CELULA  6</v>
          </cell>
        </row>
        <row r="41">
          <cell r="B41" t="str">
            <v>CELULA  ANTIOQUIA</v>
          </cell>
        </row>
        <row r="42">
          <cell r="B42" t="str">
            <v>CELULA  BOGOTA Y CARIBE</v>
          </cell>
        </row>
        <row r="43">
          <cell r="B43" t="str">
            <v>CELULA  BPO</v>
          </cell>
        </row>
        <row r="44">
          <cell r="B44" t="str">
            <v>CELULA  BPO 7</v>
          </cell>
        </row>
        <row r="45">
          <cell r="B45" t="str">
            <v>CELULA  CENTRO Y SUR</v>
          </cell>
        </row>
        <row r="46">
          <cell r="B46" t="str">
            <v>CELULA  EMPRENDEDOR BOGOTA</v>
          </cell>
        </row>
        <row r="47">
          <cell r="B47" t="str">
            <v>CELULA  LEGALIZACION ZONA SUR</v>
          </cell>
        </row>
        <row r="48">
          <cell r="B48" t="str">
            <v>CELULA  MASIVOS</v>
          </cell>
        </row>
        <row r="49">
          <cell r="B49" t="str">
            <v>CELULA  PROCESOS MASIVOS</v>
          </cell>
        </row>
        <row r="50">
          <cell r="B50" t="str">
            <v>CELULA  SUCURSAL 6</v>
          </cell>
        </row>
        <row r="51">
          <cell r="B51" t="str">
            <v>CELULA  SUCURSAL 7</v>
          </cell>
        </row>
        <row r="52">
          <cell r="B52" t="str">
            <v>CELULA  SUCURSAL 8</v>
          </cell>
        </row>
        <row r="53">
          <cell r="B53" t="str">
            <v>CELULA  SUCURSAL 9</v>
          </cell>
        </row>
        <row r="54">
          <cell r="B54" t="str">
            <v>CELULA  VN  3</v>
          </cell>
        </row>
        <row r="55">
          <cell r="B55" t="str">
            <v>CELULA  VN 2</v>
          </cell>
        </row>
        <row r="56">
          <cell r="B56" t="str">
            <v>CELULA  VN 4</v>
          </cell>
        </row>
        <row r="57">
          <cell r="B57" t="str">
            <v>CELULA 1</v>
          </cell>
        </row>
        <row r="58">
          <cell r="B58" t="str">
            <v>CELULA 5</v>
          </cell>
        </row>
        <row r="59">
          <cell r="B59" t="str">
            <v>CELULA BOGOTA</v>
          </cell>
        </row>
        <row r="60">
          <cell r="B60" t="str">
            <v>CELULA CALI CENTRO</v>
          </cell>
        </row>
        <row r="61">
          <cell r="B61" t="str">
            <v>CELULA CALI Y CENTRO</v>
          </cell>
        </row>
        <row r="62">
          <cell r="B62" t="str">
            <v>CELULA CANAL SURA BOG Y CENTRO</v>
          </cell>
        </row>
        <row r="63">
          <cell r="B63" t="str">
            <v>CELULA CANAL SURA BOG YCENTRO</v>
          </cell>
        </row>
        <row r="64">
          <cell r="B64" t="str">
            <v>CELULA CARIBE</v>
          </cell>
        </row>
        <row r="65">
          <cell r="B65" t="str">
            <v>CELULA COMERCIAL</v>
          </cell>
        </row>
        <row r="66">
          <cell r="B66" t="str">
            <v>CELULA CRI  BOG Y CENTRO</v>
          </cell>
        </row>
        <row r="67">
          <cell r="B67" t="str">
            <v>CELULA CRI  BOG YCENTRO</v>
          </cell>
        </row>
        <row r="68">
          <cell r="B68" t="str">
            <v>CELULA CRI CENTRO BOG YCENTRO</v>
          </cell>
        </row>
        <row r="69">
          <cell r="B69" t="str">
            <v>CELULA EJE CAFETERO SUR</v>
          </cell>
        </row>
        <row r="70">
          <cell r="B70" t="str">
            <v>CELULA EMPLEADOS 10</v>
          </cell>
        </row>
        <row r="71">
          <cell r="B71" t="str">
            <v>CELULA EMPRENDEDOR ANTIOQUIA</v>
          </cell>
        </row>
        <row r="72">
          <cell r="B72" t="str">
            <v>CELULA EMPRENDEDOR CARIBE</v>
          </cell>
        </row>
        <row r="73">
          <cell r="B73" t="str">
            <v>CELULA EMPRENDEDOR CENTRO 1</v>
          </cell>
        </row>
        <row r="74">
          <cell r="B74" t="str">
            <v>CELULA EMPRENDEDOR CENTRO 2</v>
          </cell>
        </row>
        <row r="75">
          <cell r="B75" t="str">
            <v>CELULA EMPRENDEDOR SUR</v>
          </cell>
        </row>
        <row r="76">
          <cell r="B76" t="str">
            <v>CELULA ESPECIALISTAS   9</v>
          </cell>
        </row>
        <row r="77">
          <cell r="B77" t="str">
            <v>CELULA ESPECIALISTAS  8</v>
          </cell>
        </row>
        <row r="78">
          <cell r="B78" t="str">
            <v>CELULA FOPEP</v>
          </cell>
        </row>
        <row r="79">
          <cell r="B79" t="str">
            <v>CELULA MOVILES</v>
          </cell>
        </row>
        <row r="80">
          <cell r="B80" t="str">
            <v>CELULA MOVILES  CENTRO BOG YCENTRO</v>
          </cell>
        </row>
        <row r="81">
          <cell r="B81" t="str">
            <v>CELULA MOVILES 1 BOG Y CENTRO</v>
          </cell>
        </row>
        <row r="82">
          <cell r="B82" t="str">
            <v>CELULA MOVILES 1 BOG YCENTRO</v>
          </cell>
        </row>
        <row r="83">
          <cell r="B83" t="str">
            <v>CELULA MOVILES 2 BOG Y CENTRO</v>
          </cell>
        </row>
        <row r="84">
          <cell r="B84" t="str">
            <v>CELULA MOVILES BOG Y CENTRO</v>
          </cell>
        </row>
        <row r="85">
          <cell r="B85" t="str">
            <v>CELULA MOVILES BOG YCENTRO</v>
          </cell>
        </row>
        <row r="86">
          <cell r="B86" t="str">
            <v>CELULA MOVILES SUR</v>
          </cell>
        </row>
        <row r="87">
          <cell r="B87" t="str">
            <v>CELULA PREFERENCIAL</v>
          </cell>
        </row>
        <row r="88">
          <cell r="B88" t="str">
            <v>CELULA PRESTANOMINA</v>
          </cell>
        </row>
        <row r="89">
          <cell r="B89" t="str">
            <v>CELULA RCI CENTRO  Y BOGOTA</v>
          </cell>
        </row>
        <row r="90">
          <cell r="B90" t="str">
            <v>CELULA RCI CENTRO CENTRO Y BOGOTA</v>
          </cell>
        </row>
        <row r="91">
          <cell r="B91" t="str">
            <v>CELULA RED BANCO</v>
          </cell>
        </row>
        <row r="92">
          <cell r="B92" t="str">
            <v>CELULA RED BANCO BOG Y CENTRO</v>
          </cell>
        </row>
        <row r="93">
          <cell r="B93" t="str">
            <v>CELULA RED BANCO BOG YCENTRO</v>
          </cell>
        </row>
        <row r="94">
          <cell r="B94" t="str">
            <v>CELULA RED BANCO Y SURA SUR</v>
          </cell>
        </row>
        <row r="95">
          <cell r="B95" t="str">
            <v>CELULA SUCURSAL 5</v>
          </cell>
        </row>
        <row r="96">
          <cell r="B96" t="str">
            <v>CELULA SURA CAR</v>
          </cell>
        </row>
        <row r="97">
          <cell r="B97" t="str">
            <v>CELULA VN  1</v>
          </cell>
        </row>
        <row r="98">
          <cell r="B98" t="str">
            <v>CENTRO ACTIVOS FIJOS CARIBE</v>
          </cell>
        </row>
        <row r="99">
          <cell r="B99" t="str">
            <v>CENTRO ACTIVOS FIJOS SUR</v>
          </cell>
        </row>
        <row r="100">
          <cell r="B100" t="str">
            <v>CENTRO ADMON INFORMES TESORERIA</v>
          </cell>
        </row>
        <row r="101">
          <cell r="B101" t="str">
            <v>CENTRO ASESORIA NORMATIVA ME</v>
          </cell>
        </row>
        <row r="102">
          <cell r="B102" t="str">
            <v>CENTRO CARTERA</v>
          </cell>
        </row>
        <row r="103">
          <cell r="B103" t="str">
            <v>CENTRO CCIAL SUFI CENTRO</v>
          </cell>
        </row>
        <row r="104">
          <cell r="B104" t="str">
            <v>CENTRO CONTABILIDAD PORTAFOLIO INVERSION</v>
          </cell>
        </row>
        <row r="105">
          <cell r="B105" t="str">
            <v>CENTRO CONTABLE CARTERAS COLECTIVAS</v>
          </cell>
        </row>
        <row r="106">
          <cell r="B106" t="str">
            <v>CENTRO CONTABLE PORTAFOLIOS INDIVIDUALES</v>
          </cell>
        </row>
        <row r="107">
          <cell r="B107" t="str">
            <v>CENTRO CREDITO HIPOTECARIO</v>
          </cell>
        </row>
        <row r="108">
          <cell r="B108" t="str">
            <v>CENTRO DE CONTACTO Y ATENCION DE SEGURID</v>
          </cell>
        </row>
        <row r="109">
          <cell r="B109" t="str">
            <v>CENTRO DE CONVENIOS BOGOTA</v>
          </cell>
        </row>
        <row r="110">
          <cell r="B110" t="str">
            <v>CENTRO DE CREDITOS DOCUMENTARIOS</v>
          </cell>
        </row>
        <row r="111">
          <cell r="B111" t="str">
            <v>CENTRO DE FACTURACION Y PAGOS</v>
          </cell>
        </row>
        <row r="112">
          <cell r="B112" t="str">
            <v>CENTRO DE IMPUESTOS FIDUCIARIA 1</v>
          </cell>
        </row>
        <row r="113">
          <cell r="B113" t="str">
            <v>CENTRO DE IMPUESTOS FIDUCIARIA 2</v>
          </cell>
        </row>
        <row r="114">
          <cell r="B114" t="str">
            <v>CENTRO DE LOGISTICA</v>
          </cell>
        </row>
        <row r="115">
          <cell r="B115" t="str">
            <v>CENTRO DE MANTENIMIENTO Y ABONOS DE CART</v>
          </cell>
        </row>
        <row r="116">
          <cell r="B116" t="str">
            <v>CENTRO DE PAGOS</v>
          </cell>
        </row>
        <row r="117">
          <cell r="B117" t="str">
            <v>CENTRO DE PAGOS Y RECAUDOS 1</v>
          </cell>
        </row>
        <row r="118">
          <cell r="B118" t="str">
            <v>CENTRO DE PAGOS Y RECAUDOS 2</v>
          </cell>
        </row>
        <row r="119">
          <cell r="B119" t="str">
            <v>CENTRO DE PAGOS Y RECAUDOS 3</v>
          </cell>
        </row>
        <row r="120">
          <cell r="B120" t="str">
            <v>CENTRO DE PRESELECCION Y MOVIMIENTOS</v>
          </cell>
        </row>
        <row r="121">
          <cell r="B121" t="str">
            <v>CENTRO DESEMBOLSO COMERCIAL Y CONSUMO</v>
          </cell>
        </row>
        <row r="122">
          <cell r="B122" t="str">
            <v>CENTRO GARANTIAS HIPOTECARIAS</v>
          </cell>
        </row>
        <row r="123">
          <cell r="B123" t="str">
            <v>CENTRO GARANTIAS VEHICULOS Y PRENDAS</v>
          </cell>
        </row>
        <row r="124">
          <cell r="B124" t="str">
            <v>CENTRO GESTION DOCUMENTAL ANTIOQUIA</v>
          </cell>
        </row>
        <row r="125">
          <cell r="B125" t="str">
            <v>CENTRO GESTION DOCUMENTAL BOGOTA</v>
          </cell>
        </row>
        <row r="126">
          <cell r="B126" t="str">
            <v>CENTRO IMPUESTOS CLIENTES</v>
          </cell>
        </row>
        <row r="127">
          <cell r="B127" t="str">
            <v>CENTRO OPERACIONES CONTABLES 1</v>
          </cell>
        </row>
        <row r="128">
          <cell r="B128" t="str">
            <v>CENTRO OPERACIONES CONTABLES 2</v>
          </cell>
        </row>
        <row r="129">
          <cell r="B129" t="str">
            <v>CENTRO OPERACIONES CONTABLES 3</v>
          </cell>
        </row>
        <row r="130">
          <cell r="B130" t="str">
            <v>CENTRO OPERACIONES CONTABLES 4</v>
          </cell>
        </row>
        <row r="131">
          <cell r="B131" t="str">
            <v>CENTRO OPERACIONES CONTABLES 5</v>
          </cell>
        </row>
        <row r="132">
          <cell r="B132" t="str">
            <v>CENTRO OPERACIONES SUFI ANTIOQUIA</v>
          </cell>
        </row>
        <row r="133">
          <cell r="B133" t="str">
            <v>CENTRO OPERACIONES SUFI BOGOTA</v>
          </cell>
        </row>
        <row r="134">
          <cell r="B134" t="str">
            <v>CENTRO OPERACIONES SUFI SUR</v>
          </cell>
        </row>
        <row r="135">
          <cell r="B135" t="str">
            <v>CENTRO OPERATIVO DE CAPTACIONES</v>
          </cell>
        </row>
        <row r="136">
          <cell r="B136" t="str">
            <v>CENTRO PARAMETRIZACION - RAZONB CONTABLE</v>
          </cell>
        </row>
        <row r="137">
          <cell r="B137" t="str">
            <v>CENTRO PROCESAMIENTO MEDIOS DE PAGO</v>
          </cell>
        </row>
        <row r="138">
          <cell r="B138" t="str">
            <v>CENTRO PROCESOS MIT</v>
          </cell>
        </row>
        <row r="139">
          <cell r="B139" t="str">
            <v>CENTRO RAZONABILIDAD CLIENTES</v>
          </cell>
        </row>
        <row r="140">
          <cell r="B140" t="str">
            <v>CENTRO RECEPCION GARANTIAS MEDELLIN 2</v>
          </cell>
        </row>
        <row r="141">
          <cell r="B141" t="str">
            <v>CENTRO RECUPERACION ACTIVOS SUFI ANT</v>
          </cell>
        </row>
        <row r="142">
          <cell r="B142" t="str">
            <v>CENTRO RECUPERACION ACTIVOS SUFI BOG</v>
          </cell>
        </row>
        <row r="143">
          <cell r="B143" t="str">
            <v>CENTRO REGIONAL OPERATIVO CARIBE</v>
          </cell>
        </row>
        <row r="144">
          <cell r="B144" t="str">
            <v>CENTRO REQ CSC Y PROCESOS DE APOYO</v>
          </cell>
        </row>
        <row r="145">
          <cell r="B145" t="str">
            <v>CENTRO REQUERIMIENTOS CAPTACIONES  Y COL</v>
          </cell>
        </row>
        <row r="146">
          <cell r="B146" t="str">
            <v>CENTRO REQUERIMIENTOS DE TARJETAS</v>
          </cell>
        </row>
        <row r="147">
          <cell r="B147" t="str">
            <v>CENTRO REQUERIMIENTOS ENTES DE CONTROL</v>
          </cell>
        </row>
        <row r="148">
          <cell r="B148" t="str">
            <v>CENTRO SEGUROS Y CONTABLE</v>
          </cell>
        </row>
        <row r="149">
          <cell r="B149" t="str">
            <v>CENTRO SERVICIO NEGOCIO FIDUCIARIO</v>
          </cell>
        </row>
        <row r="150">
          <cell r="B150" t="str">
            <v>CENTRO SERVICIO REDES</v>
          </cell>
        </row>
        <row r="151">
          <cell r="B151" t="str">
            <v>CENTRO SERVICIOS CHEQUES Y AFC</v>
          </cell>
        </row>
        <row r="152">
          <cell r="B152" t="str">
            <v>CENTRO SERVICIOS VINCULACION VALORES</v>
          </cell>
        </row>
        <row r="153">
          <cell r="B153" t="str">
            <v>CERTIFICACION</v>
          </cell>
        </row>
        <row r="154">
          <cell r="B154" t="str">
            <v>CERTIFICACION 2</v>
          </cell>
        </row>
        <row r="155">
          <cell r="B155" t="str">
            <v>COMERCIO EXTERIOR</v>
          </cell>
        </row>
        <row r="156">
          <cell r="B156" t="str">
            <v>COMERCIO INTERNACIONAL BARRANQUILLA</v>
          </cell>
        </row>
        <row r="157">
          <cell r="B157" t="str">
            <v>COMERCIO INTERNACIONAL BOGOTA</v>
          </cell>
        </row>
        <row r="158">
          <cell r="B158" t="str">
            <v>COMERCIO INTERNACIONAL CALI</v>
          </cell>
        </row>
        <row r="159">
          <cell r="B159" t="str">
            <v>COMERCIO INTERNACIONAL MEDELLIN</v>
          </cell>
        </row>
        <row r="160">
          <cell r="B160" t="str">
            <v>COORDINACION ADMON DE FIDEICOMISOS</v>
          </cell>
        </row>
        <row r="161">
          <cell r="B161" t="str">
            <v>COORDINACION FIDUCIA PRIVADA</v>
          </cell>
        </row>
        <row r="162">
          <cell r="B162" t="str">
            <v>COORDINACION FIDUCIA PRIVADA 1</v>
          </cell>
        </row>
        <row r="163">
          <cell r="B163" t="str">
            <v>COORDINACION FIDUCIA PRIVADA 10</v>
          </cell>
        </row>
        <row r="164">
          <cell r="B164" t="str">
            <v>COORDINACION FIDUCIA PRIVADA 12</v>
          </cell>
        </row>
        <row r="165">
          <cell r="B165" t="str">
            <v>COORDINACION FIDUCIA PRIVADA 13</v>
          </cell>
        </row>
        <row r="166">
          <cell r="B166" t="str">
            <v>COORDINACION FIDUCIA PRIVADA 2</v>
          </cell>
        </row>
        <row r="167">
          <cell r="B167" t="str">
            <v>COORDINACION FIDUCIA PRIVADA 3</v>
          </cell>
        </row>
        <row r="168">
          <cell r="B168" t="str">
            <v>COORDINACION FIDUCIA PRIVADA 4</v>
          </cell>
        </row>
        <row r="169">
          <cell r="B169" t="str">
            <v>COORDINACION FIDUCIA PRIVADA 5</v>
          </cell>
        </row>
        <row r="170">
          <cell r="B170" t="str">
            <v>COORDINACION FIDUCIA PRIVADA 6</v>
          </cell>
        </row>
        <row r="171">
          <cell r="B171" t="str">
            <v>COORDINACION FIDUCIA PRIVADA 7</v>
          </cell>
        </row>
        <row r="172">
          <cell r="B172" t="str">
            <v>COORDINACION FIDUCIA PRIVADA 8</v>
          </cell>
        </row>
        <row r="173">
          <cell r="B173" t="str">
            <v>COORDINACION FIDUCIA PRIVADA 9</v>
          </cell>
        </row>
        <row r="174">
          <cell r="B174" t="str">
            <v>COORDINACION FIDUCIA PUBLICA 1</v>
          </cell>
        </row>
        <row r="175">
          <cell r="B175" t="str">
            <v>COORDINACION FIDUCIA PUBLICA 11</v>
          </cell>
        </row>
        <row r="176">
          <cell r="B176" t="str">
            <v>COORDINACION FIDUCIA PUBLICA 2</v>
          </cell>
        </row>
        <row r="177">
          <cell r="B177" t="str">
            <v>COORDINACION FIDUCIA PUBLICA 3</v>
          </cell>
        </row>
        <row r="178">
          <cell r="B178" t="str">
            <v>COORDINACION FIDUCIA PUBLICA 4</v>
          </cell>
        </row>
        <row r="179">
          <cell r="B179" t="str">
            <v>COORDINACION FIDUCIA PUBLICA 5</v>
          </cell>
        </row>
        <row r="180">
          <cell r="B180" t="str">
            <v>COORDINACION FIDUCIA PUBLICA 6</v>
          </cell>
        </row>
        <row r="181">
          <cell r="B181" t="str">
            <v>COORDINACION FIDUCIA PUBLICA 7</v>
          </cell>
        </row>
        <row r="182">
          <cell r="B182" t="str">
            <v>COORDINACION FIDUCIA PUBLICA 8</v>
          </cell>
        </row>
        <row r="183">
          <cell r="B183" t="str">
            <v>COORDINACION FIDUCIA PUBLICA 9</v>
          </cell>
        </row>
        <row r="184">
          <cell r="B184" t="str">
            <v>COORDINACION INMOBILIARIO BTA</v>
          </cell>
        </row>
        <row r="185">
          <cell r="B185" t="str">
            <v>COORDINACION INMOBILIARIO BTA 1</v>
          </cell>
        </row>
        <row r="186">
          <cell r="B186" t="str">
            <v>COORDINACION INMOBILIARIO BTA 2</v>
          </cell>
        </row>
        <row r="187">
          <cell r="B187" t="str">
            <v>COORDINACION INMOBILIARIO BTA 3</v>
          </cell>
        </row>
        <row r="188">
          <cell r="B188" t="str">
            <v>COORDINACION INMOBILIARIO BTA 4</v>
          </cell>
        </row>
        <row r="189">
          <cell r="B189" t="str">
            <v>COORDINACION INMOBILIARIO MLLIN 1</v>
          </cell>
        </row>
        <row r="190">
          <cell r="B190" t="str">
            <v>COORDINACION INMOBILIARIO MLLIN 2</v>
          </cell>
        </row>
        <row r="191">
          <cell r="B191" t="str">
            <v>COORDINACION OPERACIONES NEGOCIOS ESP 1</v>
          </cell>
        </row>
        <row r="192">
          <cell r="B192" t="str">
            <v>COORDINACION OPERACIONES NEGOCIOS ESP 10</v>
          </cell>
        </row>
        <row r="193">
          <cell r="B193" t="str">
            <v>COORDINACION OPERACIONES NEGOCIOS ESP 11</v>
          </cell>
        </row>
        <row r="194">
          <cell r="B194" t="str">
            <v>COORDINACION OPERACIONES NEGOCIOS ESP 12</v>
          </cell>
        </row>
        <row r="195">
          <cell r="B195" t="str">
            <v>COORDINACION OPERACIONES NEGOCIOS ESP 2</v>
          </cell>
        </row>
        <row r="196">
          <cell r="B196" t="str">
            <v>COORDINACION OPERACIONES NEGOCIOS ESP 3</v>
          </cell>
        </row>
        <row r="197">
          <cell r="B197" t="str">
            <v>COORDINACION OPERACIONES NEGOCIOS ESP 5</v>
          </cell>
        </row>
        <row r="198">
          <cell r="B198" t="str">
            <v>COORDINACION OPERACIONES NEGOCIOS ESP 6</v>
          </cell>
        </row>
        <row r="199">
          <cell r="B199" t="str">
            <v>COORDINACION OPERACIONES NEGOCIOS ESP 7</v>
          </cell>
        </row>
        <row r="200">
          <cell r="B200" t="str">
            <v>COORDINACION OPERACIONES NEGOCIOS ESP 8</v>
          </cell>
        </row>
        <row r="201">
          <cell r="B201" t="str">
            <v>COORDINACION OPERACIONES NEGOCIOS ESP 9</v>
          </cell>
        </row>
        <row r="202">
          <cell r="B202" t="str">
            <v>COORDINACION RECEPCION GARANTIAS BOGOTA</v>
          </cell>
        </row>
        <row r="203">
          <cell r="B203" t="str">
            <v>CREDITO Y CARTERA</v>
          </cell>
        </row>
        <row r="204">
          <cell r="B204" t="str">
            <v>CRM PRODUCTOS</v>
          </cell>
        </row>
        <row r="205">
          <cell r="B205" t="str">
            <v>CRM SERVICIO</v>
          </cell>
        </row>
        <row r="206">
          <cell r="B206" t="str">
            <v>CRM VENTAS</v>
          </cell>
        </row>
        <row r="207">
          <cell r="B207" t="str">
            <v>CTRO DE CREDITO PYME CARIBE, CTRO Y SUR</v>
          </cell>
        </row>
        <row r="208">
          <cell r="B208" t="str">
            <v>DEFINICIONES CONTABLES</v>
          </cell>
        </row>
        <row r="209">
          <cell r="B209" t="str">
            <v>DEFINICIONES CONTABLES FILIALES</v>
          </cell>
        </row>
        <row r="210">
          <cell r="B210" t="str">
            <v>DESARROLLO DE VENDOR</v>
          </cell>
        </row>
        <row r="211">
          <cell r="B211" t="str">
            <v>DIR  BCA INTER Y DLLO DE FLIAL DEL EXT</v>
          </cell>
        </row>
        <row r="212">
          <cell r="B212" t="str">
            <v>DIR FINANCIERA ESTABLECIMIENTOS CREDITO</v>
          </cell>
        </row>
        <row r="213">
          <cell r="B213" t="str">
            <v>DIREC  JURIDICA BANCA DE INVERSION</v>
          </cell>
        </row>
        <row r="214">
          <cell r="B214" t="str">
            <v>DIRECCION  INNOVACION</v>
          </cell>
        </row>
        <row r="215">
          <cell r="B215" t="str">
            <v>DIRECCION  SEGUROS</v>
          </cell>
        </row>
        <row r="216">
          <cell r="B216" t="str">
            <v>DIRECCION ACTIVOS FIJOS E INMOBILIARIOS</v>
          </cell>
        </row>
        <row r="217">
          <cell r="B217" t="str">
            <v>DIRECCION ADMINISTRACION TI</v>
          </cell>
        </row>
        <row r="218">
          <cell r="B218" t="str">
            <v>DIRECCION AUDITORIA AREAS DE NEGOCIO</v>
          </cell>
        </row>
        <row r="219">
          <cell r="B219" t="str">
            <v>DIRECCION CADENA DE ABASTECIMIENTO</v>
          </cell>
        </row>
        <row r="220">
          <cell r="B220" t="str">
            <v>DIRECCION COMUNICACIONES CORPORATIVAS</v>
          </cell>
        </row>
        <row r="221">
          <cell r="B221" t="str">
            <v>DIRECCION CONTABILIDAD</v>
          </cell>
        </row>
        <row r="222">
          <cell r="B222" t="str">
            <v>DIRECCION CONTROL FINANCIERO</v>
          </cell>
        </row>
        <row r="223">
          <cell r="B223" t="str">
            <v>DIRECCION CUMPLIMIENTO</v>
          </cell>
        </row>
        <row r="224">
          <cell r="B224" t="str">
            <v>DIRECCION DE ALIANZAS</v>
          </cell>
        </row>
        <row r="225">
          <cell r="B225" t="str">
            <v>DIRECCION DE CULTURA ORGANIZACIONAL</v>
          </cell>
        </row>
        <row r="226">
          <cell r="B226" t="str">
            <v>DIRECCION DE ESTRATEGIA Y ARQ DE TI</v>
          </cell>
        </row>
        <row r="227">
          <cell r="B227" t="str">
            <v>DIRECCIÓN DE INFRAESTRUCTURA TECNOLOGICA</v>
          </cell>
        </row>
        <row r="228">
          <cell r="B228" t="str">
            <v>DIRECCION DE OPERACIONES FINANCIERAS</v>
          </cell>
        </row>
        <row r="229">
          <cell r="B229" t="str">
            <v>DIRECCION DE PROYECTOS</v>
          </cell>
        </row>
        <row r="230">
          <cell r="B230" t="str">
            <v>DIRECCION DE RELACIONAMIENTO HUMANO</v>
          </cell>
        </row>
        <row r="231">
          <cell r="B231" t="str">
            <v>DIRECCION DE SERVICIOS EMPRESAS Y GOB</v>
          </cell>
        </row>
        <row r="232">
          <cell r="B232" t="str">
            <v>DIRECCION DE SERVICIOS PERSONAS Y PYME</v>
          </cell>
        </row>
        <row r="233">
          <cell r="B233" t="str">
            <v>DIRECCION DE SOLUCIONES DE TI</v>
          </cell>
        </row>
        <row r="234">
          <cell r="B234" t="str">
            <v>DIRECCION DE TARJETAS</v>
          </cell>
        </row>
        <row r="235">
          <cell r="B235" t="str">
            <v>DIRECCION EFICIENCIA</v>
          </cell>
        </row>
        <row r="236">
          <cell r="B236" t="str">
            <v>DIRECCION EQUIPOS CCIALES ESPECIALIZA</v>
          </cell>
        </row>
        <row r="237">
          <cell r="B237" t="str">
            <v>DIRECCION ESTRATEGIA</v>
          </cell>
        </row>
        <row r="238">
          <cell r="B238" t="str">
            <v>DIRECCION ESTRATEGICA DE CANALES</v>
          </cell>
        </row>
        <row r="239">
          <cell r="B239" t="str">
            <v>DIRECCION FINANCIACION Y MONEDA EXTRANJE</v>
          </cell>
        </row>
        <row r="240">
          <cell r="B240" t="str">
            <v>DIRECCION GESTION DE ACTIVOS Y PASIVOS</v>
          </cell>
        </row>
        <row r="241">
          <cell r="B241" t="str">
            <v>DIRECCION GESTION DE LA DEMANDA TI</v>
          </cell>
        </row>
        <row r="242">
          <cell r="B242" t="str">
            <v>DIRECCION GESTOR INT DE SERVICIOS</v>
          </cell>
        </row>
        <row r="243">
          <cell r="B243" t="str">
            <v>DIRECCION IMPLEMENTACION DE SERV ESTRAT</v>
          </cell>
        </row>
        <row r="244">
          <cell r="B244" t="str">
            <v>DIRECCION JURIDICA DE PROCESOS</v>
          </cell>
        </row>
        <row r="245">
          <cell r="B245" t="str">
            <v>DIRECCION JURIDICA FIDU Y  ADMON ACTIVOS</v>
          </cell>
        </row>
        <row r="246">
          <cell r="B246" t="str">
            <v>DIRECCION JURIDICA FIDUCIARIA</v>
          </cell>
        </row>
        <row r="247">
          <cell r="B247" t="str">
            <v>DIRECCION JURIDICA INTERMEDIACION FCIERA</v>
          </cell>
        </row>
        <row r="248">
          <cell r="B248" t="str">
            <v>DIRECCION MANEJO INTEGRAL DE TESORERIA</v>
          </cell>
        </row>
        <row r="249">
          <cell r="B249" t="str">
            <v>DIRECCION MERCADEO INMOBILIARIA Y CONSUM</v>
          </cell>
        </row>
        <row r="250">
          <cell r="B250" t="str">
            <v>DIRECCION NEGOCIOS INTERNACIONALES</v>
          </cell>
        </row>
        <row r="251">
          <cell r="B251" t="str">
            <v>DIRECCION OPERATIVA DE CANALES</v>
          </cell>
        </row>
        <row r="252">
          <cell r="B252" t="str">
            <v>DIRECCION PDTOS MERCADEO Y CANALES MK</v>
          </cell>
        </row>
        <row r="253">
          <cell r="B253" t="str">
            <v>DIRECCION PROC DESCENTRALIZADOS Y CANALE</v>
          </cell>
        </row>
        <row r="254">
          <cell r="B254" t="str">
            <v>DIRECCION PROYECTOS ESPECIALES</v>
          </cell>
        </row>
        <row r="255">
          <cell r="B255" t="str">
            <v>DIRECCION RECUPERACION DE ACTIVOS</v>
          </cell>
        </row>
        <row r="256">
          <cell r="B256" t="str">
            <v>DIRECCION RIESGO BANCA PERSONAS Y PYME</v>
          </cell>
        </row>
        <row r="257">
          <cell r="B257" t="str">
            <v>DIRECCION RIESGO DE MERCADO Y LIQUIDEZ</v>
          </cell>
        </row>
        <row r="258">
          <cell r="B258" t="str">
            <v>DIRECCION RIESGO EMPRESAS Y GOBIERNO</v>
          </cell>
        </row>
        <row r="259">
          <cell r="B259" t="str">
            <v>DIRECCION RIESGO OPERACIONAL</v>
          </cell>
        </row>
        <row r="260">
          <cell r="B260" t="str">
            <v>DIRECCION RIESGOS INTER Y ANALISIS CUANT</v>
          </cell>
        </row>
        <row r="261">
          <cell r="B261" t="str">
            <v>DIRECCION SEG DE PERSONAS Y PYMES</v>
          </cell>
        </row>
        <row r="262">
          <cell r="B262" t="str">
            <v>DIRECCION SEGMENTO PERSONAS</v>
          </cell>
        </row>
        <row r="263">
          <cell r="B263" t="str">
            <v>DIRECCION SEGMENTO PYME GOBIERNO Y RED</v>
          </cell>
        </row>
        <row r="264">
          <cell r="B264" t="str">
            <v>DIRECCION SEGMENTO PYME Y GOBIERNO RED</v>
          </cell>
        </row>
        <row r="265">
          <cell r="B265" t="str">
            <v>DIRECCION SEGMENTOS BCA EMPRL Y GOB</v>
          </cell>
        </row>
        <row r="266">
          <cell r="B266" t="str">
            <v>DIRECCION SEGURIDAD BANCARIA</v>
          </cell>
        </row>
        <row r="267">
          <cell r="B267" t="str">
            <v>DIRECCION SEGURIDAD CORPORATIVA</v>
          </cell>
        </row>
        <row r="268">
          <cell r="B268" t="str">
            <v>DIRECCION SERV DESCENTRALIZADOS Y CANALE</v>
          </cell>
        </row>
        <row r="269">
          <cell r="B269" t="str">
            <v>DIRECCION SERV ORIGINACION CREDITOS</v>
          </cell>
        </row>
        <row r="270">
          <cell r="B270" t="str">
            <v>DIRECCION SERVICIOS DE CERTIFICACION TI</v>
          </cell>
        </row>
        <row r="271">
          <cell r="B271" t="str">
            <v>DIRECCION SERVICIOS DE DESARROLLO DE TI</v>
          </cell>
        </row>
        <row r="272">
          <cell r="B272" t="str">
            <v>DIRECCION SERVICIOS DE MERCADEO BPP</v>
          </cell>
        </row>
        <row r="273">
          <cell r="B273" t="str">
            <v>DIRECCION SERVICIOS LOGISTICOS Y ADMON</v>
          </cell>
        </row>
        <row r="274">
          <cell r="B274" t="str">
            <v>DIRECCION SERVICIOS PARA MERC CAPITALES</v>
          </cell>
        </row>
        <row r="275">
          <cell r="B275" t="str">
            <v>DIRECCION SERVS ESPECIALIZADOS DE APOYO</v>
          </cell>
        </row>
        <row r="276">
          <cell r="B276" t="str">
            <v>DIRECCION SOLUC Y CONSOLIDACION CREDICIA</v>
          </cell>
        </row>
        <row r="277">
          <cell r="B277" t="str">
            <v>DIRECCION SOLUCION ACTIVOS</v>
          </cell>
        </row>
        <row r="278">
          <cell r="B278" t="str">
            <v>DISTRIBUCION Y VENTAS</v>
          </cell>
        </row>
        <row r="279">
          <cell r="B279" t="str">
            <v>ENLACE APARTADO</v>
          </cell>
        </row>
        <row r="280">
          <cell r="B280" t="str">
            <v>ENLACE ARMENIA</v>
          </cell>
        </row>
        <row r="281">
          <cell r="B281" t="str">
            <v>ENLACE BUCARAMANGA</v>
          </cell>
        </row>
        <row r="282">
          <cell r="B282" t="str">
            <v>ENLACE CARTAGENA</v>
          </cell>
        </row>
        <row r="283">
          <cell r="B283" t="str">
            <v>ENLACE CUCUTA</v>
          </cell>
        </row>
        <row r="284">
          <cell r="B284" t="str">
            <v>ENLACE IBAGUE</v>
          </cell>
        </row>
        <row r="285">
          <cell r="B285" t="str">
            <v>ENLACE MANIZALES</v>
          </cell>
        </row>
        <row r="286">
          <cell r="B286" t="str">
            <v>ENLACE MONTERIA</v>
          </cell>
        </row>
        <row r="287">
          <cell r="B287" t="str">
            <v>ENLACE NEIVA</v>
          </cell>
        </row>
        <row r="288">
          <cell r="B288" t="str">
            <v>ENLACE PASTO</v>
          </cell>
        </row>
        <row r="289">
          <cell r="B289" t="str">
            <v>ENLACE PEREIRA</v>
          </cell>
        </row>
        <row r="290">
          <cell r="B290" t="str">
            <v>ENLACE SANTA MARTA</v>
          </cell>
        </row>
        <row r="291">
          <cell r="B291" t="str">
            <v>ENLACE VALLEDUPAR</v>
          </cell>
        </row>
        <row r="292">
          <cell r="B292" t="str">
            <v>ENLACE VILLAVICENCIO</v>
          </cell>
        </row>
        <row r="293">
          <cell r="B293" t="str">
            <v>EXPATRIADOS</v>
          </cell>
        </row>
        <row r="294">
          <cell r="B294" t="str">
            <v>EXPATRIADOS FILIALES DEL EXT BANCOLOMBIA</v>
          </cell>
        </row>
        <row r="295">
          <cell r="B295" t="str">
            <v>FACTORING</v>
          </cell>
        </row>
        <row r="296">
          <cell r="B296" t="str">
            <v>FRENTE CLIENTES</v>
          </cell>
        </row>
        <row r="297">
          <cell r="B297" t="str">
            <v>FRENTE FINANCIERO Y CONTABLE</v>
          </cell>
        </row>
        <row r="298">
          <cell r="B298" t="str">
            <v>FRENTE PRODUCTOS Y CANALES</v>
          </cell>
        </row>
        <row r="299">
          <cell r="B299" t="str">
            <v>FRENTE SOPORTE Y APOYO</v>
          </cell>
        </row>
        <row r="300">
          <cell r="B300" t="str">
            <v>FRENTE TARJETAS</v>
          </cell>
        </row>
        <row r="301">
          <cell r="B301" t="str">
            <v>GCA GESTION DE COSTOS Y GASTOS</v>
          </cell>
        </row>
        <row r="302">
          <cell r="B302" t="str">
            <v>GCIA</v>
          </cell>
        </row>
        <row r="303">
          <cell r="B303" t="str">
            <v>GCIA  AGENCIA MED BCA PYMES</v>
          </cell>
        </row>
        <row r="304">
          <cell r="B304" t="str">
            <v>GCIA  ARQ DE PROCESOS Y METODOLOGIAS</v>
          </cell>
        </row>
        <row r="305">
          <cell r="B305" t="str">
            <v>GCIA  ASIGNACION DE CAPITAL</v>
          </cell>
        </row>
        <row r="306">
          <cell r="B306" t="str">
            <v>GCIA  COMERCIAL PYME PEQUEÑO ANT</v>
          </cell>
        </row>
        <row r="307">
          <cell r="B307" t="str">
            <v>GCIA  COMERCIAL PYME PEQUEÑO BOGOTA</v>
          </cell>
        </row>
        <row r="308">
          <cell r="B308" t="str">
            <v>GCIA  DE COMPENSACION VARIABLE</v>
          </cell>
        </row>
        <row r="309">
          <cell r="B309" t="str">
            <v>GCIA  DE NEGOCIOS PRODUCTOS</v>
          </cell>
        </row>
        <row r="310">
          <cell r="B310" t="str">
            <v>GCIA  GEST INT DE SERV CONSUMO ESP</v>
          </cell>
        </row>
        <row r="311">
          <cell r="B311" t="str">
            <v>GCIA  GEST INT DE SERV PYME</v>
          </cell>
        </row>
        <row r="312">
          <cell r="B312" t="str">
            <v>GCIA  RELACIONAMIENTO HUMANO REGION BGTA</v>
          </cell>
        </row>
        <row r="313">
          <cell r="B313" t="str">
            <v>GCIA  SERVICIOS AL EMPLEADO</v>
          </cell>
        </row>
        <row r="314">
          <cell r="B314" t="str">
            <v>GCIA  SOX</v>
          </cell>
        </row>
        <row r="315">
          <cell r="B315" t="str">
            <v>GCIA 20F CONSOLIDACION Y USGAAP</v>
          </cell>
        </row>
        <row r="316">
          <cell r="B316" t="str">
            <v>GCIA ACCIONES BOGOTA</v>
          </cell>
        </row>
        <row r="317">
          <cell r="B317" t="str">
            <v>GCIA ACCIONES CARIBE</v>
          </cell>
        </row>
        <row r="318">
          <cell r="B318" t="str">
            <v>GCIA ACCIONES MEDELLIN</v>
          </cell>
        </row>
        <row r="319">
          <cell r="B319" t="str">
            <v>GCIA ACCIONES SUR</v>
          </cell>
        </row>
        <row r="320">
          <cell r="B320" t="str">
            <v>GCIA ADMINISTRACION ACTIVOS DE TESORIA</v>
          </cell>
        </row>
        <row r="321">
          <cell r="B321" t="str">
            <v>GCIA ADMINISTRACION DE ACTIVOS</v>
          </cell>
        </row>
        <row r="322">
          <cell r="B322" t="str">
            <v>GCIA ADMO NEG FIDU  BOGOTA Y CENTRO</v>
          </cell>
        </row>
        <row r="323">
          <cell r="B323" t="str">
            <v>GCIA ADMO NEG FIDU ANTIOQUIA Y SUR</v>
          </cell>
        </row>
        <row r="324">
          <cell r="B324" t="str">
            <v>GCIA ALIADOS Y DESARROLLO</v>
          </cell>
        </row>
        <row r="325">
          <cell r="B325" t="str">
            <v>GCIA ALIANZAS</v>
          </cell>
        </row>
        <row r="326">
          <cell r="B326" t="str">
            <v>GCIA ANALISIS CUANTITATIVO</v>
          </cell>
        </row>
        <row r="327">
          <cell r="B327" t="str">
            <v>GCIA ANALISIS CUANTITATIVO ADMON ACTIVOS</v>
          </cell>
        </row>
        <row r="328">
          <cell r="B328" t="str">
            <v>GCIA ANALISIS Y DESARROLLO DE SOLUCION</v>
          </cell>
        </row>
        <row r="329">
          <cell r="B329" t="str">
            <v>GCIA ANALISIS Y PROSPECCION</v>
          </cell>
        </row>
        <row r="330">
          <cell r="B330" t="str">
            <v>GCIA ANALITICO DE PERSONAS</v>
          </cell>
        </row>
        <row r="331">
          <cell r="B331" t="str">
            <v>GCIA ARQUITECTURA DE LA SOLUCION</v>
          </cell>
        </row>
        <row r="332">
          <cell r="B332" t="str">
            <v>GCIA AUDI DE PP ANTIOQUIA CARIBE SUR</v>
          </cell>
        </row>
        <row r="333">
          <cell r="B333" t="str">
            <v>GCIA AUDIT GOB DESARROLLO DE SERVICIOS T</v>
          </cell>
        </row>
        <row r="334">
          <cell r="B334" t="str">
            <v>GCIA AUDITORIA  INTERNACIONAL</v>
          </cell>
        </row>
        <row r="335">
          <cell r="B335" t="str">
            <v>GCIA AUDITORIA ADMINISTRACION DE ACTIVOS</v>
          </cell>
        </row>
        <row r="336">
          <cell r="B336" t="str">
            <v>GCIA AUDITORIA ADMON COBRZA DE CARTERA</v>
          </cell>
        </row>
        <row r="337">
          <cell r="B337" t="str">
            <v>GCIA AUDITORIA DE CRED BCA HIPT Y PNAL</v>
          </cell>
        </row>
        <row r="338">
          <cell r="B338" t="str">
            <v>GCIA AUDITORIA DE CRED CCIO INTERNACIONA</v>
          </cell>
        </row>
        <row r="339">
          <cell r="B339" t="str">
            <v>GCIA AUDITORIA DE CREDITO</v>
          </cell>
        </row>
        <row r="340">
          <cell r="B340" t="str">
            <v>GCIA AUDITORIA DE CUMPLIMIENTO</v>
          </cell>
        </row>
        <row r="341">
          <cell r="B341" t="str">
            <v>GCIA AUDITORIA DE FUNCIONES CORPORATIVAS</v>
          </cell>
        </row>
        <row r="342">
          <cell r="B342" t="str">
            <v>GCIA AUDITORIA DE GTION DE SEGURIDAD TI</v>
          </cell>
        </row>
        <row r="343">
          <cell r="B343" t="str">
            <v>GCIA AUDITORIA DE INVERSIONES</v>
          </cell>
        </row>
        <row r="344">
          <cell r="B344" t="str">
            <v>GCIA AUDITORIA DE SUCURSALES BOG Y CTRO</v>
          </cell>
        </row>
        <row r="345">
          <cell r="B345" t="str">
            <v>GCIA AUDITORIA EMPRESAS Y GOBIERNO</v>
          </cell>
        </row>
        <row r="346">
          <cell r="B346" t="str">
            <v>GCIA AUDITORIA FINANCIERA Y TRIBUTARIA</v>
          </cell>
        </row>
        <row r="347">
          <cell r="B347" t="str">
            <v>GCIA AUDITORIA INMOBILIARIA Y CONSUMO ES</v>
          </cell>
        </row>
        <row r="348">
          <cell r="B348" t="str">
            <v>GCIA AUDITORIA INTERNA FIDUCIARIA</v>
          </cell>
        </row>
        <row r="349">
          <cell r="B349" t="str">
            <v>GCIA AUDITORIA MERCADO DE CAPITALES</v>
          </cell>
        </row>
        <row r="350">
          <cell r="B350" t="str">
            <v>GCIA AUDITORIA PERSONAS Y PYMES</v>
          </cell>
        </row>
        <row r="351">
          <cell r="B351" t="str">
            <v>GCIA AUDITORIA RIESGO DE CREDITO</v>
          </cell>
        </row>
        <row r="352">
          <cell r="B352" t="str">
            <v>GCIA AUDITORIA TECNOLOGIA</v>
          </cell>
        </row>
        <row r="353">
          <cell r="B353" t="str">
            <v>GCIA BANCA COLOMBIA Y PREFERENCIAL ANT</v>
          </cell>
        </row>
        <row r="354">
          <cell r="B354" t="str">
            <v>GCIA BANCA COLOMBIA Y PREFERENCIAL BOG</v>
          </cell>
        </row>
        <row r="355">
          <cell r="B355" t="str">
            <v>GCIA BANCA COLOMBIA Y PREFERENCIAL INT</v>
          </cell>
        </row>
        <row r="356">
          <cell r="B356" t="str">
            <v>GCIA BANCA COLOMBIA Y PREFERENCIAL NORTE</v>
          </cell>
        </row>
        <row r="357">
          <cell r="B357" t="str">
            <v>GCIA BANCA COLOMBIA Y PREFERENCIAL SUR</v>
          </cell>
        </row>
        <row r="358">
          <cell r="B358" t="str">
            <v>GCIA BANCA EMPRESARIAL REGION ANTIOQUIA</v>
          </cell>
        </row>
        <row r="359">
          <cell r="B359" t="str">
            <v>GCIA BANCA EMPRESARIAL REGION CARIBE</v>
          </cell>
        </row>
        <row r="360">
          <cell r="B360" t="str">
            <v>GCIA BANCA EMPRESARIAL REGION SUR</v>
          </cell>
        </row>
        <row r="361">
          <cell r="B361" t="str">
            <v>GCIA BANCA PRIVADA CARTAGENA</v>
          </cell>
        </row>
        <row r="362">
          <cell r="B362" t="str">
            <v>GCIA BASE DE DATOS</v>
          </cell>
        </row>
        <row r="363">
          <cell r="B363" t="str">
            <v>GCIA BCA COL. PREF. CIUDADES INTERMEDIAS</v>
          </cell>
        </row>
        <row r="364">
          <cell r="B364" t="str">
            <v>GCIA BE REG BOGOTA ZONA 1</v>
          </cell>
        </row>
        <row r="365">
          <cell r="B365" t="str">
            <v>GCIA BE REG BOGOTA ZONA 2</v>
          </cell>
        </row>
        <row r="366">
          <cell r="B366" t="str">
            <v>GCIA BE REG BOGOTA ZONA 3</v>
          </cell>
        </row>
        <row r="367">
          <cell r="B367" t="str">
            <v>GCIA BE REGION ANTIOQUIA ZONA 1</v>
          </cell>
        </row>
        <row r="368">
          <cell r="B368" t="str">
            <v>GCIA BE REGION ANTIOQUIA ZONA 2</v>
          </cell>
        </row>
        <row r="369">
          <cell r="B369" t="str">
            <v>GCIA CALIDAD DE VIDA</v>
          </cell>
        </row>
        <row r="370">
          <cell r="B370" t="str">
            <v>GCIA CALIDAD DE VIDA SUR</v>
          </cell>
        </row>
        <row r="371">
          <cell r="B371" t="str">
            <v>GCIA CANALES ATENCION A DISTANCIA</v>
          </cell>
        </row>
        <row r="372">
          <cell r="B372" t="str">
            <v>GCIA CANALES EN INTERNET</v>
          </cell>
        </row>
        <row r="373">
          <cell r="B373" t="str">
            <v>GCIA CANALES INDIRECTOS</v>
          </cell>
        </row>
        <row r="374">
          <cell r="B374" t="str">
            <v>GCIA CANALES Y SERVICIOS</v>
          </cell>
        </row>
        <row r="375">
          <cell r="B375" t="str">
            <v>GCIA CCIAL COLOMBIANOS EN EL EXTERIOR</v>
          </cell>
        </row>
        <row r="376">
          <cell r="B376" t="str">
            <v>GCIA CCIAL DE COLECTIVOS</v>
          </cell>
        </row>
        <row r="377">
          <cell r="B377" t="str">
            <v>GCIA CCIAL DE PERSONAS NATURALES BOGOTA</v>
          </cell>
        </row>
        <row r="378">
          <cell r="B378" t="str">
            <v>GCIA CCIAL DE PERSONAS NATURALES MED</v>
          </cell>
        </row>
        <row r="379">
          <cell r="B379" t="str">
            <v>GCIA CCIAL EMPRESAS ANTIOQUIA Y BCA PRIV</v>
          </cell>
        </row>
        <row r="380">
          <cell r="B380" t="str">
            <v>GCIA CCIAL EMPRESAS BOGOTA Y CENTRO</v>
          </cell>
        </row>
        <row r="381">
          <cell r="B381" t="str">
            <v>GCIA CCIAL EMPRESAS CARIBE</v>
          </cell>
        </row>
        <row r="382">
          <cell r="B382" t="str">
            <v>GCIA CCIAL EMPRESAS SUR</v>
          </cell>
        </row>
        <row r="383">
          <cell r="B383" t="str">
            <v>GCIA CCIAL EQUIPOS ESPECIALIZA BOGOTA 2</v>
          </cell>
        </row>
        <row r="384">
          <cell r="B384" t="str">
            <v>GCIA CCIAL EQUIPOS ESPECIALIZADOS ANT</v>
          </cell>
        </row>
        <row r="385">
          <cell r="B385" t="str">
            <v>GCIA CCIAL EQUIPOS ESPECIALIZADOS BOGOTA</v>
          </cell>
        </row>
        <row r="386">
          <cell r="B386" t="str">
            <v>GCIA CCIAL EQUIPOS ESPECIALIZADOS CARIBE</v>
          </cell>
        </row>
        <row r="387">
          <cell r="B387" t="str">
            <v>GCIA CCIAL EQUIPOS ESPECIALIZADOS CENTRO</v>
          </cell>
        </row>
        <row r="388">
          <cell r="B388" t="str">
            <v>GCIA CCIAL EQUIPOS ESPECIALIZADOS SUR</v>
          </cell>
        </row>
        <row r="389">
          <cell r="B389" t="str">
            <v>GCIA CCIAL HIPOTECARIA ANTIOQUIA</v>
          </cell>
        </row>
        <row r="390">
          <cell r="B390" t="str">
            <v>GCIA CCIAL HIPOTECARIA BARRANQUILLA</v>
          </cell>
        </row>
        <row r="391">
          <cell r="B391" t="str">
            <v>GCIA CCIAL HIPOTECARIA BOGOTA</v>
          </cell>
        </row>
        <row r="392">
          <cell r="B392" t="str">
            <v>GCIA CCIAL HIPOTECARIA CALI</v>
          </cell>
        </row>
        <row r="393">
          <cell r="B393" t="str">
            <v>GCIA CCIAL HIPOTECARIA CENTRO</v>
          </cell>
        </row>
        <row r="394">
          <cell r="B394" t="str">
            <v>GCIA CCIAL HIPOTECARIA PERSONAS</v>
          </cell>
        </row>
        <row r="395">
          <cell r="B395" t="str">
            <v>GCIA CCIAL MI NEGOCIO</v>
          </cell>
        </row>
        <row r="396">
          <cell r="B396" t="str">
            <v>GCIA CCIAL MI NEGOCIO ANTIOQUIA Y CENTRO</v>
          </cell>
        </row>
        <row r="397">
          <cell r="B397" t="str">
            <v>GCIA CCIAL MI NEGOCIO BOGOTA</v>
          </cell>
        </row>
        <row r="398">
          <cell r="B398" t="str">
            <v>GCIA CCIAL MI NEGOCIO BOGOTA Y CENTRO</v>
          </cell>
        </row>
        <row r="399">
          <cell r="B399" t="str">
            <v>GCIA CCIAL MI NEGOCIO CARIBE</v>
          </cell>
        </row>
        <row r="400">
          <cell r="B400" t="str">
            <v>GCIA CCIAL MI NEGOCIO SUR</v>
          </cell>
        </row>
        <row r="401">
          <cell r="B401" t="str">
            <v>GCIA CCIAL PANAMA Y BRASIL</v>
          </cell>
        </row>
        <row r="402">
          <cell r="B402" t="str">
            <v>GCIA CCIAL SUFI ANTIOQUIA</v>
          </cell>
        </row>
        <row r="403">
          <cell r="B403" t="str">
            <v>GCIA CCIAL SUFI BOGOTA</v>
          </cell>
        </row>
        <row r="404">
          <cell r="B404" t="str">
            <v>GCIA CCIAL SUFI CARIBE</v>
          </cell>
        </row>
        <row r="405">
          <cell r="B405" t="str">
            <v>GCIA CCIAL SUFI CENTRO</v>
          </cell>
        </row>
        <row r="406">
          <cell r="B406" t="str">
            <v>GCIA CCIAL SUFI SUR</v>
          </cell>
        </row>
        <row r="407">
          <cell r="B407" t="str">
            <v>GCIA CLIENTES PERSONAS</v>
          </cell>
        </row>
        <row r="408">
          <cell r="B408" t="str">
            <v>GCIA COLOMBIANOS EN EL EXTER</v>
          </cell>
        </row>
        <row r="409">
          <cell r="B409" t="str">
            <v>GCIA COMERCIAL  ADMIN FONDO INMOBILIARIO</v>
          </cell>
        </row>
        <row r="410">
          <cell r="B410" t="str">
            <v>GCIA COMERCIAL  PYME ZONA NORTE</v>
          </cell>
        </row>
        <row r="411">
          <cell r="B411" t="str">
            <v>GCIA COMERCIAL ANTIOQUIA SUR Y CARIBE</v>
          </cell>
        </row>
        <row r="412">
          <cell r="B412" t="str">
            <v>GCIA COMERCIAL ANTIOQUIA ZONA CENTRO</v>
          </cell>
        </row>
        <row r="413">
          <cell r="B413" t="str">
            <v>GCIA COMERCIAL ANTIOQUIA ZONA SUR</v>
          </cell>
        </row>
        <row r="414">
          <cell r="B414" t="str">
            <v>GCIA COMERCIAL BUCARAMANGA</v>
          </cell>
        </row>
        <row r="415">
          <cell r="B415" t="str">
            <v>GCIA COMERCIAL CALI NORTE Y CALI SUR</v>
          </cell>
        </row>
        <row r="416">
          <cell r="B416" t="str">
            <v>GCIA COMERCIAL CALI SUR DEL VALLE</v>
          </cell>
        </row>
        <row r="417">
          <cell r="B417" t="str">
            <v>GCIA COMERCIAL CUCUTA</v>
          </cell>
        </row>
        <row r="418">
          <cell r="B418" t="str">
            <v>GCIA COMERCIAL DE CANALES ALTERNOS</v>
          </cell>
        </row>
        <row r="419">
          <cell r="B419" t="str">
            <v>GCIA COMERCIAL DE PERSONAS NATURALES</v>
          </cell>
        </row>
        <row r="420">
          <cell r="B420" t="str">
            <v>GCIA COMERCIAL DUITAMA</v>
          </cell>
        </row>
        <row r="421">
          <cell r="B421" t="str">
            <v>GCIA COMERCIAL IBAGUE</v>
          </cell>
        </row>
        <row r="422">
          <cell r="B422" t="str">
            <v>GCIA COMERCIAL INTERNACIONAL</v>
          </cell>
        </row>
        <row r="423">
          <cell r="B423" t="str">
            <v>GCIA COMERCIAL MANIZALEZ</v>
          </cell>
        </row>
        <row r="424">
          <cell r="B424" t="str">
            <v>GCIA COMERCIAL MEDIOS DE PAGO</v>
          </cell>
        </row>
        <row r="425">
          <cell r="B425" t="str">
            <v>GCIA COMERCIAL NEIVA</v>
          </cell>
        </row>
        <row r="426">
          <cell r="B426" t="str">
            <v>GCIA COMERCIAL NORTE</v>
          </cell>
        </row>
        <row r="427">
          <cell r="B427" t="str">
            <v>GCIA COMERCIAL PASTO</v>
          </cell>
        </row>
        <row r="428">
          <cell r="B428" t="str">
            <v>GCIA COMERCIAL PEREIRA</v>
          </cell>
        </row>
        <row r="429">
          <cell r="B429" t="str">
            <v>GCIA COMERCIAL PERIFERICA</v>
          </cell>
        </row>
        <row r="430">
          <cell r="B430" t="str">
            <v>GCIA COMERCIAL POBLADO</v>
          </cell>
        </row>
        <row r="431">
          <cell r="B431" t="str">
            <v>GCIA COMERCIAL PYME 1</v>
          </cell>
        </row>
        <row r="432">
          <cell r="B432" t="str">
            <v>GCIA COMERCIAL PYME 2</v>
          </cell>
        </row>
        <row r="433">
          <cell r="B433" t="str">
            <v>GCIA COMERCIAL PYME 3</v>
          </cell>
        </row>
        <row r="434">
          <cell r="B434" t="str">
            <v>GCIA COMERCIAL PYME 4</v>
          </cell>
        </row>
        <row r="435">
          <cell r="B435" t="str">
            <v>GCIA COMERCIAL PYME CARTAGENA</v>
          </cell>
        </row>
        <row r="436">
          <cell r="B436" t="str">
            <v>GCIA COMERCIAL PYME ESPECIALIZADO CALI</v>
          </cell>
        </row>
        <row r="437">
          <cell r="B437" t="str">
            <v>GCIA COMERCIAL PYME ZONA SINU Y SABANAS</v>
          </cell>
        </row>
        <row r="438">
          <cell r="B438" t="str">
            <v>GCIA COMERCIAL SEGUROS</v>
          </cell>
        </row>
        <row r="439">
          <cell r="B439" t="str">
            <v>GCIA COMERCIAL VILLAVICENCIO</v>
          </cell>
        </row>
        <row r="440">
          <cell r="B440" t="str">
            <v>GCIA COMPENSACION Y REGISTRO</v>
          </cell>
        </row>
        <row r="441">
          <cell r="B441" t="str">
            <v>GCIA COMPLIANCE ESTRATEGICO</v>
          </cell>
        </row>
        <row r="442">
          <cell r="B442" t="str">
            <v>GCIA COMPLIANCE MESA DE DINERO</v>
          </cell>
        </row>
        <row r="443">
          <cell r="B443" t="str">
            <v>GCIA COMUNICACIONES BOGOTA</v>
          </cell>
        </row>
        <row r="444">
          <cell r="B444" t="str">
            <v>GCIA CONOCIMIENTO DEL CLIENTE</v>
          </cell>
        </row>
        <row r="445">
          <cell r="B445" t="str">
            <v>GCIA CONOCIMIENTO SECTORIAL Y ANALITICO</v>
          </cell>
        </row>
        <row r="446">
          <cell r="B446" t="str">
            <v>GCIA CONSOLIDACION IFRS Y USGAAP</v>
          </cell>
        </row>
        <row r="447">
          <cell r="B447" t="str">
            <v>GCIA CONTABILIDAD FIDUCIARIA</v>
          </cell>
        </row>
        <row r="448">
          <cell r="B448" t="str">
            <v>GCIA CONTABLE ADMINISTRATIVA</v>
          </cell>
        </row>
        <row r="449">
          <cell r="B449" t="str">
            <v>GCIA CONTRATACION Y COMPRAS</v>
          </cell>
        </row>
        <row r="450">
          <cell r="B450" t="str">
            <v>GCIA CONTROL FINANCIERO LEASING</v>
          </cell>
        </row>
        <row r="451">
          <cell r="B451" t="str">
            <v>GCIA CORRESPONSALES</v>
          </cell>
        </row>
        <row r="452">
          <cell r="B452" t="str">
            <v>GCIA CORRESPONSALES NO BANCARIOS</v>
          </cell>
        </row>
        <row r="453">
          <cell r="B453" t="str">
            <v>GCIA CRM ANALITICO BEG</v>
          </cell>
        </row>
        <row r="454">
          <cell r="B454" t="str">
            <v>GCIA CUANTIFICACION DE RIESGO</v>
          </cell>
        </row>
        <row r="455">
          <cell r="B455" t="str">
            <v>GCIA CUMPLIMIENTO EMPRESAS Y GOBIERNO</v>
          </cell>
        </row>
        <row r="456">
          <cell r="B456" t="str">
            <v>GCIA CUMPLIMIENTO INTERNACIONAL</v>
          </cell>
        </row>
        <row r="457">
          <cell r="B457" t="str">
            <v>GCIA CUMPLIMIENTO MERCADO CAPITALES</v>
          </cell>
        </row>
        <row r="458">
          <cell r="B458" t="str">
            <v>GCIA CUMPLIMIENTO PERSONAS  Y CANALES</v>
          </cell>
        </row>
        <row r="459">
          <cell r="B459" t="str">
            <v>GCIA CUMPLIMIENTO PP INMOBILIARIO Y CONS</v>
          </cell>
        </row>
        <row r="460">
          <cell r="B460" t="str">
            <v>GCIA CUMPLIMIENTO PYMES INMOBILIARIO</v>
          </cell>
        </row>
        <row r="461">
          <cell r="B461" t="str">
            <v>GCIA DE ACEPTACION DE MEDIOS DE PAGO</v>
          </cell>
        </row>
        <row r="462">
          <cell r="B462" t="str">
            <v>GCIA DE APOYO A USUARIOS DE TI</v>
          </cell>
        </row>
        <row r="463">
          <cell r="B463" t="str">
            <v>GCIA DE APOYO AL NEGOCIO PGC</v>
          </cell>
        </row>
        <row r="464">
          <cell r="B464" t="str">
            <v>GCIA DE ARRENDAMIENTO Y RENTING</v>
          </cell>
        </row>
        <row r="465">
          <cell r="B465" t="str">
            <v>GCIA DE ASESORIA EN COMUNICACIONES</v>
          </cell>
        </row>
        <row r="466">
          <cell r="B466" t="str">
            <v>GCIA DE ATENCION AL CLIENTE</v>
          </cell>
        </row>
        <row r="467">
          <cell r="B467" t="str">
            <v>GCIA DE CANALES MERCADO DE CAPITALES</v>
          </cell>
        </row>
        <row r="468">
          <cell r="B468" t="str">
            <v>GCIA DE CANALES MOVILES</v>
          </cell>
        </row>
        <row r="469">
          <cell r="B469" t="str">
            <v>GCIA DE COMPENSACION E INCENTIVOS</v>
          </cell>
        </row>
        <row r="470">
          <cell r="B470" t="str">
            <v>GCIA DE CONTENIDOS</v>
          </cell>
        </row>
        <row r="471">
          <cell r="B471" t="str">
            <v>GCIA DE CONTINUIDAD DE TI</v>
          </cell>
        </row>
        <row r="472">
          <cell r="B472" t="str">
            <v>GCIA DE CREDITO CONSTRUCTORES</v>
          </cell>
        </row>
        <row r="473">
          <cell r="B473" t="str">
            <v>GCIA DE CREDITO EMPRENDEDOR</v>
          </cell>
        </row>
        <row r="474">
          <cell r="B474" t="str">
            <v>GCIA DE CRÉDITO EMPRENDEDOR</v>
          </cell>
        </row>
        <row r="475">
          <cell r="B475" t="str">
            <v>GCIA DE CREDITO GOBIERNO E INST</v>
          </cell>
        </row>
        <row r="476">
          <cell r="B476" t="str">
            <v>GCIA DE CREDITO HIPOTECARIO</v>
          </cell>
        </row>
        <row r="477">
          <cell r="B477" t="str">
            <v>GCIA DE CREDITO INTERNACIONAL</v>
          </cell>
        </row>
        <row r="478">
          <cell r="B478" t="str">
            <v>GCIA DE CREDITO PYME ANT Y BOG</v>
          </cell>
        </row>
        <row r="479">
          <cell r="B479" t="str">
            <v>GCIA DE CREDITO SUFI</v>
          </cell>
        </row>
        <row r="480">
          <cell r="B480" t="str">
            <v>GCIA DE DEFINICIONES CONTABLES CORPORATI</v>
          </cell>
        </row>
        <row r="481">
          <cell r="B481" t="str">
            <v>GCIA DE DISEÑO ORGANIZACIONAL</v>
          </cell>
        </row>
        <row r="482">
          <cell r="B482" t="str">
            <v>GCIA DE EJECUCION</v>
          </cell>
        </row>
        <row r="483">
          <cell r="B483" t="str">
            <v>GCIA DE EJECUCION ESTRATEGICA</v>
          </cell>
        </row>
        <row r="484">
          <cell r="B484" t="str">
            <v>GCIA DE ESTRATEGIA Y ARQ DE INF DE TI</v>
          </cell>
        </row>
        <row r="485">
          <cell r="B485" t="str">
            <v>GCIA DE ESTRATEGIA Y ARQ EMPRESARIAL</v>
          </cell>
        </row>
        <row r="486">
          <cell r="B486" t="str">
            <v>GCIA DE ESTRUCTURACION Y DLLO PDTOS SUFI</v>
          </cell>
        </row>
        <row r="487">
          <cell r="B487" t="str">
            <v>GCIA DE FONDOS E INGENIERIA FINANCIERA</v>
          </cell>
        </row>
        <row r="488">
          <cell r="B488" t="str">
            <v>GCIA DE GERENCIAMIENTO CENTRALIZADO ANT</v>
          </cell>
        </row>
        <row r="489">
          <cell r="B489" t="str">
            <v>GCIA DE GERENCIAMIENTO CENTRALIZADO ANT2</v>
          </cell>
        </row>
        <row r="490">
          <cell r="B490" t="str">
            <v>GCIA DE GERENCIAMIENTO CENTRALIZADO SUR</v>
          </cell>
        </row>
        <row r="491">
          <cell r="B491" t="str">
            <v>GCIA DE GESTION AMBIENTAL</v>
          </cell>
        </row>
        <row r="492">
          <cell r="B492" t="str">
            <v>GCIA DE GESTION DE CANALES Y SERVICIO</v>
          </cell>
        </row>
        <row r="493">
          <cell r="B493" t="str">
            <v>GCIA DE GESTION DE FORMACION Y ENTRENAM</v>
          </cell>
        </row>
        <row r="494">
          <cell r="B494" t="str">
            <v>GCIA DE GESTION DE INFRAESTRUCTURA</v>
          </cell>
        </row>
        <row r="495">
          <cell r="B495" t="str">
            <v>GCIA DE GESTION MERCADO CAPITALES</v>
          </cell>
        </row>
        <row r="496">
          <cell r="B496" t="str">
            <v>GCIA DE GOBIERNO PYME REG ANTIOQUIA</v>
          </cell>
        </row>
        <row r="497">
          <cell r="B497" t="str">
            <v>GCIA DE GOBIERNO PYME REGION CENTRO 1</v>
          </cell>
        </row>
        <row r="498">
          <cell r="B498" t="str">
            <v>GCIA DE GOBIERNO PYME REGION CENTRO 2</v>
          </cell>
        </row>
        <row r="499">
          <cell r="B499" t="str">
            <v>GCIA DE GOBIERNO PYME REGION SUR</v>
          </cell>
        </row>
        <row r="500">
          <cell r="B500" t="str">
            <v>GCIA DE IMPUESTOS CORPORATIVOS</v>
          </cell>
        </row>
        <row r="501">
          <cell r="B501" t="str">
            <v>GCIA DE INGENIERIA DE PROCS DE FILIALES</v>
          </cell>
        </row>
        <row r="502">
          <cell r="B502" t="str">
            <v>GCIA DE INICIATIVAS</v>
          </cell>
        </row>
        <row r="503">
          <cell r="B503" t="str">
            <v>GCIA DE INNOVACION Y NUEVAS TECNOLOGIAS</v>
          </cell>
        </row>
        <row r="504">
          <cell r="B504" t="str">
            <v>GCIA DE INTEGRACION DE PORTAFOLIOS</v>
          </cell>
        </row>
        <row r="505">
          <cell r="B505" t="str">
            <v>GCIA DE LIQUIDEZ</v>
          </cell>
        </row>
        <row r="506">
          <cell r="B506" t="str">
            <v>GCIA DE METODOLOGIA</v>
          </cell>
        </row>
        <row r="507">
          <cell r="B507" t="str">
            <v>GCIA DE NEGOCIOS CANALES</v>
          </cell>
        </row>
        <row r="508">
          <cell r="B508" t="str">
            <v>GCIA DE NEGOCIOS CONSUMO</v>
          </cell>
        </row>
        <row r="509">
          <cell r="B509" t="str">
            <v>GCIA DE NEGOCIOS EDUCATIVO</v>
          </cell>
        </row>
        <row r="510">
          <cell r="B510" t="str">
            <v>GCIA DE NEGOCIOS MOTOS</v>
          </cell>
        </row>
        <row r="511">
          <cell r="B511" t="str">
            <v>GCIA DE NEGOCIOS VEHICULOS 1</v>
          </cell>
        </row>
        <row r="512">
          <cell r="B512" t="str">
            <v>GCIA DE NEGOCIOS VEHICULOS 2</v>
          </cell>
        </row>
        <row r="513">
          <cell r="B513" t="str">
            <v>GCIA DE OPERACIONES DE CLIENTES</v>
          </cell>
        </row>
        <row r="514">
          <cell r="B514" t="str">
            <v>GCIA DE OPERACIONES INTERNACIONALES</v>
          </cell>
        </row>
        <row r="515">
          <cell r="B515" t="str">
            <v>GCIA DE OPERACIONES REGIONALES</v>
          </cell>
        </row>
        <row r="516">
          <cell r="B516" t="str">
            <v>GCIA DE ORIGINACION DE PRODUCTOS</v>
          </cell>
        </row>
        <row r="517">
          <cell r="B517" t="str">
            <v>GCIA DE PLATAFORMAS CENTRALES</v>
          </cell>
        </row>
        <row r="518">
          <cell r="B518" t="str">
            <v>GCIA DE PLATAFORMAS DISTRIBUIDAS</v>
          </cell>
        </row>
        <row r="519">
          <cell r="B519" t="str">
            <v>GCIA DE PROCESOS CONTABLES</v>
          </cell>
        </row>
        <row r="520">
          <cell r="B520" t="str">
            <v>GCIA DE PROCESOS CONTABLES T</v>
          </cell>
        </row>
        <row r="521">
          <cell r="B521" t="str">
            <v>GCIA DE PROCESOS PIC</v>
          </cell>
        </row>
        <row r="522">
          <cell r="B522" t="str">
            <v>GCIA DE PRODUCTO DEBITO Y PREPAGO</v>
          </cell>
        </row>
        <row r="523">
          <cell r="B523" t="str">
            <v>GCIA DE PRODUCTO TARJETA DEBITO PREPAGO</v>
          </cell>
        </row>
        <row r="524">
          <cell r="B524" t="str">
            <v>GCIA DE PRODUCTOS CAPTACIONES ME</v>
          </cell>
        </row>
        <row r="525">
          <cell r="B525" t="str">
            <v>GCIA DE PRODUCTOS DE AHORRO E INVERSION</v>
          </cell>
        </row>
        <row r="526">
          <cell r="B526" t="str">
            <v>GCIA DE PRODUCTOS DE FINANCIACION</v>
          </cell>
        </row>
        <row r="527">
          <cell r="B527" t="str">
            <v>GCIA DE PRODUCTOS HIPOTECARIOS</v>
          </cell>
        </row>
        <row r="528">
          <cell r="B528" t="str">
            <v>GCIA DE PRODUCTOS MIT</v>
          </cell>
        </row>
        <row r="529">
          <cell r="B529" t="str">
            <v>GCIA DE PRODUCTOS PYME Y GOBIERNO DE RED</v>
          </cell>
        </row>
        <row r="530">
          <cell r="B530" t="str">
            <v>GCIA DE PRODUCTOS TARJETAS DE CREDITO</v>
          </cell>
        </row>
        <row r="531">
          <cell r="B531" t="str">
            <v>GCIA DE RELACIONES LABORALES</v>
          </cell>
        </row>
        <row r="532">
          <cell r="B532" t="str">
            <v>GCIA DE REQUERIMIENTOS INSTITUCIONALES</v>
          </cell>
        </row>
        <row r="533">
          <cell r="B533" t="str">
            <v>GCIA DE RIESGO DE POSICION PROPIA</v>
          </cell>
        </row>
        <row r="534">
          <cell r="B534" t="str">
            <v>GCIA DE RIESGOS DE CREDITO ESTRUCTURADO</v>
          </cell>
        </row>
        <row r="535">
          <cell r="B535" t="str">
            <v>GCIA DE RIESGOS FACTORING</v>
          </cell>
        </row>
        <row r="536">
          <cell r="B536" t="str">
            <v>GCIA DE SEGMENTO PERSONAS</v>
          </cell>
        </row>
        <row r="537">
          <cell r="B537" t="str">
            <v>GCIA DE SEGURIDAD DE LA INFRAESTRUCTURA</v>
          </cell>
        </row>
        <row r="538">
          <cell r="B538" t="str">
            <v>GCIA DE SEGURIDAD DE TI</v>
          </cell>
        </row>
        <row r="539">
          <cell r="B539" t="str">
            <v>GCIA DE SEGURIDAD PERIMETRAL</v>
          </cell>
        </row>
        <row r="540">
          <cell r="B540" t="str">
            <v>GCIA DE SEGUROS LEASING Y RENTING</v>
          </cell>
        </row>
        <row r="541">
          <cell r="B541" t="str">
            <v>GCIA DE SELECCION Y DESARROLLO</v>
          </cell>
        </row>
        <row r="542">
          <cell r="B542" t="str">
            <v>GCIA DE SERVICIOS Y RELACIONES SUFI</v>
          </cell>
        </row>
        <row r="543">
          <cell r="B543" t="str">
            <v>GCIA DE SOLUCIONES CCIALES Y CONVENIOS</v>
          </cell>
        </row>
        <row r="544">
          <cell r="B544" t="str">
            <v>GCIA DE TELECOMUNICACIONES</v>
          </cell>
        </row>
        <row r="545">
          <cell r="B545" t="str">
            <v>GCIA DE TESORERIA</v>
          </cell>
        </row>
        <row r="546">
          <cell r="B546" t="str">
            <v>GCIA DE TRANSPORTE</v>
          </cell>
        </row>
        <row r="547">
          <cell r="B547" t="str">
            <v>GCIA DE VALORACION Y ANALISIS COMERCIAL</v>
          </cell>
        </row>
        <row r="548">
          <cell r="B548" t="str">
            <v>GCIA DE VENTAS  SUFI BOGOTA 1</v>
          </cell>
        </row>
        <row r="549">
          <cell r="B549" t="str">
            <v>GCIA DE VENTAS  SUFI BOGOTA 2</v>
          </cell>
        </row>
        <row r="550">
          <cell r="B550" t="str">
            <v>GCIA DE VENTAS  SUFI BOGOTA 3</v>
          </cell>
        </row>
        <row r="551">
          <cell r="B551" t="str">
            <v>GCIA DE VENTAS SUFI ANTIOQUIA</v>
          </cell>
        </row>
        <row r="552">
          <cell r="B552" t="str">
            <v>GCIA DE VENTAS SUFI ANTIOQUIA 2</v>
          </cell>
        </row>
        <row r="553">
          <cell r="B553" t="str">
            <v>GCIA DE VENTAS SUFI CARIBE</v>
          </cell>
        </row>
        <row r="554">
          <cell r="B554" t="str">
            <v>GCIA DE VENTAS SUFI EJE CAFETERO</v>
          </cell>
        </row>
        <row r="555">
          <cell r="B555" t="str">
            <v>GCIA DE VENTAS SUFI VALLE CAUCA Y NARIÑO</v>
          </cell>
        </row>
        <row r="556">
          <cell r="B556" t="str">
            <v>GCIA DE ZONA BARRANQUILLA Y ATLANTICO</v>
          </cell>
        </row>
        <row r="557">
          <cell r="B557" t="str">
            <v>GCIA DE ZONA BQUILLA BANCA ESPECIALIZADA</v>
          </cell>
        </row>
        <row r="558">
          <cell r="B558" t="str">
            <v>GCIA DERIVADOS</v>
          </cell>
        </row>
        <row r="559">
          <cell r="B559" t="str">
            <v>GCIA DERIVADOS Y CAMBIARIO</v>
          </cell>
        </row>
        <row r="560">
          <cell r="B560" t="str">
            <v>GCIA DESARROLLO DE CANALES</v>
          </cell>
        </row>
        <row r="561">
          <cell r="B561" t="str">
            <v>GCIA DESARROLLO DE NEGOCIOS</v>
          </cell>
        </row>
        <row r="562">
          <cell r="B562" t="str">
            <v>GCIA DESARROLLO INTERNACIONAL</v>
          </cell>
        </row>
        <row r="563">
          <cell r="B563" t="str">
            <v>GCIA DISEÑO IMPLEMENTACION DE SEGURIDAD</v>
          </cell>
        </row>
        <row r="564">
          <cell r="B564" t="str">
            <v>GCIA DISTRIBUCION COMERCIAL PYME</v>
          </cell>
        </row>
        <row r="565">
          <cell r="B565" t="str">
            <v>GCIA DLLO APLICACIONES CORPORATIVAS</v>
          </cell>
        </row>
        <row r="566">
          <cell r="B566" t="str">
            <v>GCIA DLLO CANALES DE INTERNET</v>
          </cell>
        </row>
        <row r="567">
          <cell r="B567" t="str">
            <v>GCIA DLLO CLIENTES CRM</v>
          </cell>
        </row>
        <row r="568">
          <cell r="B568" t="str">
            <v>GCIA DLLO DE CLIENTES Y ERP</v>
          </cell>
        </row>
        <row r="569">
          <cell r="B569" t="str">
            <v>GCIA DLLO DE TESORERIA</v>
          </cell>
        </row>
        <row r="570">
          <cell r="B570" t="str">
            <v>GCIA DLLO FILIALES DEL EXTERIOR</v>
          </cell>
        </row>
        <row r="571">
          <cell r="B571" t="str">
            <v>GCIA DLLO MEDIOS DE PAGO</v>
          </cell>
        </row>
        <row r="572">
          <cell r="B572" t="str">
            <v>GCIA DLLO MERCADO DE CAPITALES</v>
          </cell>
        </row>
        <row r="573">
          <cell r="B573" t="str">
            <v>GCIA DLLO NEGOCIOS DEL ACTIVO</v>
          </cell>
        </row>
        <row r="574">
          <cell r="B574" t="str">
            <v>GCIA DLLO NEGOCIOS DEL PASIVO Y ESPECIAL</v>
          </cell>
        </row>
        <row r="575">
          <cell r="B575" t="str">
            <v>GCIA DLLO SERVICIOS DE INFORMACION</v>
          </cell>
        </row>
        <row r="576">
          <cell r="B576" t="str">
            <v>GCIA DLLO SERVICIOS DE INTEGRACION BPM</v>
          </cell>
        </row>
        <row r="577">
          <cell r="B577" t="str">
            <v>GCIA ECONOMIA Y RENTA FIJA</v>
          </cell>
        </row>
        <row r="578">
          <cell r="B578" t="str">
            <v>GCIA EJECUCION DE PRUEBAS</v>
          </cell>
        </row>
        <row r="579">
          <cell r="B579" t="str">
            <v>GCIA EJECUTIVA</v>
          </cell>
        </row>
        <row r="580">
          <cell r="B580" t="str">
            <v>GCIA EJECUTIVA FACTORING</v>
          </cell>
        </row>
        <row r="581">
          <cell r="B581" t="str">
            <v>GCIA EMPRESAS Y PYME BOGOTA</v>
          </cell>
        </row>
        <row r="582">
          <cell r="B582" t="str">
            <v>GCIA ESPECIALISTAS RENTA FIJA</v>
          </cell>
        </row>
        <row r="583">
          <cell r="B583" t="str">
            <v>GCIA ESPECIALITAS FONDOS Y APT</v>
          </cell>
        </row>
        <row r="584">
          <cell r="B584" t="str">
            <v>GCIA ESPECIALIZADA RENTA VARIABLE</v>
          </cell>
        </row>
        <row r="585">
          <cell r="B585" t="str">
            <v>GCIA ESTADOS FINANCIEROS BCO Y FILIALES</v>
          </cell>
        </row>
        <row r="586">
          <cell r="B586" t="str">
            <v>GCIA ESTGIA  JURID SOLUC Y CONSOLIDACION</v>
          </cell>
        </row>
        <row r="587">
          <cell r="B587" t="str">
            <v>GCIA ESTRAT ARQ DE INFRAEST Y CONTUNIDAD</v>
          </cell>
        </row>
        <row r="588">
          <cell r="B588" t="str">
            <v>GCIA ESTRATEGIA COBERTURA DE CANALES</v>
          </cell>
        </row>
        <row r="589">
          <cell r="B589" t="str">
            <v>GCIA ESTRATEGIA COMERCIAL</v>
          </cell>
        </row>
        <row r="590">
          <cell r="B590" t="str">
            <v>GCIA ESTRATEGIA DE ABASTECIMINETO Y TERC</v>
          </cell>
        </row>
        <row r="591">
          <cell r="B591" t="str">
            <v>GCIA ESTRATEGIA DE CERTIFICACION</v>
          </cell>
        </row>
        <row r="592">
          <cell r="B592" t="str">
            <v>GCIA ESTRATEGIA DE OUTSOURCING</v>
          </cell>
        </row>
        <row r="593">
          <cell r="B593" t="str">
            <v>GCIA ESTRATEGIA DE RIESGO OPERACIONAL</v>
          </cell>
        </row>
        <row r="594">
          <cell r="B594" t="str">
            <v>GCIA ESTRATEGIA MULTICANAL DE SERVICIO</v>
          </cell>
        </row>
        <row r="595">
          <cell r="B595" t="str">
            <v>GCIA ESTRATEGIA Y GESTION ANALITICA</v>
          </cell>
        </row>
        <row r="596">
          <cell r="B596" t="str">
            <v>GCIA ESTRATEGIAS INTEGRALES DE INCLUSION</v>
          </cell>
        </row>
        <row r="597">
          <cell r="B597" t="str">
            <v>GCIA ESTRATEGICA DE COMPLIANCE</v>
          </cell>
        </row>
        <row r="598">
          <cell r="B598" t="str">
            <v>GCIA ESTRUCTURACION ADUANERA Y CAMBIARIA</v>
          </cell>
        </row>
        <row r="599">
          <cell r="B599" t="str">
            <v>GCIA ESTRUCTURACION DE NEGOCIOS</v>
          </cell>
        </row>
        <row r="600">
          <cell r="B600" t="str">
            <v>GCIA ESTRUCTURACION OPERATIVA</v>
          </cell>
        </row>
        <row r="601">
          <cell r="B601" t="str">
            <v>GCIA ESTRUCTURACION TRIBUTARIA</v>
          </cell>
        </row>
        <row r="602">
          <cell r="B602" t="str">
            <v>GCIA ESTRUCTURACIONES INTERNACIONALES</v>
          </cell>
        </row>
        <row r="603">
          <cell r="B603" t="str">
            <v>GCIA EXPERIENCIA CLIENTES</v>
          </cell>
        </row>
        <row r="604">
          <cell r="B604" t="str">
            <v>GCIA FIDUCIA EN GARANTIA</v>
          </cell>
        </row>
        <row r="605">
          <cell r="B605" t="str">
            <v>GCIA FIDUCIA PUBLICA</v>
          </cell>
        </row>
        <row r="606">
          <cell r="B606" t="str">
            <v>GCIA FINANCIERA FONDO INMOBILIARIO</v>
          </cell>
        </row>
        <row r="607">
          <cell r="B607" t="str">
            <v>GCIA FINANCIERA PERSONAS</v>
          </cell>
        </row>
        <row r="608">
          <cell r="B608" t="str">
            <v>GCIA FONDO INMOBILIARIO COLOMBIA</v>
          </cell>
        </row>
        <row r="609">
          <cell r="B609" t="str">
            <v>GCIA FORMULACION ESTRATEGICA</v>
          </cell>
        </row>
        <row r="610">
          <cell r="B610" t="str">
            <v>GCIA GERENCIAMIENTO CENTRALIZADO BOG</v>
          </cell>
        </row>
        <row r="611">
          <cell r="B611" t="str">
            <v>GCIA GERENCIAMIENTO CENTRALIZADO BOG 2</v>
          </cell>
        </row>
        <row r="612">
          <cell r="B612" t="str">
            <v>GCIA GESTION  SERVICIO VP ADMINISTRATIVA</v>
          </cell>
        </row>
        <row r="613">
          <cell r="B613" t="str">
            <v>GCIA GESTION  SERVICIOS CORPORATIVOS</v>
          </cell>
        </row>
        <row r="614">
          <cell r="B614" t="str">
            <v>GCIA GESTION COMERCIAL</v>
          </cell>
        </row>
        <row r="615">
          <cell r="B615" t="str">
            <v>GCIA GESTION CSC CANALES</v>
          </cell>
        </row>
        <row r="616">
          <cell r="B616" t="str">
            <v>GCIA GESTION DE INGRESOS</v>
          </cell>
        </row>
        <row r="617">
          <cell r="B617" t="str">
            <v>GCIA GESTION DE LA FUERZA COMERCIAL</v>
          </cell>
        </row>
        <row r="618">
          <cell r="B618" t="str">
            <v>GCIA GESTION DE PORTAFOLIO</v>
          </cell>
        </row>
        <row r="619">
          <cell r="B619" t="str">
            <v>GCIA GESTION DE PROYECTOS</v>
          </cell>
        </row>
        <row r="620">
          <cell r="B620" t="str">
            <v>GCIA GESTION DEL CAMBIO Y CULTURA</v>
          </cell>
        </row>
        <row r="621">
          <cell r="B621" t="str">
            <v>GCIA GESTION DEL CONOCIMIENTO</v>
          </cell>
        </row>
        <row r="622">
          <cell r="B622" t="str">
            <v>GCIA GESTION DEL SERVICIO VP AUDITORIA</v>
          </cell>
        </row>
        <row r="623">
          <cell r="B623" t="str">
            <v>GCIA GESTION DOCUMENTAL</v>
          </cell>
        </row>
        <row r="624">
          <cell r="B624" t="str">
            <v>GCIA GESTION FINANCIERA Y PROVEEDORES</v>
          </cell>
        </row>
        <row r="625">
          <cell r="B625" t="str">
            <v>GCIA GESTION INFORMACION DE RIESGOS</v>
          </cell>
        </row>
        <row r="626">
          <cell r="B626" t="str">
            <v>GCIA GESTION INMOBILIARIA</v>
          </cell>
        </row>
        <row r="627">
          <cell r="B627" t="str">
            <v>GCIA GESTION INMOBILIARIA</v>
          </cell>
        </row>
        <row r="628">
          <cell r="B628" t="str">
            <v>GCIA GESTION MONITOREO DE SEGURIDAD</v>
          </cell>
        </row>
        <row r="629">
          <cell r="B629" t="str">
            <v>GCIA GESTION RECUPERACION DE ACTIVOS</v>
          </cell>
        </row>
        <row r="630">
          <cell r="B630" t="str">
            <v>GCIA GESTION VICEPRESIDENCIA BCA EMP</v>
          </cell>
        </row>
        <row r="631">
          <cell r="B631" t="str">
            <v>GCIA GESTION VIP ESTRATEGIA Y FINANZ</v>
          </cell>
        </row>
        <row r="632">
          <cell r="B632" t="str">
            <v>GCIA GESTION VP BANCA HIPOTECARIA</v>
          </cell>
        </row>
        <row r="633">
          <cell r="B633" t="str">
            <v>GCIA GESTION VP INMOBILIARIA Y CONSUMO</v>
          </cell>
        </row>
        <row r="634">
          <cell r="B634" t="str">
            <v>GCIA GESTION VP SECRETARIA GENERAL</v>
          </cell>
        </row>
        <row r="635">
          <cell r="B635" t="str">
            <v>GCIA GOBIERNO PYME REGION BOGOTA</v>
          </cell>
        </row>
        <row r="636">
          <cell r="B636" t="str">
            <v>GCIA GOBIERNO PYME REGION CARIBE</v>
          </cell>
        </row>
        <row r="637">
          <cell r="B637" t="str">
            <v>GCIA GOBIERNO Y DESARROLLO DE PROVEEDORE</v>
          </cell>
        </row>
        <row r="638">
          <cell r="B638" t="str">
            <v>GCIA GOBIERNO Y ESTRATEGIA DE SEGURIDAD</v>
          </cell>
        </row>
        <row r="639">
          <cell r="B639" t="str">
            <v>GCIA GTION DEMANDA DE RIESGOS</v>
          </cell>
        </row>
        <row r="640">
          <cell r="B640" t="str">
            <v>GCIA GTION DEMANDA EMPRESAS Y GOB</v>
          </cell>
        </row>
        <row r="641">
          <cell r="B641" t="str">
            <v>GCIA GTION DEMANDA FUNCIONES CORPS</v>
          </cell>
        </row>
        <row r="642">
          <cell r="B642" t="str">
            <v>GCIA GTION DEMANDA INMOB CONS ESPECIALIZ</v>
          </cell>
        </row>
        <row r="643">
          <cell r="B643" t="str">
            <v>GCIA GTION DEMANDA INTERNACIONAL</v>
          </cell>
        </row>
        <row r="644">
          <cell r="B644" t="str">
            <v>GCIA GTION DEMANDA MERCADO CAPITALES</v>
          </cell>
        </row>
        <row r="645">
          <cell r="B645" t="str">
            <v>GCIA GTION DEMANDA OPERACIONES TI INNOVA</v>
          </cell>
        </row>
        <row r="646">
          <cell r="B646" t="str">
            <v>GCIA GTION DEMANDA PERSONAS Y PYME</v>
          </cell>
        </row>
        <row r="647">
          <cell r="B647" t="str">
            <v>GCIA GTION DEMANDA SERV PARA CLIENTES</v>
          </cell>
        </row>
        <row r="648">
          <cell r="B648" t="str">
            <v>GCIA GTION PORTAFOLIO TARJETA DE CREDITO</v>
          </cell>
        </row>
        <row r="649">
          <cell r="B649" t="str">
            <v>GCIA GTION VP  PNAS Y PYMES</v>
          </cell>
        </row>
        <row r="650">
          <cell r="B650" t="str">
            <v>GCIA GTION VP BCA PNAS Y PYMES</v>
          </cell>
        </row>
        <row r="651">
          <cell r="B651" t="str">
            <v>GCIA INFRAESTRUCTURA CENTRO OPERATIVO</v>
          </cell>
        </row>
        <row r="652">
          <cell r="B652" t="str">
            <v>GCIA INFRAESTRUCTURA DE LA SOLUCION</v>
          </cell>
        </row>
        <row r="653">
          <cell r="B653" t="str">
            <v>GCIA INFRAESTRUCTURA DE SUCURSALES Y AUT</v>
          </cell>
        </row>
        <row r="654">
          <cell r="B654" t="str">
            <v>GCIA INFRAESTRUCUTRA Y CIUDADES</v>
          </cell>
        </row>
        <row r="655">
          <cell r="B655" t="str">
            <v>GCIA INNOVACION</v>
          </cell>
        </row>
        <row r="656">
          <cell r="B656" t="str">
            <v>GCIA INSTITUCIONAL Y GOBIERNO</v>
          </cell>
        </row>
        <row r="657">
          <cell r="B657" t="str">
            <v>GCIA INTERNACIONAL Y DIVISAS</v>
          </cell>
        </row>
        <row r="658">
          <cell r="B658" t="str">
            <v>GCIA INVERSIONES INTERNACIONALES</v>
          </cell>
        </row>
        <row r="659">
          <cell r="B659" t="str">
            <v>GCIA INVESTIGACION Y DLLO DE PRODUCTOS</v>
          </cell>
        </row>
        <row r="660">
          <cell r="B660" t="str">
            <v>GCIA JURIDICA ASESORIA CAMBIARIA</v>
          </cell>
        </row>
        <row r="661">
          <cell r="B661" t="str">
            <v>GCIA JURIDICA BANCA DE INVERSION</v>
          </cell>
        </row>
        <row r="662">
          <cell r="B662" t="str">
            <v>GCIA JURIDICA CORPORATIVA</v>
          </cell>
        </row>
        <row r="663">
          <cell r="B663" t="str">
            <v>GCIA JURIDICA CORPORATIVA E INSTITUCIONA</v>
          </cell>
        </row>
        <row r="664">
          <cell r="B664" t="str">
            <v>GCIA JURIDICA DE COBRANZAS</v>
          </cell>
        </row>
        <row r="665">
          <cell r="B665" t="str">
            <v>GCIA JURIDICA DE PROCESOS ESPECIALES</v>
          </cell>
        </row>
        <row r="666">
          <cell r="B666" t="str">
            <v>GCIA JURIDICA DE REGU Y RELACIONES GUBER</v>
          </cell>
        </row>
        <row r="667">
          <cell r="B667" t="str">
            <v>GCIA JURIDICA DE TESORERIA Y ESTRUCTURAC</v>
          </cell>
        </row>
        <row r="668">
          <cell r="B668" t="str">
            <v>GCIA JURIDICA EMPRESAS Y GOB LEASING</v>
          </cell>
        </row>
        <row r="669">
          <cell r="B669" t="str">
            <v>GCIA JURIDICA ESTRUC Y PROYEC ESPEC</v>
          </cell>
        </row>
        <row r="670">
          <cell r="B670" t="str">
            <v>GCIA JURIDICA FIDU Y ADMON ACTIVOS</v>
          </cell>
        </row>
        <row r="671">
          <cell r="B671" t="str">
            <v>GCIA JURIDICA FONDO INMOBILIARIO</v>
          </cell>
        </row>
        <row r="672">
          <cell r="B672" t="str">
            <v>GCIA JURIDICA INSTITUCIONAL</v>
          </cell>
        </row>
        <row r="673">
          <cell r="B673" t="str">
            <v>GCIA JURIDICA INTERNAL Y  ESTRUCTURACION</v>
          </cell>
        </row>
        <row r="674">
          <cell r="B674" t="str">
            <v>GCIA JURIDICA LEASING</v>
          </cell>
        </row>
        <row r="675">
          <cell r="B675" t="str">
            <v>GCIA JURIDICA LEASING FINANCIERO E INTER</v>
          </cell>
        </row>
        <row r="676">
          <cell r="B676" t="str">
            <v>GCIA JURIDICA LEASING PERSONAS Y PYMES</v>
          </cell>
        </row>
        <row r="677">
          <cell r="B677" t="str">
            <v>GCIA JURIDICA NACIONAL PERSONAS  Y PYMES</v>
          </cell>
        </row>
        <row r="678">
          <cell r="B678" t="str">
            <v>GCIA JURIDICA NAL DE EMPRESAS Y GOBIERNO</v>
          </cell>
        </row>
        <row r="679">
          <cell r="B679" t="str">
            <v>GCIA JURIDICA NAL IMMOB Y CONSUMO ESPECI</v>
          </cell>
        </row>
        <row r="680">
          <cell r="B680" t="str">
            <v>GCIA JURIDICA NAL LEASING Y FACTORING</v>
          </cell>
        </row>
        <row r="681">
          <cell r="B681" t="str">
            <v>GCIA JURIDICA PERSONAS Y PYMES LEASING</v>
          </cell>
        </row>
        <row r="682">
          <cell r="B682" t="str">
            <v>GCIA JURIDICA VALORES</v>
          </cell>
        </row>
        <row r="683">
          <cell r="B683" t="str">
            <v>GCIA LIMITES DESEMBOLSOS Y GARANTIAS</v>
          </cell>
        </row>
        <row r="684">
          <cell r="B684" t="str">
            <v>GCIA LINEAS DE NEGOCIO REGION CENTRO</v>
          </cell>
        </row>
        <row r="685">
          <cell r="B685" t="str">
            <v>GCIA LOGISTICA INTEGRAL</v>
          </cell>
        </row>
        <row r="686">
          <cell r="B686" t="str">
            <v>GCIA MAQUINARIA Y OTROS ACTIVOS</v>
          </cell>
        </row>
        <row r="687">
          <cell r="B687" t="str">
            <v>GCIA MARCA Y PUBLICIDAD</v>
          </cell>
        </row>
        <row r="688">
          <cell r="B688" t="str">
            <v>GCIA ME BPP ZONA CALI SUR</v>
          </cell>
        </row>
        <row r="689">
          <cell r="B689" t="str">
            <v>GCIA ME BPP ZONA EJE CAFETERO</v>
          </cell>
        </row>
        <row r="690">
          <cell r="B690" t="str">
            <v>GCIA ME BPP ZONA GERENCIAMIENTO I ANT</v>
          </cell>
        </row>
        <row r="691">
          <cell r="B691" t="str">
            <v>GCIA ME BPP ZONA GERENCIAMIENTO I BOGT</v>
          </cell>
        </row>
        <row r="692">
          <cell r="B692" t="str">
            <v>GCIA ME BPP ZONA GERENCIAMIENTO I SUR</v>
          </cell>
        </row>
        <row r="693">
          <cell r="B693" t="str">
            <v>GCIA ME BPP ZONA GERENCIAMIENTO II ANT</v>
          </cell>
        </row>
        <row r="694">
          <cell r="B694" t="str">
            <v>GCIA ME BPP ZONA GERENCIAMIENTO II BOGT</v>
          </cell>
        </row>
        <row r="695">
          <cell r="B695" t="str">
            <v>GCIA ME BPP ZONA GERENCIAMIENTO III BOGT</v>
          </cell>
        </row>
        <row r="696">
          <cell r="B696" t="str">
            <v>GCIA ME BPP ZONA GERENCIAMIENTO IV BOGT</v>
          </cell>
        </row>
        <row r="697">
          <cell r="B697" t="str">
            <v>GCIA ME BPP ZONA INDUSTRIAL BOGT</v>
          </cell>
        </row>
        <row r="698">
          <cell r="B698" t="str">
            <v>GCIA ME BPP ZONA OCCIDENTE BOGT</v>
          </cell>
        </row>
        <row r="699">
          <cell r="B699" t="str">
            <v>GCIA ME BPP ZONA ORIENTE BOGT</v>
          </cell>
        </row>
        <row r="700">
          <cell r="B700" t="str">
            <v>GCIA ME BPP ZONA POBLADO ANT</v>
          </cell>
        </row>
        <row r="701">
          <cell r="B701" t="str">
            <v>GCIA MERCADEO MK</v>
          </cell>
        </row>
        <row r="702">
          <cell r="B702" t="str">
            <v>GCIA MERCADEO REGION ANTIOQUIA</v>
          </cell>
        </row>
        <row r="703">
          <cell r="B703" t="str">
            <v>GCIA MERCADEO REGION BOGOTA</v>
          </cell>
        </row>
        <row r="704">
          <cell r="B704" t="str">
            <v>GCIA MERCADEO REGION CARIBE</v>
          </cell>
        </row>
        <row r="705">
          <cell r="B705" t="str">
            <v>GCIA MERCADEO REGION CENTRO</v>
          </cell>
        </row>
        <row r="706">
          <cell r="B706" t="str">
            <v>GCIA MERCADEO REGION SUR</v>
          </cell>
        </row>
        <row r="707">
          <cell r="B707" t="str">
            <v>GCIA MERCADEO RELACIONAL MK</v>
          </cell>
        </row>
        <row r="708">
          <cell r="B708" t="str">
            <v>GCIA MERCADO DE CAPITALES Y MONETARIO</v>
          </cell>
        </row>
        <row r="709">
          <cell r="B709" t="str">
            <v>GCIA MET RGO CREDITO EMPRESAS Y GOBIERNO</v>
          </cell>
        </row>
        <row r="710">
          <cell r="B710" t="str">
            <v>GCIA METODOLOGIA RGO MKDO DE CAPITALES</v>
          </cell>
        </row>
        <row r="711">
          <cell r="B711" t="str">
            <v>GCIA METODOLOGIAS CREDITO PERSONAS  PYME</v>
          </cell>
        </row>
        <row r="712">
          <cell r="B712" t="str">
            <v>GCIA MIT GOBIERNO REGION BOGOTA</v>
          </cell>
        </row>
        <row r="713">
          <cell r="B713" t="str">
            <v>GCIA MIT REGION ANTIOQUIA</v>
          </cell>
        </row>
        <row r="714">
          <cell r="B714" t="str">
            <v>GCIA MIT REGION BOGOTA</v>
          </cell>
        </row>
        <row r="715">
          <cell r="B715" t="str">
            <v>GCIA MIT REGION CARIBE</v>
          </cell>
        </row>
        <row r="716">
          <cell r="B716" t="str">
            <v>GCIA MIT REGION SUR</v>
          </cell>
        </row>
        <row r="717">
          <cell r="B717" t="str">
            <v>GCIA MONEDA EXTRAENJERA BPP CARIBE SUR</v>
          </cell>
        </row>
        <row r="718">
          <cell r="B718" t="str">
            <v>GCIA MONEDA EXTRANJERA BE REGION ANT</v>
          </cell>
        </row>
        <row r="719">
          <cell r="B719" t="str">
            <v>GCIA MONEDA EXTRANJERA BE REGION BOG</v>
          </cell>
        </row>
        <row r="720">
          <cell r="B720" t="str">
            <v>GCIA MONEDA EXTRANJERA BE REGION CAR</v>
          </cell>
        </row>
        <row r="721">
          <cell r="B721" t="str">
            <v>GCIA MONEDA EXTRANJERA BE REGION SUR</v>
          </cell>
        </row>
        <row r="722">
          <cell r="B722" t="str">
            <v>GCIA MONEDA EXTRANJERA BPP CARIBE NORTE</v>
          </cell>
        </row>
        <row r="723">
          <cell r="B723" t="str">
            <v>GCIA MONEDA EXTRANJERA BPP CENTRO NORTE</v>
          </cell>
        </row>
        <row r="724">
          <cell r="B724" t="str">
            <v>GCIA MONEDA EXTRANJERA BPP CENTRO SUR</v>
          </cell>
        </row>
        <row r="725">
          <cell r="B725" t="str">
            <v>GCIA MULTICANAL VENTAS Y CANALES CCIALES</v>
          </cell>
        </row>
        <row r="726">
          <cell r="B726" t="str">
            <v>GCIA NACIONAL DE  PRODUCTOS</v>
          </cell>
        </row>
        <row r="727">
          <cell r="B727" t="str">
            <v>GCIA NACIONAL DE MONEDA EXTRANJERA BE</v>
          </cell>
        </row>
        <row r="728">
          <cell r="B728" t="str">
            <v>GCIA NACIONAL DE MONEDA EXTRANJERA BPP</v>
          </cell>
        </row>
        <row r="729">
          <cell r="B729" t="str">
            <v>GCIA NACIONAL MIT</v>
          </cell>
        </row>
        <row r="730">
          <cell r="B730" t="str">
            <v>GCIA NEGOCIOS 2 SUFI</v>
          </cell>
        </row>
        <row r="731">
          <cell r="B731" t="str">
            <v>GCIA NEGOCIOS 3 SUFI</v>
          </cell>
        </row>
        <row r="732">
          <cell r="B732" t="str">
            <v>GCIA NEGOCIOS ESTRUCTURADOS</v>
          </cell>
        </row>
        <row r="733">
          <cell r="B733" t="str">
            <v>GCIA NORMALIZACION JUDICIAL REGION CTRO</v>
          </cell>
        </row>
        <row r="734">
          <cell r="B734" t="str">
            <v>GCIA OFICINA DE PROYECTOS</v>
          </cell>
        </row>
        <row r="735">
          <cell r="B735" t="str">
            <v>GCIA OPERACION PROCESOS DE NEGOCIOS</v>
          </cell>
        </row>
        <row r="736">
          <cell r="B736" t="str">
            <v>GCIA OPERACION Y MONITOREO</v>
          </cell>
        </row>
        <row r="737">
          <cell r="B737" t="str">
            <v>GCIA OPERACIONES  LEASING</v>
          </cell>
        </row>
        <row r="738">
          <cell r="B738" t="str">
            <v>GCIA OPERACIONES CONTABLES</v>
          </cell>
        </row>
        <row r="739">
          <cell r="B739" t="str">
            <v>GCIA OPERACIONES ESTRUCTURADAS</v>
          </cell>
        </row>
        <row r="740">
          <cell r="B740" t="str">
            <v>GCIA OPERACIONES INMOBILIARIAS</v>
          </cell>
        </row>
        <row r="741">
          <cell r="B741" t="str">
            <v>GCIA OPERATIVA DE TESORERIA Y CUMPLIMIEN</v>
          </cell>
        </row>
        <row r="742">
          <cell r="B742" t="str">
            <v>GCIA ORIGINACION  CREDITO PYME</v>
          </cell>
        </row>
        <row r="743">
          <cell r="B743" t="str">
            <v>GCIA ORIGINACION CREDITO EMPRESARIAL</v>
          </cell>
        </row>
        <row r="744">
          <cell r="B744" t="str">
            <v>GCIA ORIGINACION CREDITO LEASING</v>
          </cell>
        </row>
        <row r="745">
          <cell r="B745" t="str">
            <v>GCIA ORIGINACION DE CREDITO INTERNACIONA</v>
          </cell>
        </row>
        <row r="746">
          <cell r="B746" t="str">
            <v>GCIA PERSONAS ANTIOQUIA</v>
          </cell>
        </row>
        <row r="747">
          <cell r="B747" t="str">
            <v>GCIA PERSONAS BOGOTA</v>
          </cell>
        </row>
        <row r="748">
          <cell r="B748" t="str">
            <v>GCIA PERSONAS BOGOTA Y CENTRO</v>
          </cell>
        </row>
        <row r="749">
          <cell r="B749" t="str">
            <v>GCIA PERSONAS CARIBE</v>
          </cell>
        </row>
        <row r="750">
          <cell r="B750" t="str">
            <v>GCIA PERSONAS SUR</v>
          </cell>
        </row>
        <row r="751">
          <cell r="B751" t="str">
            <v>GCIA PLANEACION DE LA CAPACIDAD</v>
          </cell>
        </row>
        <row r="752">
          <cell r="B752" t="str">
            <v>GCIA PLATAFORMAS DE INTEGRACION</v>
          </cell>
        </row>
        <row r="753">
          <cell r="B753" t="str">
            <v>GCIA PORTAFOLIOS  INSTITUCIONALES</v>
          </cell>
        </row>
        <row r="754">
          <cell r="B754" t="str">
            <v>GCIA PORTAFOLIOS PRIVADOS</v>
          </cell>
        </row>
        <row r="755">
          <cell r="B755" t="str">
            <v>GCIA PROCESOS DE CAPTACIONES Y MIT</v>
          </cell>
        </row>
        <row r="756">
          <cell r="B756" t="str">
            <v>GCIA PROCESOS INSTITUCIONALES</v>
          </cell>
        </row>
        <row r="757">
          <cell r="B757" t="str">
            <v>GCIA PRODUCTO LEASING  INTERNACIONAL</v>
          </cell>
        </row>
        <row r="758">
          <cell r="B758" t="str">
            <v>GCIA PRODUCTOS DE CONSUMO</v>
          </cell>
        </row>
        <row r="759">
          <cell r="B759" t="str">
            <v>GCIA PRODUCTOS LEASING FINANCIERO</v>
          </cell>
        </row>
        <row r="760">
          <cell r="B760" t="str">
            <v>GCIA PROGRAMAS ESTRATEGICOS  DE ALIANZAS</v>
          </cell>
        </row>
        <row r="761">
          <cell r="B761" t="str">
            <v>GCIA PROYECTOS A</v>
          </cell>
        </row>
        <row r="762">
          <cell r="B762" t="str">
            <v>GCIA PROYECTOS B</v>
          </cell>
        </row>
        <row r="763">
          <cell r="B763" t="str">
            <v>GCIA PROYECTOS C</v>
          </cell>
        </row>
        <row r="764">
          <cell r="B764" t="str">
            <v>GCIA PROYECTOS D</v>
          </cell>
        </row>
        <row r="765">
          <cell r="B765" t="str">
            <v>GCIA PROYECTOS E</v>
          </cell>
        </row>
        <row r="766">
          <cell r="B766" t="str">
            <v>GCIA PROYECTOS F</v>
          </cell>
        </row>
        <row r="767">
          <cell r="B767" t="str">
            <v>GCIA PROYECTOS G</v>
          </cell>
        </row>
        <row r="768">
          <cell r="B768" t="str">
            <v>GCIA PROYECTOS H</v>
          </cell>
        </row>
        <row r="769">
          <cell r="B769" t="str">
            <v>GCIA PROYECTOS I</v>
          </cell>
        </row>
        <row r="770">
          <cell r="B770" t="str">
            <v>GCIA PROYECTOS J</v>
          </cell>
        </row>
        <row r="771">
          <cell r="B771" t="str">
            <v>GCIA PRUEBAS ESPECIALIZADAS</v>
          </cell>
        </row>
        <row r="772">
          <cell r="B772" t="str">
            <v>GCIA PUBLICIDAD Y MERCADEO RELACIONAL</v>
          </cell>
        </row>
        <row r="773">
          <cell r="B773" t="str">
            <v>GCIA QUINDIO Y CENTRO DEL VALLE</v>
          </cell>
        </row>
        <row r="774">
          <cell r="B774" t="str">
            <v>GCIA RAZONABILIDAD CONTABLE FILIALES</v>
          </cell>
        </row>
        <row r="775">
          <cell r="B775" t="str">
            <v>GCIA RAZONABILIDAD CONTABLE Y PDTOS</v>
          </cell>
        </row>
        <row r="776">
          <cell r="B776" t="str">
            <v>GCIA RECUPERACION ACT PNAS NATURALES</v>
          </cell>
        </row>
        <row r="777">
          <cell r="B777" t="str">
            <v>GCIA RECUPERACION ACT PYMES EMP Y GOB</v>
          </cell>
        </row>
        <row r="778">
          <cell r="B778" t="str">
            <v>GCIA RECUPERACION DE ACT REGION ANT</v>
          </cell>
        </row>
        <row r="779">
          <cell r="B779" t="str">
            <v>GCIA RECUPERACION DE ACT REGION BOG</v>
          </cell>
        </row>
        <row r="780">
          <cell r="B780" t="str">
            <v>GCIA RECUPERACION DE ACT REGION CAR</v>
          </cell>
        </row>
        <row r="781">
          <cell r="B781" t="str">
            <v>GCIA RECUPERACION DE ACT REGION CTRO</v>
          </cell>
        </row>
        <row r="782">
          <cell r="B782" t="str">
            <v>GCIA RECUPERACION DE ACT REGION SUR</v>
          </cell>
        </row>
        <row r="783">
          <cell r="B783" t="str">
            <v>GCIA REG HIPOTECARIA CONSTRUCTOR ANTIOQU</v>
          </cell>
        </row>
        <row r="784">
          <cell r="B784" t="str">
            <v>GCIA REG HIPOTECARIA CONSTRUCTOR BOGOTA</v>
          </cell>
        </row>
        <row r="785">
          <cell r="B785" t="str">
            <v>GCIA REG HIPOTECARIA CONSTRUCTOR OTRAS</v>
          </cell>
        </row>
        <row r="786">
          <cell r="B786" t="str">
            <v>GCIA REGIONAL BANCA GOBIERNO</v>
          </cell>
        </row>
        <row r="787">
          <cell r="B787" t="str">
            <v>GCIA REGIONAL BPP ANTIOQUIA</v>
          </cell>
        </row>
        <row r="788">
          <cell r="B788" t="str">
            <v>GCIA REGIONAL BPP BOGOTA</v>
          </cell>
        </row>
        <row r="789">
          <cell r="B789" t="str">
            <v>GCIA REGIONAL BPP CARIBE</v>
          </cell>
        </row>
        <row r="790">
          <cell r="B790" t="str">
            <v>GCIA REGIONAL BPP CENTRO</v>
          </cell>
        </row>
        <row r="791">
          <cell r="B791" t="str">
            <v>GCIA REGIONAL BPP SUR</v>
          </cell>
        </row>
        <row r="792">
          <cell r="B792" t="str">
            <v>GCIA REGIONAL CONSTRUCTOR MEDELLIN</v>
          </cell>
        </row>
        <row r="793">
          <cell r="B793" t="str">
            <v>GCIA REGIONAL NACIONAL SUFI</v>
          </cell>
        </row>
        <row r="794">
          <cell r="B794" t="str">
            <v>GCIA REGULACION Y GESTION</v>
          </cell>
        </row>
        <row r="795">
          <cell r="B795" t="str">
            <v>GCIA RELACION CON INVERSIONISTAS</v>
          </cell>
        </row>
        <row r="796">
          <cell r="B796" t="str">
            <v>GCIA RELACIONAMIENTO HUMANO REGION ANT</v>
          </cell>
        </row>
        <row r="797">
          <cell r="B797" t="str">
            <v>GCIA RELACIONAMIENTO HUMANO REGION BGTA</v>
          </cell>
        </row>
        <row r="798">
          <cell r="B798" t="str">
            <v>GCIA RELACIONAMIENTO HUMANO REGION CARIB</v>
          </cell>
        </row>
        <row r="799">
          <cell r="B799" t="str">
            <v>GCIA RELACIONAMIENTO HUMANO REGION CENT</v>
          </cell>
        </row>
        <row r="800">
          <cell r="B800" t="str">
            <v>GCIA RELACIONAMIENTO HUMANO REGION SUR</v>
          </cell>
        </row>
        <row r="801">
          <cell r="B801" t="str">
            <v>GCIA RELACIONAMIENTO Y FIDELIZACION</v>
          </cell>
        </row>
        <row r="802">
          <cell r="B802" t="str">
            <v>GCIA RELACIONES PUBLICAS Y PROYECC INST</v>
          </cell>
        </row>
        <row r="803">
          <cell r="B803" t="str">
            <v>GCIA RENTA FIJA</v>
          </cell>
        </row>
        <row r="804">
          <cell r="B804" t="str">
            <v>GCIA RENTA VARIABLE ALTERNATIVOS E INTER</v>
          </cell>
        </row>
        <row r="805">
          <cell r="B805" t="str">
            <v>GCIA RENTA VARIABLE Y PORTAFOLIOS</v>
          </cell>
        </row>
        <row r="806">
          <cell r="B806" t="str">
            <v>GCIA RESPONSABILIDAD SOCIAL</v>
          </cell>
        </row>
        <row r="807">
          <cell r="B807" t="str">
            <v>GCIA RGO TARJETA DE CREDITO Y CONSUMO</v>
          </cell>
        </row>
        <row r="808">
          <cell r="B808" t="str">
            <v>GCIA RIESGO  EMPRESAS Y GOBIERNO</v>
          </cell>
        </row>
        <row r="809">
          <cell r="B809" t="str">
            <v>GCIA RIESGO ADMINISTRACION DE ACTIVOS</v>
          </cell>
        </row>
        <row r="810">
          <cell r="B810" t="str">
            <v>GCIA RIESGO CREDITO BANCA EMPRESAS</v>
          </cell>
        </row>
        <row r="811">
          <cell r="B811" t="str">
            <v>GCIA RIESGO CREDITO LEASING</v>
          </cell>
        </row>
        <row r="812">
          <cell r="B812" t="str">
            <v>GCIA RIESGO CREDITO MERK CAPITALES</v>
          </cell>
        </row>
        <row r="813">
          <cell r="B813" t="str">
            <v>GCIA RIESGO CREDITO TESORERIA</v>
          </cell>
        </row>
        <row r="814">
          <cell r="B814" t="str">
            <v>GCIA RIESGO DE CREDITO SUFI</v>
          </cell>
        </row>
        <row r="815">
          <cell r="B815" t="str">
            <v>GCIA RIESGO DE MERCADO  LIBRO BANCARIO</v>
          </cell>
        </row>
        <row r="816">
          <cell r="B816" t="str">
            <v>GCIA RIESGO DE MERCADO LIBRO TESORERIA</v>
          </cell>
        </row>
        <row r="817">
          <cell r="B817" t="str">
            <v>GCIA RIESGO DISTRIBUCION Y VENTAS</v>
          </cell>
        </row>
        <row r="818">
          <cell r="B818" t="str">
            <v>GCIA RIESGO LIQUIDEZ Y TASAS DE INTERES</v>
          </cell>
        </row>
        <row r="819">
          <cell r="B819" t="str">
            <v>GCIA RIESGO OPER NEGOCIO MERK CAPITALES</v>
          </cell>
        </row>
        <row r="820">
          <cell r="B820" t="str">
            <v>GCIA RIESGO OPER TESORERIA COMEX Y BANCA</v>
          </cell>
        </row>
        <row r="821">
          <cell r="B821" t="str">
            <v>GCIA RIESGO OPERACIONAL  APOYO CORP</v>
          </cell>
        </row>
        <row r="822">
          <cell r="B822" t="str">
            <v>GCIA RIESGO OPERACIONAL FIDUCIARIA</v>
          </cell>
        </row>
        <row r="823">
          <cell r="B823" t="str">
            <v>GCIA RIESGO OPERACIONAL NEGOCIO CREDITO</v>
          </cell>
        </row>
        <row r="824">
          <cell r="B824" t="str">
            <v>GCIA RIESGO OPERACIONAL NEGOCIO FIDUCIA</v>
          </cell>
        </row>
        <row r="825">
          <cell r="B825" t="str">
            <v>GCIA RIESGO VALORES</v>
          </cell>
        </row>
        <row r="826">
          <cell r="B826" t="str">
            <v>GCIA RIESGOS PYME</v>
          </cell>
        </row>
        <row r="827">
          <cell r="B827" t="str">
            <v>GCIA RO INTERMEDIACION  FINANCIERA</v>
          </cell>
        </row>
        <row r="828">
          <cell r="B828" t="str">
            <v>GCIA SEGMENTO AGROINDUSTRIA</v>
          </cell>
        </row>
        <row r="829">
          <cell r="B829" t="str">
            <v>GCIA SEGMENTO COMERCIO</v>
          </cell>
        </row>
        <row r="830">
          <cell r="B830" t="str">
            <v>GCIA SEGMENTO CONSTRUCCION</v>
          </cell>
        </row>
        <row r="831">
          <cell r="B831" t="str">
            <v>GCIA SEGMENTO CONSTRUCCION Y TRANSPORTE</v>
          </cell>
        </row>
        <row r="832">
          <cell r="B832" t="str">
            <v>GCIA SEGMENTO EMPLEADOS Y SENIOR</v>
          </cell>
        </row>
        <row r="833">
          <cell r="B833" t="str">
            <v>GCIA SEGMENTO GOBIERNO</v>
          </cell>
        </row>
        <row r="834">
          <cell r="B834" t="str">
            <v>GCIA SEGMENTO GOBIERNO DE RED</v>
          </cell>
        </row>
        <row r="835">
          <cell r="B835" t="str">
            <v>GCIA SEGMENTO MANUFACTURA INSUMOS</v>
          </cell>
        </row>
        <row r="836">
          <cell r="B836" t="str">
            <v>GCIA SEGMENTO MICRO PYME</v>
          </cell>
        </row>
        <row r="837">
          <cell r="B837" t="str">
            <v>GCIA SEGMENTO PREFERENCIAL</v>
          </cell>
        </row>
        <row r="838">
          <cell r="B838" t="str">
            <v>GCIA SEGMENTO PYME</v>
          </cell>
        </row>
        <row r="839">
          <cell r="B839" t="str">
            <v>GCIA SEGMENTO PYME MEDIANA</v>
          </cell>
        </row>
        <row r="840">
          <cell r="B840" t="str">
            <v>GCIA SEGMENTO REC NTURLES Y MED DE COM</v>
          </cell>
        </row>
        <row r="841">
          <cell r="B841" t="str">
            <v>GCIA SEGMENTO SERVICIOS FCROS Y NO FCROS</v>
          </cell>
        </row>
        <row r="842">
          <cell r="B842" t="str">
            <v>GCIA SERV ADMINISTRATIVOS A EMPLEADOS</v>
          </cell>
        </row>
        <row r="843">
          <cell r="B843" t="str">
            <v>GCIA SERV ADMON DE VALORES E INVERSIONES</v>
          </cell>
        </row>
        <row r="844">
          <cell r="B844" t="str">
            <v>GCIA SERV ADMON FONDOS Y MEDIOS DE PAGO</v>
          </cell>
        </row>
        <row r="845">
          <cell r="B845" t="str">
            <v>GCIA SERV PROCESOS ESPECIALES LEASING</v>
          </cell>
        </row>
        <row r="846">
          <cell r="B846" t="str">
            <v>GCIA SERVICIO EN SUCURSALES</v>
          </cell>
        </row>
        <row r="847">
          <cell r="B847" t="str">
            <v>GCIA SERVICIO EN SUCURSALES ANTIOQUIA</v>
          </cell>
        </row>
        <row r="848">
          <cell r="B848" t="str">
            <v>GCIA SERVICIO EN SUCURSALES BOGOTA</v>
          </cell>
        </row>
        <row r="849">
          <cell r="B849" t="str">
            <v>GCIA SERVICIO EN SUCURSALES CARIBE</v>
          </cell>
        </row>
        <row r="850">
          <cell r="B850" t="str">
            <v>GCIA SERVICIO EN SUCURSALES CENTRO</v>
          </cell>
        </row>
        <row r="851">
          <cell r="B851" t="str">
            <v>GCIA SERVICIO EN SUCURSALES SUR</v>
          </cell>
        </row>
        <row r="852">
          <cell r="B852" t="str">
            <v>GCIA SERVICIO SUCURSALES Y AUTOSERVICIO</v>
          </cell>
        </row>
        <row r="853">
          <cell r="B853" t="str">
            <v>GCIA SERVICIOS A COLOMBIANOS EN EL EXTER</v>
          </cell>
        </row>
        <row r="854">
          <cell r="B854" t="str">
            <v>GCIA SERVICIOS A PROYECTOS Y CAPACIDAD</v>
          </cell>
        </row>
        <row r="855">
          <cell r="B855" t="str">
            <v>GCIA SERVICIOS CANAL TELEFONICOS</v>
          </cell>
        </row>
        <row r="856">
          <cell r="B856" t="str">
            <v>GCIA SERVICIOS CANALES VIRTUALES Y ELECT</v>
          </cell>
        </row>
        <row r="857">
          <cell r="B857" t="str">
            <v>GCIA SERVICIOS DE ABASTECIMIENTO</v>
          </cell>
        </row>
        <row r="858">
          <cell r="B858" t="str">
            <v>GCIA SERVICIOS DE CARTERA</v>
          </cell>
        </row>
        <row r="859">
          <cell r="B859" t="str">
            <v>GCIA SERVICIOS DE MERCADEO BEG</v>
          </cell>
        </row>
        <row r="860">
          <cell r="B860" t="str">
            <v>GCIA SERVICIOS DE MERCADEO EMPR Y GOB</v>
          </cell>
        </row>
        <row r="861">
          <cell r="B861" t="str">
            <v>GCIA SERVICIOS DE MERCADEO HIPOTECARIA</v>
          </cell>
        </row>
        <row r="862">
          <cell r="B862" t="str">
            <v>GCIA SERVICIOS DE MERCADEO SUFI</v>
          </cell>
        </row>
        <row r="863">
          <cell r="B863" t="str">
            <v>GCIA SERVICIOS EN  MEDIOS DE PAGO</v>
          </cell>
        </row>
        <row r="864">
          <cell r="B864" t="str">
            <v>GCIA SERVICIOS MERCADEO MEDIOS DE PAGO</v>
          </cell>
        </row>
        <row r="865">
          <cell r="B865" t="str">
            <v>GCIA SERVICIOS PARA  MERCADO CAMBIARIO</v>
          </cell>
        </row>
        <row r="866">
          <cell r="B866" t="str">
            <v>GCIA SERVICIOS REGIONAL ANTIOQUIA</v>
          </cell>
        </row>
        <row r="867">
          <cell r="B867" t="str">
            <v>GCIA SERVICIOS Y RELACIONES HIPOTECARIA</v>
          </cell>
        </row>
        <row r="868">
          <cell r="B868" t="str">
            <v>GCIA SINERGIAS COMERCIALES</v>
          </cell>
        </row>
        <row r="869">
          <cell r="B869" t="str">
            <v>GCIA SINERGIAS INTERNACIONALES</v>
          </cell>
        </row>
        <row r="870">
          <cell r="B870" t="str">
            <v>GCIA SISTEMAS DE INFORMACION FINANCIERA</v>
          </cell>
        </row>
        <row r="871">
          <cell r="B871" t="str">
            <v>GCIA SOCIEDADES DE SERVICIOS FINANCIEROS</v>
          </cell>
        </row>
        <row r="872">
          <cell r="B872" t="str">
            <v>GCIA SOLUCIONES CANALES SUCURSALES CNB</v>
          </cell>
        </row>
        <row r="873">
          <cell r="B873" t="str">
            <v>GCIA SOLUCIONES DE PRODUCTIVIDAD</v>
          </cell>
        </row>
        <row r="874">
          <cell r="B874" t="str">
            <v>GCIA SOPORTE ESPECIALIZADO</v>
          </cell>
        </row>
        <row r="875">
          <cell r="B875" t="str">
            <v>GCIA SOSTENIBILIDAD</v>
          </cell>
        </row>
        <row r="876">
          <cell r="B876" t="str">
            <v>GCIA TACTICA URA REGION CENTRO</v>
          </cell>
        </row>
        <row r="877">
          <cell r="B877" t="str">
            <v>GCIA TECNICA FONDO INMOBILIARIO</v>
          </cell>
        </row>
        <row r="878">
          <cell r="B878" t="str">
            <v>GCIA TECNOLOGIA</v>
          </cell>
        </row>
        <row r="879">
          <cell r="B879" t="str">
            <v>GCIA TESORERIA LEASING</v>
          </cell>
        </row>
        <row r="880">
          <cell r="B880" t="str">
            <v>GCIA URA ZONA AGENCIAS</v>
          </cell>
        </row>
        <row r="881">
          <cell r="B881" t="str">
            <v>GCIA URA ZONA BUCARAMANGA</v>
          </cell>
        </row>
        <row r="882">
          <cell r="B882" t="str">
            <v>GCIA URA ZONA CALI NRT Y SUR DEL VALLE 1</v>
          </cell>
        </row>
        <row r="883">
          <cell r="B883" t="str">
            <v>GCIA URA ZONA CALI NRT Y SUR DEL VALLE 2</v>
          </cell>
        </row>
        <row r="884">
          <cell r="B884" t="str">
            <v>GCIA URA ZONA CAUCA Y NARIÑO</v>
          </cell>
        </row>
        <row r="885">
          <cell r="B885" t="str">
            <v>GCIA URA ZONA CELULA Y NUCLEO</v>
          </cell>
        </row>
        <row r="886">
          <cell r="B886" t="str">
            <v>GCIA URA ZONA EJE NORTE</v>
          </cell>
        </row>
        <row r="887">
          <cell r="B887" t="str">
            <v>GCIA URA ZONA EJE SUR</v>
          </cell>
        </row>
        <row r="888">
          <cell r="B888" t="str">
            <v>GCIA URA ZONA LEASING</v>
          </cell>
        </row>
        <row r="889">
          <cell r="B889" t="str">
            <v>GCIA URA ZONA LLANOS Y BOYACA</v>
          </cell>
        </row>
        <row r="890">
          <cell r="B890" t="str">
            <v>GCIA URA ZONA NORTE SANTANDER Y SNTANDER</v>
          </cell>
        </row>
        <row r="891">
          <cell r="B891" t="str">
            <v>GCIA URA ZONA SUR COLOMBIANA Y TOLIMA</v>
          </cell>
        </row>
        <row r="892">
          <cell r="B892" t="str">
            <v>GCIA VENDOR PROGRAM</v>
          </cell>
        </row>
        <row r="893">
          <cell r="B893" t="str">
            <v>GCIA VENTAS SUFI CENTRO</v>
          </cell>
        </row>
        <row r="894">
          <cell r="B894" t="str">
            <v>GCIA VENTAS SUFI CENTRO 2</v>
          </cell>
        </row>
        <row r="895">
          <cell r="B895" t="str">
            <v>GCIA ZONA  1 BOGOTA BCA EMPRESARIAL</v>
          </cell>
        </row>
        <row r="896">
          <cell r="B896" t="str">
            <v>GCIA ZONA  2  BOGOTA BCA EMPRESARIAL</v>
          </cell>
        </row>
        <row r="897">
          <cell r="B897" t="str">
            <v>GCIA ZONA  ANTIOQUIA</v>
          </cell>
        </row>
        <row r="898">
          <cell r="B898" t="str">
            <v>GCIA ZONA 1 ANTIOQUIA BCA EMPRESARIAL</v>
          </cell>
        </row>
        <row r="899">
          <cell r="B899" t="str">
            <v>GCIA ZONA ANTIOQUIA BCA PYMES</v>
          </cell>
        </row>
        <row r="900">
          <cell r="B900" t="str">
            <v>GCIA ZONA BANCA PRIVADA ANTIOQUIA</v>
          </cell>
        </row>
        <row r="901">
          <cell r="B901" t="str">
            <v>GCIA ZONA BANCA PRIVADA BOGOTA Y CENTRO</v>
          </cell>
        </row>
        <row r="902">
          <cell r="B902" t="str">
            <v>GCIA ZONA BANCA PRIVADA CARIBE</v>
          </cell>
        </row>
        <row r="903">
          <cell r="B903" t="str">
            <v>GCIA ZONA BANCA PRIVADA SUR</v>
          </cell>
        </row>
        <row r="904">
          <cell r="B904" t="str">
            <v>GCIA ZONA BANCA SUPERMERCADO BPP BOGOTA</v>
          </cell>
        </row>
        <row r="905">
          <cell r="B905" t="str">
            <v>GCIA ZONA BARRANQUILLA 2 BPP CARIBE</v>
          </cell>
        </row>
        <row r="906">
          <cell r="B906" t="str">
            <v>GCIA ZONA BARRANQUILLA BPP CARIBE</v>
          </cell>
        </row>
        <row r="907">
          <cell r="B907" t="str">
            <v>GCIA ZONA BOGOTA</v>
          </cell>
        </row>
        <row r="908">
          <cell r="B908" t="str">
            <v>GCIA ZONA BOGOTA BCA PYMES 1</v>
          </cell>
        </row>
        <row r="909">
          <cell r="B909" t="str">
            <v>GCIA ZONA BOGOTA BCA PYMES 2</v>
          </cell>
        </row>
        <row r="910">
          <cell r="B910" t="str">
            <v>GCIA ZONA BOYACA BPP CENTRO</v>
          </cell>
        </row>
        <row r="911">
          <cell r="B911" t="str">
            <v>GCIA ZONA BUCARAMANGA BPP CENTRO</v>
          </cell>
        </row>
        <row r="912">
          <cell r="B912" t="str">
            <v>GCIA ZONA CALI NORTE BPP SUR</v>
          </cell>
        </row>
        <row r="913">
          <cell r="B913" t="str">
            <v>GCIA ZONA CALI SUR BPP SUR</v>
          </cell>
        </row>
        <row r="914">
          <cell r="B914" t="str">
            <v>GCIA ZONA CARIBE</v>
          </cell>
        </row>
        <row r="915">
          <cell r="B915" t="str">
            <v>GCIA ZONA CARIBE BCA PYMES</v>
          </cell>
        </row>
        <row r="916">
          <cell r="B916" t="str">
            <v>GCIA ZONA CARIBE BQUILLA BCA EMPRESARIAL</v>
          </cell>
        </row>
        <row r="917">
          <cell r="B917" t="str">
            <v>GCIA ZONA CARIBE CARTAGENA BCA EMPRESARI</v>
          </cell>
        </row>
        <row r="918">
          <cell r="B918" t="str">
            <v>GCIA ZONA CARTAGENA BPP CARIBE</v>
          </cell>
        </row>
        <row r="919">
          <cell r="B919" t="str">
            <v>GCIA ZONA CENTRO</v>
          </cell>
        </row>
        <row r="920">
          <cell r="B920" t="str">
            <v>GCIA ZONA CENTRO BCA PYMES</v>
          </cell>
        </row>
        <row r="921">
          <cell r="B921" t="str">
            <v>GCIA ZONA CENTRO BPP ANTIOQUIA</v>
          </cell>
        </row>
        <row r="922">
          <cell r="B922" t="str">
            <v>GCIA ZONA CENTRO BPP BOGOTA</v>
          </cell>
        </row>
        <row r="923">
          <cell r="B923" t="str">
            <v>GCIA ZONA CUCUTA BPP CENTRO</v>
          </cell>
        </row>
        <row r="924">
          <cell r="B924" t="str">
            <v>GCIA ZONA EJE CAFETERO BPP SUR</v>
          </cell>
        </row>
        <row r="925">
          <cell r="B925" t="str">
            <v>GCIA ZONA EJE CAFETERO NORTE BPP SUR</v>
          </cell>
        </row>
        <row r="926">
          <cell r="B926" t="str">
            <v>GCIA ZONA EMPRESA SUR</v>
          </cell>
        </row>
        <row r="927">
          <cell r="B927" t="str">
            <v>GCIA ZONA EMPRESA Y GOB SUR</v>
          </cell>
        </row>
        <row r="928">
          <cell r="B928" t="str">
            <v>GCIA ZONA EMPRESAS  ANTIOQUIA</v>
          </cell>
        </row>
        <row r="929">
          <cell r="B929" t="str">
            <v>GCIA ZONA EMPRESAS  BOGOTA Y CENTRO</v>
          </cell>
        </row>
        <row r="930">
          <cell r="B930" t="str">
            <v>GCIA ZONA EMPRESAS CARIBE</v>
          </cell>
        </row>
        <row r="931">
          <cell r="B931" t="str">
            <v>GCIA ZONA EMPRESAS Y GOB ANTIOQUIA</v>
          </cell>
        </row>
        <row r="932">
          <cell r="B932" t="str">
            <v>GCIA ZONA EMPRESAS Y GOB BOGOTA</v>
          </cell>
        </row>
        <row r="933">
          <cell r="B933" t="str">
            <v>GCIA ZONA EMPRESAS Y GOBIERNO CARIBE</v>
          </cell>
        </row>
        <row r="934">
          <cell r="B934" t="str">
            <v>GCIA ZONA ESPECIALISTAS ANT BCA EMPRESA</v>
          </cell>
        </row>
        <row r="935">
          <cell r="B935" t="str">
            <v>GCIA ZONA ESPECIALISTAS BOGOTA BCA EMPRE</v>
          </cell>
        </row>
        <row r="936">
          <cell r="B936" t="str">
            <v>GCIA ZONA GCIAMTO ESPECIALIZADO PYME ANT</v>
          </cell>
        </row>
        <row r="937">
          <cell r="B937" t="str">
            <v>GCIA ZONA GERENCIAMIENTO  BPP BOGOTA</v>
          </cell>
        </row>
        <row r="938">
          <cell r="B938" t="str">
            <v>GCIA ZONA IBAGUE BPP CENTRO</v>
          </cell>
        </row>
        <row r="939">
          <cell r="B939" t="str">
            <v>GCIA ZONA INDUSTRIAL BPP BOGOTA</v>
          </cell>
        </row>
        <row r="940">
          <cell r="B940" t="str">
            <v>GCIA ZONA META BPP CENTRO</v>
          </cell>
        </row>
        <row r="941">
          <cell r="B941" t="str">
            <v>GCIA ZONA METROPOLITANA BPP ANTIOQUIA</v>
          </cell>
        </row>
        <row r="942">
          <cell r="B942" t="str">
            <v>GCIA ZONA METROPOLITANA BPP BOGOTA</v>
          </cell>
        </row>
        <row r="943">
          <cell r="B943" t="str">
            <v>GCIA ZONA NARIÑO BPP SUR</v>
          </cell>
        </row>
        <row r="944">
          <cell r="B944" t="str">
            <v>GCIA ZONA NEIVA BPP CENTRO</v>
          </cell>
        </row>
        <row r="945">
          <cell r="B945" t="str">
            <v>GCIA ZONA NOROCCIDENTE BPP BOGOTA</v>
          </cell>
        </row>
        <row r="946">
          <cell r="B946" t="str">
            <v>GCIA ZONA NORTE BPP ANTIOQUIA</v>
          </cell>
        </row>
        <row r="947">
          <cell r="B947" t="str">
            <v>GCIA ZONA NORTE BPP BOGOTA</v>
          </cell>
        </row>
        <row r="948">
          <cell r="B948" t="str">
            <v>GCIA ZONA NORTE DE SANTANDER BPP CENTRO</v>
          </cell>
        </row>
        <row r="949">
          <cell r="B949" t="str">
            <v>GCIA ZONA OCCIDENTE BPP ANTIOQUIA</v>
          </cell>
        </row>
        <row r="950">
          <cell r="B950" t="str">
            <v>GCIA ZONA OCCIDENTE BPP BOGOTA</v>
          </cell>
        </row>
        <row r="951">
          <cell r="B951" t="str">
            <v>GCIA ZONA ORIENTE BPP BOGOTA</v>
          </cell>
        </row>
        <row r="952">
          <cell r="B952" t="str">
            <v>GCIA ZONA ORINOQUIA Y AMAZONIA BPP CENTR</v>
          </cell>
        </row>
        <row r="953">
          <cell r="B953" t="str">
            <v>GCIA ZONA PERIFERICA BPP ANTIOQUIA</v>
          </cell>
        </row>
        <row r="954">
          <cell r="B954" t="str">
            <v>GCIA ZONA POBLADO BPP ANTIOQUIA</v>
          </cell>
        </row>
        <row r="955">
          <cell r="B955" t="str">
            <v>GCIA ZONA PREFERENCIAL  BPP ANTIOQUIA</v>
          </cell>
        </row>
        <row r="956">
          <cell r="B956" t="str">
            <v>GCIA ZONA PROVEEDORES ACTIVO RESTO PAIS</v>
          </cell>
        </row>
        <row r="957">
          <cell r="B957" t="str">
            <v>GCIA ZONA PYME ANTIOQUIA</v>
          </cell>
        </row>
        <row r="958">
          <cell r="B958" t="str">
            <v>GCIA ZONA PYME BOGOTA Y CENTRO</v>
          </cell>
        </row>
        <row r="959">
          <cell r="B959" t="str">
            <v>GCIA ZONA PYME CARIBE</v>
          </cell>
        </row>
        <row r="960">
          <cell r="B960" t="str">
            <v>GCIA ZONA PYME SUR Y EJE CAFETERO</v>
          </cell>
        </row>
        <row r="961">
          <cell r="B961" t="str">
            <v>GCIA ZONA QUIN Y CTRO DEL VALLE BPP SUR</v>
          </cell>
        </row>
        <row r="962">
          <cell r="B962" t="str">
            <v>GCIA ZONA SABANA BPP BOGOTA</v>
          </cell>
        </row>
        <row r="963">
          <cell r="B963" t="str">
            <v>GCIA ZONA SANTANDER BPP CENTRO</v>
          </cell>
        </row>
        <row r="964">
          <cell r="B964" t="str">
            <v>GCIA ZONA SANTANDERES</v>
          </cell>
        </row>
        <row r="965">
          <cell r="B965" t="str">
            <v>GCIA ZONA SIERRA NEVADA BPP CARIBE</v>
          </cell>
        </row>
        <row r="966">
          <cell r="B966" t="str">
            <v>GCIA ZONA SINU Y SABANAS BPP CARIBE</v>
          </cell>
        </row>
        <row r="967">
          <cell r="B967" t="str">
            <v>GCIA ZONA SUR</v>
          </cell>
        </row>
        <row r="968">
          <cell r="B968" t="str">
            <v>GCIA ZONA SUR BCA EMPRESARIAL</v>
          </cell>
        </row>
        <row r="969">
          <cell r="B969" t="str">
            <v>GCIA ZONA SUR BCA PYMES</v>
          </cell>
        </row>
        <row r="970">
          <cell r="B970" t="str">
            <v>GCIA ZONA SUR BPP ANTIOQUIA</v>
          </cell>
        </row>
        <row r="971">
          <cell r="B971" t="str">
            <v>GCIA ZONA SURCOLOMBIANA BPP CENTRO</v>
          </cell>
        </row>
        <row r="972">
          <cell r="B972" t="str">
            <v>GCIA ZONA SUROCCIDENTE BPP BOGOTA</v>
          </cell>
        </row>
        <row r="973">
          <cell r="B973" t="str">
            <v>GCIA ZONA TOLIMA BPP CENTRO</v>
          </cell>
        </row>
        <row r="974">
          <cell r="B974" t="str">
            <v>GCIA ZONA TUNJA BPP CENTRO</v>
          </cell>
        </row>
        <row r="975">
          <cell r="B975" t="str">
            <v>GCIA ZONA VALLE BPP SUR</v>
          </cell>
        </row>
        <row r="976">
          <cell r="B976" t="str">
            <v>GCIA ZONA VALLE DE ABURRA BPP ANTIOQUIA</v>
          </cell>
        </row>
        <row r="977">
          <cell r="B977" t="str">
            <v>GCIAMIENTO ESPCIALIZADO PYME BUCARAMANGA</v>
          </cell>
        </row>
        <row r="978">
          <cell r="B978" t="str">
            <v>GCIAMIENTO ESPECIALIZADO PYME B/QUILLA</v>
          </cell>
        </row>
        <row r="979">
          <cell r="B979" t="str">
            <v>GCIAMIENTO ESPECIALIZADO PYME CALI</v>
          </cell>
        </row>
        <row r="980">
          <cell r="B980" t="str">
            <v>GCIAMIENTO ESPECIALIZADO PYME CARTAGENA</v>
          </cell>
        </row>
        <row r="981">
          <cell r="B981" t="str">
            <v>GERENCIA DE DESARROLLO  DE SERVICIOS</v>
          </cell>
        </row>
        <row r="982">
          <cell r="B982" t="str">
            <v>GESTION DOCUMENTAL BARRANQUILLA</v>
          </cell>
        </row>
        <row r="983">
          <cell r="B983" t="str">
            <v>GESTION DOCUMENTAL CALI</v>
          </cell>
        </row>
        <row r="984">
          <cell r="B984" t="str">
            <v>GESTION FINANCIERA</v>
          </cell>
        </row>
        <row r="985">
          <cell r="B985" t="str">
            <v>GICA ME BPP ZONA METROPOLITANA  ANT</v>
          </cell>
        </row>
        <row r="986">
          <cell r="B986" t="str">
            <v>HUB</v>
          </cell>
        </row>
        <row r="987">
          <cell r="B987" t="str">
            <v>HUB DE INFORMACION</v>
          </cell>
        </row>
        <row r="988">
          <cell r="B988" t="str">
            <v>INTEGRACION</v>
          </cell>
        </row>
        <row r="989">
          <cell r="B989" t="str">
            <v>LEASING</v>
          </cell>
        </row>
        <row r="990">
          <cell r="B990" t="str">
            <v>MESA CAMBIOS</v>
          </cell>
        </row>
        <row r="991">
          <cell r="B991" t="str">
            <v>MESA CORPORATIVA BARRANQUILLA</v>
          </cell>
        </row>
        <row r="992">
          <cell r="B992" t="str">
            <v>MESA CORPORATIVA BOGOTA</v>
          </cell>
        </row>
        <row r="993">
          <cell r="B993" t="str">
            <v>MESA CORPORATIVA CALI</v>
          </cell>
        </row>
        <row r="994">
          <cell r="B994" t="str">
            <v>MESA CORPORATIVA MEDELLIN</v>
          </cell>
        </row>
        <row r="995">
          <cell r="B995" t="str">
            <v>MESA DERIVADOS</v>
          </cell>
        </row>
        <row r="996">
          <cell r="B996" t="str">
            <v>MESA DINERO</v>
          </cell>
        </row>
        <row r="997">
          <cell r="B997" t="str">
            <v>MESA DIVISAS</v>
          </cell>
        </row>
        <row r="998">
          <cell r="B998" t="str">
            <v>MESA INSTITUCIONAL</v>
          </cell>
        </row>
        <row r="999">
          <cell r="B999" t="str">
            <v>MESA PYME BOGOTA</v>
          </cell>
        </row>
        <row r="1000">
          <cell r="B1000" t="str">
            <v>MESA RENTA VARIABLE E INTERNAL</v>
          </cell>
        </row>
        <row r="1001">
          <cell r="B1001" t="str">
            <v>MESA SERVICIOS FINANCIERO</v>
          </cell>
        </row>
        <row r="1002">
          <cell r="B1002" t="str">
            <v>MESA TASA DE INTERES</v>
          </cell>
        </row>
        <row r="1003">
          <cell r="B1003" t="str">
            <v>MESA TASAS DE INTERES</v>
          </cell>
        </row>
        <row r="1004">
          <cell r="B1004" t="str">
            <v>MI NEGOCIO 20 DE JULIO</v>
          </cell>
        </row>
        <row r="1005">
          <cell r="B1005" t="str">
            <v>MI NEGOCIO ALCALDIA ARMENIA</v>
          </cell>
        </row>
        <row r="1006">
          <cell r="B1006" t="str">
            <v>MI NEGOCIO BOSA</v>
          </cell>
        </row>
        <row r="1007">
          <cell r="B1007" t="str">
            <v>MI NEGOCIO CARIBE</v>
          </cell>
        </row>
        <row r="1008">
          <cell r="B1008" t="str">
            <v>MI NEGOCIO CARRERA 23</v>
          </cell>
        </row>
        <row r="1009">
          <cell r="B1009" t="str">
            <v>MI NEGOCIO CARRERA OCTAVA</v>
          </cell>
        </row>
        <row r="1010">
          <cell r="B1010" t="str">
            <v>MI NEGOCIO CARRERA PRIMERA</v>
          </cell>
        </row>
        <row r="1011">
          <cell r="B1011" t="str">
            <v>MI NEGOCIO CARTAGENA</v>
          </cell>
        </row>
        <row r="1012">
          <cell r="B1012" t="str">
            <v>MI NEGOCIO EL LAGO</v>
          </cell>
        </row>
        <row r="1013">
          <cell r="B1013" t="str">
            <v>MI NEGOCIO GIRON</v>
          </cell>
        </row>
        <row r="1014">
          <cell r="B1014" t="str">
            <v>MI NEGOCIO ITAGUI</v>
          </cell>
        </row>
        <row r="1015">
          <cell r="B1015" t="str">
            <v>MI NEGOCIO LAS FERIAS</v>
          </cell>
        </row>
        <row r="1016">
          <cell r="B1016" t="str">
            <v>MI NEGOCIO LIBERTADOR</v>
          </cell>
        </row>
        <row r="1017">
          <cell r="B1017" t="str">
            <v>MI NEGOCIO MONTERIA</v>
          </cell>
        </row>
        <row r="1018">
          <cell r="B1018" t="str">
            <v>MI NEGOCIO MURILLO</v>
          </cell>
        </row>
        <row r="1019">
          <cell r="B1019" t="str">
            <v>MI NEGOCIO PALMIRA</v>
          </cell>
        </row>
        <row r="1020">
          <cell r="B1020" t="str">
            <v>MI NEGOCIO PARQUE BOLIVAR</v>
          </cell>
        </row>
        <row r="1021">
          <cell r="B1021" t="str">
            <v>MI NEGOCIO PUENTE ARANDA</v>
          </cell>
        </row>
        <row r="1022">
          <cell r="B1022" t="str">
            <v>MI NEGOCIO RIONEGRO</v>
          </cell>
        </row>
        <row r="1023">
          <cell r="B1023" t="str">
            <v>MI NEGOCIO SAN FERNANDO</v>
          </cell>
        </row>
        <row r="1024">
          <cell r="B1024" t="str">
            <v>MI NEGOCIO SANTA MARTA</v>
          </cell>
        </row>
        <row r="1025">
          <cell r="B1025" t="str">
            <v>MI NEGOCIO SOLEDAD</v>
          </cell>
        </row>
        <row r="1026">
          <cell r="B1026" t="str">
            <v>MI NEGOCIO SUBA</v>
          </cell>
        </row>
        <row r="1027">
          <cell r="B1027" t="str">
            <v>MI NEGOCIO TOBERIN</v>
          </cell>
        </row>
        <row r="1028">
          <cell r="B1028" t="str">
            <v>MI NEGOCIO TULUA</v>
          </cell>
        </row>
        <row r="1029">
          <cell r="B1029" t="str">
            <v>MI NEGOCIO VALLEDUPAR</v>
          </cell>
        </row>
        <row r="1030">
          <cell r="B1030" t="str">
            <v>MIGRACION CORE</v>
          </cell>
        </row>
        <row r="1031">
          <cell r="B1031" t="str">
            <v>MIGRACION CORE Y CRM</v>
          </cell>
        </row>
        <row r="1032">
          <cell r="B1032" t="str">
            <v>MIGRACION TARJETAS</v>
          </cell>
        </row>
        <row r="1033">
          <cell r="B1033" t="str">
            <v>MIGRACION TESORERIA</v>
          </cell>
        </row>
        <row r="1034">
          <cell r="B1034" t="str">
            <v>OFICINA IMPLEMENTACION DE ESTRUCTURA</v>
          </cell>
        </row>
        <row r="1035">
          <cell r="B1035" t="str">
            <v>OPERACIONES Y CANALES</v>
          </cell>
        </row>
        <row r="1036">
          <cell r="B1036" t="str">
            <v>PASIVOS</v>
          </cell>
        </row>
        <row r="1037">
          <cell r="B1037" t="str">
            <v>PMO INNOVA</v>
          </cell>
        </row>
        <row r="1038">
          <cell r="B1038" t="str">
            <v>PMO PRODUCTOS Y CANALES</v>
          </cell>
        </row>
        <row r="1039">
          <cell r="B1039" t="str">
            <v>POSICION PROPIA</v>
          </cell>
        </row>
        <row r="1040">
          <cell r="B1040" t="str">
            <v>PRESIDENCIA</v>
          </cell>
        </row>
        <row r="1041">
          <cell r="B1041" t="str">
            <v>PRESIDENCIA LEASING</v>
          </cell>
        </row>
        <row r="1042">
          <cell r="B1042" t="str">
            <v>PRESIDENCIA VALORES</v>
          </cell>
        </row>
        <row r="1043">
          <cell r="B1043" t="str">
            <v>PROC CCIALES DE APERT Y NOVEDADES PDTOS</v>
          </cell>
        </row>
        <row r="1044">
          <cell r="B1044" t="str">
            <v>PROCESOS</v>
          </cell>
        </row>
        <row r="1045">
          <cell r="B1045" t="str">
            <v>PROCESOS CANALES</v>
          </cell>
        </row>
        <row r="1046">
          <cell r="B1046" t="str">
            <v>PROCESOS CARTERA Y TRADE</v>
          </cell>
        </row>
        <row r="1047">
          <cell r="B1047" t="str">
            <v>PROCESOS CLIENTES</v>
          </cell>
        </row>
        <row r="1048">
          <cell r="B1048" t="str">
            <v>PROCESOS CONTABLES Y FINANCIEROS</v>
          </cell>
        </row>
        <row r="1049">
          <cell r="B1049" t="str">
            <v>PROCESOS PAGOS</v>
          </cell>
        </row>
        <row r="1050">
          <cell r="B1050" t="str">
            <v>PROCESOS PASIVOS</v>
          </cell>
        </row>
        <row r="1051">
          <cell r="B1051" t="str">
            <v>PROCESOS SOPORTE APOYO Y FINANCIERO</v>
          </cell>
        </row>
        <row r="1052">
          <cell r="B1052" t="str">
            <v>PROCESOS TARJETAS</v>
          </cell>
        </row>
        <row r="1053">
          <cell r="B1053" t="str">
            <v>PROCESOS TESORERIA</v>
          </cell>
        </row>
        <row r="1054">
          <cell r="B1054" t="str">
            <v>PROYECTO INNOVA</v>
          </cell>
        </row>
        <row r="1055">
          <cell r="B1055" t="str">
            <v>REGIONAL OPERATIVA ANTIOQUIA</v>
          </cell>
        </row>
        <row r="1056">
          <cell r="B1056" t="str">
            <v>REGIONAL OPERATIVA SUR</v>
          </cell>
        </row>
        <row r="1057">
          <cell r="B1057" t="str">
            <v>SEC DLLO BANCA ELECTRONICA</v>
          </cell>
        </row>
        <row r="1058">
          <cell r="B1058" t="str">
            <v>SEC SERVICIO Y CONOCIMIENTO DEL CLIENTE</v>
          </cell>
        </row>
        <row r="1059">
          <cell r="B1059" t="str">
            <v>SEC SOPORTE EN SITIO</v>
          </cell>
        </row>
        <row r="1060">
          <cell r="B1060" t="str">
            <v>SECC CONTROL Y ASESORIA FINANCIERA EMP</v>
          </cell>
        </row>
        <row r="1061">
          <cell r="B1061" t="str">
            <v>SECC SUCURSALES CBN</v>
          </cell>
        </row>
        <row r="1062">
          <cell r="B1062" t="str">
            <v>SECCCION SERVICIOS DEPOSITOS</v>
          </cell>
        </row>
        <row r="1063">
          <cell r="B1063" t="str">
            <v>SECCION  CONTABLE DE CARTERA</v>
          </cell>
        </row>
        <row r="1064">
          <cell r="B1064" t="str">
            <v>SECCION  EMBARGOS Y SOLIC ENTES LEG</v>
          </cell>
        </row>
        <row r="1065">
          <cell r="B1065" t="str">
            <v>SECCION  EMBARGOS Y SOLIC LEGALES</v>
          </cell>
        </row>
        <row r="1066">
          <cell r="B1066" t="str">
            <v>SECCION  FONDOS DE INVERSION</v>
          </cell>
        </row>
        <row r="1067">
          <cell r="B1067" t="str">
            <v>SECCION  INTELIGECIA  DE INFORMACION</v>
          </cell>
        </row>
        <row r="1068">
          <cell r="B1068" t="str">
            <v>SECCION  REQUERIMIENTOS ENTES Y COMEX</v>
          </cell>
        </row>
        <row r="1069">
          <cell r="B1069" t="str">
            <v>SECCION  SERVICIOS DE COMPENSACION</v>
          </cell>
        </row>
        <row r="1070">
          <cell r="B1070" t="str">
            <v>SECCION  SERVICIOS DE RECAUDOS</v>
          </cell>
        </row>
        <row r="1071">
          <cell r="B1071" t="str">
            <v>SECCION ACTIVOS FIJOS BOGOTA Y CENTRO</v>
          </cell>
        </row>
        <row r="1072">
          <cell r="B1072" t="str">
            <v>SECCION ADMINISTRACION CONFIGURACION</v>
          </cell>
        </row>
        <row r="1073">
          <cell r="B1073" t="str">
            <v>SECCION ADMINISTRACION DATOS MAESTROS</v>
          </cell>
        </row>
        <row r="1074">
          <cell r="B1074" t="str">
            <v>SECCION ADMINISTRACION DE PORTAFOLIO</v>
          </cell>
        </row>
        <row r="1075">
          <cell r="B1075" t="str">
            <v>SECCION ADMON DE FIDEICOMISOS</v>
          </cell>
        </row>
        <row r="1076">
          <cell r="B1076" t="str">
            <v>SECCION ADMON DE IDENTIDADES Y ACCESOS</v>
          </cell>
        </row>
        <row r="1077">
          <cell r="B1077" t="str">
            <v>SECCION ADQUISICION DE PORTAFOLIO</v>
          </cell>
        </row>
        <row r="1078">
          <cell r="B1078" t="str">
            <v>SECCION ALIADOS ESTRATEGICOS</v>
          </cell>
        </row>
        <row r="1079">
          <cell r="B1079" t="str">
            <v>SECCION ALIADOS SEGUROS</v>
          </cell>
        </row>
        <row r="1080">
          <cell r="B1080" t="str">
            <v>SECCION ALMACENAMIENTO Y RESPALDO</v>
          </cell>
        </row>
        <row r="1081">
          <cell r="B1081" t="str">
            <v>SECCION ANALISIS RGO DE CREDITO</v>
          </cell>
        </row>
        <row r="1082">
          <cell r="B1082" t="str">
            <v>SECCION ANALITICA Y MINERIA</v>
          </cell>
        </row>
        <row r="1083">
          <cell r="B1083" t="str">
            <v>SECCION APOYO AL TARJETAHABIENTE</v>
          </cell>
        </row>
        <row r="1084">
          <cell r="B1084" t="str">
            <v>SECCION APOYO GESTION  RO Y CONTINUIDAD</v>
          </cell>
        </row>
        <row r="1085">
          <cell r="B1085" t="str">
            <v>SECCION APOYO OPERATIVO  SUR</v>
          </cell>
        </row>
        <row r="1086">
          <cell r="B1086" t="str">
            <v>SECCION APOYO OPERATIVO CARIBE</v>
          </cell>
        </row>
        <row r="1087">
          <cell r="B1087" t="str">
            <v>SECCION APOYO OPERATIVO MEDELLIN</v>
          </cell>
        </row>
        <row r="1088">
          <cell r="B1088" t="str">
            <v>SECCION APTS</v>
          </cell>
        </row>
        <row r="1089">
          <cell r="B1089" t="str">
            <v>SECCION ARQUIT SLN PROYECTOS CORPORATIVO</v>
          </cell>
        </row>
        <row r="1090">
          <cell r="B1090" t="str">
            <v>SECCION ARQUIT SLN PROYECTOS EVOLUTIVOS</v>
          </cell>
        </row>
        <row r="1091">
          <cell r="B1091" t="str">
            <v>SECCION ASEGURAMIENTO DE CALIDAD</v>
          </cell>
        </row>
        <row r="1092">
          <cell r="B1092" t="str">
            <v>SECCION ASESORES INTEGRALES DE SEGURIDAD</v>
          </cell>
        </row>
        <row r="1093">
          <cell r="B1093" t="str">
            <v>SECCION ASIGNACION DE CAPITAL</v>
          </cell>
        </row>
        <row r="1094">
          <cell r="B1094" t="str">
            <v>SECCION AUDITORIA DE INFR E INSTALACION</v>
          </cell>
        </row>
        <row r="1095">
          <cell r="B1095" t="str">
            <v>SECCION AUDITORIA DE PDTOS Y SERVICIOS</v>
          </cell>
        </row>
        <row r="1096">
          <cell r="B1096" t="str">
            <v>SECCION BASE DE DATOS</v>
          </cell>
        </row>
        <row r="1097">
          <cell r="B1097" t="str">
            <v>SECCION CAJEROS AUTOMATICOS</v>
          </cell>
        </row>
        <row r="1098">
          <cell r="B1098" t="str">
            <v>SECCION CAJEROS ELECTRONICOS</v>
          </cell>
        </row>
        <row r="1099">
          <cell r="B1099" t="str">
            <v>SECCION CANAL VITUAL  Y TELEFONICO MK</v>
          </cell>
        </row>
        <row r="1100">
          <cell r="B1100" t="str">
            <v>SECCION CANALES</v>
          </cell>
        </row>
        <row r="1101">
          <cell r="B1101" t="str">
            <v>SECCION CANALES</v>
          </cell>
        </row>
        <row r="1102">
          <cell r="B1102" t="str">
            <v>SECCION CANALES ESPECIALIZADOS</v>
          </cell>
        </row>
        <row r="1103">
          <cell r="B1103" t="str">
            <v>SECCION CANALES INDIRECTOS ANTIOQUIA</v>
          </cell>
        </row>
        <row r="1104">
          <cell r="B1104" t="str">
            <v>SECCION CANALES INDIRECTOS BOGOTA</v>
          </cell>
        </row>
        <row r="1105">
          <cell r="B1105" t="str">
            <v>SECCION CANALES INDIRECTOS CARIBE</v>
          </cell>
        </row>
        <row r="1106">
          <cell r="B1106" t="str">
            <v>SECCION CANALES INDIRECTOS CENTRO</v>
          </cell>
        </row>
        <row r="1107">
          <cell r="B1107" t="str">
            <v>SECCION CANALES INDIRECTOS SUR</v>
          </cell>
        </row>
        <row r="1108">
          <cell r="B1108" t="str">
            <v>SECCION CANALES TRADICIONALES</v>
          </cell>
        </row>
        <row r="1109">
          <cell r="B1109" t="str">
            <v>SECCION CAPTACIONES</v>
          </cell>
        </row>
        <row r="1110">
          <cell r="B1110" t="str">
            <v>SECCION CARTERA COMERCIAL</v>
          </cell>
        </row>
        <row r="1111">
          <cell r="B1111" t="str">
            <v>SECCION CARTERA HIPOTECARIA</v>
          </cell>
        </row>
        <row r="1112">
          <cell r="B1112" t="str">
            <v>SECCION CARTERAS COLECTIVAS</v>
          </cell>
        </row>
        <row r="1113">
          <cell r="B1113" t="str">
            <v>SECCION CCIAL COLECTIVOS ANT</v>
          </cell>
        </row>
        <row r="1114">
          <cell r="B1114" t="str">
            <v>SECCION CCIAL COLECTIVOS ANT 1</v>
          </cell>
        </row>
        <row r="1115">
          <cell r="B1115" t="str">
            <v>SECCION CCIAL COLECTIVOS ANT 3</v>
          </cell>
        </row>
        <row r="1116">
          <cell r="B1116" t="str">
            <v>SECCION CCIAL COLECTIVOS BOGOTA</v>
          </cell>
        </row>
        <row r="1117">
          <cell r="B1117" t="str">
            <v>SECCION CCIAL COLECTIVOS BOGOTA 2</v>
          </cell>
        </row>
        <row r="1118">
          <cell r="B1118" t="str">
            <v>SECCION CCIAL COLECTIVOS BOGOTA 3</v>
          </cell>
        </row>
        <row r="1119">
          <cell r="B1119" t="str">
            <v>SECCION CCIAL COLECTIVOS BOGOTA 4</v>
          </cell>
        </row>
        <row r="1120">
          <cell r="B1120" t="str">
            <v>SECCION CCIAL COLECTIVOS CARIBE</v>
          </cell>
        </row>
        <row r="1121">
          <cell r="B1121" t="str">
            <v>SECCION CCIAL COLECTIVOS CARIBE 2</v>
          </cell>
        </row>
        <row r="1122">
          <cell r="B1122" t="str">
            <v>SECCION CCIAL COLECTIVOS CENTRO</v>
          </cell>
        </row>
        <row r="1123">
          <cell r="B1123" t="str">
            <v>SECCION CCIAL COLECTIVOS CENTRO 2</v>
          </cell>
        </row>
        <row r="1124">
          <cell r="B1124" t="str">
            <v>SECCION CCIAL COLECTIVOS SUR</v>
          </cell>
        </row>
        <row r="1125">
          <cell r="B1125" t="str">
            <v>SECCION CCIAL COLECTIVOS SUR 2</v>
          </cell>
        </row>
        <row r="1126">
          <cell r="B1126" t="str">
            <v>SECCION CCIAL MIT Y ADQUIRENCIA ANT</v>
          </cell>
        </row>
        <row r="1127">
          <cell r="B1127" t="str">
            <v>SECCION CCIAL MIT Y ADQUIRENCIA BOGOTA 1</v>
          </cell>
        </row>
        <row r="1128">
          <cell r="B1128" t="str">
            <v>SECCION CCIAL MIT Y ADQUIRENCIA BOGOTA 2</v>
          </cell>
        </row>
        <row r="1129">
          <cell r="B1129" t="str">
            <v>SECCION CCIAL MIT Y ADQUIRENCIA CARIBE</v>
          </cell>
        </row>
        <row r="1130">
          <cell r="B1130" t="str">
            <v>SECCION CCIAL MIT Y ADQUIRENCIA CENTRO</v>
          </cell>
        </row>
        <row r="1131">
          <cell r="B1131" t="str">
            <v>SECCION CCIAL MIT Y ADQUIRENCIA SUR</v>
          </cell>
        </row>
        <row r="1132">
          <cell r="B1132" t="str">
            <v>SECCION CENTRO DE TELECOMUNICACIONES</v>
          </cell>
        </row>
        <row r="1133">
          <cell r="B1133" t="str">
            <v>SECCION CERTF CANALES MEDIOS DE PAGO</v>
          </cell>
        </row>
        <row r="1134">
          <cell r="B1134" t="str">
            <v>SECCION CERTF INTEGRACION E INFORMACION</v>
          </cell>
        </row>
        <row r="1135">
          <cell r="B1135" t="str">
            <v>SECCION CERTF MERCADO DE CAPITALES</v>
          </cell>
        </row>
        <row r="1136">
          <cell r="B1136" t="str">
            <v>SECCION CERTF NEGOCIOS DEL ACTIVO</v>
          </cell>
        </row>
        <row r="1137">
          <cell r="B1137" t="str">
            <v>SECCION CERTF NEGOCIOS DEL PASIVO Y ESPE</v>
          </cell>
        </row>
        <row r="1138">
          <cell r="B1138" t="str">
            <v>SECCION CERTF SAP Y APLICACIONES CORPO</v>
          </cell>
        </row>
        <row r="1139">
          <cell r="B1139" t="str">
            <v>SECCION COBRANZAS CASAS EXTERNAS</v>
          </cell>
        </row>
        <row r="1140">
          <cell r="B1140" t="str">
            <v>SECCION COBRANZAS URA ANTIOQUIA</v>
          </cell>
        </row>
        <row r="1141">
          <cell r="B1141" t="str">
            <v>SECCION COBRANZAS URA BOGOTA</v>
          </cell>
        </row>
        <row r="1142">
          <cell r="B1142" t="str">
            <v>SECCION COBRANZAS URA CARIBE</v>
          </cell>
        </row>
        <row r="1143">
          <cell r="B1143" t="str">
            <v>SECCION COBRANZAS URA CENTRO</v>
          </cell>
        </row>
        <row r="1144">
          <cell r="B1144" t="str">
            <v>SECCION COBRANZAS URA SUR</v>
          </cell>
        </row>
        <row r="1145">
          <cell r="B1145" t="str">
            <v>SECCION COMERCIALIZACION DE ACT BOG</v>
          </cell>
        </row>
        <row r="1146">
          <cell r="B1146" t="str">
            <v>SECCION COMERCIALIZACION DE ACT FIJOS</v>
          </cell>
        </row>
        <row r="1147">
          <cell r="B1147" t="str">
            <v>SECCION CONCILIACIONES</v>
          </cell>
        </row>
        <row r="1148">
          <cell r="B1148" t="str">
            <v>SECCION CONCILIACIONES BANCARIAS</v>
          </cell>
        </row>
        <row r="1149">
          <cell r="B1149" t="str">
            <v>SECCION CONSOLIDACION</v>
          </cell>
        </row>
        <row r="1150">
          <cell r="B1150" t="str">
            <v>SECCION CONTABILIDAD CLIENTES</v>
          </cell>
        </row>
        <row r="1151">
          <cell r="B1151" t="str">
            <v>SECCION CONTABILIDAD FIDUCIARIA</v>
          </cell>
        </row>
        <row r="1152">
          <cell r="B1152" t="str">
            <v>SECCION CONTABL E INFORMES MEDIOS DE PAG</v>
          </cell>
        </row>
        <row r="1153">
          <cell r="B1153" t="str">
            <v>SECCION CONTABLE  ADMISTRATIVA</v>
          </cell>
        </row>
        <row r="1154">
          <cell r="B1154" t="str">
            <v>SECCION CONTABLE DEL ACTIVO FIJO</v>
          </cell>
        </row>
        <row r="1155">
          <cell r="B1155" t="str">
            <v>SECCION CONTABLE DEL GASTO Y RECAUDO</v>
          </cell>
        </row>
        <row r="1156">
          <cell r="B1156" t="str">
            <v>SECCION CONTRATACION Y COMPRAS</v>
          </cell>
        </row>
        <row r="1157">
          <cell r="B1157" t="str">
            <v>SECCION CONTROL DE ACCESOS</v>
          </cell>
        </row>
        <row r="1158">
          <cell r="B1158" t="str">
            <v>SECCION CORRETAJE Y APT</v>
          </cell>
        </row>
        <row r="1159">
          <cell r="B1159" t="str">
            <v>SECCION CREACION DE PRODUCTOS RENTING</v>
          </cell>
        </row>
        <row r="1160">
          <cell r="B1160" t="str">
            <v>SECCION CREDITO FACTORING</v>
          </cell>
        </row>
        <row r="1161">
          <cell r="B1161" t="str">
            <v>SECCION CREDITO SUFI ANTIOQUIA Y CARIBE</v>
          </cell>
        </row>
        <row r="1162">
          <cell r="B1162" t="str">
            <v>SECCION CREDITO SUFI BOGOTA Y CENTRO</v>
          </cell>
        </row>
        <row r="1163">
          <cell r="B1163" t="str">
            <v>SECCION CREDITO SUFI SUR</v>
          </cell>
        </row>
        <row r="1164">
          <cell r="B1164" t="str">
            <v>SECCION CREDITOS PASIVOS</v>
          </cell>
        </row>
        <row r="1165">
          <cell r="B1165" t="str">
            <v>SECCION CREDITOS PASIVOS Y REDESCUENTO</v>
          </cell>
        </row>
        <row r="1166">
          <cell r="B1166" t="str">
            <v>SECCION CUANTIFICACION DE RIESGO</v>
          </cell>
        </row>
        <row r="1167">
          <cell r="B1167" t="str">
            <v>SECCION DATOS MAESTROS Y OPERACIONALES</v>
          </cell>
        </row>
        <row r="1168">
          <cell r="B1168" t="str">
            <v>SECCION DE APOYO ADMINISTRATIVO PIC</v>
          </cell>
        </row>
        <row r="1169">
          <cell r="B1169" t="str">
            <v>SECCION DE CREDITO BANCA EMPRESARIAL</v>
          </cell>
        </row>
        <row r="1170">
          <cell r="B1170" t="str">
            <v>SECCION DE CREDITO BANCA PYME</v>
          </cell>
        </row>
        <row r="1171">
          <cell r="B1171" t="str">
            <v>SECCION DE ENDEUDAMIENTO E INFORMES</v>
          </cell>
        </row>
        <row r="1172">
          <cell r="B1172" t="str">
            <v>SECCION DE IMPUESTOS DE FILIALES</v>
          </cell>
        </row>
        <row r="1173">
          <cell r="B1173" t="str">
            <v>SECCION DE IMPUESTOS FIDUCIARIA</v>
          </cell>
        </row>
        <row r="1174">
          <cell r="B1174" t="str">
            <v>SECCION DE PROCESOS DE CLIENTES</v>
          </cell>
        </row>
        <row r="1175">
          <cell r="B1175" t="str">
            <v>SECCION DE REDES SOCIALES</v>
          </cell>
        </row>
        <row r="1176">
          <cell r="B1176" t="str">
            <v>SECCION DEF CONTABLES ADTIVAS Y DE CNALE</v>
          </cell>
        </row>
        <row r="1177">
          <cell r="B1177" t="str">
            <v>SECCION DEFINICIONES CONTABLES DE PDTOS</v>
          </cell>
        </row>
        <row r="1178">
          <cell r="B1178" t="str">
            <v>SECCION DEFINICIONES Y ASESORIA TRIBUTAR</v>
          </cell>
        </row>
        <row r="1179">
          <cell r="B1179" t="str">
            <v>SECCION DESARROLLO DE CANALES ALTERNOS</v>
          </cell>
        </row>
        <row r="1180">
          <cell r="B1180" t="str">
            <v>SECCION DESEMBOLSOS REDESCUENTOS</v>
          </cell>
        </row>
        <row r="1181">
          <cell r="B1181" t="str">
            <v>SECCION DESEMBOLSOS Y GARANTIAS</v>
          </cell>
        </row>
        <row r="1182">
          <cell r="B1182" t="str">
            <v>SECCION DISEÑO DE SEGURIDAD</v>
          </cell>
        </row>
        <row r="1183">
          <cell r="B1183" t="str">
            <v>SECCION DISEÑO E IMPLEMENTACION DE SEGUR</v>
          </cell>
        </row>
        <row r="1184">
          <cell r="B1184" t="str">
            <v>SECCION DISEÑOS Y ADECUACIONES</v>
          </cell>
        </row>
        <row r="1185">
          <cell r="B1185" t="str">
            <v>SECCION DLLO ADMINISTRATIVO Y GTION HUMA</v>
          </cell>
        </row>
        <row r="1186">
          <cell r="B1186" t="str">
            <v>SECCION DLLO APLICACIONES TI</v>
          </cell>
        </row>
        <row r="1187">
          <cell r="B1187" t="str">
            <v>SECCION DLLO CANALES A DISTANCIA</v>
          </cell>
        </row>
        <row r="1188">
          <cell r="B1188" t="str">
            <v>SECCION DLLO CANALES CORE</v>
          </cell>
        </row>
        <row r="1189">
          <cell r="B1189" t="str">
            <v>SECCION DLLO CANALES FISICOS</v>
          </cell>
        </row>
        <row r="1190">
          <cell r="B1190" t="str">
            <v>SECCION DLLO CARTERA COMERCIAL Y CONSUMO</v>
          </cell>
        </row>
        <row r="1191">
          <cell r="B1191" t="str">
            <v>SECCION DLLO CLIENTES LEGADOS</v>
          </cell>
        </row>
        <row r="1192">
          <cell r="B1192" t="str">
            <v>SECCION DLLO COMERCIO</v>
          </cell>
        </row>
        <row r="1193">
          <cell r="B1193" t="str">
            <v>SECCION DLLO DEL PASIVO</v>
          </cell>
        </row>
        <row r="1194">
          <cell r="B1194" t="str">
            <v>SECCION DLLO FACTORIG</v>
          </cell>
        </row>
        <row r="1195">
          <cell r="B1195" t="str">
            <v>SECCION DLLO FILIALES DEL EXTERIOR</v>
          </cell>
        </row>
        <row r="1196">
          <cell r="B1196" t="str">
            <v>SECCION DLLO FINANCIERO Y CONTABILIDAD</v>
          </cell>
        </row>
        <row r="1197">
          <cell r="B1197" t="str">
            <v>SECCION DLLO LEASING</v>
          </cell>
        </row>
        <row r="1198">
          <cell r="B1198" t="str">
            <v>SECCION DLLO PIC Y CREDITO HIPOTECARIO</v>
          </cell>
        </row>
        <row r="1199">
          <cell r="B1199" t="str">
            <v>SECCION DLLO RIESGOS</v>
          </cell>
        </row>
        <row r="1200">
          <cell r="B1200" t="str">
            <v>SECCION DLLO SEGURIDAD</v>
          </cell>
        </row>
        <row r="1201">
          <cell r="B1201" t="str">
            <v>SECCION DLLO SERVICIOS DE INTEGRACION</v>
          </cell>
        </row>
        <row r="1202">
          <cell r="B1202" t="str">
            <v>SECCION DLLO SUFI</v>
          </cell>
        </row>
        <row r="1203">
          <cell r="B1203" t="str">
            <v>SECCION DLLO TARJETA DE CREDITO Y ADQUIR</v>
          </cell>
        </row>
        <row r="1204">
          <cell r="B1204" t="str">
            <v>SECCION DLLO TARJETA DEBITO</v>
          </cell>
        </row>
        <row r="1205">
          <cell r="B1205" t="str">
            <v>SECCION DLLO TRANSVERSAL SAP</v>
          </cell>
        </row>
        <row r="1206">
          <cell r="B1206" t="str">
            <v>SECCION DLLO VISUALIZACION Y ENTREGA</v>
          </cell>
        </row>
        <row r="1207">
          <cell r="B1207" t="str">
            <v>SECCION E TRADING</v>
          </cell>
        </row>
        <row r="1208">
          <cell r="B1208" t="str">
            <v>SECCION EMISIONES  20F</v>
          </cell>
        </row>
        <row r="1209">
          <cell r="B1209" t="str">
            <v>SECCION ESTRATEGIA CLIENTES SUFI</v>
          </cell>
        </row>
        <row r="1210">
          <cell r="B1210" t="str">
            <v>SECCION ESTRATEGIA DE CONTRATACION Y COM</v>
          </cell>
        </row>
        <row r="1211">
          <cell r="B1211" t="str">
            <v>SECCION ESTRATEGIA DE CUMPLIMIENTO</v>
          </cell>
        </row>
        <row r="1212">
          <cell r="B1212" t="str">
            <v>SECCION EXPERIENCIA DEL CLIENTE</v>
          </cell>
        </row>
        <row r="1213">
          <cell r="B1213" t="str">
            <v>SECCION FALLAS DE TI</v>
          </cell>
        </row>
        <row r="1214">
          <cell r="B1214" t="str">
            <v>SECCION FIDUCIA PRIVADA 1</v>
          </cell>
        </row>
        <row r="1215">
          <cell r="B1215" t="str">
            <v>SECCION FIDUCIA PRIVADA 2</v>
          </cell>
        </row>
        <row r="1216">
          <cell r="B1216" t="str">
            <v>SECCION FIDUCIA PRIVADA 3</v>
          </cell>
        </row>
        <row r="1217">
          <cell r="B1217" t="str">
            <v>SECCION FIDUCIA PRIVADA 4</v>
          </cell>
        </row>
        <row r="1218">
          <cell r="B1218" t="str">
            <v>SECCION FIDUCIA PRIVADA 5</v>
          </cell>
        </row>
        <row r="1219">
          <cell r="B1219" t="str">
            <v>SECCION FIDUCIA PRIVADA 6</v>
          </cell>
        </row>
        <row r="1220">
          <cell r="B1220" t="str">
            <v>SECCION FIDUCIA PRIVADA 7</v>
          </cell>
        </row>
        <row r="1221">
          <cell r="B1221" t="str">
            <v>SECCION FIDUCIA PRIVADA 8</v>
          </cell>
        </row>
        <row r="1222">
          <cell r="B1222" t="str">
            <v>SECCION FIDUCIA PUBLICA 1</v>
          </cell>
        </row>
        <row r="1223">
          <cell r="B1223" t="str">
            <v>SECCION FIDUCIA PUBLICA 2</v>
          </cell>
        </row>
        <row r="1224">
          <cell r="B1224" t="str">
            <v>SECCION FIDUCIA PUBLICA 3</v>
          </cell>
        </row>
        <row r="1225">
          <cell r="B1225" t="str">
            <v>SECCION FIDUCIA PUBLICA 5</v>
          </cell>
        </row>
        <row r="1226">
          <cell r="B1226" t="str">
            <v>SECCION FIDUCIA PUBLICA 6</v>
          </cell>
        </row>
        <row r="1227">
          <cell r="B1227" t="str">
            <v>SECCION FINANCIERO Y DLLO CONTABILIDAD</v>
          </cell>
        </row>
        <row r="1228">
          <cell r="B1228" t="str">
            <v>SECCION FORMACION</v>
          </cell>
        </row>
        <row r="1229">
          <cell r="B1229" t="str">
            <v>SECCION GARANTIAS Y DESEMBOLSOS SUFI</v>
          </cell>
        </row>
        <row r="1230">
          <cell r="B1230" t="str">
            <v>SECCION GENERACION ESTADOS FCROS E INF</v>
          </cell>
        </row>
        <row r="1231">
          <cell r="B1231" t="str">
            <v>SECCION GESTION ANALITICA DE CUMPLIMIENT</v>
          </cell>
        </row>
        <row r="1232">
          <cell r="B1232" t="str">
            <v>SECCION GESTION BANCARIA</v>
          </cell>
        </row>
        <row r="1233">
          <cell r="B1233" t="str">
            <v>SECCION GESTION CONTABLE</v>
          </cell>
        </row>
        <row r="1234">
          <cell r="B1234" t="str">
            <v>SECCION GESTION CONTABLE  Y REPORTES LMC</v>
          </cell>
        </row>
        <row r="1235">
          <cell r="B1235" t="str">
            <v>SECCION GESTION CONTROLES DE SEGURIDAD</v>
          </cell>
        </row>
        <row r="1236">
          <cell r="B1236" t="str">
            <v>SECCION GESTION DE CAMBIOS</v>
          </cell>
        </row>
        <row r="1237">
          <cell r="B1237" t="str">
            <v>SECCION GESTION DE FALLAS TECNOLOGICAS</v>
          </cell>
        </row>
        <row r="1238">
          <cell r="B1238" t="str">
            <v>SECCION GESTION DE INFRAESTRUCTURA</v>
          </cell>
        </row>
        <row r="1239">
          <cell r="B1239" t="str">
            <v>SECCION GESTION DE INVERSIONES</v>
          </cell>
        </row>
        <row r="1240">
          <cell r="B1240" t="str">
            <v>SECCION GESTION DE LA DEMANDA CANALES</v>
          </cell>
        </row>
        <row r="1241">
          <cell r="B1241" t="str">
            <v>SECCION GESTION DE LA DEMANDA MIT</v>
          </cell>
        </row>
        <row r="1242">
          <cell r="B1242" t="str">
            <v>SECCION GESTION DE PROPIEDAD</v>
          </cell>
        </row>
        <row r="1243">
          <cell r="B1243" t="str">
            <v>SECCION GESTION DE SERVICIOS</v>
          </cell>
        </row>
        <row r="1244">
          <cell r="B1244" t="str">
            <v>SECCION GESTION DEL CAMBIO Y DESARROLLO</v>
          </cell>
        </row>
        <row r="1245">
          <cell r="B1245" t="str">
            <v>SECCION GESTION DEMANDA MEDIOS DE PAGO</v>
          </cell>
        </row>
        <row r="1246">
          <cell r="B1246" t="str">
            <v>SECCION GESTION DOCUMENTAL COLABORACION</v>
          </cell>
        </row>
        <row r="1247">
          <cell r="B1247" t="str">
            <v>SECCION GESTION INTERNACIONAL</v>
          </cell>
        </row>
        <row r="1248">
          <cell r="B1248" t="str">
            <v>SECCION GESTION OPERACIONES FINANCIERAS</v>
          </cell>
        </row>
        <row r="1249">
          <cell r="B1249" t="str">
            <v>SECCION GESTION PROC INTEG DE ABASTECI</v>
          </cell>
        </row>
        <row r="1250">
          <cell r="B1250" t="str">
            <v>SECCION GESTORES DE CAPACIDAD</v>
          </cell>
        </row>
        <row r="1251">
          <cell r="B1251" t="str">
            <v>SECCION GOBIERNO Y ESTRATEGIA DE SEGURID</v>
          </cell>
        </row>
        <row r="1252">
          <cell r="B1252" t="str">
            <v>SECCION GRABACION LIMITES</v>
          </cell>
        </row>
        <row r="1253">
          <cell r="B1253" t="str">
            <v>SECCION GTION ADTIVA DE ING DE PROCS</v>
          </cell>
        </row>
        <row r="1254">
          <cell r="B1254" t="str">
            <v>SECCION HERRAMIENTAS DE INTEGRACION</v>
          </cell>
        </row>
        <row r="1255">
          <cell r="B1255" t="str">
            <v>SECCION IMPORTACIONES LEASING</v>
          </cell>
        </row>
        <row r="1256">
          <cell r="B1256" t="str">
            <v>SECCION IMPUESTOS LEASING</v>
          </cell>
        </row>
        <row r="1257">
          <cell r="B1257" t="str">
            <v>SECCION IMPUESTOS RENTA</v>
          </cell>
        </row>
        <row r="1258">
          <cell r="B1258" t="str">
            <v>SECCION IMPUESTOS VALORES</v>
          </cell>
        </row>
        <row r="1259">
          <cell r="B1259" t="str">
            <v>SECCION INFORMACION CLIENTES</v>
          </cell>
        </row>
        <row r="1260">
          <cell r="B1260" t="str">
            <v>SECCION INFORMACION DE CUMPLIMIENTO</v>
          </cell>
        </row>
        <row r="1261">
          <cell r="B1261" t="str">
            <v>SECCION INFORMACION FINANCIERA EMPRESAS</v>
          </cell>
        </row>
        <row r="1262">
          <cell r="B1262" t="str">
            <v>SECCION INFORMACION Y MEDICION</v>
          </cell>
        </row>
        <row r="1263">
          <cell r="B1263" t="str">
            <v>SECCION INFORMACION Y MERCADEO</v>
          </cell>
        </row>
        <row r="1264">
          <cell r="B1264" t="str">
            <v>SECCION INFRA CAJEROS ELECTRONICOS</v>
          </cell>
        </row>
        <row r="1265">
          <cell r="B1265" t="str">
            <v>SECCION INFRAESTRUCTURA APLICATIVA</v>
          </cell>
        </row>
        <row r="1266">
          <cell r="B1266" t="str">
            <v>SECCION INFRAESTRUCTURA CANALES</v>
          </cell>
        </row>
        <row r="1267">
          <cell r="B1267" t="str">
            <v>SECCION ING DE PROCESOS ESPECIALES</v>
          </cell>
        </row>
        <row r="1268">
          <cell r="B1268" t="str">
            <v>SECCION INGENIERIA PROCESOS DE CARTERA</v>
          </cell>
        </row>
        <row r="1269">
          <cell r="B1269" t="str">
            <v>SECCION INTELIGENCIA COMERCIAL</v>
          </cell>
        </row>
        <row r="1270">
          <cell r="B1270" t="str">
            <v>SECCION INTELIGENCIA DE NEGOCIOS</v>
          </cell>
        </row>
        <row r="1271">
          <cell r="B1271" t="str">
            <v>SECCION INTERNET Y REDES EXTERNAS</v>
          </cell>
        </row>
        <row r="1272">
          <cell r="B1272" t="str">
            <v>SECCION INVESTIGACION Y DESARROLLO</v>
          </cell>
        </row>
        <row r="1273">
          <cell r="B1273" t="str">
            <v>SECCION INVESTIGACION Y MONITOREO DE SEG</v>
          </cell>
        </row>
        <row r="1274">
          <cell r="B1274" t="str">
            <v>SECCION INVESTIGACIONES ESPECIALES</v>
          </cell>
        </row>
        <row r="1275">
          <cell r="B1275" t="str">
            <v>SECCION IVA E ICA</v>
          </cell>
        </row>
        <row r="1276">
          <cell r="B1276" t="str">
            <v>SECCION JURID ANTIOQUIA BANC EMP Y GOB</v>
          </cell>
        </row>
        <row r="1277">
          <cell r="B1277" t="str">
            <v>SECCION JURID BOGOTA SABANA Y CENTRO BEG</v>
          </cell>
        </row>
        <row r="1278">
          <cell r="B1278" t="str">
            <v>SECCION JURID BPP BGTA SABANA Y CENTRO</v>
          </cell>
        </row>
        <row r="1279">
          <cell r="B1279" t="str">
            <v>SECCION JURID CARIBE BANC EMP Y GOB</v>
          </cell>
        </row>
        <row r="1280">
          <cell r="B1280" t="str">
            <v>SECCION JURID PERSONAS Y PYME ANTIOQUIA</v>
          </cell>
        </row>
        <row r="1281">
          <cell r="B1281" t="str">
            <v>SECCION JURID SUR BANC EMP Y GOB</v>
          </cell>
        </row>
        <row r="1282">
          <cell r="B1282" t="str">
            <v>SECCION JURIDICA ANTIOQUIA 2</v>
          </cell>
        </row>
        <row r="1283">
          <cell r="B1283" t="str">
            <v>SECCION JURIDICA BANCA GOBIERNO</v>
          </cell>
        </row>
        <row r="1284">
          <cell r="B1284" t="str">
            <v>SECCION JURIDICA BCA EMPRESAS Y GOBIERNO</v>
          </cell>
        </row>
        <row r="1285">
          <cell r="B1285" t="str">
            <v>SECCION JURIDICA COBRANZAS ANTIOQUIA</v>
          </cell>
        </row>
        <row r="1286">
          <cell r="B1286" t="str">
            <v>SECCION JURIDICA CONCURSALES</v>
          </cell>
        </row>
        <row r="1287">
          <cell r="B1287" t="str">
            <v>SECCION JURIDICA DE RECUPER CARTERA BOG</v>
          </cell>
        </row>
        <row r="1288">
          <cell r="B1288" t="str">
            <v>SECCION JURIDICA FACTORING</v>
          </cell>
        </row>
        <row r="1289">
          <cell r="B1289" t="str">
            <v>SECCION JURIDICA HIPOTECARIA</v>
          </cell>
        </row>
        <row r="1290">
          <cell r="B1290" t="str">
            <v>SECCION JURIDICA INMOBILIARIA</v>
          </cell>
        </row>
        <row r="1291">
          <cell r="B1291" t="str">
            <v>SECCION JURIDICA INSTITUCIONAL</v>
          </cell>
        </row>
        <row r="1292">
          <cell r="B1292" t="str">
            <v>SECCION JURIDICA INTERNACIONAL MED</v>
          </cell>
        </row>
        <row r="1293">
          <cell r="B1293" t="str">
            <v>SECCION JURIDICA MEDIOS DE PAGO</v>
          </cell>
        </row>
        <row r="1294">
          <cell r="B1294" t="str">
            <v>SECCION JURIDICA PROCS ESPECIALES ANT</v>
          </cell>
        </row>
        <row r="1295">
          <cell r="B1295" t="str">
            <v>SECCION JURIDICA PROCS ESPECIALES BOG</v>
          </cell>
        </row>
        <row r="1296">
          <cell r="B1296" t="str">
            <v>SECCION JURIDICA SUFI</v>
          </cell>
        </row>
        <row r="1297">
          <cell r="B1297" t="str">
            <v>SECCION LIBRANZA</v>
          </cell>
        </row>
        <row r="1298">
          <cell r="B1298" t="str">
            <v>SECCION LINEA DE CONOCIMIENTO 1</v>
          </cell>
        </row>
        <row r="1299">
          <cell r="B1299" t="str">
            <v>SECCION LINEA DE CONOCIMIENTO 2</v>
          </cell>
        </row>
        <row r="1300">
          <cell r="B1300" t="str">
            <v>SECCION LINEA DE CONOCIMIENTO 3</v>
          </cell>
        </row>
        <row r="1301">
          <cell r="B1301" t="str">
            <v>SECCION LIQUIDEZ</v>
          </cell>
        </row>
        <row r="1302">
          <cell r="B1302" t="str">
            <v>SECCION LOGISTICA Y DISTRIBUCION</v>
          </cell>
        </row>
        <row r="1303">
          <cell r="B1303" t="str">
            <v>SECCION MDEO ANALITICO E INF CLIENTES</v>
          </cell>
        </row>
        <row r="1304">
          <cell r="B1304" t="str">
            <v>SECCION MEDICION COMERCIAL</v>
          </cell>
        </row>
        <row r="1305">
          <cell r="B1305" t="str">
            <v>SECCION MERCADEO RELACIONAL</v>
          </cell>
        </row>
        <row r="1306">
          <cell r="B1306" t="str">
            <v>SECCION MERCADEO RELACIONAL BPP</v>
          </cell>
        </row>
        <row r="1307">
          <cell r="B1307" t="str">
            <v>SECCION MERCADO CAMBIARIO</v>
          </cell>
        </row>
        <row r="1308">
          <cell r="B1308" t="str">
            <v>SECCION MESA DE AYUDA JURIDICA</v>
          </cell>
        </row>
        <row r="1309">
          <cell r="B1309" t="str">
            <v>SECCION MESA INTEGRADA DE SERVICIOS</v>
          </cell>
        </row>
        <row r="1310">
          <cell r="B1310" t="str">
            <v>SECCION METRICAS Y DESEMPEÑO</v>
          </cell>
        </row>
        <row r="1311">
          <cell r="B1311" t="str">
            <v>SECCION MIDDLE OFFICE</v>
          </cell>
        </row>
        <row r="1312">
          <cell r="B1312" t="str">
            <v>SECCION MITIGACION RIESGO OPERACIONAL</v>
          </cell>
        </row>
        <row r="1313">
          <cell r="B1313" t="str">
            <v>SECCION MONITOREO DE COMPLIANCE</v>
          </cell>
        </row>
        <row r="1314">
          <cell r="B1314" t="str">
            <v>SECCION MONITOREO NORMAS CIERRES  FINANC</v>
          </cell>
        </row>
        <row r="1315">
          <cell r="B1315" t="str">
            <v>SECCION MONITOREO TI</v>
          </cell>
        </row>
        <row r="1316">
          <cell r="B1316" t="str">
            <v>SECCION NEGOCIOS ESPECIALES 2</v>
          </cell>
        </row>
        <row r="1317">
          <cell r="B1317" t="str">
            <v>SECCION NEGOCIOS ESPECIALES 3</v>
          </cell>
        </row>
        <row r="1318">
          <cell r="B1318" t="str">
            <v>SECCION NEGOCIOS ESPECIALES 4</v>
          </cell>
        </row>
        <row r="1319">
          <cell r="B1319" t="str">
            <v>SECCION NEGOCIOS ESPECIALES 5</v>
          </cell>
        </row>
        <row r="1320">
          <cell r="B1320" t="str">
            <v>SECCION NEGOCIOS FIDUCIARIOS</v>
          </cell>
        </row>
        <row r="1321">
          <cell r="B1321" t="str">
            <v>SECCION NOMINA</v>
          </cell>
        </row>
        <row r="1322">
          <cell r="B1322" t="str">
            <v>SECCION OPERACION DE LA MALLA</v>
          </cell>
        </row>
        <row r="1323">
          <cell r="B1323" t="str">
            <v>SECCION OPERACIONES  ESPECIALES</v>
          </cell>
        </row>
        <row r="1324">
          <cell r="B1324" t="str">
            <v>SECCION OPERACIONES CONTABLES</v>
          </cell>
        </row>
        <row r="1325">
          <cell r="B1325" t="str">
            <v>SECCION OPERACIONES DE TESORERIA</v>
          </cell>
        </row>
        <row r="1326">
          <cell r="B1326" t="str">
            <v>SECCION OPERACIONES INMOBILIARIAS 1</v>
          </cell>
        </row>
        <row r="1327">
          <cell r="B1327" t="str">
            <v>SECCION OPERACIONES INMOBILIARIAS 2</v>
          </cell>
        </row>
        <row r="1328">
          <cell r="B1328" t="str">
            <v>SECCION OPERACIONES INMOBILIARIAS 3</v>
          </cell>
        </row>
        <row r="1329">
          <cell r="B1329" t="str">
            <v>SECCION OPERACIONES INMOBILIARIAS 4</v>
          </cell>
        </row>
        <row r="1330">
          <cell r="B1330" t="str">
            <v>SECCION OPERATIVA CENTRALIZADA</v>
          </cell>
        </row>
        <row r="1331">
          <cell r="B1331" t="str">
            <v>SECCION OPERATIVA LEASING ANT</v>
          </cell>
        </row>
        <row r="1332">
          <cell r="B1332" t="str">
            <v>SECCION OPERATIVA LEASING BOG EMP</v>
          </cell>
        </row>
        <row r="1333">
          <cell r="B1333" t="str">
            <v>SECCION OPERATIVA LEASING BOG PYMES</v>
          </cell>
        </row>
        <row r="1334">
          <cell r="B1334" t="str">
            <v>SECCION OPERATIVA LEASING SUR</v>
          </cell>
        </row>
        <row r="1335">
          <cell r="B1335" t="str">
            <v>SECCION OPERATIVA SERVICIOS DE TARJETAS</v>
          </cell>
        </row>
        <row r="1336">
          <cell r="B1336" t="str">
            <v>SECCION ORIENTACION MONEDA EXTRANJERA</v>
          </cell>
        </row>
        <row r="1337">
          <cell r="B1337" t="str">
            <v>SECCION PAGOS Y RECAUDOS</v>
          </cell>
        </row>
        <row r="1338">
          <cell r="B1338" t="str">
            <v>SECCION PERSONALIZACION Y ENTREGA DE TAR</v>
          </cell>
        </row>
        <row r="1339">
          <cell r="B1339" t="str">
            <v>SECCION PLATAFORMAS DE COLABORACION</v>
          </cell>
        </row>
        <row r="1340">
          <cell r="B1340" t="str">
            <v>SECCION PLATAFORMAS ISERIES</v>
          </cell>
        </row>
        <row r="1341">
          <cell r="B1341" t="str">
            <v>SECCION PLATAFORMAS P SERIES</v>
          </cell>
        </row>
        <row r="1342">
          <cell r="B1342" t="str">
            <v>SECCION PREPARACION DE DEMANDAS</v>
          </cell>
        </row>
        <row r="1343">
          <cell r="B1343" t="str">
            <v>SECCION PROCESAMIENTO CANALES</v>
          </cell>
        </row>
        <row r="1344">
          <cell r="B1344" t="str">
            <v>SECCION PROCESAMIENTO CANJE</v>
          </cell>
        </row>
        <row r="1345">
          <cell r="B1345" t="str">
            <v>SECCION PROCESAMIENTO EFECTIVO</v>
          </cell>
        </row>
        <row r="1346">
          <cell r="B1346" t="str">
            <v>SECCION PROCESAMIENTO PGC</v>
          </cell>
        </row>
        <row r="1347">
          <cell r="B1347" t="str">
            <v>SECCION PROCESO DE CREDITO LEASING</v>
          </cell>
        </row>
        <row r="1348">
          <cell r="B1348" t="str">
            <v>SECCION PROCESOS CONTABL Y DE INF DE TAR</v>
          </cell>
        </row>
        <row r="1349">
          <cell r="B1349" t="str">
            <v>SECCION PROCESOS DE ADQUIRENCIA DE TAR</v>
          </cell>
        </row>
        <row r="1350">
          <cell r="B1350" t="str">
            <v>SECCION PROCESOS DE FONDOS</v>
          </cell>
        </row>
        <row r="1351">
          <cell r="B1351" t="str">
            <v>SECCION PROCESOS EMISOR DE TARJETAS</v>
          </cell>
        </row>
        <row r="1352">
          <cell r="B1352" t="str">
            <v>SECCION PROCESOS ESPECIALES LEASING</v>
          </cell>
        </row>
        <row r="1353">
          <cell r="B1353" t="str">
            <v>SECCION PROCMIENTO OPERS INTERNACIONALES</v>
          </cell>
        </row>
        <row r="1354">
          <cell r="B1354" t="str">
            <v>SECCION PRODUCCION CARTERA</v>
          </cell>
        </row>
        <row r="1355">
          <cell r="B1355" t="str">
            <v>SECCION PRODUCTO ARRENDAMIENTO</v>
          </cell>
        </row>
        <row r="1356">
          <cell r="B1356" t="str">
            <v>SECCION PRODUCTO COLOMBIANOS EN EL EXTER</v>
          </cell>
        </row>
        <row r="1357">
          <cell r="B1357" t="str">
            <v>SECCION PRODUCTOS DE INCLUSION</v>
          </cell>
        </row>
        <row r="1358">
          <cell r="B1358" t="str">
            <v>SECCION PRODUCTOS LEASING FINANCIERO</v>
          </cell>
        </row>
        <row r="1359">
          <cell r="B1359" t="str">
            <v>SECCION PROVISIONES NORMAS  INTER</v>
          </cell>
        </row>
        <row r="1360">
          <cell r="B1360" t="str">
            <v>SECCION PROYEC HERRAMIENTAS  MONIT TI</v>
          </cell>
        </row>
        <row r="1361">
          <cell r="B1361" t="str">
            <v>SECCION PRUEBAS DE CONTINUIDAD</v>
          </cell>
        </row>
        <row r="1362">
          <cell r="B1362" t="str">
            <v>SECCION PRUEBAS TECNICAS</v>
          </cell>
        </row>
        <row r="1363">
          <cell r="B1363" t="str">
            <v>SECCION PUBLICIDAD</v>
          </cell>
        </row>
        <row r="1364">
          <cell r="B1364" t="str">
            <v>SECCION RAZONABILIDAD FINANCIERA</v>
          </cell>
        </row>
        <row r="1365">
          <cell r="B1365" t="str">
            <v>SECCION RECEPCION Y GARANTIAS</v>
          </cell>
        </row>
        <row r="1366">
          <cell r="B1366" t="str">
            <v>SECCION RED AMEX</v>
          </cell>
        </row>
        <row r="1367">
          <cell r="B1367" t="str">
            <v>SECCION REDESCUENTOS</v>
          </cell>
        </row>
        <row r="1368">
          <cell r="B1368" t="str">
            <v>SECCION REGISTRO OPERACIONES CAMBIARIAS</v>
          </cell>
        </row>
        <row r="1369">
          <cell r="B1369" t="str">
            <v>SECCION RELACIONAMIENTO BOGOTA</v>
          </cell>
        </row>
        <row r="1370">
          <cell r="B1370" t="str">
            <v>SECCION REPORTES ADMON ACTIVOS</v>
          </cell>
        </row>
        <row r="1371">
          <cell r="B1371" t="str">
            <v>SECCION REQ LINEAS DE NEG Y PROC DE APOY</v>
          </cell>
        </row>
        <row r="1372">
          <cell r="B1372" t="str">
            <v>SECCION REQUERIMIENTOS CAPTACIONES  Y CO</v>
          </cell>
        </row>
        <row r="1373">
          <cell r="B1373" t="str">
            <v>SECCION REQUERIMIENTOS DE TARJETAS</v>
          </cell>
        </row>
        <row r="1374">
          <cell r="B1374" t="str">
            <v>SECCION REQUERIMIENTOS INSTITUCIONALES</v>
          </cell>
        </row>
        <row r="1375">
          <cell r="B1375" t="str">
            <v>SECCION RGO TARJETA DE CREDITO Y CONSUMO</v>
          </cell>
        </row>
        <row r="1376">
          <cell r="B1376" t="str">
            <v>SECCION RIESGO SUFI</v>
          </cell>
        </row>
        <row r="1377">
          <cell r="B1377" t="str">
            <v>SECCION SALA DE VENTAS</v>
          </cell>
        </row>
        <row r="1378">
          <cell r="B1378" t="str">
            <v>SECCION SALA DE VENTAS  ANTIOQUIA 1</v>
          </cell>
        </row>
        <row r="1379">
          <cell r="B1379" t="str">
            <v>SECCION SALA DE VENTAS  ANTIOQUIA 2</v>
          </cell>
        </row>
        <row r="1380">
          <cell r="B1380" t="str">
            <v>SECCION SALA DE VENTAS 1</v>
          </cell>
        </row>
        <row r="1381">
          <cell r="B1381" t="str">
            <v>SECCION SALA DE VENTAS 2</v>
          </cell>
        </row>
        <row r="1382">
          <cell r="B1382" t="str">
            <v>SECCION SALA DE VENTAS 3</v>
          </cell>
        </row>
        <row r="1383">
          <cell r="B1383" t="str">
            <v>SECCION SANEAMIENTO Y NORMALIZACION</v>
          </cell>
        </row>
        <row r="1384">
          <cell r="B1384" t="str">
            <v>SECCION SEDES Y PISOS FINANCIEROS</v>
          </cell>
        </row>
        <row r="1385">
          <cell r="B1385" t="str">
            <v>SECCION SEGMENTO COLOMBIANOS EN EL EXTER</v>
          </cell>
        </row>
        <row r="1386">
          <cell r="B1386" t="str">
            <v>SECCION SEGUIMIENTO Y MONITOREO CONTABLE</v>
          </cell>
        </row>
        <row r="1387">
          <cell r="B1387" t="str">
            <v>SECCION SEGURIDAD INTERNA</v>
          </cell>
        </row>
        <row r="1388">
          <cell r="B1388" t="str">
            <v>SECCION SEGUROS Y CONTABLE</v>
          </cell>
        </row>
        <row r="1389">
          <cell r="B1389" t="str">
            <v>SECCION SELECCCION Y DESARROLLO REGIONAL</v>
          </cell>
        </row>
        <row r="1390">
          <cell r="B1390" t="str">
            <v>SECCION SERV  RECAUDO IMPUESTOS</v>
          </cell>
        </row>
        <row r="1391">
          <cell r="B1391" t="str">
            <v>SECCION SERV ADMON  ACTIVOS,PP, INST</v>
          </cell>
        </row>
        <row r="1392">
          <cell r="B1392" t="str">
            <v>SECCION SERV CAJEROS AUTOMATICOS PAC</v>
          </cell>
        </row>
        <row r="1393">
          <cell r="B1393" t="str">
            <v>SECCION SERV DE CUSTODIA Y EMISIONES</v>
          </cell>
        </row>
        <row r="1394">
          <cell r="B1394" t="str">
            <v>SECCION SERV DISTRIBUCION Y VENTAS Y APT</v>
          </cell>
        </row>
        <row r="1395">
          <cell r="B1395" t="str">
            <v>SECCION SERV ESPECIALIZADOS</v>
          </cell>
        </row>
        <row r="1396">
          <cell r="B1396" t="str">
            <v>SECCION SERV HABILITACIONES Y PROC</v>
          </cell>
        </row>
        <row r="1397">
          <cell r="B1397" t="str">
            <v>SECCION SERV INFORMACION APOYO AL NEGOCI</v>
          </cell>
        </row>
        <row r="1398">
          <cell r="B1398" t="str">
            <v>SECCION SERV LEASING ZONA ANTIOQUIA</v>
          </cell>
        </row>
        <row r="1399">
          <cell r="B1399" t="str">
            <v>SECCION SERV LEASING ZONA BOGOTA EMP</v>
          </cell>
        </row>
        <row r="1400">
          <cell r="B1400" t="str">
            <v>SECCION SERV LEASING ZONA BOGOTA PYME</v>
          </cell>
        </row>
        <row r="1401">
          <cell r="B1401" t="str">
            <v>SECCION SERV LEASING ZONA CARIBE</v>
          </cell>
        </row>
        <row r="1402">
          <cell r="B1402" t="str">
            <v>SECCION SERV LEASING ZONA CENTRO</v>
          </cell>
        </row>
        <row r="1403">
          <cell r="B1403" t="str">
            <v>SECCION SERV LEASING ZONA SUR</v>
          </cell>
        </row>
        <row r="1404">
          <cell r="B1404" t="str">
            <v>SECCION SERV MERCADO CAMBIARIO BPP</v>
          </cell>
        </row>
        <row r="1405">
          <cell r="B1405" t="str">
            <v>SECCION SERV MERCADO CAMBIARIO EMPRESAS</v>
          </cell>
        </row>
        <row r="1406">
          <cell r="B1406" t="str">
            <v>SECCION SERV PARA COMERCIOS Y RED AMEX</v>
          </cell>
        </row>
        <row r="1407">
          <cell r="B1407" t="str">
            <v>SECCION SERV TARJETAHABIENTES DEBITO PRE</v>
          </cell>
        </row>
        <row r="1408">
          <cell r="B1408" t="str">
            <v>SECCION SERV TARJETAHABIENTES EMPRESA</v>
          </cell>
        </row>
        <row r="1409">
          <cell r="B1409" t="str">
            <v>SECCION SERV TARJETAHABIENTES PERSONAL</v>
          </cell>
        </row>
        <row r="1410">
          <cell r="B1410" t="str">
            <v>SECCION SERV VINCULACION DE CLIENTES</v>
          </cell>
        </row>
        <row r="1411">
          <cell r="B1411" t="str">
            <v>SECCION SERVICIOS  EFECTIVO</v>
          </cell>
        </row>
        <row r="1412">
          <cell r="B1412" t="str">
            <v>SECCION SERVICIOS ADMINISTRATIVOS</v>
          </cell>
        </row>
        <row r="1413">
          <cell r="B1413" t="str">
            <v>SECCION SERVICIOS CALL CENTER</v>
          </cell>
        </row>
        <row r="1414">
          <cell r="B1414" t="str">
            <v>SECCION SERVICIOS CANALES VIRTUALES</v>
          </cell>
        </row>
        <row r="1415">
          <cell r="B1415" t="str">
            <v>SECCION SERVICIOS CANJE</v>
          </cell>
        </row>
        <row r="1416">
          <cell r="B1416" t="str">
            <v>SECCION SERVICIOS CONTACT CENTER</v>
          </cell>
        </row>
        <row r="1417">
          <cell r="B1417" t="str">
            <v>SECCION SERVICIOS DE CUMPLIMIENTO</v>
          </cell>
        </row>
        <row r="1418">
          <cell r="B1418" t="str">
            <v>SECCION SERVICIOS DE IMPLEMENTACION DEMA</v>
          </cell>
        </row>
        <row r="1419">
          <cell r="B1419" t="str">
            <v>SECCION SERVICIOS DE PAGO</v>
          </cell>
        </row>
        <row r="1420">
          <cell r="B1420" t="str">
            <v>SECCION SERVICIOS DE PAGOS</v>
          </cell>
        </row>
        <row r="1421">
          <cell r="B1421" t="str">
            <v>SECCION SERVICIOS DE RECAUDO</v>
          </cell>
        </row>
        <row r="1422">
          <cell r="B1422" t="str">
            <v>SECCION SERVICIOS IMPLEMENTACIONES PROPI</v>
          </cell>
        </row>
        <row r="1423">
          <cell r="B1423" t="str">
            <v>SECCION SERVICIOS INTERNET Y MOVILIDAD</v>
          </cell>
        </row>
        <row r="1424">
          <cell r="B1424" t="str">
            <v>SECCION SERVICIOS REGIONAL  ANTIOQUIA</v>
          </cell>
        </row>
        <row r="1425">
          <cell r="B1425" t="str">
            <v>SECCION SERVICIOS REGIONAL  CARIBE</v>
          </cell>
        </row>
        <row r="1426">
          <cell r="B1426" t="str">
            <v>SECCION SERVICIOS REGIONAL BOGOTA</v>
          </cell>
        </row>
        <row r="1427">
          <cell r="B1427" t="str">
            <v>SECCION SERVICIOS REGIONAL SUR</v>
          </cell>
        </row>
        <row r="1428">
          <cell r="B1428" t="str">
            <v>SECCION SERVICIOS SE MERCADEO SUFI</v>
          </cell>
        </row>
        <row r="1429">
          <cell r="B1429" t="str">
            <v>SECCION SERVICIOS VOZ Y VIDEO</v>
          </cell>
        </row>
        <row r="1430">
          <cell r="B1430" t="str">
            <v>SECCION SERVICIOS Y RELACIONES</v>
          </cell>
        </row>
        <row r="1431">
          <cell r="B1431" t="str">
            <v>SECCION SOLUCIONES DE TI LEASING</v>
          </cell>
        </row>
        <row r="1432">
          <cell r="B1432" t="str">
            <v>SECCION SOLUCIONES DE TI MIT</v>
          </cell>
        </row>
        <row r="1433">
          <cell r="B1433" t="str">
            <v>SECCION SOLUCIONES DEL PASIVO</v>
          </cell>
        </row>
        <row r="1434">
          <cell r="B1434" t="str">
            <v>SECCION SOLUCIONES TI FONDOS INVERSION</v>
          </cell>
        </row>
        <row r="1435">
          <cell r="B1435" t="str">
            <v>SECCION SOPORTE EN SITIO</v>
          </cell>
        </row>
        <row r="1436">
          <cell r="B1436" t="str">
            <v>SECCION SOPORTE EN SITIO Y LOGISTICA</v>
          </cell>
        </row>
        <row r="1437">
          <cell r="B1437" t="str">
            <v>SECCION TELEFONICA</v>
          </cell>
        </row>
        <row r="1438">
          <cell r="B1438" t="str">
            <v>SECCION TI FACTORING</v>
          </cell>
        </row>
        <row r="1439">
          <cell r="B1439" t="str">
            <v>SECCION VALORACION</v>
          </cell>
        </row>
        <row r="1440">
          <cell r="B1440" t="str">
            <v>SEGMENTOS BANCA PERSONAS Y PYMES</v>
          </cell>
        </row>
        <row r="1441">
          <cell r="B1441" t="str">
            <v>SEGURIDAD Y CUMPLIMIENTO</v>
          </cell>
        </row>
        <row r="1442">
          <cell r="B1442" t="str">
            <v>SELECCION Y DESARROLLO BOGOTA</v>
          </cell>
        </row>
        <row r="1443">
          <cell r="B1443" t="str">
            <v>SELECCION Y DESARROLLO CARIBE</v>
          </cell>
        </row>
        <row r="1444">
          <cell r="B1444" t="str">
            <v>SELECCION Y DESARROLLO CENTRO</v>
          </cell>
        </row>
        <row r="1445">
          <cell r="B1445" t="str">
            <v>SELECCION Y DESARROLLO SUR</v>
          </cell>
        </row>
        <row r="1446">
          <cell r="B1446" t="str">
            <v>SERVICIO EN SUC CENTRO META</v>
          </cell>
        </row>
        <row r="1447">
          <cell r="B1447" t="str">
            <v>SERVICIO SUC ANT ROTATIVO BCA EMPRESAS</v>
          </cell>
        </row>
        <row r="1448">
          <cell r="B1448" t="str">
            <v>SERVICIO SUC ANT ROTATIVO BCA EMPRESAS 2</v>
          </cell>
        </row>
        <row r="1449">
          <cell r="B1449" t="str">
            <v>SERVICIO SUC ANT ROTATIVO ZONA CENTRO</v>
          </cell>
        </row>
        <row r="1450">
          <cell r="B1450" t="str">
            <v>SERVICIO SUC ANTIOQUIA  METROPOLITANA</v>
          </cell>
        </row>
        <row r="1451">
          <cell r="B1451" t="str">
            <v>SERVICIO SUC ANTIOQUIA  NORTE</v>
          </cell>
        </row>
        <row r="1452">
          <cell r="B1452" t="str">
            <v>SERVICIO SUC ANTIOQUIA  PERIFERICA</v>
          </cell>
        </row>
        <row r="1453">
          <cell r="B1453" t="str">
            <v>SERVICIO SUC ANTIOQUIA  VALLE DE ABURRA</v>
          </cell>
        </row>
        <row r="1454">
          <cell r="B1454" t="str">
            <v>SERVICIO SUC ANTIOQUIA CENTRO</v>
          </cell>
        </row>
        <row r="1455">
          <cell r="B1455" t="str">
            <v>SERVICIO SUC ANTIOQUIA GERENCIAMIENTO</v>
          </cell>
        </row>
        <row r="1456">
          <cell r="B1456" t="str">
            <v>SERVICIO SUC ANTIOQUIA OCCIDENTE</v>
          </cell>
        </row>
        <row r="1457">
          <cell r="B1457" t="str">
            <v>SERVICIO SUC ANTIOQUIA POBLADO</v>
          </cell>
        </row>
        <row r="1458">
          <cell r="B1458" t="str">
            <v>SERVICIO SUC ANTIOQUIA SUR</v>
          </cell>
        </row>
        <row r="1459">
          <cell r="B1459" t="str">
            <v>SERVICIO SUC BOGOTA  BANCA EMPRESAS</v>
          </cell>
        </row>
        <row r="1460">
          <cell r="B1460" t="str">
            <v>SERVICIO SUC BOGOTA  CENTRO</v>
          </cell>
        </row>
        <row r="1461">
          <cell r="B1461" t="str">
            <v>SERVICIO SUC BOGOTA  METROPOLITANA</v>
          </cell>
        </row>
        <row r="1462">
          <cell r="B1462" t="str">
            <v>SERVICIO SUC BOGOTA BANCA SUPEMERCADO</v>
          </cell>
        </row>
        <row r="1463">
          <cell r="B1463" t="str">
            <v>SERVICIO SUC BOGOTA INDUSTRIAL</v>
          </cell>
        </row>
        <row r="1464">
          <cell r="B1464" t="str">
            <v>SERVICIO SUC BOGOTA NOROCCIDENTE</v>
          </cell>
        </row>
        <row r="1465">
          <cell r="B1465" t="str">
            <v>SERVICIO SUC BOGOTA NORTE</v>
          </cell>
        </row>
        <row r="1466">
          <cell r="B1466" t="str">
            <v>SERVICIO SUC BOGOTA OCCIDENTE</v>
          </cell>
        </row>
        <row r="1467">
          <cell r="B1467" t="str">
            <v>SERVICIO SUC BOGOTA ORIENTE</v>
          </cell>
        </row>
        <row r="1468">
          <cell r="B1468" t="str">
            <v>SERVICIO SUC BOGOTA SABANA</v>
          </cell>
        </row>
        <row r="1469">
          <cell r="B1469" t="str">
            <v>SERVICIO SUC BOGOTA SUROCCIDENTE</v>
          </cell>
        </row>
        <row r="1470">
          <cell r="B1470" t="str">
            <v>SERVICIO SUC CARIBE ATLANTICO</v>
          </cell>
        </row>
        <row r="1471">
          <cell r="B1471" t="str">
            <v>SERVICIO SUC CARIBE BARRANQUILLA</v>
          </cell>
        </row>
        <row r="1472">
          <cell r="B1472" t="str">
            <v>SERVICIO SUC CARIBE CARTAGENA</v>
          </cell>
        </row>
        <row r="1473">
          <cell r="B1473" t="str">
            <v>SERVICIO SUC CARIBE ROTA SIERRA NEVADA</v>
          </cell>
        </row>
        <row r="1474">
          <cell r="B1474" t="str">
            <v>SERVICIO SUC CARIBE ROTATIVO ATLANTICO</v>
          </cell>
        </row>
        <row r="1475">
          <cell r="B1475" t="str">
            <v>SERVICIO SUC CARIBE ROTATIVO CARTAGENA</v>
          </cell>
        </row>
        <row r="1476">
          <cell r="B1476" t="str">
            <v>SERVICIO SUC CARIBE SIERRA NEVADA</v>
          </cell>
        </row>
        <row r="1477">
          <cell r="B1477" t="str">
            <v>SERVICIO SUC CARIBE SINU Y SABANA</v>
          </cell>
        </row>
        <row r="1478">
          <cell r="B1478" t="str">
            <v>SERVICIO SUC CENTRO BOYACA</v>
          </cell>
        </row>
        <row r="1479">
          <cell r="B1479" t="str">
            <v>SERVICIO SUC CENTRO BUCARAMANGA</v>
          </cell>
        </row>
        <row r="1480">
          <cell r="B1480" t="str">
            <v>SERVICIO SUC CENTRO NTE SANTANDER</v>
          </cell>
        </row>
        <row r="1481">
          <cell r="B1481" t="str">
            <v>SERVICIO SUC CENTRO ROTATIVO TOLIMA</v>
          </cell>
        </row>
        <row r="1482">
          <cell r="B1482" t="str">
            <v>SERVICIO SUC CENTRO SANTANDER</v>
          </cell>
        </row>
        <row r="1483">
          <cell r="B1483" t="str">
            <v>SERVICIO SUC CENTRO SURCOLOMBIANA</v>
          </cell>
        </row>
        <row r="1484">
          <cell r="B1484" t="str">
            <v>SERVICIO SUC CENTRO TOLIMA</v>
          </cell>
        </row>
        <row r="1485">
          <cell r="B1485" t="str">
            <v>SERVICIO SUC ORINOQUIA Y AMAZONIA</v>
          </cell>
        </row>
        <row r="1486">
          <cell r="B1486" t="str">
            <v>SERVICIO SUC ROTATIVO 1 BCA EMPRESA BOG</v>
          </cell>
        </row>
        <row r="1487">
          <cell r="B1487" t="str">
            <v>SERVICIO SUC ROTATIVO 2 BCA EMPRESA BOG</v>
          </cell>
        </row>
        <row r="1488">
          <cell r="B1488" t="str">
            <v>SERVICIO SUC ROTATIVO 3 BCA EMPRESA BOG</v>
          </cell>
        </row>
        <row r="1489">
          <cell r="B1489" t="str">
            <v>SERVICIO SUC ROTATIVO 4 BCA EMPRESA BOG</v>
          </cell>
        </row>
        <row r="1490">
          <cell r="B1490" t="str">
            <v>SERVICIO SUC ROTATIVO 5 BCA EMPRESA BOG</v>
          </cell>
        </row>
        <row r="1491">
          <cell r="B1491" t="str">
            <v>SERVICIO SUC ROTATIVO 6 BCA EMPRESA BOG</v>
          </cell>
        </row>
        <row r="1492">
          <cell r="B1492" t="str">
            <v>SERVICIO SUC SUR CALI NORTE</v>
          </cell>
        </row>
        <row r="1493">
          <cell r="B1493" t="str">
            <v>SERVICIO SUC SUR CALI SUR</v>
          </cell>
        </row>
        <row r="1494">
          <cell r="B1494" t="str">
            <v>SERVICIO SUC SUR CALI Y SUR DEL VALLE</v>
          </cell>
        </row>
        <row r="1495">
          <cell r="B1495" t="str">
            <v>SERVICIO SUC SUR EJE NORTE CALDAS</v>
          </cell>
        </row>
        <row r="1496">
          <cell r="B1496" t="str">
            <v>SERVICIO SUC SUR NARIÑO Y CAUCA</v>
          </cell>
        </row>
        <row r="1497">
          <cell r="B1497" t="str">
            <v>SERVICIO SUC SUR QUINDIO Y VALLE CENTRO</v>
          </cell>
        </row>
        <row r="1498">
          <cell r="B1498" t="str">
            <v>SERVICIO SUC SUR RISARALDA Y VALLE NORTE</v>
          </cell>
        </row>
        <row r="1499">
          <cell r="B1499" t="str">
            <v>SERVICIO SUC SUR ROTATIVO NARIÑO CAUCA 1</v>
          </cell>
        </row>
        <row r="1500">
          <cell r="B1500" t="str">
            <v>SERVICIO SUC SUR ROTATIVO NARIÑO CAUCA 2</v>
          </cell>
        </row>
        <row r="1501">
          <cell r="B1501" t="str">
            <v>SERVICIOS FIDUCIARIOS</v>
          </cell>
        </row>
        <row r="1502">
          <cell r="B1502" t="str">
            <v>SOCIO ESTRATEGICO VIC CONSUMO ESP</v>
          </cell>
        </row>
        <row r="1503">
          <cell r="B1503" t="str">
            <v>SOCIO ESTRATEGICO VIC G.H Y RIESGOS</v>
          </cell>
        </row>
        <row r="1504">
          <cell r="B1504" t="str">
            <v>SOCIO ESTRATEGICO VIC MERK CAPITALES</v>
          </cell>
        </row>
        <row r="1505">
          <cell r="B1505" t="str">
            <v>SOCIO ESTRATEGICO VIC SERV CLIENTES</v>
          </cell>
        </row>
        <row r="1506">
          <cell r="B1506" t="str">
            <v>SOCIO ESTRATEGICO VIC TI Y ADMON</v>
          </cell>
        </row>
        <row r="1507">
          <cell r="B1507" t="str">
            <v>SOCIO ESTRATEGICO VIC UNIDADES DE APOYO</v>
          </cell>
        </row>
        <row r="1508">
          <cell r="B1508" t="str">
            <v>SOLUCIONES CLIENTES</v>
          </cell>
        </row>
        <row r="1509">
          <cell r="B1509" t="str">
            <v>SOLUCIONES INTEGRACION</v>
          </cell>
        </row>
        <row r="1510">
          <cell r="B1510" t="str">
            <v>SOLUCIONES PRODUCTOS Y CANALES</v>
          </cell>
        </row>
        <row r="1511">
          <cell r="B1511" t="str">
            <v>SUB FRENTE FUNCIONAL DE TARJETAS</v>
          </cell>
        </row>
        <row r="1512">
          <cell r="B1512" t="str">
            <v>SUC  DORADO PLAZA DS</v>
          </cell>
        </row>
        <row r="1513">
          <cell r="B1513" t="str">
            <v>SUC 20 DE JULIO</v>
          </cell>
        </row>
        <row r="1514">
          <cell r="B1514" t="str">
            <v>SUC 20 DE JULIO DS</v>
          </cell>
        </row>
        <row r="1515">
          <cell r="B1515" t="str">
            <v>SUC 30 DE AGOSTO</v>
          </cell>
        </row>
        <row r="1516">
          <cell r="B1516" t="str">
            <v>SUC 30 DE AGOSTO DS</v>
          </cell>
        </row>
        <row r="1517">
          <cell r="B1517" t="str">
            <v>SUC 3M DS</v>
          </cell>
        </row>
        <row r="1518">
          <cell r="B1518" t="str">
            <v>SUC ABREGO  DS</v>
          </cell>
        </row>
        <row r="1519">
          <cell r="B1519" t="str">
            <v>SUC ACACIAS</v>
          </cell>
        </row>
        <row r="1520">
          <cell r="B1520" t="str">
            <v>SUC ACACIAS DS</v>
          </cell>
        </row>
        <row r="1521">
          <cell r="B1521" t="str">
            <v>SUC ACOPI CALI</v>
          </cell>
        </row>
        <row r="1522">
          <cell r="B1522" t="str">
            <v>SUC ACOPI CALI DS</v>
          </cell>
        </row>
        <row r="1523">
          <cell r="B1523" t="str">
            <v>SUC AEROPUERTO EL DORADO</v>
          </cell>
        </row>
        <row r="1524">
          <cell r="B1524" t="str">
            <v>SUC AEROPUERTO EL DORADO DS</v>
          </cell>
        </row>
        <row r="1525">
          <cell r="B1525" t="str">
            <v>SUC AEROPUERTO OLAYA</v>
          </cell>
        </row>
        <row r="1526">
          <cell r="B1526" t="str">
            <v>SUC AEROPUERTO OLAYA DS</v>
          </cell>
        </row>
        <row r="1527">
          <cell r="B1527" t="str">
            <v>SUC AEROPUERTO RAFAEL NUÑEZ DS</v>
          </cell>
        </row>
        <row r="1528">
          <cell r="B1528" t="str">
            <v>SUC AGROGRAN</v>
          </cell>
        </row>
        <row r="1529">
          <cell r="B1529" t="str">
            <v>SUC AGROGRAN DS</v>
          </cell>
        </row>
        <row r="1530">
          <cell r="B1530" t="str">
            <v>SUC AGUACHICA</v>
          </cell>
        </row>
        <row r="1531">
          <cell r="B1531" t="str">
            <v>SUC AGUACHICA DS</v>
          </cell>
        </row>
        <row r="1532">
          <cell r="B1532" t="str">
            <v>SUC AGUADAS</v>
          </cell>
        </row>
        <row r="1533">
          <cell r="B1533" t="str">
            <v>SUC AGUADAS DS</v>
          </cell>
        </row>
        <row r="1534">
          <cell r="B1534" t="str">
            <v>SUC AGUAZUL</v>
          </cell>
        </row>
        <row r="1535">
          <cell r="B1535" t="str">
            <v>SUC AGUAZUL DS</v>
          </cell>
        </row>
        <row r="1536">
          <cell r="B1536" t="str">
            <v>SUC AIPE DS</v>
          </cell>
        </row>
        <row r="1537">
          <cell r="B1537" t="str">
            <v>SUC ALAMEDA</v>
          </cell>
        </row>
        <row r="1538">
          <cell r="B1538" t="str">
            <v>SUC ALAMEDA DS</v>
          </cell>
        </row>
        <row r="1539">
          <cell r="B1539" t="str">
            <v>SUC ALAMEDAS DEL SINU</v>
          </cell>
        </row>
        <row r="1540">
          <cell r="B1540" t="str">
            <v>SUC ALAMEDAS DEL SINU DS</v>
          </cell>
        </row>
        <row r="1541">
          <cell r="B1541" t="str">
            <v>SUC ALCALA</v>
          </cell>
        </row>
        <row r="1542">
          <cell r="B1542" t="str">
            <v>SUC ALCALA DS</v>
          </cell>
        </row>
        <row r="1543">
          <cell r="B1543" t="str">
            <v>SUC ALCALDIA ARMENIA</v>
          </cell>
        </row>
        <row r="1544">
          <cell r="B1544" t="str">
            <v>SUC ALCALDIA ARMENIA DS</v>
          </cell>
        </row>
        <row r="1545">
          <cell r="B1545" t="str">
            <v>SUC ALCARAVAN</v>
          </cell>
        </row>
        <row r="1546">
          <cell r="B1546" t="str">
            <v>SUC ALCARAVAN DS</v>
          </cell>
        </row>
        <row r="1547">
          <cell r="B1547" t="str">
            <v>SUC ALIADAS</v>
          </cell>
        </row>
        <row r="1548">
          <cell r="B1548" t="str">
            <v>SUC ALIADAS DS</v>
          </cell>
        </row>
        <row r="1549">
          <cell r="B1549" t="str">
            <v>SUC ALKOSTO PASTO</v>
          </cell>
        </row>
        <row r="1550">
          <cell r="B1550" t="str">
            <v>SUC ALKOSTO PASTO DS</v>
          </cell>
        </row>
        <row r="1551">
          <cell r="B1551" t="str">
            <v>SUC ALMACENTRO</v>
          </cell>
        </row>
        <row r="1552">
          <cell r="B1552" t="str">
            <v>SUC ALMACENTRO DS</v>
          </cell>
        </row>
        <row r="1553">
          <cell r="B1553" t="str">
            <v>SUC ALTAVISTA USME</v>
          </cell>
        </row>
        <row r="1554">
          <cell r="B1554" t="str">
            <v>SUC ALTAVISTA USME DS</v>
          </cell>
        </row>
        <row r="1555">
          <cell r="B1555" t="str">
            <v>SUC ALTO PRADO</v>
          </cell>
        </row>
        <row r="1556">
          <cell r="B1556" t="str">
            <v>SUC ALTO PRADO DS</v>
          </cell>
        </row>
        <row r="1557">
          <cell r="B1557" t="str">
            <v>SUC AMAGA</v>
          </cell>
        </row>
        <row r="1558">
          <cell r="B1558" t="str">
            <v>SUC AMAGA DS</v>
          </cell>
        </row>
        <row r="1559">
          <cell r="B1559" t="str">
            <v>SUC AMBALEMA DS</v>
          </cell>
        </row>
        <row r="1560">
          <cell r="B1560" t="str">
            <v>SUC ANAPOIMA</v>
          </cell>
        </row>
        <row r="1561">
          <cell r="B1561" t="str">
            <v>SUC ANAPOIMA DS</v>
          </cell>
        </row>
        <row r="1562">
          <cell r="B1562" t="str">
            <v>SUC ANDES</v>
          </cell>
        </row>
        <row r="1563">
          <cell r="B1563" t="str">
            <v>SUC ANDES DS</v>
          </cell>
        </row>
        <row r="1564">
          <cell r="B1564" t="str">
            <v>SUC ANSERMA</v>
          </cell>
        </row>
        <row r="1565">
          <cell r="B1565" t="str">
            <v>SUC ANSERMA DS</v>
          </cell>
        </row>
        <row r="1566">
          <cell r="B1566" t="str">
            <v>SUC ANTIGUO COUNTRY</v>
          </cell>
        </row>
        <row r="1567">
          <cell r="B1567" t="str">
            <v>SUC ANTIGUO COUNTRY DS</v>
          </cell>
        </row>
        <row r="1568">
          <cell r="B1568" t="str">
            <v>SUC APARTADO</v>
          </cell>
        </row>
        <row r="1569">
          <cell r="B1569" t="str">
            <v>SUC APARTADO DS</v>
          </cell>
        </row>
        <row r="1570">
          <cell r="B1570" t="str">
            <v>SUC ARAUCA</v>
          </cell>
        </row>
        <row r="1571">
          <cell r="B1571" t="str">
            <v>SUC ARAUCA DS</v>
          </cell>
        </row>
        <row r="1572">
          <cell r="B1572" t="str">
            <v>SUC AREA ANDINA DS</v>
          </cell>
        </row>
        <row r="1573">
          <cell r="B1573" t="str">
            <v>SUC ARJONA</v>
          </cell>
        </row>
        <row r="1574">
          <cell r="B1574" t="str">
            <v>SUC ARMENIA CENTRO</v>
          </cell>
        </row>
        <row r="1575">
          <cell r="B1575" t="str">
            <v>SUC ARMENIA CENTRO DS</v>
          </cell>
        </row>
        <row r="1576">
          <cell r="B1576" t="str">
            <v>SUC ARMENIA NORTE</v>
          </cell>
        </row>
        <row r="1577">
          <cell r="B1577" t="str">
            <v>SUC ARMENIA NORTE DS</v>
          </cell>
        </row>
        <row r="1578">
          <cell r="B1578" t="str">
            <v>SUC ASESORIA Y VENTA LOS SAUCES</v>
          </cell>
        </row>
        <row r="1579">
          <cell r="B1579" t="str">
            <v>SUC ASTROCENTRO</v>
          </cell>
        </row>
        <row r="1580">
          <cell r="B1580" t="str">
            <v>SUC ASTROCENTRO DS</v>
          </cell>
        </row>
        <row r="1581">
          <cell r="B1581" t="str">
            <v>SUC AUTOBANCO CONQUISTADORES DS</v>
          </cell>
        </row>
        <row r="1582">
          <cell r="B1582" t="str">
            <v>SUC AUTOCONAVI CONQUISTADORES DS</v>
          </cell>
        </row>
        <row r="1583">
          <cell r="B1583" t="str">
            <v>SUC AUTONAL DS</v>
          </cell>
        </row>
        <row r="1584">
          <cell r="B1584" t="str">
            <v>SUC AUTOPISTA 184</v>
          </cell>
        </row>
        <row r="1585">
          <cell r="B1585" t="str">
            <v>SUC AUTOPISTA 184 DS</v>
          </cell>
        </row>
        <row r="1586">
          <cell r="B1586" t="str">
            <v>SUC AUTOPISTA 98</v>
          </cell>
        </row>
        <row r="1587">
          <cell r="B1587" t="str">
            <v>SUC AUTOPISTA 98 DS</v>
          </cell>
        </row>
        <row r="1588">
          <cell r="B1588" t="str">
            <v>SUC AUTOSERVICIOS SAN DIEGO DS</v>
          </cell>
        </row>
        <row r="1589">
          <cell r="B1589" t="str">
            <v>SUC AVENIDA 127</v>
          </cell>
        </row>
        <row r="1590">
          <cell r="B1590" t="str">
            <v>SUC AVENIDA 127 DS</v>
          </cell>
        </row>
        <row r="1591">
          <cell r="B1591" t="str">
            <v>SUC AVENIDA 19</v>
          </cell>
        </row>
        <row r="1592">
          <cell r="B1592" t="str">
            <v>SUC AVENIDA 19 DS</v>
          </cell>
        </row>
        <row r="1593">
          <cell r="B1593" t="str">
            <v>SUC AVENIDA 68</v>
          </cell>
        </row>
        <row r="1594">
          <cell r="B1594" t="str">
            <v>SUC AVENIDA 68 DS</v>
          </cell>
        </row>
        <row r="1595">
          <cell r="B1595" t="str">
            <v>SUC AVENIDA 82</v>
          </cell>
        </row>
        <row r="1596">
          <cell r="B1596" t="str">
            <v>SUC AVENIDA 82 DS</v>
          </cell>
        </row>
        <row r="1597">
          <cell r="B1597" t="str">
            <v>SUC AVENIDA BOLIVARIANA</v>
          </cell>
        </row>
        <row r="1598">
          <cell r="B1598" t="str">
            <v>SUC AVENIDA BOLIVARIANA DS</v>
          </cell>
        </row>
        <row r="1599">
          <cell r="B1599" t="str">
            <v>SUC AVENIDA CAÑAS GORDAS</v>
          </cell>
        </row>
        <row r="1600">
          <cell r="B1600" t="str">
            <v>SUC AVENIDA CAÑAS GORDAS DS</v>
          </cell>
        </row>
        <row r="1601">
          <cell r="B1601" t="str">
            <v>SUC AVENIDA CARACAS</v>
          </cell>
        </row>
        <row r="1602">
          <cell r="B1602" t="str">
            <v>SUC AVENIDA CARACAS DS</v>
          </cell>
        </row>
        <row r="1603">
          <cell r="B1603" t="str">
            <v>SUC AVENIDA CERO 2</v>
          </cell>
        </row>
        <row r="1604">
          <cell r="B1604" t="str">
            <v>SUC AVENIDA CERO 2 DS</v>
          </cell>
        </row>
        <row r="1605">
          <cell r="B1605" t="str">
            <v>SUC AVENIDA CHILE</v>
          </cell>
        </row>
        <row r="1606">
          <cell r="B1606" t="str">
            <v>SUC AVENIDA CHILE DS</v>
          </cell>
        </row>
        <row r="1607">
          <cell r="B1607" t="str">
            <v>SUC AVENIDA COLOMBIA</v>
          </cell>
        </row>
        <row r="1608">
          <cell r="B1608" t="str">
            <v>SUC AVENIDA COLOMBIA DS</v>
          </cell>
        </row>
        <row r="1609">
          <cell r="B1609" t="str">
            <v>SUC AVENIDA DE LAS AMERICAS</v>
          </cell>
        </row>
        <row r="1610">
          <cell r="B1610" t="str">
            <v>SUC AVENIDA DE LAS AMERICAS DS</v>
          </cell>
        </row>
        <row r="1611">
          <cell r="B1611" t="str">
            <v>SUC AVENIDA EL POBLADO</v>
          </cell>
        </row>
        <row r="1612">
          <cell r="B1612" t="str">
            <v>SUC AVENIDA EL POBLADO DS</v>
          </cell>
        </row>
        <row r="1613">
          <cell r="B1613" t="str">
            <v>SUC AVENIDA JUNIN</v>
          </cell>
        </row>
        <row r="1614">
          <cell r="B1614" t="str">
            <v>SUC AVENIDA JUNIN DS</v>
          </cell>
        </row>
        <row r="1615">
          <cell r="B1615" t="str">
            <v>SUC AVENIDA KENNEDY</v>
          </cell>
        </row>
        <row r="1616">
          <cell r="B1616" t="str">
            <v>SUC AVENIDA KENNEDY DS</v>
          </cell>
        </row>
        <row r="1617">
          <cell r="B1617" t="str">
            <v>SUC AVENIDA LAS VEGAS</v>
          </cell>
        </row>
        <row r="1618">
          <cell r="B1618" t="str">
            <v>SUC AVENIDA LAS VEGAS DS</v>
          </cell>
        </row>
        <row r="1619">
          <cell r="B1619" t="str">
            <v>SUC AVENIDA LIBERTADOR BUCARAMANGA</v>
          </cell>
        </row>
        <row r="1620">
          <cell r="B1620" t="str">
            <v>SUC AVENIDA LIBERTADOR BUCARAMANGA DS</v>
          </cell>
        </row>
        <row r="1621">
          <cell r="B1621" t="str">
            <v>SUC AVENIDA NUTIBARA</v>
          </cell>
        </row>
        <row r="1622">
          <cell r="B1622" t="str">
            <v>SUC AVENIDA NUTIBARA DS</v>
          </cell>
        </row>
        <row r="1623">
          <cell r="B1623" t="str">
            <v>SUC AVENIDA ORIENTAL</v>
          </cell>
        </row>
        <row r="1624">
          <cell r="B1624" t="str">
            <v>SUC AVENIDA ORIENTAL DS</v>
          </cell>
        </row>
        <row r="1625">
          <cell r="B1625" t="str">
            <v>SUC AVENIDA PEPE SIERRA</v>
          </cell>
        </row>
        <row r="1626">
          <cell r="B1626" t="str">
            <v>SUC AVENIDA PEPE SIERRA DS</v>
          </cell>
        </row>
        <row r="1627">
          <cell r="B1627" t="str">
            <v>SUC AVENIDA ROOSVELT</v>
          </cell>
        </row>
        <row r="1628">
          <cell r="B1628" t="str">
            <v>SUC AVENIDA ROOSVELT DS</v>
          </cell>
        </row>
        <row r="1629">
          <cell r="B1629" t="str">
            <v>SUC AVENIDA SAN MARTIN</v>
          </cell>
        </row>
        <row r="1630">
          <cell r="B1630" t="str">
            <v>SUC AVENIDA SAN MARTIN DS</v>
          </cell>
        </row>
        <row r="1631">
          <cell r="B1631" t="str">
            <v>SUC AVENIDA SANTANDER</v>
          </cell>
        </row>
        <row r="1632">
          <cell r="B1632" t="str">
            <v>SUC AVENIDA SANTANDER DS</v>
          </cell>
        </row>
        <row r="1633">
          <cell r="B1633" t="str">
            <v>SUC AVENIDA SEXTA BOGOTA</v>
          </cell>
        </row>
        <row r="1634">
          <cell r="B1634" t="str">
            <v>SUC AVENIDA SEXTA BOGOTA DS</v>
          </cell>
        </row>
        <row r="1635">
          <cell r="B1635" t="str">
            <v>SUC AVENIDA SUBA 106</v>
          </cell>
        </row>
        <row r="1636">
          <cell r="B1636" t="str">
            <v>SUC AVENIDA SUBA 106 DS</v>
          </cell>
        </row>
        <row r="1637">
          <cell r="B1637" t="str">
            <v>SUC AYAPEL DS</v>
          </cell>
        </row>
        <row r="1638">
          <cell r="B1638" t="str">
            <v>SUC BANCA COLOMBIA AVENIDA CHILE</v>
          </cell>
        </row>
        <row r="1639">
          <cell r="B1639" t="str">
            <v>SUC BANCA COLOMBIA AVENIDA CHILE DS</v>
          </cell>
        </row>
        <row r="1640">
          <cell r="B1640" t="str">
            <v>SUC BANCA COLOMBIA BARRANQUILLA</v>
          </cell>
        </row>
        <row r="1641">
          <cell r="B1641" t="str">
            <v>SUC BANCA COLOMBIA BARRANQUILLA DS</v>
          </cell>
        </row>
        <row r="1642">
          <cell r="B1642" t="str">
            <v>SUC BANCA COLOMBIA BUCARAMANGA</v>
          </cell>
        </row>
        <row r="1643">
          <cell r="B1643" t="str">
            <v>SUC BANCA COLOMBIA BUCARAMANGA DS</v>
          </cell>
        </row>
        <row r="1644">
          <cell r="B1644" t="str">
            <v>SUC BANCA COLOMBIA CALLE 122 DS</v>
          </cell>
        </row>
        <row r="1645">
          <cell r="B1645" t="str">
            <v>SUC BANCA COLOMBIA CAMINO REAL</v>
          </cell>
        </row>
        <row r="1646">
          <cell r="B1646" t="str">
            <v>SUC BANCA COLOMBIA CAMINO REAL DS</v>
          </cell>
        </row>
        <row r="1647">
          <cell r="B1647" t="str">
            <v>SUC BANCA COLOMBIA CARTAGENA</v>
          </cell>
        </row>
        <row r="1648">
          <cell r="B1648" t="str">
            <v>SUC BANCA COLOMBIA CARTAGENA DS</v>
          </cell>
        </row>
        <row r="1649">
          <cell r="B1649" t="str">
            <v>SUC BANCA COLOMBIA DIEZ</v>
          </cell>
        </row>
        <row r="1650">
          <cell r="B1650" t="str">
            <v>SUC BANCA COLOMBIA DIEZ DS</v>
          </cell>
        </row>
        <row r="1651">
          <cell r="B1651" t="str">
            <v>SUC BANCA COLOMBIA GRANADA CALI</v>
          </cell>
        </row>
        <row r="1652">
          <cell r="B1652" t="str">
            <v>SUC BANCA COLOMBIA GRANADA CALI DS</v>
          </cell>
        </row>
        <row r="1653">
          <cell r="B1653" t="str">
            <v>SUC BANCA COLOMBIA LA CABRERA</v>
          </cell>
        </row>
        <row r="1654">
          <cell r="B1654" t="str">
            <v>SUC BANCA COLOMBIA LA CABRERA DS</v>
          </cell>
        </row>
        <row r="1655">
          <cell r="B1655" t="str">
            <v>SUC BANCA COLOMBIA MANIZALES</v>
          </cell>
        </row>
        <row r="1656">
          <cell r="B1656" t="str">
            <v>SUC BANCA COLOMBIA MANIZALES DS</v>
          </cell>
        </row>
        <row r="1657">
          <cell r="B1657" t="str">
            <v>SUC BANCA COLOMBIA MUSEO NACIONAL</v>
          </cell>
        </row>
        <row r="1658">
          <cell r="B1658" t="str">
            <v>SUC BANCA COLOMBIA MUSEO NACIONAL DS</v>
          </cell>
        </row>
        <row r="1659">
          <cell r="B1659" t="str">
            <v>SUC BANCA COLOMBIA OVIEDO</v>
          </cell>
        </row>
        <row r="1660">
          <cell r="B1660" t="str">
            <v>SUC BANCA COLOMBIA OVIEDO  DS</v>
          </cell>
        </row>
        <row r="1661">
          <cell r="B1661" t="str">
            <v>SUC BANCA COLOMBIA PARQUE SURA</v>
          </cell>
        </row>
        <row r="1662">
          <cell r="B1662" t="str">
            <v>SUC BANCA COLOMBIA PARQUE SURA DS</v>
          </cell>
        </row>
        <row r="1663">
          <cell r="B1663" t="str">
            <v>SUC BANCA COLOMBIA PEREIRA</v>
          </cell>
        </row>
        <row r="1664">
          <cell r="B1664" t="str">
            <v>SUC BANCA COLOMBIA PEREIRA DS</v>
          </cell>
        </row>
        <row r="1665">
          <cell r="B1665" t="str">
            <v>SUC BANCA COLOMBIA SALITRE</v>
          </cell>
        </row>
        <row r="1666">
          <cell r="B1666" t="str">
            <v>SUC BANCA COLOMBIA SALITRE DS</v>
          </cell>
        </row>
        <row r="1667">
          <cell r="B1667" t="str">
            <v>SUC BANCA COLOMBIA SAN FERNANDO PLAZA</v>
          </cell>
        </row>
        <row r="1668">
          <cell r="B1668" t="str">
            <v>SUC BANCA COLOMBIA SANTA PAULA</v>
          </cell>
        </row>
        <row r="1669">
          <cell r="B1669" t="str">
            <v>SUC BANCA COLOMBIA SANTA PAULA DS</v>
          </cell>
        </row>
        <row r="1670">
          <cell r="B1670" t="str">
            <v>SUC BANCA COLOMBIA WORLD TRADE CENTER</v>
          </cell>
        </row>
        <row r="1671">
          <cell r="B1671" t="str">
            <v>SUC BANCA COLOMBIA WORLD TRADE CENTER DS</v>
          </cell>
        </row>
        <row r="1672">
          <cell r="B1672" t="str">
            <v>SUC BANCA ESPECIALIZADA ANTIOQUIA DS</v>
          </cell>
        </row>
        <row r="1673">
          <cell r="B1673" t="str">
            <v>SUC BANCA ESPECIALIZADA BARRANQUILLA DS</v>
          </cell>
        </row>
        <row r="1674">
          <cell r="B1674" t="str">
            <v>SUC BANCA ESPECIALIZADA BOGOTA DS</v>
          </cell>
        </row>
        <row r="1675">
          <cell r="B1675" t="str">
            <v>SUC BANCA ESPECIALIZADA CALI  DS</v>
          </cell>
        </row>
        <row r="1676">
          <cell r="B1676" t="str">
            <v>SUC BANCA ESPECIALIZADA CARIBE DS</v>
          </cell>
        </row>
        <row r="1677">
          <cell r="B1677" t="str">
            <v>SUC BANCA ESPECIALIZADA CARTAGENA DS</v>
          </cell>
        </row>
        <row r="1678">
          <cell r="B1678" t="str">
            <v>SUC BANCA ESPECIALIZADA SUR DS</v>
          </cell>
        </row>
        <row r="1679">
          <cell r="B1679" t="str">
            <v>SUC BANCA PREFERENCIAL AVENIDA CHILE</v>
          </cell>
        </row>
        <row r="1680">
          <cell r="B1680" t="str">
            <v>SUC BANCA PREFERENCIAL BARRANQUILLA</v>
          </cell>
        </row>
        <row r="1681">
          <cell r="B1681" t="str">
            <v>SUC BANCA PREFERENCIAL SAN FERNANDO PLAZ</v>
          </cell>
        </row>
        <row r="1682">
          <cell r="B1682" t="str">
            <v>SUC BANCA PREFERENCIAL WORLD TRADE CENTE</v>
          </cell>
        </row>
        <row r="1683">
          <cell r="B1683" t="str">
            <v>SUC BANCA PRIVADA ANTIOQUIA DS</v>
          </cell>
        </row>
        <row r="1684">
          <cell r="B1684" t="str">
            <v>SUC BANCA PRIVADA BOGOTA DS</v>
          </cell>
        </row>
        <row r="1685">
          <cell r="B1685" t="str">
            <v>SUC BANCA PRIVADA BUCARAMANGA VALORES</v>
          </cell>
        </row>
        <row r="1686">
          <cell r="B1686" t="str">
            <v>SUC BANCA PRIVADA CALI DS</v>
          </cell>
        </row>
        <row r="1687">
          <cell r="B1687" t="str">
            <v>SUC BARANOA DS</v>
          </cell>
        </row>
        <row r="1688">
          <cell r="B1688" t="str">
            <v>SUC BARBOSA</v>
          </cell>
        </row>
        <row r="1689">
          <cell r="B1689" t="str">
            <v>SUC BARBOSA DS</v>
          </cell>
        </row>
        <row r="1690">
          <cell r="B1690" t="str">
            <v>SUC BARBOSA SANTANDER</v>
          </cell>
        </row>
        <row r="1691">
          <cell r="B1691" t="str">
            <v>SUC BARBOSA SANTANDER DS</v>
          </cell>
        </row>
        <row r="1692">
          <cell r="B1692" t="str">
            <v>SUC BARRANCABERMEJA</v>
          </cell>
        </row>
        <row r="1693">
          <cell r="B1693" t="str">
            <v>SUC BARRANCABERMEJA DS</v>
          </cell>
        </row>
        <row r="1694">
          <cell r="B1694" t="str">
            <v>SUC BARRANQUILLA</v>
          </cell>
        </row>
        <row r="1695">
          <cell r="B1695" t="str">
            <v>SUC BARRANQUILLA DS</v>
          </cell>
        </row>
        <row r="1696">
          <cell r="B1696" t="str">
            <v>SUC BARRIO 7 DE AGOSTO</v>
          </cell>
        </row>
        <row r="1697">
          <cell r="B1697" t="str">
            <v>SUC BARRIO 7 DE AGOSTO DS</v>
          </cell>
        </row>
        <row r="1698">
          <cell r="B1698" t="str">
            <v>SUC BARRIO ALQUERIA</v>
          </cell>
        </row>
        <row r="1699">
          <cell r="B1699" t="str">
            <v>SUC BARRIO ALQUERIA DS</v>
          </cell>
        </row>
        <row r="1700">
          <cell r="B1700" t="str">
            <v>SUC BARRIO CUBA</v>
          </cell>
        </row>
        <row r="1701">
          <cell r="B1701" t="str">
            <v>SUC BARRIO CUBA DS</v>
          </cell>
        </row>
        <row r="1702">
          <cell r="B1702" t="str">
            <v>SUC BARRIO RESTREPO</v>
          </cell>
        </row>
        <row r="1703">
          <cell r="B1703" t="str">
            <v>SUC BARRIO RESTREPO DS</v>
          </cell>
        </row>
        <row r="1704">
          <cell r="B1704" t="str">
            <v>SUC BARRIO RICAURTE</v>
          </cell>
        </row>
        <row r="1705">
          <cell r="B1705" t="str">
            <v>SUC BARRIO RICAURTE DS</v>
          </cell>
        </row>
        <row r="1706">
          <cell r="B1706" t="str">
            <v>SUC BARRIO SANTA LUCIA</v>
          </cell>
        </row>
        <row r="1707">
          <cell r="B1707" t="str">
            <v>SUC BARRIO SANTA LUCIA DS</v>
          </cell>
        </row>
        <row r="1708">
          <cell r="B1708" t="str">
            <v>SUC BARRIO SANTANDER</v>
          </cell>
        </row>
        <row r="1709">
          <cell r="B1709" t="str">
            <v>SUC BARRIO SANTANDER DS</v>
          </cell>
        </row>
        <row r="1710">
          <cell r="B1710" t="str">
            <v>SUC BARRIO TRISTE</v>
          </cell>
        </row>
        <row r="1711">
          <cell r="B1711" t="str">
            <v>SUC BARRIO TRISTE DS</v>
          </cell>
        </row>
        <row r="1712">
          <cell r="B1712" t="str">
            <v>SUC BARRIOS UNIDOS</v>
          </cell>
        </row>
        <row r="1713">
          <cell r="B1713" t="str">
            <v>SUC BARRIOS UNIDOS DS</v>
          </cell>
        </row>
        <row r="1714">
          <cell r="B1714" t="str">
            <v>SUC BAVARIA ARMENIA DS</v>
          </cell>
        </row>
        <row r="1715">
          <cell r="B1715" t="str">
            <v>SUC BAVARIA BUCARAMANGA DS</v>
          </cell>
        </row>
        <row r="1716">
          <cell r="B1716" t="str">
            <v>SUC BAVARIA CARTAGENA DS</v>
          </cell>
        </row>
        <row r="1717">
          <cell r="B1717" t="str">
            <v>SUC BAVARIA CUCUTA DS</v>
          </cell>
        </row>
        <row r="1718">
          <cell r="B1718" t="str">
            <v>SUC BAVARIA DUITAMA DS</v>
          </cell>
        </row>
        <row r="1719">
          <cell r="B1719" t="str">
            <v>SUC BAVARIA GIRARDOT DS</v>
          </cell>
        </row>
        <row r="1720">
          <cell r="B1720" t="str">
            <v>SUC BAVARIA LEONA DS</v>
          </cell>
        </row>
        <row r="1721">
          <cell r="B1721" t="str">
            <v>SUC BAVARIA NEIVA DS</v>
          </cell>
        </row>
        <row r="1722">
          <cell r="B1722" t="str">
            <v>SUC BAVARIA SANTA MARTA DS</v>
          </cell>
        </row>
        <row r="1723">
          <cell r="B1723" t="str">
            <v>SUC BAVARIA VALLEDUPAR DS</v>
          </cell>
        </row>
        <row r="1724">
          <cell r="B1724" t="str">
            <v>SUC BAVARIA YUMBO DS</v>
          </cell>
        </row>
        <row r="1725">
          <cell r="B1725" t="str">
            <v>SUC BAYER AVENIDA LAS AMERICAS DS</v>
          </cell>
        </row>
        <row r="1726">
          <cell r="B1726" t="str">
            <v>SUC BAZAR ALSACIA</v>
          </cell>
        </row>
        <row r="1727">
          <cell r="B1727" t="str">
            <v>SUC BAZAR ALSACIA DS</v>
          </cell>
        </row>
        <row r="1728">
          <cell r="B1728" t="str">
            <v>SUC BCA PREF SAN FERNANDO PLAZA DS</v>
          </cell>
        </row>
        <row r="1729">
          <cell r="B1729" t="str">
            <v>SUC BELEN</v>
          </cell>
        </row>
        <row r="1730">
          <cell r="B1730" t="str">
            <v>SUC BELEN DE UMBRIA</v>
          </cell>
        </row>
        <row r="1731">
          <cell r="B1731" t="str">
            <v>SUC BELEN DE UMBRIA DS</v>
          </cell>
        </row>
        <row r="1732">
          <cell r="B1732" t="str">
            <v>SUC BELEN DS</v>
          </cell>
        </row>
        <row r="1733">
          <cell r="B1733" t="str">
            <v>SUC BELEN PARQUE</v>
          </cell>
        </row>
        <row r="1734">
          <cell r="B1734" t="str">
            <v>SUC BELEN PARQUE DS</v>
          </cell>
        </row>
        <row r="1735">
          <cell r="B1735" t="str">
            <v>SUC BELLA SUIZA</v>
          </cell>
        </row>
        <row r="1736">
          <cell r="B1736" t="str">
            <v>SUC BELLA SUIZA DS</v>
          </cell>
        </row>
        <row r="1737">
          <cell r="B1737" t="str">
            <v>SUC BELLO CENTRO CCIAL</v>
          </cell>
        </row>
        <row r="1738">
          <cell r="B1738" t="str">
            <v>SUC BELLO CENTRO CCIAL DS</v>
          </cell>
        </row>
        <row r="1739">
          <cell r="B1739" t="str">
            <v>SUC BETANIA DS</v>
          </cell>
        </row>
        <row r="1740">
          <cell r="B1740" t="str">
            <v>SUC BOCAGRANDE</v>
          </cell>
        </row>
        <row r="1741">
          <cell r="B1741" t="str">
            <v>SUC BOCAGRANDE DS</v>
          </cell>
        </row>
        <row r="1742">
          <cell r="B1742" t="str">
            <v>SUC BOJACA DS</v>
          </cell>
        </row>
        <row r="1743">
          <cell r="B1743" t="str">
            <v>SUC BOSA</v>
          </cell>
        </row>
        <row r="1744">
          <cell r="B1744" t="str">
            <v>SUC BOSA DS</v>
          </cell>
        </row>
        <row r="1745">
          <cell r="B1745" t="str">
            <v>SUC BOSCONIA</v>
          </cell>
        </row>
        <row r="1746">
          <cell r="B1746" t="str">
            <v>SUC BOSCONIA DS</v>
          </cell>
        </row>
        <row r="1747">
          <cell r="B1747" t="str">
            <v>SUC BOULEVAR ENVIGADO</v>
          </cell>
        </row>
        <row r="1748">
          <cell r="B1748" t="str">
            <v>SUC BOULEVAR ENVIGADO DS</v>
          </cell>
        </row>
        <row r="1749">
          <cell r="B1749" t="str">
            <v>SUC BUCARAMANGA</v>
          </cell>
        </row>
        <row r="1750">
          <cell r="B1750" t="str">
            <v>SUC BUCARAMANGA DS</v>
          </cell>
        </row>
        <row r="1751">
          <cell r="B1751" t="str">
            <v>SUC BUENAVENTURA</v>
          </cell>
        </row>
        <row r="1752">
          <cell r="B1752" t="str">
            <v>SUC BUENAVENTURA DS</v>
          </cell>
        </row>
        <row r="1753">
          <cell r="B1753" t="str">
            <v>SUC BUENAVISTA DEL SINU  DS</v>
          </cell>
        </row>
        <row r="1754">
          <cell r="B1754" t="str">
            <v>SUC BUENAVISTA DS</v>
          </cell>
        </row>
        <row r="1755">
          <cell r="B1755" t="str">
            <v>SUC BUENAVISTA II</v>
          </cell>
        </row>
        <row r="1756">
          <cell r="B1756" t="str">
            <v>SUC BUENOS AIRES</v>
          </cell>
        </row>
        <row r="1757">
          <cell r="B1757" t="str">
            <v>SUC BUENOS AIRES DS</v>
          </cell>
        </row>
        <row r="1758">
          <cell r="B1758" t="str">
            <v>SUC BUGA</v>
          </cell>
        </row>
        <row r="1759">
          <cell r="B1759" t="str">
            <v>SUC BUGA DS</v>
          </cell>
        </row>
        <row r="1760">
          <cell r="B1760" t="str">
            <v>SUC BUGALAGRANDE</v>
          </cell>
        </row>
        <row r="1761">
          <cell r="B1761" t="str">
            <v>SUC BUGALAGRANDE DS</v>
          </cell>
        </row>
        <row r="1762">
          <cell r="B1762" t="str">
            <v>SUC BUGANVILES</v>
          </cell>
        </row>
        <row r="1763">
          <cell r="B1763" t="str">
            <v>SUC BUGANVILES DS</v>
          </cell>
        </row>
        <row r="1764">
          <cell r="B1764" t="str">
            <v>SUC BULEVAR 54</v>
          </cell>
        </row>
        <row r="1765">
          <cell r="B1765" t="str">
            <v>SUC BULEVAR 54 DS</v>
          </cell>
        </row>
        <row r="1766">
          <cell r="B1766" t="str">
            <v>SUC CABECERA</v>
          </cell>
        </row>
        <row r="1767">
          <cell r="B1767" t="str">
            <v>SUC CABECERA DEL LLANO</v>
          </cell>
        </row>
        <row r="1768">
          <cell r="B1768" t="str">
            <v>SUC CABECERA DEL LLANO DS</v>
          </cell>
        </row>
        <row r="1769">
          <cell r="B1769" t="str">
            <v>SUC CABECERA DS</v>
          </cell>
        </row>
        <row r="1770">
          <cell r="B1770" t="str">
            <v>SUC CACIQUE</v>
          </cell>
        </row>
        <row r="1771">
          <cell r="B1771" t="str">
            <v>SUC CACIQUE DS</v>
          </cell>
        </row>
        <row r="1772">
          <cell r="B1772" t="str">
            <v>SUC CAICEDONIA</v>
          </cell>
        </row>
        <row r="1773">
          <cell r="B1773" t="str">
            <v>SUC CAICEDONIA DS</v>
          </cell>
        </row>
        <row r="1774">
          <cell r="B1774" t="str">
            <v>SUC CAJA RESTREPO DS</v>
          </cell>
        </row>
        <row r="1775">
          <cell r="B1775" t="str">
            <v>SUC CAJAMARCA</v>
          </cell>
        </row>
        <row r="1776">
          <cell r="B1776" t="str">
            <v>SUC CAJAMARCA DS</v>
          </cell>
        </row>
        <row r="1777">
          <cell r="B1777" t="str">
            <v>SUC CAJICA</v>
          </cell>
        </row>
        <row r="1778">
          <cell r="B1778" t="str">
            <v>SUC CAJICA DS</v>
          </cell>
        </row>
        <row r="1779">
          <cell r="B1779" t="str">
            <v>SUC CALARCA</v>
          </cell>
        </row>
        <row r="1780">
          <cell r="B1780" t="str">
            <v>SUC CALARCA DS</v>
          </cell>
        </row>
        <row r="1781">
          <cell r="B1781" t="str">
            <v>SUC CALASANZ</v>
          </cell>
        </row>
        <row r="1782">
          <cell r="B1782" t="str">
            <v>SUC CALASANZ DS</v>
          </cell>
        </row>
        <row r="1783">
          <cell r="B1783" t="str">
            <v>SUC CALDAS PARQUE</v>
          </cell>
        </row>
        <row r="1784">
          <cell r="B1784" t="str">
            <v>SUC CALDAS PARQUE DS</v>
          </cell>
        </row>
        <row r="1785">
          <cell r="B1785" t="str">
            <v>SUC CALI</v>
          </cell>
        </row>
        <row r="1786">
          <cell r="B1786" t="str">
            <v>SUC CALI DS</v>
          </cell>
        </row>
        <row r="1787">
          <cell r="B1787" t="str">
            <v>SUC CALIMA</v>
          </cell>
        </row>
        <row r="1788">
          <cell r="B1788" t="str">
            <v>SUC CALIMA DS</v>
          </cell>
        </row>
        <row r="1789">
          <cell r="B1789" t="str">
            <v>SUC CALLE  80</v>
          </cell>
        </row>
        <row r="1790">
          <cell r="B1790" t="str">
            <v>SUC CALLE 10</v>
          </cell>
        </row>
        <row r="1791">
          <cell r="B1791" t="str">
            <v>SUC CALLE 10 DS</v>
          </cell>
        </row>
        <row r="1792">
          <cell r="B1792" t="str">
            <v>SUC CALLE 100</v>
          </cell>
        </row>
        <row r="1793">
          <cell r="B1793" t="str">
            <v>SUC CALLE 100 DS</v>
          </cell>
        </row>
        <row r="1794">
          <cell r="B1794" t="str">
            <v>SUC CALLE 101</v>
          </cell>
        </row>
        <row r="1795">
          <cell r="B1795" t="str">
            <v>SUC CALLE 101 DS</v>
          </cell>
        </row>
        <row r="1796">
          <cell r="B1796" t="str">
            <v>SUC CALLE 122</v>
          </cell>
        </row>
        <row r="1797">
          <cell r="B1797" t="str">
            <v>SUC CALLE 122 DS</v>
          </cell>
        </row>
        <row r="1798">
          <cell r="B1798" t="str">
            <v>SUC CALLE 13 - 2</v>
          </cell>
        </row>
        <row r="1799">
          <cell r="B1799" t="str">
            <v>SUC CALLE 13 - 2 DS</v>
          </cell>
        </row>
        <row r="1800">
          <cell r="B1800" t="str">
            <v>SUC CALLE 140</v>
          </cell>
        </row>
        <row r="1801">
          <cell r="B1801" t="str">
            <v>SUC CALLE 140 DS</v>
          </cell>
        </row>
        <row r="1802">
          <cell r="B1802" t="str">
            <v>SUC CALLE 18</v>
          </cell>
        </row>
        <row r="1803">
          <cell r="B1803" t="str">
            <v>SUC CALLE 18 DS</v>
          </cell>
        </row>
        <row r="1804">
          <cell r="B1804" t="str">
            <v>SUC CALLE 24</v>
          </cell>
        </row>
        <row r="1805">
          <cell r="B1805" t="str">
            <v>SUC CALLE 24 DS</v>
          </cell>
        </row>
        <row r="1806">
          <cell r="B1806" t="str">
            <v>SUC CALLE 29</v>
          </cell>
        </row>
        <row r="1807">
          <cell r="B1807" t="str">
            <v>SUC CALLE 29 DS</v>
          </cell>
        </row>
        <row r="1808">
          <cell r="B1808" t="str">
            <v>SUC CALLE 53</v>
          </cell>
        </row>
        <row r="1809">
          <cell r="B1809" t="str">
            <v>SUC CALLE 53 DS</v>
          </cell>
        </row>
        <row r="1810">
          <cell r="B1810" t="str">
            <v>SUC CALLE 57</v>
          </cell>
        </row>
        <row r="1811">
          <cell r="B1811" t="str">
            <v>SUC CALLE 57 DS</v>
          </cell>
        </row>
        <row r="1812">
          <cell r="B1812" t="str">
            <v>SUC CALLE 58</v>
          </cell>
        </row>
        <row r="1813">
          <cell r="B1813" t="str">
            <v>SUC CALLE 58 DS</v>
          </cell>
        </row>
        <row r="1814">
          <cell r="B1814" t="str">
            <v>SUC CALLE 70</v>
          </cell>
        </row>
        <row r="1815">
          <cell r="B1815" t="str">
            <v>SUC CALLE 70 DS</v>
          </cell>
        </row>
        <row r="1816">
          <cell r="B1816" t="str">
            <v>SUC CALLE 76</v>
          </cell>
        </row>
        <row r="1817">
          <cell r="B1817" t="str">
            <v>SUC CALLE 76 DS</v>
          </cell>
        </row>
        <row r="1818">
          <cell r="B1818" t="str">
            <v>SUC CALLE 79</v>
          </cell>
        </row>
        <row r="1819">
          <cell r="B1819" t="str">
            <v>SUC CALLE 79 DS</v>
          </cell>
        </row>
        <row r="1820">
          <cell r="B1820" t="str">
            <v>SUC CALLE 80 DS</v>
          </cell>
        </row>
        <row r="1821">
          <cell r="B1821" t="str">
            <v>SUC CALLE 84</v>
          </cell>
        </row>
        <row r="1822">
          <cell r="B1822" t="str">
            <v>SUC CALLE 84 DS</v>
          </cell>
        </row>
        <row r="1823">
          <cell r="B1823" t="str">
            <v>SUC CALLE 87</v>
          </cell>
        </row>
        <row r="1824">
          <cell r="B1824" t="str">
            <v>SUC CALLE 87 DS</v>
          </cell>
        </row>
        <row r="1825">
          <cell r="B1825" t="str">
            <v>SUC CALLE 92</v>
          </cell>
        </row>
        <row r="1826">
          <cell r="B1826" t="str">
            <v>SUC CALLE 92 DS</v>
          </cell>
        </row>
        <row r="1827">
          <cell r="B1827" t="str">
            <v>SUC CALLE CATORCE</v>
          </cell>
        </row>
        <row r="1828">
          <cell r="B1828" t="str">
            <v>SUC CALLE CATORCE DS</v>
          </cell>
        </row>
        <row r="1829">
          <cell r="B1829" t="str">
            <v>SUC CALLE NUEVA</v>
          </cell>
        </row>
        <row r="1830">
          <cell r="B1830" t="str">
            <v>SUC CALLE NUEVA DS</v>
          </cell>
        </row>
        <row r="1831">
          <cell r="B1831" t="str">
            <v>SUC CALLE ONCE</v>
          </cell>
        </row>
        <row r="1832">
          <cell r="B1832" t="str">
            <v>SUC CALLE ONCE DS</v>
          </cell>
        </row>
        <row r="1833">
          <cell r="B1833" t="str">
            <v>SUC CALLE PRIMERA</v>
          </cell>
        </row>
        <row r="1834">
          <cell r="B1834" t="str">
            <v>SUC CALLE PRIMERA DS</v>
          </cell>
        </row>
        <row r="1835">
          <cell r="B1835" t="str">
            <v>SUC CAMINO REAL DS</v>
          </cell>
        </row>
        <row r="1836">
          <cell r="B1836" t="str">
            <v>SUC CAMPANARIO POPAYAN</v>
          </cell>
        </row>
        <row r="1837">
          <cell r="B1837" t="str">
            <v>SUC CAMPANARIO POPAYAN DS</v>
          </cell>
        </row>
        <row r="1838">
          <cell r="B1838" t="str">
            <v>SUC CAMPOALEGRE</v>
          </cell>
        </row>
        <row r="1839">
          <cell r="B1839" t="str">
            <v>SUC CAMPOALEGRE DS</v>
          </cell>
        </row>
        <row r="1840">
          <cell r="B1840" t="str">
            <v>SUC CAÑAVERAL</v>
          </cell>
        </row>
        <row r="1841">
          <cell r="B1841" t="str">
            <v>SUC CAÑAVERAL DS</v>
          </cell>
        </row>
        <row r="1842">
          <cell r="B1842" t="str">
            <v>SUC CARABOBO</v>
          </cell>
        </row>
        <row r="1843">
          <cell r="B1843" t="str">
            <v>SUC CARABOBO DS</v>
          </cell>
        </row>
        <row r="1844">
          <cell r="B1844" t="str">
            <v>SUC CAREPA</v>
          </cell>
        </row>
        <row r="1845">
          <cell r="B1845" t="str">
            <v>SUC CAREPA DS</v>
          </cell>
        </row>
        <row r="1846">
          <cell r="B1846" t="str">
            <v>SUC CARIBE</v>
          </cell>
        </row>
        <row r="1847">
          <cell r="B1847" t="str">
            <v>SUC CARIBE DS</v>
          </cell>
        </row>
        <row r="1848">
          <cell r="B1848" t="str">
            <v>SUC CARIBE PLAZA</v>
          </cell>
        </row>
        <row r="1849">
          <cell r="B1849" t="str">
            <v>SUC CARIBE PLAZA DS</v>
          </cell>
        </row>
        <row r="1850">
          <cell r="B1850" t="str">
            <v>SUC CARREFOUR BARRANQUILLA</v>
          </cell>
        </row>
        <row r="1851">
          <cell r="B1851" t="str">
            <v>SUC CARREFOUR BARRANQUILLA DS</v>
          </cell>
        </row>
        <row r="1852">
          <cell r="B1852" t="str">
            <v>SUC CARREFOUR LA 65</v>
          </cell>
        </row>
        <row r="1853">
          <cell r="B1853" t="str">
            <v>SUC CARREFOUR LA 65 DS</v>
          </cell>
        </row>
        <row r="1854">
          <cell r="B1854" t="str">
            <v>SUC CARREFOUR LAS VEGAS</v>
          </cell>
        </row>
        <row r="1855">
          <cell r="B1855" t="str">
            <v>SUC CARREFOUR LAS VEGAS DS</v>
          </cell>
        </row>
        <row r="1856">
          <cell r="B1856" t="str">
            <v>SUC CARRERA 100</v>
          </cell>
        </row>
        <row r="1857">
          <cell r="B1857" t="str">
            <v>SUC CARRERA 100 DS</v>
          </cell>
        </row>
        <row r="1858">
          <cell r="B1858" t="str">
            <v>SUC CARRERA 23</v>
          </cell>
        </row>
        <row r="1859">
          <cell r="B1859" t="str">
            <v>SUC CARRERA 23 DS</v>
          </cell>
        </row>
        <row r="1860">
          <cell r="B1860" t="str">
            <v>SUC CARRERA 26</v>
          </cell>
        </row>
        <row r="1861">
          <cell r="B1861" t="str">
            <v>SUC CARRERA 26 DS</v>
          </cell>
        </row>
        <row r="1862">
          <cell r="B1862" t="str">
            <v>SUC CARRERA 70</v>
          </cell>
        </row>
        <row r="1863">
          <cell r="B1863" t="str">
            <v>SUC CARRERA 70 DS</v>
          </cell>
        </row>
        <row r="1864">
          <cell r="B1864" t="str">
            <v>SUC CARRERA 80</v>
          </cell>
        </row>
        <row r="1865">
          <cell r="B1865" t="str">
            <v>SUC CARRERA 80 DS</v>
          </cell>
        </row>
        <row r="1866">
          <cell r="B1866" t="str">
            <v>SUC CARRERA DECIMA</v>
          </cell>
        </row>
        <row r="1867">
          <cell r="B1867" t="str">
            <v>SUC CARRERA DECIMA DS</v>
          </cell>
        </row>
        <row r="1868">
          <cell r="B1868" t="str">
            <v>SUC CARRERA OCTAVA</v>
          </cell>
        </row>
        <row r="1869">
          <cell r="B1869" t="str">
            <v>SUC CARRERA OCTAVA DS</v>
          </cell>
        </row>
        <row r="1870">
          <cell r="B1870" t="str">
            <v>SUC CARRERA PRIMERA</v>
          </cell>
        </row>
        <row r="1871">
          <cell r="B1871" t="str">
            <v>SUC CARRERA PRIMERA DS</v>
          </cell>
        </row>
        <row r="1872">
          <cell r="B1872" t="str">
            <v>SUC CARRERA TERCERA</v>
          </cell>
        </row>
        <row r="1873">
          <cell r="B1873" t="str">
            <v>SUC CARRERA TERCERA DS</v>
          </cell>
        </row>
        <row r="1874">
          <cell r="B1874" t="str">
            <v>SUC CARTAGENA</v>
          </cell>
        </row>
        <row r="1875">
          <cell r="B1875" t="str">
            <v>SUC CARTAGENA DS</v>
          </cell>
        </row>
        <row r="1876">
          <cell r="B1876" t="str">
            <v>SUC CARTAGO</v>
          </cell>
        </row>
        <row r="1877">
          <cell r="B1877" t="str">
            <v>SUC CARTAGO DS</v>
          </cell>
        </row>
        <row r="1878">
          <cell r="B1878" t="str">
            <v>SUC CARULLA ALHAMBRA</v>
          </cell>
        </row>
        <row r="1879">
          <cell r="B1879" t="str">
            <v>SUC CARULLA ALHAMBRA DS</v>
          </cell>
        </row>
        <row r="1880">
          <cell r="B1880" t="str">
            <v>SUC CARULLA CALLE 82</v>
          </cell>
        </row>
        <row r="1881">
          <cell r="B1881" t="str">
            <v>SUC CARULLA CALLE 82 DS</v>
          </cell>
        </row>
        <row r="1882">
          <cell r="B1882" t="str">
            <v>SUC CARULLA CENTRO CHIA</v>
          </cell>
        </row>
        <row r="1883">
          <cell r="B1883" t="str">
            <v>SUC CARULLA CENTRO CHIA DS</v>
          </cell>
        </row>
        <row r="1884">
          <cell r="B1884" t="str">
            <v>SUC CARULLA MALL LLANOGRANDE DS</v>
          </cell>
        </row>
        <row r="1885">
          <cell r="B1885" t="str">
            <v>SUC CARULLA PABLO VI</v>
          </cell>
        </row>
        <row r="1886">
          <cell r="B1886" t="str">
            <v>SUC CARULLA PABLO VI DS</v>
          </cell>
        </row>
        <row r="1887">
          <cell r="B1887" t="str">
            <v>SUC CARULLA PEPE SIERRA</v>
          </cell>
        </row>
        <row r="1888">
          <cell r="B1888" t="str">
            <v>SUC CARULLA PEPE SIERRA DS</v>
          </cell>
        </row>
        <row r="1889">
          <cell r="B1889" t="str">
            <v>SUC CARULLA PLAZA AMERICA DS</v>
          </cell>
        </row>
        <row r="1890">
          <cell r="B1890" t="str">
            <v>SUC CARULLA PRADO DS</v>
          </cell>
        </row>
        <row r="1891">
          <cell r="B1891" t="str">
            <v>SUC CARULLA SAN LUCAS</v>
          </cell>
        </row>
        <row r="1892">
          <cell r="B1892" t="str">
            <v>SUC CARULLA SAN LUCAS DS</v>
          </cell>
        </row>
        <row r="1893">
          <cell r="B1893" t="str">
            <v>SUC CARVAJAL BOGOTA DS</v>
          </cell>
        </row>
        <row r="1894">
          <cell r="B1894" t="str">
            <v>SUC CARVAJAL SANTA MONICA DS</v>
          </cell>
        </row>
        <row r="1895">
          <cell r="B1895" t="str">
            <v>SUC CATEDRAL</v>
          </cell>
        </row>
        <row r="1896">
          <cell r="B1896" t="str">
            <v>SUC CATEDRAL DS</v>
          </cell>
        </row>
        <row r="1897">
          <cell r="B1897" t="str">
            <v>SUC CAUCASIA</v>
          </cell>
        </row>
        <row r="1898">
          <cell r="B1898" t="str">
            <v>SUC CAUCASIA DS</v>
          </cell>
        </row>
        <row r="1899">
          <cell r="B1899" t="str">
            <v>SUC CEDRITOS</v>
          </cell>
        </row>
        <row r="1900">
          <cell r="B1900" t="str">
            <v>SUC CEDRITOS DS</v>
          </cell>
        </row>
        <row r="1901">
          <cell r="B1901" t="str">
            <v>SUC CEDRO BOLIVAR</v>
          </cell>
        </row>
        <row r="1902">
          <cell r="B1902" t="str">
            <v>SUC CEDRO BOLIVAR DS</v>
          </cell>
        </row>
        <row r="1903">
          <cell r="B1903" t="str">
            <v>SUC CENTRAL DE ABASTOS B/MANGA</v>
          </cell>
        </row>
        <row r="1904">
          <cell r="B1904" t="str">
            <v>SUC CENTRAL DE ABASTOS B/MANGA DS</v>
          </cell>
        </row>
        <row r="1905">
          <cell r="B1905" t="str">
            <v>SUC CENTRAL DE ABASTOS BARRANQUILLA DS</v>
          </cell>
        </row>
        <row r="1906">
          <cell r="B1906" t="str">
            <v>SUC CENTRAL DE ABASTOS BOGOTA DS</v>
          </cell>
        </row>
        <row r="1907">
          <cell r="B1907" t="str">
            <v>SUC CENTRAL DE ABASTOS MEDELLIN</v>
          </cell>
        </row>
        <row r="1908">
          <cell r="B1908" t="str">
            <v>SUC CENTRAL DE ABASTOS MEDELLIN DS</v>
          </cell>
        </row>
        <row r="1909">
          <cell r="B1909" t="str">
            <v>SUC CENTRO</v>
          </cell>
        </row>
        <row r="1910">
          <cell r="B1910" t="str">
            <v>SUC CENTRO 93</v>
          </cell>
        </row>
        <row r="1911">
          <cell r="B1911" t="str">
            <v>SUC CENTRO 93 DS</v>
          </cell>
        </row>
        <row r="1912">
          <cell r="B1912" t="str">
            <v>SUC CENTRO BUCARAMANGA</v>
          </cell>
        </row>
        <row r="1913">
          <cell r="B1913" t="str">
            <v>SUC CENTRO BUCARAMANGA DS</v>
          </cell>
        </row>
        <row r="1914">
          <cell r="B1914" t="str">
            <v>SUC CENTRO CCIAL ANDINO</v>
          </cell>
        </row>
        <row r="1915">
          <cell r="B1915" t="str">
            <v>SUC CENTRO CCIAL ANDINO DS</v>
          </cell>
        </row>
        <row r="1916">
          <cell r="B1916" t="str">
            <v>SUC CENTRO CCIAL ATLANTIS DS</v>
          </cell>
        </row>
        <row r="1917">
          <cell r="B1917" t="str">
            <v>SUC CENTRO CCIAL HAYUELOS</v>
          </cell>
        </row>
        <row r="1918">
          <cell r="B1918" t="str">
            <v>SUC CENTRO CCIAL HAYUELOS DS</v>
          </cell>
        </row>
        <row r="1919">
          <cell r="B1919" t="str">
            <v>SUC CENTRO CCIAL MAYORCA</v>
          </cell>
        </row>
        <row r="1920">
          <cell r="B1920" t="str">
            <v>SUC CENTRO CCIAL MAYORCA DS</v>
          </cell>
        </row>
        <row r="1921">
          <cell r="B1921" t="str">
            <v>SUC CENTRO CCIAL PALATINO</v>
          </cell>
        </row>
        <row r="1922">
          <cell r="B1922" t="str">
            <v>SUC CENTRO CCIAL PALATINO DS</v>
          </cell>
        </row>
        <row r="1923">
          <cell r="B1923" t="str">
            <v>SUC CENTRO CCIAL PLAZA DS</v>
          </cell>
        </row>
        <row r="1924">
          <cell r="B1924" t="str">
            <v>SUC CENTRO CCIAL PUENTE LARGO</v>
          </cell>
        </row>
        <row r="1925">
          <cell r="B1925" t="str">
            <v>SUC CENTRO CCIAL PUENTE LARGO DS</v>
          </cell>
        </row>
        <row r="1926">
          <cell r="B1926" t="str">
            <v>SUC CENTRO CCIAL SALITRE PLAZA DS</v>
          </cell>
        </row>
        <row r="1927">
          <cell r="B1927" t="str">
            <v>SUC CENTRO CCIAL SANTA BARBARA</v>
          </cell>
        </row>
        <row r="1928">
          <cell r="B1928" t="str">
            <v>SUC CENTRO CCIAL SANTA BARBARA DS</v>
          </cell>
        </row>
        <row r="1929">
          <cell r="B1929" t="str">
            <v>SUC CENTRO CCIAL SANTA FE BOGOTA</v>
          </cell>
        </row>
        <row r="1930">
          <cell r="B1930" t="str">
            <v>SUC CENTRO CCIAL SANTA FE BOGOTA DS</v>
          </cell>
        </row>
        <row r="1931">
          <cell r="B1931" t="str">
            <v>SUC CENTRO CCIAL UNICO</v>
          </cell>
        </row>
        <row r="1932">
          <cell r="B1932" t="str">
            <v>SUC CENTRO CCIAL UNICO DS</v>
          </cell>
        </row>
        <row r="1933">
          <cell r="B1933" t="str">
            <v>SUC CENTRO COLON</v>
          </cell>
        </row>
        <row r="1934">
          <cell r="B1934" t="str">
            <v>SUC CENTRO COLON DS</v>
          </cell>
        </row>
        <row r="1935">
          <cell r="B1935" t="str">
            <v>SUC CENTRO COLTEJER</v>
          </cell>
        </row>
        <row r="1936">
          <cell r="B1936" t="str">
            <v>SUC CENTRO COLTEJER DS</v>
          </cell>
        </row>
        <row r="1937">
          <cell r="B1937" t="str">
            <v>SUC CENTRO COMERCIAL  SAN ANTONIO</v>
          </cell>
        </row>
        <row r="1938">
          <cell r="B1938" t="str">
            <v>SUC CENTRO COMERCIAL ATLANTIS</v>
          </cell>
        </row>
        <row r="1939">
          <cell r="B1939" t="str">
            <v>SUC CENTRO COMERCIAL SAN ANTONIO DS</v>
          </cell>
        </row>
        <row r="1940">
          <cell r="B1940" t="str">
            <v>SUC CENTRO COMERCIAL SANTAFE MEDELLIN</v>
          </cell>
        </row>
        <row r="1941">
          <cell r="B1941" t="str">
            <v>SUC CENTRO COMERCIAL SANTAFE MEDELLIN DS</v>
          </cell>
        </row>
        <row r="1942">
          <cell r="B1942" t="str">
            <v>SUC CENTRO COMERCIAL UNICO PASTO</v>
          </cell>
        </row>
        <row r="1943">
          <cell r="B1943" t="str">
            <v>SUC CENTRO COMERCIAL UNICO PASTO DS</v>
          </cell>
        </row>
        <row r="1944">
          <cell r="B1944" t="str">
            <v>SUC CENTRO DE LA CONFECCION</v>
          </cell>
        </row>
        <row r="1945">
          <cell r="B1945" t="str">
            <v>SUC CENTRO DE LA CONFECCION DS</v>
          </cell>
        </row>
        <row r="1946">
          <cell r="B1946" t="str">
            <v>SUC CENTRO DE PAGOS APARTADO DS</v>
          </cell>
        </row>
        <row r="1947">
          <cell r="B1947" t="str">
            <v>SUC CENTRO DE PAGOS AVENIDA QUINTA DS</v>
          </cell>
        </row>
        <row r="1948">
          <cell r="B1948" t="str">
            <v>SUC CENTRO DE PAGOS BARRANCABERMEJA DS</v>
          </cell>
        </row>
        <row r="1949">
          <cell r="B1949" t="str">
            <v>SUC CENTRO DE PAGOS BELLO DS</v>
          </cell>
        </row>
        <row r="1950">
          <cell r="B1950" t="str">
            <v>SUC CENTRO DE PAGOS BUCARAMANGA DS</v>
          </cell>
        </row>
        <row r="1951">
          <cell r="B1951" t="str">
            <v>SUC CENTRO DE PAGOS BUENAVENTURA DS</v>
          </cell>
        </row>
        <row r="1952">
          <cell r="B1952" t="str">
            <v>SUC CENTRO DE PAGOS CABECERA DS</v>
          </cell>
        </row>
        <row r="1953">
          <cell r="B1953" t="str">
            <v>SUC CENTRO DE PAGOS CALI SUR DS</v>
          </cell>
        </row>
        <row r="1954">
          <cell r="B1954" t="str">
            <v>SUC CENTRO DE PAGOS CALLE 18 DS</v>
          </cell>
        </row>
        <row r="1955">
          <cell r="B1955" t="str">
            <v>SUC CENTRO DE PAGOS CALLE 72 DS</v>
          </cell>
        </row>
        <row r="1956">
          <cell r="B1956" t="str">
            <v>SUC CENTRO DE PAGOS CARTAGO DS</v>
          </cell>
        </row>
        <row r="1957">
          <cell r="B1957" t="str">
            <v>SUC CENTRO DE PAGOS COLTEJER DS</v>
          </cell>
        </row>
        <row r="1958">
          <cell r="B1958" t="str">
            <v>SUC CENTRO DE PAGOS CUCUTA DS</v>
          </cell>
        </row>
        <row r="1959">
          <cell r="B1959" t="str">
            <v>SUC CENTRO DE PAGOS FONTIBON DS</v>
          </cell>
        </row>
        <row r="1960">
          <cell r="B1960" t="str">
            <v>SUC CENTRO DE PAGOS GUAYABAL DS</v>
          </cell>
        </row>
        <row r="1961">
          <cell r="B1961" t="str">
            <v>SUC CENTRO DE PAGOS ISLA OVIEDO DS</v>
          </cell>
        </row>
        <row r="1962">
          <cell r="B1962" t="str">
            <v>SUC CENTRO DE PAGOS ITAGUI DS</v>
          </cell>
        </row>
        <row r="1963">
          <cell r="B1963" t="str">
            <v>SUC CENTRO DE PAGOS LA  93 DS</v>
          </cell>
        </row>
        <row r="1964">
          <cell r="B1964" t="str">
            <v>SUC CENTRO DE PAGOS LA AMERICA DS</v>
          </cell>
        </row>
        <row r="1965">
          <cell r="B1965" t="str">
            <v>SUC CENTRO DE PAGOS LA CASTELLANA DS</v>
          </cell>
        </row>
        <row r="1966">
          <cell r="B1966" t="str">
            <v>SUC CENTRO DE PAGOS MANIZALES DS</v>
          </cell>
        </row>
        <row r="1967">
          <cell r="B1967" t="str">
            <v>SUC CENTRO DE PAGOS MAYORISTA DS</v>
          </cell>
        </row>
        <row r="1968">
          <cell r="B1968" t="str">
            <v>SUC CENTRO DE PAGOS MODELIA DS</v>
          </cell>
        </row>
        <row r="1969">
          <cell r="B1969" t="str">
            <v>SUC CENTRO DE PAGOS MONTERIA DS</v>
          </cell>
        </row>
        <row r="1970">
          <cell r="B1970" t="str">
            <v>SUC CENTRO DE PAGOS MONTERREY  DS</v>
          </cell>
        </row>
        <row r="1971">
          <cell r="B1971" t="str">
            <v>SUC CENTRO DE PAGOS NEIVA DS</v>
          </cell>
        </row>
        <row r="1972">
          <cell r="B1972" t="str">
            <v>SUC CENTRO DE PAGOS OCCIDENTE DS</v>
          </cell>
        </row>
        <row r="1973">
          <cell r="B1973" t="str">
            <v>SUC CENTRO DE PAGOS PALMIRA DS</v>
          </cell>
        </row>
        <row r="1974">
          <cell r="B1974" t="str">
            <v>SUC CENTRO DE PAGOS PASTO DS</v>
          </cell>
        </row>
        <row r="1975">
          <cell r="B1975" t="str">
            <v>SUC CENTRO DE PAGOS POBLADO DS</v>
          </cell>
        </row>
        <row r="1976">
          <cell r="B1976" t="str">
            <v>SUC CENTRO DE PAGOS POPAYAN DS</v>
          </cell>
        </row>
        <row r="1977">
          <cell r="B1977" t="str">
            <v>SUC CENTRO DE PAGOS RIONEGRO DS</v>
          </cell>
        </row>
        <row r="1978">
          <cell r="B1978" t="str">
            <v>SUC CENTRO DE PAGOS SAN MARTIN DS</v>
          </cell>
        </row>
        <row r="1979">
          <cell r="B1979" t="str">
            <v>SUC CENTRO DE PAGOS SANTA MARTA DS</v>
          </cell>
        </row>
        <row r="1980">
          <cell r="B1980" t="str">
            <v>SUC CENTRO DE PAGOS SUBAZAR DS</v>
          </cell>
        </row>
        <row r="1981">
          <cell r="B1981" t="str">
            <v>SUC CENTRO DE PAGOS TEMPO DS</v>
          </cell>
        </row>
        <row r="1982">
          <cell r="B1982" t="str">
            <v>SUC CENTRO DE PAGOS UNICENTRO BOGOTA DS</v>
          </cell>
        </row>
        <row r="1983">
          <cell r="B1983" t="str">
            <v>SUC CENTRO DE PAGOS VALLEDUPAR DS</v>
          </cell>
        </row>
        <row r="1984">
          <cell r="B1984" t="str">
            <v>SUC CENTRO DE PAGOS VILLAVICENCIO DS</v>
          </cell>
        </row>
        <row r="1985">
          <cell r="B1985" t="str">
            <v>SUC CENTRO DISTRITAL</v>
          </cell>
        </row>
        <row r="1986">
          <cell r="B1986" t="str">
            <v>SUC CENTRO DISTRITAL DS</v>
          </cell>
        </row>
        <row r="1987">
          <cell r="B1987" t="str">
            <v>SUC CENTRO DS</v>
          </cell>
        </row>
        <row r="1988">
          <cell r="B1988" t="str">
            <v>SUC CENTRO FINANCIERO</v>
          </cell>
        </row>
        <row r="1989">
          <cell r="B1989" t="str">
            <v>SUC CENTRO FINANCIERO DS</v>
          </cell>
        </row>
        <row r="1990">
          <cell r="B1990" t="str">
            <v>SUC CENTRO INDUSTRIAL</v>
          </cell>
        </row>
        <row r="1991">
          <cell r="B1991" t="str">
            <v>SUC CENTRO INDUSTRIAL DS</v>
          </cell>
        </row>
        <row r="1992">
          <cell r="B1992" t="str">
            <v>SUC CENTRO INTERNACIONAL</v>
          </cell>
        </row>
        <row r="1993">
          <cell r="B1993" t="str">
            <v>SUC CENTRO INTERNACIONAL DS</v>
          </cell>
        </row>
        <row r="1994">
          <cell r="B1994" t="str">
            <v>SUC CENTRO INTERNACIONAL FIDUC DS</v>
          </cell>
        </row>
        <row r="1995">
          <cell r="B1995" t="str">
            <v>SUC CENTRO MAYOR</v>
          </cell>
        </row>
        <row r="1996">
          <cell r="B1996" t="str">
            <v>SUC CENTRO MAYOR DS</v>
          </cell>
        </row>
        <row r="1997">
          <cell r="B1997" t="str">
            <v>SUC CENTRO NACIONAL DEL AHORRO DS</v>
          </cell>
        </row>
        <row r="1998">
          <cell r="B1998" t="str">
            <v>SUC CENTROSUR</v>
          </cell>
        </row>
        <row r="1999">
          <cell r="B1999" t="str">
            <v>SUC CENTROSUR DS</v>
          </cell>
        </row>
        <row r="2000">
          <cell r="B2000" t="str">
            <v>SUC CERETE</v>
          </cell>
        </row>
        <row r="2001">
          <cell r="B2001" t="str">
            <v>SUC CERETE DS</v>
          </cell>
        </row>
        <row r="2002">
          <cell r="B2002" t="str">
            <v>SUC CERRITO</v>
          </cell>
        </row>
        <row r="2003">
          <cell r="B2003" t="str">
            <v>SUC CERRITO DS</v>
          </cell>
        </row>
        <row r="2004">
          <cell r="B2004" t="str">
            <v>SUC CERVUNION DS</v>
          </cell>
        </row>
        <row r="2005">
          <cell r="B2005" t="str">
            <v>SUC CHAPARRAL</v>
          </cell>
        </row>
        <row r="2006">
          <cell r="B2006" t="str">
            <v>SUC CHAPARRAL DS</v>
          </cell>
        </row>
        <row r="2007">
          <cell r="B2007" t="str">
            <v>SUC CHAPINERO</v>
          </cell>
        </row>
        <row r="2008">
          <cell r="B2008" t="str">
            <v>SUC CHAPINERO DS</v>
          </cell>
        </row>
        <row r="2009">
          <cell r="B2009" t="str">
            <v>SUC CHARALA</v>
          </cell>
        </row>
        <row r="2010">
          <cell r="B2010" t="str">
            <v>SUC CHARALA DS</v>
          </cell>
        </row>
        <row r="2011">
          <cell r="B2011" t="str">
            <v>SUC CHIA</v>
          </cell>
        </row>
        <row r="2012">
          <cell r="B2012" t="str">
            <v>SUC CHIA DS</v>
          </cell>
        </row>
        <row r="2013">
          <cell r="B2013" t="str">
            <v>SUC CHICO 94</v>
          </cell>
        </row>
        <row r="2014">
          <cell r="B2014" t="str">
            <v>SUC CHICO 94 DS</v>
          </cell>
        </row>
        <row r="2015">
          <cell r="B2015" t="str">
            <v>SUC CHIGORODO</v>
          </cell>
        </row>
        <row r="2016">
          <cell r="B2016" t="str">
            <v>SUC CHIGORODO DS</v>
          </cell>
        </row>
        <row r="2017">
          <cell r="B2017" t="str">
            <v>SUC CHINCHINA</v>
          </cell>
        </row>
        <row r="2018">
          <cell r="B2018" t="str">
            <v>SUC CHINCHINA DS</v>
          </cell>
        </row>
        <row r="2019">
          <cell r="B2019" t="str">
            <v>SUC CHINU</v>
          </cell>
        </row>
        <row r="2020">
          <cell r="B2020" t="str">
            <v>SUC CHIPICHAPE</v>
          </cell>
        </row>
        <row r="2021">
          <cell r="B2021" t="str">
            <v>SUC CHIPICHAPE DS</v>
          </cell>
        </row>
        <row r="2022">
          <cell r="B2022" t="str">
            <v>SUC CHIQUINQUIRA</v>
          </cell>
        </row>
        <row r="2023">
          <cell r="B2023" t="str">
            <v>SUC CHIQUINQUIRA DS</v>
          </cell>
        </row>
        <row r="2024">
          <cell r="B2024" t="str">
            <v>SUC CIENAGA</v>
          </cell>
        </row>
        <row r="2025">
          <cell r="B2025" t="str">
            <v>SUC CIENAGA DE ORO DS</v>
          </cell>
        </row>
        <row r="2026">
          <cell r="B2026" t="str">
            <v>SUC CIENAGA DS</v>
          </cell>
        </row>
        <row r="2027">
          <cell r="B2027" t="str">
            <v>SUC CIRCUNVALAR PEREIRA</v>
          </cell>
        </row>
        <row r="2028">
          <cell r="B2028" t="str">
            <v>SUC CIRCUNVALAR PEREIRA DS</v>
          </cell>
        </row>
        <row r="2029">
          <cell r="B2029" t="str">
            <v>SUC CITY PLAZA</v>
          </cell>
        </row>
        <row r="2030">
          <cell r="B2030" t="str">
            <v>SUC CITY PLAZA DS</v>
          </cell>
        </row>
        <row r="2031">
          <cell r="B2031" t="str">
            <v>SUC CIUDAD BOLIVAR</v>
          </cell>
        </row>
        <row r="2032">
          <cell r="B2032" t="str">
            <v>SUC CIUDAD BOLIVAR DS</v>
          </cell>
        </row>
        <row r="2033">
          <cell r="B2033" t="str">
            <v>SUC CIUDAD JARDIN</v>
          </cell>
        </row>
        <row r="2034">
          <cell r="B2034" t="str">
            <v>SUC CIUDAD JARDIN DS</v>
          </cell>
        </row>
        <row r="2035">
          <cell r="B2035" t="str">
            <v>SUC CIUDAD KENNEDY</v>
          </cell>
        </row>
        <row r="2036">
          <cell r="B2036" t="str">
            <v>SUC CIUDAD KENNEDY DS</v>
          </cell>
        </row>
        <row r="2037">
          <cell r="B2037" t="str">
            <v>SUC CIUDAD SALITRE 2</v>
          </cell>
        </row>
        <row r="2038">
          <cell r="B2038" t="str">
            <v>SUC CIUDAD SALITRE 2 DS</v>
          </cell>
        </row>
        <row r="2039">
          <cell r="B2039" t="str">
            <v>SUC CLINICA SOMER DS</v>
          </cell>
        </row>
        <row r="2040">
          <cell r="B2040" t="str">
            <v>SUC CODABAS</v>
          </cell>
        </row>
        <row r="2041">
          <cell r="B2041" t="str">
            <v>SUC CODABAS DS</v>
          </cell>
        </row>
        <row r="2042">
          <cell r="B2042" t="str">
            <v>SUC COLINA CAMPESTRE</v>
          </cell>
        </row>
        <row r="2043">
          <cell r="B2043" t="str">
            <v>SUC COLINA CAMPESTRE DS</v>
          </cell>
        </row>
        <row r="2044">
          <cell r="B2044" t="str">
            <v>SUC COLMOTORES DS</v>
          </cell>
        </row>
        <row r="2045">
          <cell r="B2045" t="str">
            <v>SUC COLTABACO</v>
          </cell>
        </row>
        <row r="2046">
          <cell r="B2046" t="str">
            <v>SUC COLTABACO DS</v>
          </cell>
        </row>
        <row r="2047">
          <cell r="B2047" t="str">
            <v>SUC COMPAÑIA COLOMBIANA AUTOMOTRIZ DS</v>
          </cell>
        </row>
        <row r="2048">
          <cell r="B2048" t="str">
            <v>SUC CONCORDIA</v>
          </cell>
        </row>
        <row r="2049">
          <cell r="B2049" t="str">
            <v>SUC CONCORDIA DS</v>
          </cell>
        </row>
        <row r="2050">
          <cell r="B2050" t="str">
            <v>SUC CONSUMO EL PEDREGAL DS</v>
          </cell>
        </row>
        <row r="2051">
          <cell r="B2051" t="str">
            <v>SUC CONSUMO ITAGUI DS</v>
          </cell>
        </row>
        <row r="2052">
          <cell r="B2052" t="str">
            <v>SUC CONTADOR</v>
          </cell>
        </row>
        <row r="2053">
          <cell r="B2053" t="str">
            <v>SUC CONTADOR DS</v>
          </cell>
        </row>
        <row r="2054">
          <cell r="B2054" t="str">
            <v>SUC CONTECAR DS</v>
          </cell>
        </row>
        <row r="2055">
          <cell r="B2055" t="str">
            <v>SUC COPACABANA</v>
          </cell>
        </row>
        <row r="2056">
          <cell r="B2056" t="str">
            <v>SUC COPACABANA DS</v>
          </cell>
        </row>
        <row r="2057">
          <cell r="B2057" t="str">
            <v>SUC CORABASTOS</v>
          </cell>
        </row>
        <row r="2058">
          <cell r="B2058" t="str">
            <v>SUC CORABASTOS DS</v>
          </cell>
        </row>
        <row r="2059">
          <cell r="B2059" t="str">
            <v>SUC COROZAL</v>
          </cell>
        </row>
        <row r="2060">
          <cell r="B2060" t="str">
            <v>SUC COROZAL DS</v>
          </cell>
        </row>
        <row r="2061">
          <cell r="B2061" t="str">
            <v>SUC COSMOCENTRO</v>
          </cell>
        </row>
        <row r="2062">
          <cell r="B2062" t="str">
            <v>SUC COSMOCENTRO DS</v>
          </cell>
        </row>
        <row r="2063">
          <cell r="B2063" t="str">
            <v>SUC COTA</v>
          </cell>
        </row>
        <row r="2064">
          <cell r="B2064" t="str">
            <v>SUC COTA DS</v>
          </cell>
        </row>
        <row r="2065">
          <cell r="B2065" t="str">
            <v>SUC COUNTRY PLAZA</v>
          </cell>
        </row>
        <row r="2066">
          <cell r="B2066" t="str">
            <v>SUC COUNTRY PLAZA DS</v>
          </cell>
        </row>
        <row r="2067">
          <cell r="B2067" t="str">
            <v>SUC COVEÑAS DS</v>
          </cell>
        </row>
        <row r="2068">
          <cell r="B2068" t="str">
            <v>SUC CUCUTA</v>
          </cell>
        </row>
        <row r="2069">
          <cell r="B2069" t="str">
            <v>SUC CUCUTA DS</v>
          </cell>
        </row>
        <row r="2070">
          <cell r="B2070" t="str">
            <v>SUC CUMARAL</v>
          </cell>
        </row>
        <row r="2071">
          <cell r="B2071" t="str">
            <v>SUC DANN CARLTON</v>
          </cell>
        </row>
        <row r="2072">
          <cell r="B2072" t="str">
            <v>SUC DANN CARLTON BARRANQUILLA</v>
          </cell>
        </row>
        <row r="2073">
          <cell r="B2073" t="str">
            <v>SUC DANN CARLTON BARRANQUILLA DS</v>
          </cell>
        </row>
        <row r="2074">
          <cell r="B2074" t="str">
            <v>SUC DANN CARLTON DS</v>
          </cell>
        </row>
        <row r="2075">
          <cell r="B2075" t="str">
            <v>SUC DEPARTAMENTO DE CUNDINAMARCA CTRO DS</v>
          </cell>
        </row>
        <row r="2076">
          <cell r="B2076" t="str">
            <v>SUC DEPARTAMENTO DE CUNDINAMARCA NORT DS</v>
          </cell>
        </row>
        <row r="2077">
          <cell r="B2077" t="str">
            <v>SUC DEPARTAMENTO DE CUNDINAMARCA SUR DS</v>
          </cell>
        </row>
        <row r="2078">
          <cell r="B2078" t="str">
            <v>SUC DIAGONAL SANTANDER</v>
          </cell>
        </row>
        <row r="2079">
          <cell r="B2079" t="str">
            <v>SUC DIAGONAL SANTANDER DS</v>
          </cell>
        </row>
        <row r="2080">
          <cell r="B2080" t="str">
            <v>SUC DICENTE MEDELLIN DS</v>
          </cell>
        </row>
        <row r="2081">
          <cell r="B2081" t="str">
            <v>SUC DIVER PLAZA</v>
          </cell>
        </row>
        <row r="2082">
          <cell r="B2082" t="str">
            <v>SUC DIVER PLAZA DS</v>
          </cell>
        </row>
        <row r="2083">
          <cell r="B2083" t="str">
            <v>SUC DIVISAS LEY SANTA MARTA</v>
          </cell>
        </row>
        <row r="2084">
          <cell r="B2084" t="str">
            <v>SUC DONMATIAS</v>
          </cell>
        </row>
        <row r="2085">
          <cell r="B2085" t="str">
            <v>SUC DONMATIAS DS</v>
          </cell>
        </row>
        <row r="2086">
          <cell r="B2086" t="str">
            <v>SUC DORADO PLAZA</v>
          </cell>
        </row>
        <row r="2087">
          <cell r="B2087" t="str">
            <v>SUC DOSQUEBRADAS</v>
          </cell>
        </row>
        <row r="2088">
          <cell r="B2088" t="str">
            <v>SUC DOSQUEBRADAS DS</v>
          </cell>
        </row>
        <row r="2089">
          <cell r="B2089" t="str">
            <v>SUC DUITAMA</v>
          </cell>
        </row>
        <row r="2090">
          <cell r="B2090" t="str">
            <v>SUC DUITAMA DS</v>
          </cell>
        </row>
        <row r="2091">
          <cell r="B2091" t="str">
            <v>SUC EAFIT</v>
          </cell>
        </row>
        <row r="2092">
          <cell r="B2092" t="str">
            <v>SUC EAFIT DS</v>
          </cell>
        </row>
        <row r="2093">
          <cell r="B2093" t="str">
            <v>SUC ECOPETROL</v>
          </cell>
        </row>
        <row r="2094">
          <cell r="B2094" t="str">
            <v>SUC ECOPETROL DS</v>
          </cell>
        </row>
        <row r="2095">
          <cell r="B2095" t="str">
            <v>SUC ECOPETROL NEIVA DS</v>
          </cell>
        </row>
        <row r="2096">
          <cell r="B2096" t="str">
            <v>SUC EDIFICIO COLONIAL</v>
          </cell>
        </row>
        <row r="2097">
          <cell r="B2097" t="str">
            <v>SUC EDIFICIO COLONIAL DS</v>
          </cell>
        </row>
        <row r="2098">
          <cell r="B2098" t="str">
            <v>SUC EDIFICIO EMPRESAS PUBLICAS DS</v>
          </cell>
        </row>
        <row r="2099">
          <cell r="B2099" t="str">
            <v>SUC EDIFICIO LARA</v>
          </cell>
        </row>
        <row r="2100">
          <cell r="B2100" t="str">
            <v>SUC EDIFICIO LARA DS</v>
          </cell>
        </row>
        <row r="2101">
          <cell r="B2101" t="str">
            <v>SUC EL BAGRE DS</v>
          </cell>
        </row>
        <row r="2102">
          <cell r="B2102" t="str">
            <v>SUC EL BORDO CAUCA DS</v>
          </cell>
        </row>
        <row r="2103">
          <cell r="B2103" t="str">
            <v>SUC EL BOSQUE</v>
          </cell>
        </row>
        <row r="2104">
          <cell r="B2104" t="str">
            <v>SUC EL BOSQUE DS</v>
          </cell>
        </row>
        <row r="2105">
          <cell r="B2105" t="str">
            <v>SUC EL CABLE</v>
          </cell>
        </row>
        <row r="2106">
          <cell r="B2106" t="str">
            <v>SUC EL CABLE DS</v>
          </cell>
        </row>
        <row r="2107">
          <cell r="B2107" t="str">
            <v>SUC EL CAN</v>
          </cell>
        </row>
        <row r="2108">
          <cell r="B2108" t="str">
            <v>SUC EL CAN DS</v>
          </cell>
        </row>
        <row r="2109">
          <cell r="B2109" t="str">
            <v>SUC EL CARMEN DE VIBORAL</v>
          </cell>
        </row>
        <row r="2110">
          <cell r="B2110" t="str">
            <v>SUC EL CARMEN DE VIBORAL DS</v>
          </cell>
        </row>
        <row r="2111">
          <cell r="B2111" t="str">
            <v>SUC EL CERREJON DS</v>
          </cell>
        </row>
        <row r="2112">
          <cell r="B2112" t="str">
            <v>SUC EL DIFICIL</v>
          </cell>
        </row>
        <row r="2113">
          <cell r="B2113" t="str">
            <v>SUC EL DIFICIL DS</v>
          </cell>
        </row>
        <row r="2114">
          <cell r="B2114" t="str">
            <v>SUC EL GUAMO</v>
          </cell>
        </row>
        <row r="2115">
          <cell r="B2115" t="str">
            <v>SUC EL GUAMO DS</v>
          </cell>
        </row>
        <row r="2116">
          <cell r="B2116" t="str">
            <v>SUC EL LAGO</v>
          </cell>
        </row>
        <row r="2117">
          <cell r="B2117" t="str">
            <v>SUC EL LAGO DS</v>
          </cell>
        </row>
        <row r="2118">
          <cell r="B2118" t="str">
            <v>SUC EL LIMONAR PREMIER</v>
          </cell>
        </row>
        <row r="2119">
          <cell r="B2119" t="str">
            <v>SUC EL LIMONAR PREMIER DS</v>
          </cell>
        </row>
        <row r="2120">
          <cell r="B2120" t="str">
            <v>SUC EL PEÑOL DS</v>
          </cell>
        </row>
        <row r="2121">
          <cell r="B2121" t="str">
            <v>SUC EL RODADERO</v>
          </cell>
        </row>
        <row r="2122">
          <cell r="B2122" t="str">
            <v>SUC EL RODADERO DS</v>
          </cell>
        </row>
        <row r="2123">
          <cell r="B2123" t="str">
            <v>SUC EL ROSAL</v>
          </cell>
        </row>
        <row r="2124">
          <cell r="B2124" t="str">
            <v>SUC EL ROSAL DS</v>
          </cell>
        </row>
        <row r="2125">
          <cell r="B2125" t="str">
            <v>SUC EL TESORO</v>
          </cell>
        </row>
        <row r="2126">
          <cell r="B2126" t="str">
            <v>SUC EL TESORO DS</v>
          </cell>
        </row>
        <row r="2127">
          <cell r="B2127" t="str">
            <v>SUC EL TRONCAL</v>
          </cell>
        </row>
        <row r="2128">
          <cell r="B2128" t="str">
            <v>SUC EL TRONCAL DS</v>
          </cell>
        </row>
        <row r="2129">
          <cell r="B2129" t="str">
            <v>SUC EL VIRREY</v>
          </cell>
        </row>
        <row r="2130">
          <cell r="B2130" t="str">
            <v>SUC EL VIRREY DS</v>
          </cell>
        </row>
        <row r="2131">
          <cell r="B2131" t="str">
            <v>SUC EMBOTELLADORA ROMAN MONTERIA DS</v>
          </cell>
        </row>
        <row r="2132">
          <cell r="B2132" t="str">
            <v>SUC EMCALI 14 DS</v>
          </cell>
        </row>
        <row r="2133">
          <cell r="B2133" t="str">
            <v>SUC EMCALI CENTRO DS</v>
          </cell>
        </row>
        <row r="2134">
          <cell r="B2134" t="str">
            <v>SUC EMCALI COSMOCENTRO DS</v>
          </cell>
        </row>
        <row r="2135">
          <cell r="B2135" t="str">
            <v>SUC EMCALI DS</v>
          </cell>
        </row>
        <row r="2136">
          <cell r="B2136" t="str">
            <v>SUC EMCALI LA RIVIERA</v>
          </cell>
        </row>
        <row r="2137">
          <cell r="B2137" t="str">
            <v>SUC EMCALI YUMBO DS</v>
          </cell>
        </row>
        <row r="2138">
          <cell r="B2138" t="str">
            <v>SUC ENTRERRIOS</v>
          </cell>
        </row>
        <row r="2139">
          <cell r="B2139" t="str">
            <v>SUC ENTRERRIOS DS</v>
          </cell>
        </row>
        <row r="2140">
          <cell r="B2140" t="str">
            <v>SUC ENVIGADO</v>
          </cell>
        </row>
        <row r="2141">
          <cell r="B2141" t="str">
            <v>SUC ENVIGADO DS</v>
          </cell>
        </row>
        <row r="2142">
          <cell r="B2142" t="str">
            <v>SUC ESPINAL</v>
          </cell>
        </row>
        <row r="2143">
          <cell r="B2143" t="str">
            <v>SUC ESPINAL DS</v>
          </cell>
        </row>
        <row r="2144">
          <cell r="B2144" t="str">
            <v>SUC ESTADIO</v>
          </cell>
        </row>
        <row r="2145">
          <cell r="B2145" t="str">
            <v>SUC ESTADIO DS</v>
          </cell>
        </row>
        <row r="2146">
          <cell r="B2146" t="str">
            <v>SUC ETB VILLAVICENCIO DS</v>
          </cell>
        </row>
        <row r="2147">
          <cell r="B2147" t="str">
            <v>SUC EXITO 80</v>
          </cell>
        </row>
        <row r="2148">
          <cell r="B2148" t="str">
            <v>SUC EXITO 80 DS</v>
          </cell>
        </row>
        <row r="2149">
          <cell r="B2149" t="str">
            <v>SUC EXITO BARRANQUILLA</v>
          </cell>
        </row>
        <row r="2150">
          <cell r="B2150" t="str">
            <v>SUC EXITO BARRANQUILLA DS</v>
          </cell>
        </row>
        <row r="2151">
          <cell r="B2151" t="str">
            <v>SUC EXITO BELLO</v>
          </cell>
        </row>
        <row r="2152">
          <cell r="B2152" t="str">
            <v>SUC EXITO BELLO DS</v>
          </cell>
        </row>
        <row r="2153">
          <cell r="B2153" t="str">
            <v>SUC EXITO BOSA</v>
          </cell>
        </row>
        <row r="2154">
          <cell r="B2154" t="str">
            <v>SUC EXITO BOSA DS</v>
          </cell>
        </row>
        <row r="2155">
          <cell r="B2155" t="str">
            <v>SUC EXITO BUCARAMANGA</v>
          </cell>
        </row>
        <row r="2156">
          <cell r="B2156" t="str">
            <v>SUC EXITO BUCARAMANGA 2 DS</v>
          </cell>
        </row>
        <row r="2157">
          <cell r="B2157" t="str">
            <v>SUC EXITO BUCARAMANGA DS</v>
          </cell>
        </row>
        <row r="2158">
          <cell r="B2158" t="str">
            <v>SUC EXITO CALLE 80</v>
          </cell>
        </row>
        <row r="2159">
          <cell r="B2159" t="str">
            <v>SUC EXITO CALLE 80 DS</v>
          </cell>
        </row>
        <row r="2160">
          <cell r="B2160" t="str">
            <v>SUC EXITO CAÑAVERAL</v>
          </cell>
        </row>
        <row r="2161">
          <cell r="B2161" t="str">
            <v>SUC EXITO CAÑAVERAL DS</v>
          </cell>
        </row>
        <row r="2162">
          <cell r="B2162" t="str">
            <v>SUC EXITO COLINA CAMPESTRE</v>
          </cell>
        </row>
        <row r="2163">
          <cell r="B2163" t="str">
            <v>SUC EXITO COLINA CAMPESTRE 2 DS</v>
          </cell>
        </row>
        <row r="2164">
          <cell r="B2164" t="str">
            <v>SUC EXITO COLINA CAMPESTRE DS</v>
          </cell>
        </row>
        <row r="2165">
          <cell r="B2165" t="str">
            <v>SUC EXITO COLOMBIA</v>
          </cell>
        </row>
        <row r="2166">
          <cell r="B2166" t="str">
            <v>SUC EXITO COLOMBIA 2 DS</v>
          </cell>
        </row>
        <row r="2167">
          <cell r="B2167" t="str">
            <v>SUC EXITO COLOMBIA DS</v>
          </cell>
        </row>
        <row r="2168">
          <cell r="B2168" t="str">
            <v>SUC EXITO COUNTRY</v>
          </cell>
        </row>
        <row r="2169">
          <cell r="B2169" t="str">
            <v>SUC EXITO COUNTRY 2 DS</v>
          </cell>
        </row>
        <row r="2170">
          <cell r="B2170" t="str">
            <v>SUC EXITO COUNTRY DS</v>
          </cell>
        </row>
        <row r="2171">
          <cell r="B2171" t="str">
            <v>SUC EXITO DE LAS AMERICAS</v>
          </cell>
        </row>
        <row r="2172">
          <cell r="B2172" t="str">
            <v>SUC EXITO DE LAS AMERICAS DS</v>
          </cell>
        </row>
        <row r="2173">
          <cell r="B2173" t="str">
            <v>SUC EXITO ENVIGADO</v>
          </cell>
        </row>
        <row r="2174">
          <cell r="B2174" t="str">
            <v>SUC EXITO ENVIGADO 2 DS</v>
          </cell>
        </row>
        <row r="2175">
          <cell r="B2175" t="str">
            <v>SUC EXITO ENVIGADO DS</v>
          </cell>
        </row>
        <row r="2176">
          <cell r="B2176" t="str">
            <v>SUC EXITO FONTIBON</v>
          </cell>
        </row>
        <row r="2177">
          <cell r="B2177" t="str">
            <v>SUC EXITO FONTIBON DS</v>
          </cell>
        </row>
        <row r="2178">
          <cell r="B2178" t="str">
            <v>SUC EXITO IBAGUE</v>
          </cell>
        </row>
        <row r="2179">
          <cell r="B2179" t="str">
            <v>SUC EXITO IBAGUE DS</v>
          </cell>
        </row>
        <row r="2180">
          <cell r="B2180" t="str">
            <v>SUC EXITO ITAGUI</v>
          </cell>
        </row>
        <row r="2181">
          <cell r="B2181" t="str">
            <v>SUC EXITO ITAGUI DS</v>
          </cell>
        </row>
        <row r="2182">
          <cell r="B2182" t="str">
            <v>SUC EXITO LA AMERICA DS</v>
          </cell>
        </row>
        <row r="2183">
          <cell r="B2183" t="str">
            <v>SUC EXITO LA FLORA</v>
          </cell>
        </row>
        <row r="2184">
          <cell r="B2184" t="str">
            <v>SUC EXITO LA FLORA 2</v>
          </cell>
        </row>
        <row r="2185">
          <cell r="B2185" t="str">
            <v>SUC EXITO LA FLORA 2 DS</v>
          </cell>
        </row>
        <row r="2186">
          <cell r="B2186" t="str">
            <v>SUC EXITO LA FLORA DS</v>
          </cell>
        </row>
        <row r="2187">
          <cell r="B2187" t="str">
            <v>SUC EXITO LAURELES</v>
          </cell>
        </row>
        <row r="2188">
          <cell r="B2188" t="str">
            <v>SUC EXITO LAURELES 2</v>
          </cell>
        </row>
        <row r="2189">
          <cell r="B2189" t="str">
            <v>SUC EXITO LAURELES DS</v>
          </cell>
        </row>
        <row r="2190">
          <cell r="B2190" t="str">
            <v>SUC EXITO NEIVA</v>
          </cell>
        </row>
        <row r="2191">
          <cell r="B2191" t="str">
            <v>SUC EXITO NEIVA DS</v>
          </cell>
        </row>
        <row r="2192">
          <cell r="B2192" t="str">
            <v>SUC EXITO NORTE</v>
          </cell>
        </row>
        <row r="2193">
          <cell r="B2193" t="str">
            <v>SUC EXITO NORTE DS</v>
          </cell>
        </row>
        <row r="2194">
          <cell r="B2194" t="str">
            <v>SUC EXITO PASTO</v>
          </cell>
        </row>
        <row r="2195">
          <cell r="B2195" t="str">
            <v>SUC EXITO PASTO DS</v>
          </cell>
        </row>
        <row r="2196">
          <cell r="B2196" t="str">
            <v>SUC EXITO PEREIRA</v>
          </cell>
        </row>
        <row r="2197">
          <cell r="B2197" t="str">
            <v>SUC EXITO PEREIRA DS</v>
          </cell>
        </row>
        <row r="2198">
          <cell r="B2198" t="str">
            <v>SUC EXITO POBLADO</v>
          </cell>
        </row>
        <row r="2199">
          <cell r="B2199" t="str">
            <v>SUC EXITO POBLADO 2 DS</v>
          </cell>
        </row>
        <row r="2200">
          <cell r="B2200" t="str">
            <v>SUC EXITO POBLADO DS</v>
          </cell>
        </row>
        <row r="2201">
          <cell r="B2201" t="str">
            <v>SUC EXITO POPAYAN</v>
          </cell>
        </row>
        <row r="2202">
          <cell r="B2202" t="str">
            <v>SUC EXITO POPAYAN DS</v>
          </cell>
        </row>
        <row r="2203">
          <cell r="B2203" t="str">
            <v>SUC EXITO SALITRE</v>
          </cell>
        </row>
        <row r="2204">
          <cell r="B2204" t="str">
            <v>SUC EXITO SALITRE DS</v>
          </cell>
        </row>
        <row r="2205">
          <cell r="B2205" t="str">
            <v>SUC EXITO SAN FERNANDO</v>
          </cell>
        </row>
        <row r="2206">
          <cell r="B2206" t="str">
            <v>SUC EXITO SAN FERNANDO 2</v>
          </cell>
        </row>
        <row r="2207">
          <cell r="B2207" t="str">
            <v>SUC EXITO SAN FERNANDO 2 DS</v>
          </cell>
        </row>
        <row r="2208">
          <cell r="B2208" t="str">
            <v>SUC EXITO SAN FERNANDO DS</v>
          </cell>
        </row>
        <row r="2209">
          <cell r="B2209" t="str">
            <v>SUC EXITO SAN IGNACIO DS</v>
          </cell>
        </row>
        <row r="2210">
          <cell r="B2210" t="str">
            <v>SUC EXITO SUBA</v>
          </cell>
        </row>
        <row r="2211">
          <cell r="B2211" t="str">
            <v>SUC EXITO SUBA 2 DS</v>
          </cell>
        </row>
        <row r="2212">
          <cell r="B2212" t="str">
            <v>SUC EXITO SUBA DS</v>
          </cell>
        </row>
        <row r="2213">
          <cell r="B2213" t="str">
            <v>SUC EXITO UNICENTRO</v>
          </cell>
        </row>
        <row r="2214">
          <cell r="B2214" t="str">
            <v>SUC EXITO UNICENTRO DS</v>
          </cell>
        </row>
        <row r="2215">
          <cell r="B2215" t="str">
            <v>SUC EXITO VILLAVICENCIO</v>
          </cell>
        </row>
        <row r="2216">
          <cell r="B2216" t="str">
            <v>SUC EXITO VILLAVICENCIO DS</v>
          </cell>
        </row>
        <row r="2217">
          <cell r="B2217" t="str">
            <v>SUC EXTENSION UNICENTRO BOGOTA DS</v>
          </cell>
        </row>
        <row r="2218">
          <cell r="B2218" t="str">
            <v>SUC FACATATIVA</v>
          </cell>
        </row>
        <row r="2219">
          <cell r="B2219" t="str">
            <v>SUC FACATATIVA DS</v>
          </cell>
        </row>
        <row r="2220">
          <cell r="B2220" t="str">
            <v>SUC FANALCA DS</v>
          </cell>
        </row>
        <row r="2221">
          <cell r="B2221" t="str">
            <v>SUC FIDUCIARIA BARRANQUILLA DS</v>
          </cell>
        </row>
        <row r="2222">
          <cell r="B2222" t="str">
            <v>SUC FIDUCIARIA CALI DS</v>
          </cell>
        </row>
        <row r="2223">
          <cell r="B2223" t="str">
            <v>SUC FIDUCIARIA OVIEDO DS</v>
          </cell>
        </row>
        <row r="2224">
          <cell r="B2224" t="str">
            <v>SUC FLORENCIA</v>
          </cell>
        </row>
        <row r="2225">
          <cell r="B2225" t="str">
            <v>SUC FLORENCIA DS</v>
          </cell>
        </row>
        <row r="2226">
          <cell r="B2226" t="str">
            <v>SUC FLORESTA</v>
          </cell>
        </row>
        <row r="2227">
          <cell r="B2227" t="str">
            <v>SUC FLORESTA DS</v>
          </cell>
        </row>
        <row r="2228">
          <cell r="B2228" t="str">
            <v>SUC FLORIDA</v>
          </cell>
        </row>
        <row r="2229">
          <cell r="B2229" t="str">
            <v>SUC FLORIDA BLANCA</v>
          </cell>
        </row>
        <row r="2230">
          <cell r="B2230" t="str">
            <v>SUC FLORIDA BLANCA DS</v>
          </cell>
        </row>
        <row r="2231">
          <cell r="B2231" t="str">
            <v>SUC FLORIDA DS</v>
          </cell>
        </row>
        <row r="2232">
          <cell r="B2232" t="str">
            <v>SUC FONDO NACIONAL DEL AHORRO DS</v>
          </cell>
        </row>
        <row r="2233">
          <cell r="B2233" t="str">
            <v>SUC FONSECA</v>
          </cell>
        </row>
        <row r="2234">
          <cell r="B2234" t="str">
            <v>SUC FONSECA  DS</v>
          </cell>
        </row>
        <row r="2235">
          <cell r="B2235" t="str">
            <v>SUC FONTIBON</v>
          </cell>
        </row>
        <row r="2236">
          <cell r="B2236" t="str">
            <v>SUC FONTIBON CARRERA 100</v>
          </cell>
        </row>
        <row r="2237">
          <cell r="B2237" t="str">
            <v>SUC FONTIBON CARRERA 100 DS</v>
          </cell>
        </row>
        <row r="2238">
          <cell r="B2238" t="str">
            <v>SUC FONTIBON DS</v>
          </cell>
        </row>
        <row r="2239">
          <cell r="B2239" t="str">
            <v>SUC FREDONIA</v>
          </cell>
        </row>
        <row r="2240">
          <cell r="B2240" t="str">
            <v>SUC FREDONIA DS</v>
          </cell>
        </row>
        <row r="2241">
          <cell r="B2241" t="str">
            <v>SUC FRESNO</v>
          </cell>
        </row>
        <row r="2242">
          <cell r="B2242" t="str">
            <v>SUC FRESNO DS</v>
          </cell>
        </row>
        <row r="2243">
          <cell r="B2243" t="str">
            <v>SUC FRIGORIFICO DS</v>
          </cell>
        </row>
        <row r="2244">
          <cell r="B2244" t="str">
            <v>SUC FUNDADORES MANIZALES</v>
          </cell>
        </row>
        <row r="2245">
          <cell r="B2245" t="str">
            <v>SUC FUNDADORES MANIZALES DS</v>
          </cell>
        </row>
        <row r="2246">
          <cell r="B2246" t="str">
            <v>SUC FUNZA</v>
          </cell>
        </row>
        <row r="2247">
          <cell r="B2247" t="str">
            <v>SUC FUNZA DS</v>
          </cell>
        </row>
        <row r="2248">
          <cell r="B2248" t="str">
            <v>SUC FUSAGASUGA</v>
          </cell>
        </row>
        <row r="2249">
          <cell r="B2249" t="str">
            <v>SUC FUSAGASUGA DS</v>
          </cell>
        </row>
        <row r="2250">
          <cell r="B2250" t="str">
            <v>SUC GACHANCIPA DS</v>
          </cell>
        </row>
        <row r="2251">
          <cell r="B2251" t="str">
            <v>SUC GAITAN</v>
          </cell>
        </row>
        <row r="2252">
          <cell r="B2252" t="str">
            <v>SUC GAITAN DS</v>
          </cell>
        </row>
        <row r="2253">
          <cell r="B2253" t="str">
            <v>SUC GALAPA DS</v>
          </cell>
        </row>
        <row r="2254">
          <cell r="B2254" t="str">
            <v>SUC GALERIAS</v>
          </cell>
        </row>
        <row r="2255">
          <cell r="B2255" t="str">
            <v>SUC GALERIAS DS</v>
          </cell>
        </row>
        <row r="2256">
          <cell r="B2256" t="str">
            <v>SUC GARAGOA</v>
          </cell>
        </row>
        <row r="2257">
          <cell r="B2257" t="str">
            <v>SUC GARAGOA DS</v>
          </cell>
        </row>
        <row r="2258">
          <cell r="B2258" t="str">
            <v>SUC GARZON</v>
          </cell>
        </row>
        <row r="2259">
          <cell r="B2259" t="str">
            <v>SUC GARZON DS</v>
          </cell>
        </row>
        <row r="2260">
          <cell r="B2260" t="str">
            <v>SUC GIGANTE DS</v>
          </cell>
        </row>
        <row r="2261">
          <cell r="B2261" t="str">
            <v>SUC GIRARDOT 2</v>
          </cell>
        </row>
        <row r="2262">
          <cell r="B2262" t="str">
            <v>SUC GIRARDOT 2 DS</v>
          </cell>
        </row>
        <row r="2263">
          <cell r="B2263" t="str">
            <v>SUC GIRARDOTA</v>
          </cell>
        </row>
        <row r="2264">
          <cell r="B2264" t="str">
            <v>SUC GIRARDOTA DS</v>
          </cell>
        </row>
        <row r="2265">
          <cell r="B2265" t="str">
            <v>SUC GIRON</v>
          </cell>
        </row>
        <row r="2266">
          <cell r="B2266" t="str">
            <v>SUC GIRON DS</v>
          </cell>
        </row>
        <row r="2267">
          <cell r="B2267" t="str">
            <v>SUC GRAN ESTACION</v>
          </cell>
        </row>
        <row r="2268">
          <cell r="B2268" t="str">
            <v>SUC GRAN ESTACION DS</v>
          </cell>
        </row>
        <row r="2269">
          <cell r="B2269" t="str">
            <v>SUC GRANADA CALI</v>
          </cell>
        </row>
        <row r="2270">
          <cell r="B2270" t="str">
            <v>SUC GRANADA CALI DS</v>
          </cell>
        </row>
        <row r="2271">
          <cell r="B2271" t="str">
            <v>SUC GRANADA META</v>
          </cell>
        </row>
        <row r="2272">
          <cell r="B2272" t="str">
            <v>SUC GRANADA META DS</v>
          </cell>
        </row>
        <row r="2273">
          <cell r="B2273" t="str">
            <v>SUC GRANCENTRO</v>
          </cell>
        </row>
        <row r="2274">
          <cell r="B2274" t="str">
            <v>SUC GRANCENTRO DS</v>
          </cell>
        </row>
        <row r="2275">
          <cell r="B2275" t="str">
            <v>SUC GUACHENE</v>
          </cell>
        </row>
        <row r="2276">
          <cell r="B2276" t="str">
            <v>SUC GUACHETA DS</v>
          </cell>
        </row>
        <row r="2277">
          <cell r="B2277" t="str">
            <v>SUC GUARNE</v>
          </cell>
        </row>
        <row r="2278">
          <cell r="B2278" t="str">
            <v>SUC GUARNE DS</v>
          </cell>
        </row>
        <row r="2279">
          <cell r="B2279" t="str">
            <v>SUC GUASCA DS</v>
          </cell>
        </row>
        <row r="2280">
          <cell r="B2280" t="str">
            <v>SUC GUATAPURI</v>
          </cell>
        </row>
        <row r="2281">
          <cell r="B2281" t="str">
            <v>SUC GUATAPURI DS</v>
          </cell>
        </row>
        <row r="2282">
          <cell r="B2282" t="str">
            <v>SUC GUAYABAL</v>
          </cell>
        </row>
        <row r="2283">
          <cell r="B2283" t="str">
            <v>SUC GUAYABAL DS</v>
          </cell>
        </row>
        <row r="2284">
          <cell r="B2284" t="str">
            <v>SUC GUAYAQUIL</v>
          </cell>
        </row>
        <row r="2285">
          <cell r="B2285" t="str">
            <v>SUC GUAYAQUIL DS</v>
          </cell>
        </row>
        <row r="2286">
          <cell r="B2286" t="str">
            <v>SUC HATONUEVO DS</v>
          </cell>
        </row>
        <row r="2287">
          <cell r="B2287" t="str">
            <v>SUC HINO MOTORS DS</v>
          </cell>
        </row>
        <row r="2288">
          <cell r="B2288" t="str">
            <v>SUC HONDA</v>
          </cell>
        </row>
        <row r="2289">
          <cell r="B2289" t="str">
            <v>SUC HONDA DS</v>
          </cell>
        </row>
        <row r="2290">
          <cell r="B2290" t="str">
            <v>SUC HOSPITAL GENERAL DS</v>
          </cell>
        </row>
        <row r="2291">
          <cell r="B2291" t="str">
            <v>SUC HOSPITAL PABLO TOBON URIBE</v>
          </cell>
        </row>
        <row r="2292">
          <cell r="B2292" t="str">
            <v>SUC HOSPITAL PABLO TOBON URIBE DS</v>
          </cell>
        </row>
        <row r="2293">
          <cell r="B2293" t="str">
            <v>SUC HOTEL TEQUENDAMA</v>
          </cell>
        </row>
        <row r="2294">
          <cell r="B2294" t="str">
            <v>SUC HOTEL TEQUENDAMA DS</v>
          </cell>
        </row>
        <row r="2295">
          <cell r="B2295" t="str">
            <v>SUC IBAGUE</v>
          </cell>
        </row>
        <row r="2296">
          <cell r="B2296" t="str">
            <v>SUC IBAGUE DS</v>
          </cell>
        </row>
        <row r="2297">
          <cell r="B2297" t="str">
            <v>SUC INDEGA BOGOTA NORTE DS</v>
          </cell>
        </row>
        <row r="2298">
          <cell r="B2298" t="str">
            <v>SUC INDEGA BOGOTA SUR DS</v>
          </cell>
        </row>
        <row r="2299">
          <cell r="B2299" t="str">
            <v>SUC INDEGA GIRARDOT DS</v>
          </cell>
        </row>
        <row r="2300">
          <cell r="B2300" t="str">
            <v>SUC INDEGA PASTO DS</v>
          </cell>
        </row>
        <row r="2301">
          <cell r="B2301" t="str">
            <v>SUC IPIALES</v>
          </cell>
        </row>
        <row r="2302">
          <cell r="B2302" t="str">
            <v>SUC IPIALES DS</v>
          </cell>
        </row>
        <row r="2303">
          <cell r="B2303" t="str">
            <v>SUC ISA DS</v>
          </cell>
        </row>
        <row r="2304">
          <cell r="B2304" t="str">
            <v>SUC ITAGUI</v>
          </cell>
        </row>
        <row r="2305">
          <cell r="B2305" t="str">
            <v>SUC ITAGUI DS</v>
          </cell>
        </row>
        <row r="2306">
          <cell r="B2306" t="str">
            <v>SUC ITAGUI PARQUE</v>
          </cell>
        </row>
        <row r="2307">
          <cell r="B2307" t="str">
            <v>SUC ITAGUI PARQUE DS</v>
          </cell>
        </row>
        <row r="2308">
          <cell r="B2308" t="str">
            <v>SUC IWANA</v>
          </cell>
        </row>
        <row r="2309">
          <cell r="B2309" t="str">
            <v>SUC IWANA DS</v>
          </cell>
        </row>
        <row r="2310">
          <cell r="B2310" t="str">
            <v>SUC JAMUNDI</v>
          </cell>
        </row>
        <row r="2311">
          <cell r="B2311" t="str">
            <v>SUC JAMUNDI DS</v>
          </cell>
        </row>
        <row r="2312">
          <cell r="B2312" t="str">
            <v>SUC JARDIN DS</v>
          </cell>
        </row>
        <row r="2313">
          <cell r="B2313" t="str">
            <v>SUC JARDIN PLAZA</v>
          </cell>
        </row>
        <row r="2314">
          <cell r="B2314" t="str">
            <v>SUC JARDIN PLAZA DS</v>
          </cell>
        </row>
        <row r="2315">
          <cell r="B2315" t="str">
            <v>SUC JAVERIANA DS</v>
          </cell>
        </row>
        <row r="2316">
          <cell r="B2316" t="str">
            <v>SUC JOHNSON &amp; JOHNSON YUMBO DS</v>
          </cell>
        </row>
        <row r="2317">
          <cell r="B2317" t="str">
            <v>SUC JORGE TADEO LOZANO DS</v>
          </cell>
        </row>
        <row r="2318">
          <cell r="B2318" t="str">
            <v>SUC LA 14 VALLE DEL LILI</v>
          </cell>
        </row>
        <row r="2319">
          <cell r="B2319" t="str">
            <v>SUC LA 14 VALLE DEL LILI DS</v>
          </cell>
        </row>
        <row r="2320">
          <cell r="B2320" t="str">
            <v>SUC LA AGUACATALA</v>
          </cell>
        </row>
        <row r="2321">
          <cell r="B2321" t="str">
            <v>SUC LA AGUACATALA DS</v>
          </cell>
        </row>
        <row r="2322">
          <cell r="B2322" t="str">
            <v>SUC LA AMERICA</v>
          </cell>
        </row>
        <row r="2323">
          <cell r="B2323" t="str">
            <v>SUC LA AMERICA DS</v>
          </cell>
        </row>
        <row r="2324">
          <cell r="B2324" t="str">
            <v>SUC LA CALERA</v>
          </cell>
        </row>
        <row r="2325">
          <cell r="B2325" t="str">
            <v>SUC LA CALERA DS</v>
          </cell>
        </row>
        <row r="2326">
          <cell r="B2326" t="str">
            <v>SUC LA CANDELARIA</v>
          </cell>
        </row>
        <row r="2327">
          <cell r="B2327" t="str">
            <v>SUC LA CANDELARIA DS</v>
          </cell>
        </row>
        <row r="2328">
          <cell r="B2328" t="str">
            <v>SUC LA CAROLINA  UNICENTRO</v>
          </cell>
        </row>
        <row r="2329">
          <cell r="B2329" t="str">
            <v>SUC LA CAROLINA UNICENTRO DS</v>
          </cell>
        </row>
        <row r="2330">
          <cell r="B2330" t="str">
            <v>SUC LA CEJA</v>
          </cell>
        </row>
        <row r="2331">
          <cell r="B2331" t="str">
            <v>SUC LA CEJA DS</v>
          </cell>
        </row>
        <row r="2332">
          <cell r="B2332" t="str">
            <v>SUC LA DORADA</v>
          </cell>
        </row>
        <row r="2333">
          <cell r="B2333" t="str">
            <v>SUC LA DORADA DS</v>
          </cell>
        </row>
        <row r="2334">
          <cell r="B2334" t="str">
            <v>SUC LA ERMITA</v>
          </cell>
        </row>
        <row r="2335">
          <cell r="B2335" t="str">
            <v>SUC LA ERMITA DS</v>
          </cell>
        </row>
        <row r="2336">
          <cell r="B2336" t="str">
            <v>SUC LA ESTRELLA</v>
          </cell>
        </row>
        <row r="2337">
          <cell r="B2337" t="str">
            <v>SUC LA ESTRELLA DS</v>
          </cell>
        </row>
        <row r="2338">
          <cell r="B2338" t="str">
            <v>SUC LA FLORA</v>
          </cell>
        </row>
        <row r="2339">
          <cell r="B2339" t="str">
            <v>SUC LA FLORA DS</v>
          </cell>
        </row>
        <row r="2340">
          <cell r="B2340" t="str">
            <v>SUC LA FRONTERA</v>
          </cell>
        </row>
        <row r="2341">
          <cell r="B2341" t="str">
            <v>SUC LA FRONTERA DS</v>
          </cell>
        </row>
        <row r="2342">
          <cell r="B2342" t="str">
            <v>SUC LA GUACATALA</v>
          </cell>
        </row>
        <row r="2343">
          <cell r="B2343" t="str">
            <v>SUC LA HERRADURA</v>
          </cell>
        </row>
        <row r="2344">
          <cell r="B2344" t="str">
            <v>SUC LA HERRADURA DS</v>
          </cell>
        </row>
        <row r="2345">
          <cell r="B2345" t="str">
            <v>SUC LA LOMA DS</v>
          </cell>
        </row>
        <row r="2346">
          <cell r="B2346" t="str">
            <v>SUC LA LUNA</v>
          </cell>
        </row>
        <row r="2347">
          <cell r="B2347" t="str">
            <v>SUC LA LUNA DS</v>
          </cell>
        </row>
        <row r="2348">
          <cell r="B2348" t="str">
            <v>SUC LA MESA</v>
          </cell>
        </row>
        <row r="2349">
          <cell r="B2349" t="str">
            <v>SUC LA MESA DS</v>
          </cell>
        </row>
        <row r="2350">
          <cell r="B2350" t="str">
            <v>SUC LA MOTA</v>
          </cell>
        </row>
        <row r="2351">
          <cell r="B2351" t="str">
            <v>SUC LA MOTA DS</v>
          </cell>
        </row>
        <row r="2352">
          <cell r="B2352" t="str">
            <v>SUC LA PLATA</v>
          </cell>
        </row>
        <row r="2353">
          <cell r="B2353" t="str">
            <v>SUC LA PLATA DS</v>
          </cell>
        </row>
        <row r="2354">
          <cell r="B2354" t="str">
            <v>SUC LA PLAYA</v>
          </cell>
        </row>
        <row r="2355">
          <cell r="B2355" t="str">
            <v>SUC LA PLAYA DS</v>
          </cell>
        </row>
        <row r="2356">
          <cell r="B2356" t="str">
            <v>SUC LA PORCIUNCULA</v>
          </cell>
        </row>
        <row r="2357">
          <cell r="B2357" t="str">
            <v>SUC LA PORCIUNCULA DS</v>
          </cell>
        </row>
        <row r="2358">
          <cell r="B2358" t="str">
            <v>SUC LA QUINTA</v>
          </cell>
        </row>
        <row r="2359">
          <cell r="B2359" t="str">
            <v>SUC LA QUINTA DS</v>
          </cell>
        </row>
        <row r="2360">
          <cell r="B2360" t="str">
            <v>SUC LA RIVIERA</v>
          </cell>
        </row>
        <row r="2361">
          <cell r="B2361" t="str">
            <v>SUC LA RIVIERA DS</v>
          </cell>
        </row>
        <row r="2362">
          <cell r="B2362" t="str">
            <v>SUC LA SABANA DS</v>
          </cell>
        </row>
        <row r="2363">
          <cell r="B2363" t="str">
            <v>SUC LA SALLE</v>
          </cell>
        </row>
        <row r="2364">
          <cell r="B2364" t="str">
            <v>SUC LA SALLE  DS</v>
          </cell>
        </row>
        <row r="2365">
          <cell r="B2365" t="str">
            <v>SUC LA SEVILLANA</v>
          </cell>
        </row>
        <row r="2366">
          <cell r="B2366" t="str">
            <v>SUC LA SEVILLANA DS</v>
          </cell>
        </row>
        <row r="2367">
          <cell r="B2367" t="str">
            <v>SUC LA SOLEDAD BOGOTA</v>
          </cell>
        </row>
        <row r="2368">
          <cell r="B2368" t="str">
            <v>SUC LA SOLEDAD BOGOTA DS</v>
          </cell>
        </row>
        <row r="2369">
          <cell r="B2369" t="str">
            <v>SUC LA UNION</v>
          </cell>
        </row>
        <row r="2370">
          <cell r="B2370" t="str">
            <v>SUC LA UNION ANTIOQUIA</v>
          </cell>
        </row>
        <row r="2371">
          <cell r="B2371" t="str">
            <v>SUC LA UNION ANTIOQUIA DS</v>
          </cell>
        </row>
        <row r="2372">
          <cell r="B2372" t="str">
            <v>SUC LA UNION DS</v>
          </cell>
        </row>
        <row r="2373">
          <cell r="B2373" t="str">
            <v>SUC LA UNION NARI#O</v>
          </cell>
        </row>
        <row r="2374">
          <cell r="B2374" t="str">
            <v>SUC LA UNION NARI#O DS</v>
          </cell>
        </row>
        <row r="2375">
          <cell r="B2375" t="str">
            <v>SUC LA VEGA</v>
          </cell>
        </row>
        <row r="2376">
          <cell r="B2376" t="str">
            <v>SUC LA VEGA DS</v>
          </cell>
        </row>
        <row r="2377">
          <cell r="B2377" t="str">
            <v>SUC LA VICTORIA BARRANQUILLA</v>
          </cell>
        </row>
        <row r="2378">
          <cell r="B2378" t="str">
            <v>SUC LA VICTORIA BARRANQUILLA DS</v>
          </cell>
        </row>
        <row r="2379">
          <cell r="B2379" t="str">
            <v>SUC LAS AGUAS</v>
          </cell>
        </row>
        <row r="2380">
          <cell r="B2380" t="str">
            <v>SUC LAS AGUAS DS</v>
          </cell>
        </row>
        <row r="2381">
          <cell r="B2381" t="str">
            <v>SUC LAS AMERICAS</v>
          </cell>
        </row>
        <row r="2382">
          <cell r="B2382" t="str">
            <v>SUC LAS AMERICAS DS</v>
          </cell>
        </row>
        <row r="2383">
          <cell r="B2383" t="str">
            <v>SUC LAS CRUCES</v>
          </cell>
        </row>
        <row r="2384">
          <cell r="B2384" t="str">
            <v>SUC LAS FERIAS</v>
          </cell>
        </row>
        <row r="2385">
          <cell r="B2385" t="str">
            <v>SUC LAS FERIAS DS</v>
          </cell>
        </row>
        <row r="2386">
          <cell r="B2386" t="str">
            <v>SUC LAS GRANJAS</v>
          </cell>
        </row>
        <row r="2387">
          <cell r="B2387" t="str">
            <v>SUC LAS GRANJAS DS</v>
          </cell>
        </row>
        <row r="2388">
          <cell r="B2388" t="str">
            <v>SUC LAS PALMAS</v>
          </cell>
        </row>
        <row r="2389">
          <cell r="B2389" t="str">
            <v>SUC LAS PALMAS DS</v>
          </cell>
        </row>
        <row r="2390">
          <cell r="B2390" t="str">
            <v>SUC LAS PEÑITAS SINCELEJO</v>
          </cell>
        </row>
        <row r="2391">
          <cell r="B2391" t="str">
            <v>SUC LAS PEÑITAS SINCELEJO DS</v>
          </cell>
        </row>
        <row r="2392">
          <cell r="B2392" t="str">
            <v>SUC LAURELES</v>
          </cell>
        </row>
        <row r="2393">
          <cell r="B2393" t="str">
            <v>SUC LAURELES DS</v>
          </cell>
        </row>
        <row r="2394">
          <cell r="B2394" t="str">
            <v>SUC LEBRIJA</v>
          </cell>
        </row>
        <row r="2395">
          <cell r="B2395" t="str">
            <v>SUC LEBRIJA DS</v>
          </cell>
        </row>
        <row r="2396">
          <cell r="B2396" t="str">
            <v>SUC LETICIA</v>
          </cell>
        </row>
        <row r="2397">
          <cell r="B2397" t="str">
            <v>SUC LETICIA DS</v>
          </cell>
        </row>
        <row r="2398">
          <cell r="B2398" t="str">
            <v>SUC LEY SALITRE DS</v>
          </cell>
        </row>
        <row r="2399">
          <cell r="B2399" t="str">
            <v>SUC LIBANO</v>
          </cell>
        </row>
        <row r="2400">
          <cell r="B2400" t="str">
            <v>SUC LIBANO DS</v>
          </cell>
        </row>
        <row r="2401">
          <cell r="B2401" t="str">
            <v>SUC LIBERTADORES</v>
          </cell>
        </row>
        <row r="2402">
          <cell r="B2402" t="str">
            <v>SUC LIBERTADORES DS</v>
          </cell>
        </row>
        <row r="2403">
          <cell r="B2403" t="str">
            <v>SUC LLANOGRANDE PALMIRA</v>
          </cell>
        </row>
        <row r="2404">
          <cell r="B2404" t="str">
            <v>SUC LLANOGRANDE PALMIRA DS</v>
          </cell>
        </row>
        <row r="2405">
          <cell r="B2405" t="str">
            <v>SUC LOPEZ DE GALARZA</v>
          </cell>
        </row>
        <row r="2406">
          <cell r="B2406" t="str">
            <v>SUC LOPEZ DE GALARZA DS</v>
          </cell>
        </row>
        <row r="2407">
          <cell r="B2407" t="str">
            <v>SUC LORICA</v>
          </cell>
        </row>
        <row r="2408">
          <cell r="B2408" t="str">
            <v>SUC LORICA DS</v>
          </cell>
        </row>
        <row r="2409">
          <cell r="B2409" t="str">
            <v>SUC LOS ALCAZARES</v>
          </cell>
        </row>
        <row r="2410">
          <cell r="B2410" t="str">
            <v>SUC LOS ALCAZARES DS</v>
          </cell>
        </row>
        <row r="2411">
          <cell r="B2411" t="str">
            <v>SUC LOS BONGOS</v>
          </cell>
        </row>
        <row r="2412">
          <cell r="B2412" t="str">
            <v>SUC LOS BONGOS DS</v>
          </cell>
        </row>
        <row r="2413">
          <cell r="B2413" t="str">
            <v>SUC LOS DUJOS</v>
          </cell>
        </row>
        <row r="2414">
          <cell r="B2414" t="str">
            <v>SUC LOS DUJOS DS</v>
          </cell>
        </row>
        <row r="2415">
          <cell r="B2415" t="str">
            <v>SUC LOS MOLINOS</v>
          </cell>
        </row>
        <row r="2416">
          <cell r="B2416" t="str">
            <v>SUC LOS MOLINOS DS</v>
          </cell>
        </row>
        <row r="2417">
          <cell r="B2417" t="str">
            <v>SUC LOS PATIOS</v>
          </cell>
        </row>
        <row r="2418">
          <cell r="B2418" t="str">
            <v>SUC LOURDES DS</v>
          </cell>
        </row>
        <row r="2419">
          <cell r="B2419" t="str">
            <v>SUC MADRID</v>
          </cell>
        </row>
        <row r="2420">
          <cell r="B2420" t="str">
            <v>SUC MADRID DS</v>
          </cell>
        </row>
        <row r="2421">
          <cell r="B2421" t="str">
            <v>SUC MAGANGUE</v>
          </cell>
        </row>
        <row r="2422">
          <cell r="B2422" t="str">
            <v>SUC MAGANGUE DS</v>
          </cell>
        </row>
        <row r="2423">
          <cell r="B2423" t="str">
            <v>SUC MAICAO</v>
          </cell>
        </row>
        <row r="2424">
          <cell r="B2424" t="str">
            <v>SUC MAICAO DS</v>
          </cell>
        </row>
        <row r="2425">
          <cell r="B2425" t="str">
            <v>SUC MAIZARO</v>
          </cell>
        </row>
        <row r="2426">
          <cell r="B2426" t="str">
            <v>SUC MAIZARO DS</v>
          </cell>
        </row>
        <row r="2427">
          <cell r="B2427" t="str">
            <v>SUC MALAGA</v>
          </cell>
        </row>
        <row r="2428">
          <cell r="B2428" t="str">
            <v>SUC MALAGA DS</v>
          </cell>
        </row>
        <row r="2429">
          <cell r="B2429" t="str">
            <v>SUC MALL PLAZA DEL CASTILLO</v>
          </cell>
        </row>
        <row r="2430">
          <cell r="B2430" t="str">
            <v>SUC MALL PLAZA DEL CASTILLO DS</v>
          </cell>
        </row>
        <row r="2431">
          <cell r="B2431" t="str">
            <v>SUC MANAURE DS</v>
          </cell>
        </row>
        <row r="2432">
          <cell r="B2432" t="str">
            <v>SUC MANGA</v>
          </cell>
        </row>
        <row r="2433">
          <cell r="B2433" t="str">
            <v>SUC MANGA DS</v>
          </cell>
        </row>
        <row r="2434">
          <cell r="B2434" t="str">
            <v>SUC MANI DS</v>
          </cell>
        </row>
        <row r="2435">
          <cell r="B2435" t="str">
            <v>SUC MANIZALES</v>
          </cell>
        </row>
        <row r="2436">
          <cell r="B2436" t="str">
            <v>SUC MANIZALES DS</v>
          </cell>
        </row>
        <row r="2437">
          <cell r="B2437" t="str">
            <v>SUC MANRIQUE</v>
          </cell>
        </row>
        <row r="2438">
          <cell r="B2438" t="str">
            <v>SUC MANRIQUE DS</v>
          </cell>
        </row>
        <row r="2439">
          <cell r="B2439" t="str">
            <v>SUC MANSAROVAR DS</v>
          </cell>
        </row>
        <row r="2440">
          <cell r="B2440" t="str">
            <v>SUC MARINILLA</v>
          </cell>
        </row>
        <row r="2441">
          <cell r="B2441" t="str">
            <v>SUC MARINILLA DS</v>
          </cell>
        </row>
        <row r="2442">
          <cell r="B2442" t="str">
            <v>SUC MARIQUITA</v>
          </cell>
        </row>
        <row r="2443">
          <cell r="B2443" t="str">
            <v>SUC MARIQUITA DS</v>
          </cell>
        </row>
        <row r="2444">
          <cell r="B2444" t="str">
            <v>SUC MARLY</v>
          </cell>
        </row>
        <row r="2445">
          <cell r="B2445" t="str">
            <v>SUC MARLY DS</v>
          </cell>
        </row>
        <row r="2446">
          <cell r="B2446" t="str">
            <v>SUC MEGACITY</v>
          </cell>
        </row>
        <row r="2447">
          <cell r="B2447" t="str">
            <v>SUC MEGACITY DS</v>
          </cell>
        </row>
        <row r="2448">
          <cell r="B2448" t="str">
            <v>SUC MEGAMALL</v>
          </cell>
        </row>
        <row r="2449">
          <cell r="B2449" t="str">
            <v>SUC MEGAMALL DS</v>
          </cell>
        </row>
        <row r="2450">
          <cell r="B2450" t="str">
            <v>SUC MELGAR</v>
          </cell>
        </row>
        <row r="2451">
          <cell r="B2451" t="str">
            <v>SUC MELGAR DS</v>
          </cell>
        </row>
        <row r="2452">
          <cell r="B2452" t="str">
            <v>SUC MERCANTIL</v>
          </cell>
        </row>
        <row r="2453">
          <cell r="B2453" t="str">
            <v>SUC MERCANTIL DS</v>
          </cell>
        </row>
        <row r="2454">
          <cell r="B2454" t="str">
            <v>SUC MERCURIO PLAZA</v>
          </cell>
        </row>
        <row r="2455">
          <cell r="B2455" t="str">
            <v>SUC MERCURIO PLAZA DS</v>
          </cell>
        </row>
        <row r="2456">
          <cell r="B2456" t="str">
            <v>SUC METROKIA DS</v>
          </cell>
        </row>
        <row r="2457">
          <cell r="B2457" t="str">
            <v>SUC METROPOLIS</v>
          </cell>
        </row>
        <row r="2458">
          <cell r="B2458" t="str">
            <v>SUC METROPOLIS DS</v>
          </cell>
        </row>
        <row r="2459">
          <cell r="B2459" t="str">
            <v>SUC MILENIO PLAZA</v>
          </cell>
        </row>
        <row r="2460">
          <cell r="B2460" t="str">
            <v>SUC MILENIO PLAZA DS</v>
          </cell>
        </row>
        <row r="2461">
          <cell r="B2461" t="str">
            <v>SUC MINGUEO -DIBULLA DS</v>
          </cell>
        </row>
        <row r="2462">
          <cell r="B2462" t="str">
            <v>SUC MIRAMAR</v>
          </cell>
        </row>
        <row r="2463">
          <cell r="B2463" t="str">
            <v>SUC MIRAMAR DS</v>
          </cell>
        </row>
        <row r="2464">
          <cell r="B2464" t="str">
            <v>SUC MIRANDA CAUCA DS</v>
          </cell>
        </row>
        <row r="2465">
          <cell r="B2465" t="str">
            <v>SUC MIX VIA 40</v>
          </cell>
        </row>
        <row r="2466">
          <cell r="B2466" t="str">
            <v>SUC MIX VIA 40 DS</v>
          </cell>
        </row>
        <row r="2467">
          <cell r="B2467" t="str">
            <v>SUC MODELIA</v>
          </cell>
        </row>
        <row r="2468">
          <cell r="B2468" t="str">
            <v>SUC MODELIA DS</v>
          </cell>
        </row>
        <row r="2469">
          <cell r="B2469" t="str">
            <v>SUC MONOMEROS DS</v>
          </cell>
        </row>
        <row r="2470">
          <cell r="B2470" t="str">
            <v>SUC MONTELIBANO</v>
          </cell>
        </row>
        <row r="2471">
          <cell r="B2471" t="str">
            <v>SUC MONTELIBANO DS</v>
          </cell>
        </row>
        <row r="2472">
          <cell r="B2472" t="str">
            <v>SUC MONTENEGRO</v>
          </cell>
        </row>
        <row r="2473">
          <cell r="B2473" t="str">
            <v>SUC MONTENEGRO DS</v>
          </cell>
        </row>
        <row r="2474">
          <cell r="B2474" t="str">
            <v>SUC MONTERIA</v>
          </cell>
        </row>
        <row r="2475">
          <cell r="B2475" t="str">
            <v>SUC MONTERIA DS</v>
          </cell>
        </row>
        <row r="2476">
          <cell r="B2476" t="str">
            <v>SUC MONTEVIDEO</v>
          </cell>
        </row>
        <row r="2477">
          <cell r="B2477" t="str">
            <v>SUC MONTEVIDEO DS</v>
          </cell>
        </row>
        <row r="2478">
          <cell r="B2478" t="str">
            <v>SUC MORATO</v>
          </cell>
        </row>
        <row r="2479">
          <cell r="B2479" t="str">
            <v>SUC MORATO DS</v>
          </cell>
        </row>
        <row r="2480">
          <cell r="B2480" t="str">
            <v>SUC MORICHAL DS</v>
          </cell>
        </row>
        <row r="2481">
          <cell r="B2481" t="str">
            <v>SUC MORICHAL PLAZA</v>
          </cell>
        </row>
        <row r="2482">
          <cell r="B2482" t="str">
            <v>SUC MOSQUERA</v>
          </cell>
        </row>
        <row r="2483">
          <cell r="B2483" t="str">
            <v>SUC MOSQUERA DS</v>
          </cell>
        </row>
        <row r="2484">
          <cell r="B2484" t="str">
            <v>SUC MUELLES DEL BOSQUE DS</v>
          </cell>
        </row>
        <row r="2485">
          <cell r="B2485" t="str">
            <v>SUC MULTICENTRO IBAGUE</v>
          </cell>
        </row>
        <row r="2486">
          <cell r="B2486" t="str">
            <v>SUC MULTICENTRO IBAGUE 2 DS</v>
          </cell>
        </row>
        <row r="2487">
          <cell r="B2487" t="str">
            <v>SUC MULTICENTRO IBAGUE DS</v>
          </cell>
        </row>
        <row r="2488">
          <cell r="B2488" t="str">
            <v>SUC MULTIPLAZA DRIVE</v>
          </cell>
        </row>
        <row r="2489">
          <cell r="B2489" t="str">
            <v>SUC MULTIPLAZA DRIVE DS</v>
          </cell>
        </row>
        <row r="2490">
          <cell r="B2490" t="str">
            <v>SUC MUNICIPIO DE MEDELLIN DS</v>
          </cell>
        </row>
        <row r="2491">
          <cell r="B2491" t="str">
            <v>SUC MURILLO</v>
          </cell>
        </row>
        <row r="2492">
          <cell r="B2492" t="str">
            <v>SUC MURILLO DS</v>
          </cell>
        </row>
        <row r="2493">
          <cell r="B2493" t="str">
            <v>SUC NECOCLI DS</v>
          </cell>
        </row>
        <row r="2494">
          <cell r="B2494" t="str">
            <v>SUC NEIVA</v>
          </cell>
        </row>
        <row r="2495">
          <cell r="B2495" t="str">
            <v>SUC NEIVA DS</v>
          </cell>
        </row>
        <row r="2496">
          <cell r="B2496" t="str">
            <v>SUC NEMOCON</v>
          </cell>
        </row>
        <row r="2497">
          <cell r="B2497" t="str">
            <v>SUC NEMOCON DS</v>
          </cell>
        </row>
        <row r="2498">
          <cell r="B2498" t="str">
            <v>SUC NISSAN DS</v>
          </cell>
        </row>
        <row r="2499">
          <cell r="B2499" t="str">
            <v>SUC NIZA</v>
          </cell>
        </row>
        <row r="2500">
          <cell r="B2500" t="str">
            <v>SUC NIZA DS</v>
          </cell>
        </row>
        <row r="2501">
          <cell r="B2501" t="str">
            <v>SUC NORMANDIA</v>
          </cell>
        </row>
        <row r="2502">
          <cell r="B2502" t="str">
            <v>SUC NORMANDIA DS</v>
          </cell>
        </row>
        <row r="2503">
          <cell r="B2503" t="str">
            <v>SUC OCANA</v>
          </cell>
        </row>
        <row r="2504">
          <cell r="B2504" t="str">
            <v>SUC OCANA DS</v>
          </cell>
        </row>
        <row r="2505">
          <cell r="B2505" t="str">
            <v>SUC OCEAN MALL</v>
          </cell>
        </row>
        <row r="2506">
          <cell r="B2506" t="str">
            <v>SUC OCEAN MALL DS</v>
          </cell>
        </row>
        <row r="2507">
          <cell r="B2507" t="str">
            <v>SUC OESTE</v>
          </cell>
        </row>
        <row r="2508">
          <cell r="B2508" t="str">
            <v>SUC OESTE DS</v>
          </cell>
        </row>
        <row r="2509">
          <cell r="B2509" t="str">
            <v>SUC OLAYA HERRERA B/QUILLA</v>
          </cell>
        </row>
        <row r="2510">
          <cell r="B2510" t="str">
            <v>SUC OLAYA HERRERA B/QUILLA DS</v>
          </cell>
        </row>
        <row r="2511">
          <cell r="B2511" t="str">
            <v>SUC OLIMPICA</v>
          </cell>
        </row>
        <row r="2512">
          <cell r="B2512" t="str">
            <v>SUC OLIMPICA CARABOBO DS</v>
          </cell>
        </row>
        <row r="2513">
          <cell r="B2513" t="str">
            <v>SUC OLIMPICA DS</v>
          </cell>
        </row>
        <row r="2514">
          <cell r="B2514" t="str">
            <v>SUC OLIMPICA LA 76</v>
          </cell>
        </row>
        <row r="2515">
          <cell r="B2515" t="str">
            <v>SUC OLIMPICA LA 76 DS</v>
          </cell>
        </row>
        <row r="2516">
          <cell r="B2516" t="str">
            <v>SUC OPAIN DS</v>
          </cell>
        </row>
        <row r="2517">
          <cell r="B2517" t="str">
            <v>SUC ORIP CALI DS</v>
          </cell>
        </row>
        <row r="2518">
          <cell r="B2518" t="str">
            <v>SUC ORIP MEDELLIN NORTE DS</v>
          </cell>
        </row>
        <row r="2519">
          <cell r="B2519" t="str">
            <v>SUC ORIP MEDELLIN SUR DS</v>
          </cell>
        </row>
        <row r="2520">
          <cell r="B2520" t="str">
            <v>SUC OROCUE DS</v>
          </cell>
        </row>
        <row r="2521">
          <cell r="B2521" t="str">
            <v>SUC OTRABANDA</v>
          </cell>
        </row>
        <row r="2522">
          <cell r="B2522" t="str">
            <v>SUC OTRABANDA DS</v>
          </cell>
        </row>
        <row r="2523">
          <cell r="B2523" t="str">
            <v>SUC OVIEDO</v>
          </cell>
        </row>
        <row r="2524">
          <cell r="B2524" t="str">
            <v>SUC OVIEDO CENTRO CCIAL</v>
          </cell>
        </row>
        <row r="2525">
          <cell r="B2525" t="str">
            <v>SUC OVIEDO CENTRO CCIAL DS</v>
          </cell>
        </row>
        <row r="2526">
          <cell r="B2526" t="str">
            <v>SUC OVIEDO DS</v>
          </cell>
        </row>
        <row r="2527">
          <cell r="B2527" t="str">
            <v>SUC PACHO</v>
          </cell>
        </row>
        <row r="2528">
          <cell r="B2528" t="str">
            <v>SUC PACHO DS</v>
          </cell>
        </row>
        <row r="2529">
          <cell r="B2529" t="str">
            <v>SUC PAIPA</v>
          </cell>
        </row>
        <row r="2530">
          <cell r="B2530" t="str">
            <v>SUC PAIPA DS</v>
          </cell>
        </row>
        <row r="2531">
          <cell r="B2531" t="str">
            <v>SUC PALERMO DS</v>
          </cell>
        </row>
        <row r="2532">
          <cell r="B2532" t="str">
            <v>SUC PALMETTO</v>
          </cell>
        </row>
        <row r="2533">
          <cell r="B2533" t="str">
            <v>SUC PALMETTO DS</v>
          </cell>
        </row>
        <row r="2534">
          <cell r="B2534" t="str">
            <v>SUC PALMIRA</v>
          </cell>
        </row>
        <row r="2535">
          <cell r="B2535" t="str">
            <v>SUC PALMIRA DS</v>
          </cell>
        </row>
        <row r="2536">
          <cell r="B2536" t="str">
            <v>SUC PALOQUEMAO</v>
          </cell>
        </row>
        <row r="2537">
          <cell r="B2537" t="str">
            <v>SUC PALOQUEMAO DS</v>
          </cell>
        </row>
        <row r="2538">
          <cell r="B2538" t="str">
            <v>SUC PAMPLONA SANTANDER</v>
          </cell>
        </row>
        <row r="2539">
          <cell r="B2539" t="str">
            <v>SUC PAMPLONA SANTANDER DS</v>
          </cell>
        </row>
        <row r="2540">
          <cell r="B2540" t="str">
            <v>SUC PANAMCO COLOMBIA IBAGUE DS</v>
          </cell>
        </row>
        <row r="2541">
          <cell r="B2541" t="str">
            <v>SUC PANAMCO COLOMBIA MEDELLIN DS</v>
          </cell>
        </row>
        <row r="2542">
          <cell r="B2542" t="str">
            <v>SUC PANAMERICANA</v>
          </cell>
        </row>
        <row r="2543">
          <cell r="B2543" t="str">
            <v>SUC PANAMERICANA DS</v>
          </cell>
        </row>
        <row r="2544">
          <cell r="B2544" t="str">
            <v>SUC PARALELO 108</v>
          </cell>
        </row>
        <row r="2545">
          <cell r="B2545" t="str">
            <v>SUC PARALELO 108 DS</v>
          </cell>
        </row>
        <row r="2546">
          <cell r="B2546" t="str">
            <v>SUC PARK WAY</v>
          </cell>
        </row>
        <row r="2547">
          <cell r="B2547" t="str">
            <v>SUC PARK WAY DS</v>
          </cell>
        </row>
        <row r="2548">
          <cell r="B2548" t="str">
            <v>SUC PARQUE ARBOLEDA</v>
          </cell>
        </row>
        <row r="2549">
          <cell r="B2549" t="str">
            <v>SUC PARQUE ARBOLEDA DS</v>
          </cell>
        </row>
        <row r="2550">
          <cell r="B2550" t="str">
            <v>SUC PARQUE BOLIVAR</v>
          </cell>
        </row>
        <row r="2551">
          <cell r="B2551" t="str">
            <v>SUC PARQUE BOLIVAR DS</v>
          </cell>
        </row>
        <row r="2552">
          <cell r="B2552" t="str">
            <v>SUC PARQUE CONCORDIA</v>
          </cell>
        </row>
        <row r="2553">
          <cell r="B2553" t="str">
            <v>SUC PARQUE CONCORDIA DS</v>
          </cell>
        </row>
        <row r="2554">
          <cell r="B2554" t="str">
            <v>SUC PARQUE MURILLO TORO</v>
          </cell>
        </row>
        <row r="2555">
          <cell r="B2555" t="str">
            <v>SUC PARQUE MURILLO TORO DS</v>
          </cell>
        </row>
        <row r="2556">
          <cell r="B2556" t="str">
            <v>SUC PARQUE WASHINGTON</v>
          </cell>
        </row>
        <row r="2557">
          <cell r="B2557" t="str">
            <v>SUC PARQUE WASHINGTON DS</v>
          </cell>
        </row>
        <row r="2558">
          <cell r="B2558" t="str">
            <v>SUC PASEO BOLIVAR</v>
          </cell>
        </row>
        <row r="2559">
          <cell r="B2559" t="str">
            <v>SUC PASEO BOLIVAR DS</v>
          </cell>
        </row>
        <row r="2560">
          <cell r="B2560" t="str">
            <v>SUC PASEO DEL COMERCIO</v>
          </cell>
        </row>
        <row r="2561">
          <cell r="B2561" t="str">
            <v>SUC PASEO DEL COMERCIO DS</v>
          </cell>
        </row>
        <row r="2562">
          <cell r="B2562" t="str">
            <v>SUC PASEO DEL POBLADO</v>
          </cell>
        </row>
        <row r="2563">
          <cell r="B2563" t="str">
            <v>SUC PASEO DEL POBLADO DS</v>
          </cell>
        </row>
        <row r="2564">
          <cell r="B2564" t="str">
            <v>SUC PASEO LA CASTELLANA</v>
          </cell>
        </row>
        <row r="2565">
          <cell r="B2565" t="str">
            <v>SUC PASEO LA CASTELLANA DS</v>
          </cell>
        </row>
        <row r="2566">
          <cell r="B2566" t="str">
            <v>SUC PASO ANCHO</v>
          </cell>
        </row>
        <row r="2567">
          <cell r="B2567" t="str">
            <v>SUC PASO ANCHO DS</v>
          </cell>
        </row>
        <row r="2568">
          <cell r="B2568" t="str">
            <v>SUC PASTO</v>
          </cell>
        </row>
        <row r="2569">
          <cell r="B2569" t="str">
            <v>SUC PASTO DS</v>
          </cell>
        </row>
        <row r="2570">
          <cell r="B2570" t="str">
            <v>SUC PAZ  DE ARIPORO</v>
          </cell>
        </row>
        <row r="2571">
          <cell r="B2571" t="str">
            <v>SUC PAZ  DE ARIPORO DS</v>
          </cell>
        </row>
        <row r="2572">
          <cell r="B2572" t="str">
            <v>SUC PEREIRA</v>
          </cell>
        </row>
        <row r="2573">
          <cell r="B2573" t="str">
            <v>SUC PEREIRA DS</v>
          </cell>
        </row>
        <row r="2574">
          <cell r="B2574" t="str">
            <v>SUC PIEDECUESTA</v>
          </cell>
        </row>
        <row r="2575">
          <cell r="B2575" t="str">
            <v>SUC PIEDECUESTA DS</v>
          </cell>
        </row>
        <row r="2576">
          <cell r="B2576" t="str">
            <v>SUC PITALITO</v>
          </cell>
        </row>
        <row r="2577">
          <cell r="B2577" t="str">
            <v>SUC PITALITO DS</v>
          </cell>
        </row>
        <row r="2578">
          <cell r="B2578" t="str">
            <v>SUC PLANETA RICA</v>
          </cell>
        </row>
        <row r="2579">
          <cell r="B2579" t="str">
            <v>SUC PLANETA RICA DS</v>
          </cell>
        </row>
        <row r="2580">
          <cell r="B2580" t="str">
            <v>SUC PLATO</v>
          </cell>
        </row>
        <row r="2581">
          <cell r="B2581" t="str">
            <v>SUC PLATO DS</v>
          </cell>
        </row>
        <row r="2582">
          <cell r="B2582" t="str">
            <v>SUC PLAZA CAYCEDO</v>
          </cell>
        </row>
        <row r="2583">
          <cell r="B2583" t="str">
            <v>SUC PLAZA CAYCEDO DS</v>
          </cell>
        </row>
        <row r="2584">
          <cell r="B2584" t="str">
            <v>SUC PLAZA DE BOLIVAR</v>
          </cell>
        </row>
        <row r="2585">
          <cell r="B2585" t="str">
            <v>SUC PLAZA DE BOLIVAR ARMENIA</v>
          </cell>
        </row>
        <row r="2586">
          <cell r="B2586" t="str">
            <v>SUC PLAZA DE BOLIVAR ARMENIA DS</v>
          </cell>
        </row>
        <row r="2587">
          <cell r="B2587" t="str">
            <v>SUC PLAZA DE BOLIVAR DS</v>
          </cell>
        </row>
        <row r="2588">
          <cell r="B2588" t="str">
            <v>SUC PLAZA DE BOLIVAR PEREIRA</v>
          </cell>
        </row>
        <row r="2589">
          <cell r="B2589" t="str">
            <v>SUC PLAZA DE BOLIVAR PEREIRA DS</v>
          </cell>
        </row>
        <row r="2590">
          <cell r="B2590" t="str">
            <v>SUC PLAZA DE FERIAS</v>
          </cell>
        </row>
        <row r="2591">
          <cell r="B2591" t="str">
            <v>SUC PLAZA DE FERIAS DS</v>
          </cell>
        </row>
        <row r="2592">
          <cell r="B2592" t="str">
            <v>SUC PLAZA DE FLORES</v>
          </cell>
        </row>
        <row r="2593">
          <cell r="B2593" t="str">
            <v>SUC PLAZA DE FLORES DS</v>
          </cell>
        </row>
        <row r="2594">
          <cell r="B2594" t="str">
            <v>SUC PLAZA DE LA ADUANA</v>
          </cell>
        </row>
        <row r="2595">
          <cell r="B2595" t="str">
            <v>SUC PLAZA DE LA ADUANA DS</v>
          </cell>
        </row>
        <row r="2596">
          <cell r="B2596" t="str">
            <v>SUC PLAZA DE LAS AMERICAS</v>
          </cell>
        </row>
        <row r="2597">
          <cell r="B2597" t="str">
            <v>SUC PLAZA DE LAS AMERICAS DS</v>
          </cell>
        </row>
        <row r="2598">
          <cell r="B2598" t="str">
            <v>SUC PLAZA DE MERCADO MANIZALES</v>
          </cell>
        </row>
        <row r="2599">
          <cell r="B2599" t="str">
            <v>SUC PLAZA DE MERCADO MANIZALES DS</v>
          </cell>
        </row>
        <row r="2600">
          <cell r="B2600" t="str">
            <v>SUC PLAZA DE MERCADO MONTERIA</v>
          </cell>
        </row>
        <row r="2601">
          <cell r="B2601" t="str">
            <v>SUC PLAZA DE MERCADO MONTERIA DS</v>
          </cell>
        </row>
        <row r="2602">
          <cell r="B2602" t="str">
            <v>SUC PLAZA DEL RIO</v>
          </cell>
        </row>
        <row r="2603">
          <cell r="B2603" t="str">
            <v>SUC PLAZA DEL RIO DS</v>
          </cell>
        </row>
        <row r="2604">
          <cell r="B2604" t="str">
            <v>SUC PLAZA ESPAÑA</v>
          </cell>
        </row>
        <row r="2605">
          <cell r="B2605" t="str">
            <v>SUC PLAZA ESPAÑA DS</v>
          </cell>
        </row>
        <row r="2606">
          <cell r="B2606" t="str">
            <v>SUC PLAZA MAYOR</v>
          </cell>
        </row>
        <row r="2607">
          <cell r="B2607" t="str">
            <v>SUC PLAZA MAYOR DS</v>
          </cell>
        </row>
        <row r="2608">
          <cell r="B2608" t="str">
            <v>SUC PLAZA MINORISTA</v>
          </cell>
        </row>
        <row r="2609">
          <cell r="B2609" t="str">
            <v>SUC PLAZA MINORISTA DS</v>
          </cell>
        </row>
        <row r="2610">
          <cell r="B2610" t="str">
            <v>SUC PLAZAS DEL BOSQUE</v>
          </cell>
        </row>
        <row r="2611">
          <cell r="B2611" t="str">
            <v>SUC PLAZAS DEL BOSQUE DS</v>
          </cell>
        </row>
        <row r="2612">
          <cell r="B2612" t="str">
            <v>SUC PLAZOLETA</v>
          </cell>
        </row>
        <row r="2613">
          <cell r="B2613" t="str">
            <v>SUC PLAZOLETA DS</v>
          </cell>
        </row>
        <row r="2614">
          <cell r="B2614" t="str">
            <v>SUC POLO CLUB</v>
          </cell>
        </row>
        <row r="2615">
          <cell r="B2615" t="str">
            <v>SUC POLO CLUB DS</v>
          </cell>
        </row>
        <row r="2616">
          <cell r="B2616" t="str">
            <v>SUC POMONA SAN LUCAS DS</v>
          </cell>
        </row>
        <row r="2617">
          <cell r="B2617" t="str">
            <v>SUC POPAYAN</v>
          </cell>
        </row>
        <row r="2618">
          <cell r="B2618" t="str">
            <v>SUC POPAYAN DS</v>
          </cell>
        </row>
        <row r="2619">
          <cell r="B2619" t="str">
            <v>SUC PORTAL DE LA 80 - 2</v>
          </cell>
        </row>
        <row r="2620">
          <cell r="B2620" t="str">
            <v>SUC PORTAL DE LA 80 - 2 DS</v>
          </cell>
        </row>
        <row r="2621">
          <cell r="B2621" t="str">
            <v>SUC PORTAL DEL PRADO</v>
          </cell>
        </row>
        <row r="2622">
          <cell r="B2622" t="str">
            <v>SUC PORTAL DEL PRADO DS</v>
          </cell>
        </row>
        <row r="2623">
          <cell r="B2623" t="str">
            <v>SUC PRADERA</v>
          </cell>
        </row>
        <row r="2624">
          <cell r="B2624" t="str">
            <v>SUC PRADERA DS</v>
          </cell>
        </row>
        <row r="2625">
          <cell r="B2625" t="str">
            <v>SUC PRADO PLAZA</v>
          </cell>
        </row>
        <row r="2626">
          <cell r="B2626" t="str">
            <v>SUC PRADO PLAZA DS</v>
          </cell>
        </row>
        <row r="2627">
          <cell r="B2627" t="str">
            <v>SUC PRADOS DEL NORTE</v>
          </cell>
        </row>
        <row r="2628">
          <cell r="B2628" t="str">
            <v>SUC PRADOS DEL NORTE DS</v>
          </cell>
        </row>
        <row r="2629">
          <cell r="B2629" t="str">
            <v>SUC PREMIUN PLAZA</v>
          </cell>
        </row>
        <row r="2630">
          <cell r="B2630" t="str">
            <v>SUC PREMIUN PLAZA DS</v>
          </cell>
        </row>
        <row r="2631">
          <cell r="B2631" t="str">
            <v>SUC PROFESIONALES</v>
          </cell>
        </row>
        <row r="2632">
          <cell r="B2632" t="str">
            <v>SUC PROFESIONALES DS</v>
          </cell>
        </row>
        <row r="2633">
          <cell r="B2633" t="str">
            <v>SUC PUEBLO NUEVO</v>
          </cell>
        </row>
        <row r="2634">
          <cell r="B2634" t="str">
            <v>SUC PUEBLO NUEVO DS</v>
          </cell>
        </row>
        <row r="2635">
          <cell r="B2635" t="str">
            <v>SUC PUENTE ARANDA</v>
          </cell>
        </row>
        <row r="2636">
          <cell r="B2636" t="str">
            <v>SUC PUENTE ARANDA DS</v>
          </cell>
        </row>
        <row r="2637">
          <cell r="B2637" t="str">
            <v>SUC PUENTE LARGO</v>
          </cell>
        </row>
        <row r="2638">
          <cell r="B2638" t="str">
            <v>SUC PUENTE LARGO DS</v>
          </cell>
        </row>
        <row r="2639">
          <cell r="B2639" t="str">
            <v>SUC PUERTA DEL RIO</v>
          </cell>
        </row>
        <row r="2640">
          <cell r="B2640" t="str">
            <v>SUC PUERTA DEL RIO DS</v>
          </cell>
        </row>
        <row r="2641">
          <cell r="B2641" t="str">
            <v>SUC PUERTA GRANDE</v>
          </cell>
        </row>
        <row r="2642">
          <cell r="B2642" t="str">
            <v>SUC PUERTA GRANDE DS</v>
          </cell>
        </row>
        <row r="2643">
          <cell r="B2643" t="str">
            <v>SUC PUERTO ASIS</v>
          </cell>
        </row>
        <row r="2644">
          <cell r="B2644" t="str">
            <v>SUC PUERTO ASIS DS</v>
          </cell>
        </row>
        <row r="2645">
          <cell r="B2645" t="str">
            <v>SUC PUERTO BERRIO</v>
          </cell>
        </row>
        <row r="2646">
          <cell r="B2646" t="str">
            <v>SUC PUERTO BERRIO DS</v>
          </cell>
        </row>
        <row r="2647">
          <cell r="B2647" t="str">
            <v>SUC PUERTO BOYACA</v>
          </cell>
        </row>
        <row r="2648">
          <cell r="B2648" t="str">
            <v>SUC PUERTO BOYACA DS</v>
          </cell>
        </row>
        <row r="2649">
          <cell r="B2649" t="str">
            <v>SUC PUERTO GAITAN</v>
          </cell>
        </row>
        <row r="2650">
          <cell r="B2650" t="str">
            <v>SUC PUERTO GAITAN DS</v>
          </cell>
        </row>
        <row r="2651">
          <cell r="B2651" t="str">
            <v>SUC PUERTO LOPEZ</v>
          </cell>
        </row>
        <row r="2652">
          <cell r="B2652" t="str">
            <v>SUC PUERTO LOPEZ DS</v>
          </cell>
        </row>
        <row r="2653">
          <cell r="B2653" t="str">
            <v>SUC PUERTO NARE DS</v>
          </cell>
        </row>
        <row r="2654">
          <cell r="B2654" t="str">
            <v>SUC PUERTO SALGAR</v>
          </cell>
        </row>
        <row r="2655">
          <cell r="B2655" t="str">
            <v>SUC PUERTO SALGAR DS</v>
          </cell>
        </row>
        <row r="2656">
          <cell r="B2656" t="str">
            <v>SUC PUNTO CLAVE</v>
          </cell>
        </row>
        <row r="2657">
          <cell r="B2657" t="str">
            <v>SUC PUNTO CLAVE DS</v>
          </cell>
        </row>
        <row r="2658">
          <cell r="B2658" t="str">
            <v>SUC PUNTO DE LA ORIENTAL</v>
          </cell>
        </row>
        <row r="2659">
          <cell r="B2659" t="str">
            <v>SUC PUNTO DE LA ORIENTAL DS</v>
          </cell>
        </row>
        <row r="2660">
          <cell r="B2660" t="str">
            <v>SUC PURIFICACION</v>
          </cell>
        </row>
        <row r="2661">
          <cell r="B2661" t="str">
            <v>SUC PURIFICACION DS</v>
          </cell>
        </row>
        <row r="2662">
          <cell r="B2662" t="str">
            <v>SUC QUEBRADA SECA</v>
          </cell>
        </row>
        <row r="2663">
          <cell r="B2663" t="str">
            <v>SUC QUEBRADA SECA DS</v>
          </cell>
        </row>
        <row r="2664">
          <cell r="B2664" t="str">
            <v>SUC QUIBDO</v>
          </cell>
        </row>
        <row r="2665">
          <cell r="B2665" t="str">
            <v>SUC QUIBDO DS</v>
          </cell>
        </row>
        <row r="2666">
          <cell r="B2666" t="str">
            <v>SUC QUIMBAYA</v>
          </cell>
        </row>
        <row r="2667">
          <cell r="B2667" t="str">
            <v>SUC QUIMBAYA DS</v>
          </cell>
        </row>
        <row r="2668">
          <cell r="B2668" t="str">
            <v>SUC QUINTA AVENIDA</v>
          </cell>
        </row>
        <row r="2669">
          <cell r="B2669" t="str">
            <v>SUC QUINTA AVENIDA DS</v>
          </cell>
        </row>
        <row r="2670">
          <cell r="B2670" t="str">
            <v>SUC QUINTA CAMACHO</v>
          </cell>
        </row>
        <row r="2671">
          <cell r="B2671" t="str">
            <v>SUC QUINTA CAMACHO DS</v>
          </cell>
        </row>
        <row r="2672">
          <cell r="B2672" t="str">
            <v>SUC QUIRIGUA</v>
          </cell>
        </row>
        <row r="2673">
          <cell r="B2673" t="str">
            <v>SUC QUIRIGUA DS</v>
          </cell>
        </row>
        <row r="2674">
          <cell r="B2674" t="str">
            <v>SUC RAMIRIQUI DS</v>
          </cell>
        </row>
        <row r="2675">
          <cell r="B2675" t="str">
            <v>SUC RETIRO DS</v>
          </cell>
        </row>
        <row r="2676">
          <cell r="B2676" t="str">
            <v>SUC RIOHACHA</v>
          </cell>
        </row>
        <row r="2677">
          <cell r="B2677" t="str">
            <v>SUC RIOHACHA DS</v>
          </cell>
        </row>
        <row r="2678">
          <cell r="B2678" t="str">
            <v>SUC RIONEGRO</v>
          </cell>
        </row>
        <row r="2679">
          <cell r="B2679" t="str">
            <v>SUC RIONEGRO DS</v>
          </cell>
        </row>
        <row r="2680">
          <cell r="B2680" t="str">
            <v>SUC RIONEGRO PARQUE</v>
          </cell>
        </row>
        <row r="2681">
          <cell r="B2681" t="str">
            <v>SUC RIONEGRO PARQUE DS</v>
          </cell>
        </row>
        <row r="2682">
          <cell r="B2682" t="str">
            <v>SUC RIOSUCIO</v>
          </cell>
        </row>
        <row r="2683">
          <cell r="B2683" t="str">
            <v>SUC RIOSUCIO DS</v>
          </cell>
        </row>
        <row r="2684">
          <cell r="B2684" t="str">
            <v>SUC ROCHE DS</v>
          </cell>
        </row>
        <row r="2685">
          <cell r="B2685" t="str">
            <v>SUC ROLDANILLO</v>
          </cell>
        </row>
        <row r="2686">
          <cell r="B2686" t="str">
            <v>SUC ROLDANILLO DS</v>
          </cell>
        </row>
        <row r="2687">
          <cell r="B2687" t="str">
            <v>SUC SABANA NORTE CHIA</v>
          </cell>
        </row>
        <row r="2688">
          <cell r="B2688" t="str">
            <v>SUC SABANA NORTE CHIA DS</v>
          </cell>
        </row>
        <row r="2689">
          <cell r="B2689" t="str">
            <v>SUC SABANALARGA</v>
          </cell>
        </row>
        <row r="2690">
          <cell r="B2690" t="str">
            <v>SUC SABANALARGA DS</v>
          </cell>
        </row>
        <row r="2691">
          <cell r="B2691" t="str">
            <v>SUC SABANETA</v>
          </cell>
        </row>
        <row r="2692">
          <cell r="B2692" t="str">
            <v>SUC SABANETA AVES MARIA</v>
          </cell>
        </row>
        <row r="2693">
          <cell r="B2693" t="str">
            <v>SUC SABANETA AVES MARIA DS</v>
          </cell>
        </row>
        <row r="2694">
          <cell r="B2694" t="str">
            <v>SUC SABANETA DS</v>
          </cell>
        </row>
        <row r="2695">
          <cell r="B2695" t="str">
            <v>SUC SAHAGUN</v>
          </cell>
        </row>
        <row r="2696">
          <cell r="B2696" t="str">
            <v>SUC SAHAGUN DS</v>
          </cell>
        </row>
        <row r="2697">
          <cell r="B2697" t="str">
            <v>SUC SALDANA</v>
          </cell>
        </row>
        <row r="2698">
          <cell r="B2698" t="str">
            <v>SUC SALDANA DS</v>
          </cell>
        </row>
        <row r="2699">
          <cell r="B2699" t="str">
            <v>SUC SALGAR</v>
          </cell>
        </row>
        <row r="2700">
          <cell r="B2700" t="str">
            <v>SUC SALGAR DS</v>
          </cell>
        </row>
        <row r="2701">
          <cell r="B2701" t="str">
            <v>SUC SALITRE</v>
          </cell>
        </row>
        <row r="2702">
          <cell r="B2702" t="str">
            <v>SUC SALITRE DS</v>
          </cell>
        </row>
        <row r="2703">
          <cell r="B2703" t="str">
            <v>SUC SALITRE PLAZA</v>
          </cell>
        </row>
        <row r="2704">
          <cell r="B2704" t="str">
            <v>SUC SALITRE PLAZA AUTOSERVICIOS DS</v>
          </cell>
        </row>
        <row r="2705">
          <cell r="B2705" t="str">
            <v>SUC SALITRE PLAZA DS</v>
          </cell>
        </row>
        <row r="2706">
          <cell r="B2706" t="str">
            <v>SUC SAMACA</v>
          </cell>
        </row>
        <row r="2707">
          <cell r="B2707" t="str">
            <v>SUC SAMACA DS</v>
          </cell>
        </row>
        <row r="2708">
          <cell r="B2708" t="str">
            <v>SUC SAMPER MENDOZA</v>
          </cell>
        </row>
        <row r="2709">
          <cell r="B2709" t="str">
            <v>SUC SAMPER MENDOZA DS</v>
          </cell>
        </row>
        <row r="2710">
          <cell r="B2710" t="str">
            <v>SUC SAN ANDRES</v>
          </cell>
        </row>
        <row r="2711">
          <cell r="B2711" t="str">
            <v>SUC SAN ANDRES DS</v>
          </cell>
        </row>
        <row r="2712">
          <cell r="B2712" t="str">
            <v>SUC SAN CANCIO</v>
          </cell>
        </row>
        <row r="2713">
          <cell r="B2713" t="str">
            <v>SUC SAN CANCIO DS</v>
          </cell>
        </row>
        <row r="2714">
          <cell r="B2714" t="str">
            <v>SUC SAN DIEGO</v>
          </cell>
        </row>
        <row r="2715">
          <cell r="B2715" t="str">
            <v>SUC SAN DIEGO DS</v>
          </cell>
        </row>
        <row r="2716">
          <cell r="B2716" t="str">
            <v>SUC SAN FERNANDO</v>
          </cell>
        </row>
        <row r="2717">
          <cell r="B2717" t="str">
            <v>SUC SAN FERNANDO DS</v>
          </cell>
        </row>
        <row r="2718">
          <cell r="B2718" t="str">
            <v>SUC SAN FERNANDO PLAZA</v>
          </cell>
        </row>
        <row r="2719">
          <cell r="B2719" t="str">
            <v>SUC SAN FERNANDO PLAZA DS</v>
          </cell>
        </row>
        <row r="2720">
          <cell r="B2720" t="str">
            <v>SUC SAN FRANCISCO</v>
          </cell>
        </row>
        <row r="2721">
          <cell r="B2721" t="str">
            <v>SUC SAN FRANCISCO DS</v>
          </cell>
        </row>
        <row r="2722">
          <cell r="B2722" t="str">
            <v>SUC SAN GIL</v>
          </cell>
        </row>
        <row r="2723">
          <cell r="B2723" t="str">
            <v>SUC SAN GIL DS</v>
          </cell>
        </row>
        <row r="2724">
          <cell r="B2724" t="str">
            <v>SUC SAN JOSE DEL GUAVIARE</v>
          </cell>
        </row>
        <row r="2725">
          <cell r="B2725" t="str">
            <v>SUC SAN JOSE DEL GUAVIARE DS</v>
          </cell>
        </row>
        <row r="2726">
          <cell r="B2726" t="str">
            <v>SUC SAN JUAN</v>
          </cell>
        </row>
        <row r="2727">
          <cell r="B2727" t="str">
            <v>SUC SAN JUAN DS</v>
          </cell>
        </row>
        <row r="2728">
          <cell r="B2728" t="str">
            <v>SUC SAN LUCAS PLAZA</v>
          </cell>
        </row>
        <row r="2729">
          <cell r="B2729" t="str">
            <v>SUC SAN LUCAS PLAZA DS</v>
          </cell>
        </row>
        <row r="2730">
          <cell r="B2730" t="str">
            <v>SUC SAN LUIS</v>
          </cell>
        </row>
        <row r="2731">
          <cell r="B2731" t="str">
            <v>SUC SAN LUIS DS</v>
          </cell>
        </row>
        <row r="2732">
          <cell r="B2732" t="str">
            <v>SUC SAN MARTIN DS</v>
          </cell>
        </row>
        <row r="2733">
          <cell r="B2733" t="str">
            <v>SUC SAN MATEO</v>
          </cell>
        </row>
        <row r="2734">
          <cell r="B2734" t="str">
            <v>SUC SAN MATEO DS</v>
          </cell>
        </row>
        <row r="2735">
          <cell r="B2735" t="str">
            <v>SUC SAN NICOLAS BARRANQUILLA</v>
          </cell>
        </row>
        <row r="2736">
          <cell r="B2736" t="str">
            <v>SUC SAN NICOLAS BARRANQUILLA DS</v>
          </cell>
        </row>
        <row r="2737">
          <cell r="B2737" t="str">
            <v>SUC SAN NICOLAS CALI</v>
          </cell>
        </row>
        <row r="2738">
          <cell r="B2738" t="str">
            <v>SUC SAN NICOLAS CALI DS</v>
          </cell>
        </row>
        <row r="2739">
          <cell r="B2739" t="str">
            <v>SUC SAN NICOLAS RIONEGRO</v>
          </cell>
        </row>
        <row r="2740">
          <cell r="B2740" t="str">
            <v>SUC SAN NICOLAS RIONEGRO DS</v>
          </cell>
        </row>
        <row r="2741">
          <cell r="B2741" t="str">
            <v>SUC SAN PEDRO</v>
          </cell>
        </row>
        <row r="2742">
          <cell r="B2742" t="str">
            <v>SUC SAN PEDRO DS</v>
          </cell>
        </row>
        <row r="2743">
          <cell r="B2743" t="str">
            <v>SUC SAN VICENTE DEL CAGUAN</v>
          </cell>
        </row>
        <row r="2744">
          <cell r="B2744" t="str">
            <v>SUC SAN VICENTE DEL CAGUAN DS</v>
          </cell>
        </row>
        <row r="2745">
          <cell r="B2745" t="str">
            <v>SUC SANDONA NARI#O</v>
          </cell>
        </row>
        <row r="2746">
          <cell r="B2746" t="str">
            <v>SUC SANDONA NARI#O DS</v>
          </cell>
        </row>
        <row r="2747">
          <cell r="B2747" t="str">
            <v>SUC SANOFI DS</v>
          </cell>
        </row>
        <row r="2748">
          <cell r="B2748" t="str">
            <v>SUC SANTA BARBARA</v>
          </cell>
        </row>
        <row r="2749">
          <cell r="B2749" t="str">
            <v>SUC SANTA BARBARA DS</v>
          </cell>
        </row>
        <row r="2750">
          <cell r="B2750" t="str">
            <v>SUC SANTA BEATRIZ</v>
          </cell>
        </row>
        <row r="2751">
          <cell r="B2751" t="str">
            <v>SUC SANTA BEATRIZ DS</v>
          </cell>
        </row>
        <row r="2752">
          <cell r="B2752" t="str">
            <v>SUC SANTA FE DS</v>
          </cell>
        </row>
        <row r="2753">
          <cell r="B2753" t="str">
            <v>SUC SANTA LUCIA</v>
          </cell>
        </row>
        <row r="2754">
          <cell r="B2754" t="str">
            <v>SUC SANTA LUCIA DS</v>
          </cell>
        </row>
        <row r="2755">
          <cell r="B2755" t="str">
            <v>SUC SANTA MARTA</v>
          </cell>
        </row>
        <row r="2756">
          <cell r="B2756" t="str">
            <v>SUC SANTA MARTA DS</v>
          </cell>
        </row>
        <row r="2757">
          <cell r="B2757" t="str">
            <v>SUC SANTA MONICA</v>
          </cell>
        </row>
        <row r="2758">
          <cell r="B2758" t="str">
            <v>SUC SANTA MONICA DS</v>
          </cell>
        </row>
        <row r="2759">
          <cell r="B2759" t="str">
            <v>SUC SANTA ROSA DE CABAL</v>
          </cell>
        </row>
        <row r="2760">
          <cell r="B2760" t="str">
            <v>SUC SANTA ROSA DE CABAL DS</v>
          </cell>
        </row>
        <row r="2761">
          <cell r="B2761" t="str">
            <v>SUC SANTA ROSA DE OSOS</v>
          </cell>
        </row>
        <row r="2762">
          <cell r="B2762" t="str">
            <v>SUC SANTA ROSA DE OSOS DS</v>
          </cell>
        </row>
        <row r="2763">
          <cell r="B2763" t="str">
            <v>SUC SANTA TERESITA</v>
          </cell>
        </row>
        <row r="2764">
          <cell r="B2764" t="str">
            <v>SUC SANTA TERESITA DS</v>
          </cell>
        </row>
        <row r="2765">
          <cell r="B2765" t="str">
            <v>SUC SANTAFE DE ANTIOQUIA</v>
          </cell>
        </row>
        <row r="2766">
          <cell r="B2766" t="str">
            <v>SUC SANTAFE DE ANTIOQUIA DS</v>
          </cell>
        </row>
        <row r="2767">
          <cell r="B2767" t="str">
            <v>SUC SANTANDER DE QUILICHAO</v>
          </cell>
        </row>
        <row r="2768">
          <cell r="B2768" t="str">
            <v>SUC SANTANDER DE QUILICHAO DS</v>
          </cell>
        </row>
        <row r="2769">
          <cell r="B2769" t="str">
            <v>SUC SANTIAGO DE TOLU</v>
          </cell>
        </row>
        <row r="2770">
          <cell r="B2770" t="str">
            <v>SUC SANTIAGO DE TOLU DS</v>
          </cell>
        </row>
        <row r="2771">
          <cell r="B2771" t="str">
            <v>SUC SANTILLANA</v>
          </cell>
        </row>
        <row r="2772">
          <cell r="B2772" t="str">
            <v>SUC SANTILLANA DS</v>
          </cell>
        </row>
        <row r="2773">
          <cell r="B2773" t="str">
            <v>SUC SANTUARIO</v>
          </cell>
        </row>
        <row r="2774">
          <cell r="B2774" t="str">
            <v>SUC SANTUARIO DS</v>
          </cell>
        </row>
        <row r="2775">
          <cell r="B2775" t="str">
            <v>SUC SEBASTIAN DE BELALCAZAR</v>
          </cell>
        </row>
        <row r="2776">
          <cell r="B2776" t="str">
            <v>SUC SEBASTIAN DE BELALCAZAR DS</v>
          </cell>
        </row>
        <row r="2777">
          <cell r="B2777" t="str">
            <v>SUC SEGOVIA</v>
          </cell>
        </row>
        <row r="2778">
          <cell r="B2778" t="str">
            <v>SUC SEGOVIA DS</v>
          </cell>
        </row>
        <row r="2779">
          <cell r="B2779" t="str">
            <v>SUC SESQUILE</v>
          </cell>
        </row>
        <row r="2780">
          <cell r="B2780" t="str">
            <v>SUC SESQUILE DS</v>
          </cell>
        </row>
        <row r="2781">
          <cell r="B2781" t="str">
            <v>SUC SEVILLA</v>
          </cell>
        </row>
        <row r="2782">
          <cell r="B2782" t="str">
            <v>SUC SEVILLA DS</v>
          </cell>
        </row>
        <row r="2783">
          <cell r="B2783" t="str">
            <v>SUC SIBATE</v>
          </cell>
        </row>
        <row r="2784">
          <cell r="B2784" t="str">
            <v>SUC SIBATE DS</v>
          </cell>
        </row>
        <row r="2785">
          <cell r="B2785" t="str">
            <v>SUC SIBERIA</v>
          </cell>
        </row>
        <row r="2786">
          <cell r="B2786" t="str">
            <v>SUC SIBERIA DS</v>
          </cell>
        </row>
        <row r="2787">
          <cell r="B2787" t="str">
            <v>SUC SIMIJACA</v>
          </cell>
        </row>
        <row r="2788">
          <cell r="B2788" t="str">
            <v>SUC SIMIJACA DS</v>
          </cell>
        </row>
        <row r="2789">
          <cell r="B2789" t="str">
            <v>SUC SINCE DS</v>
          </cell>
        </row>
        <row r="2790">
          <cell r="B2790" t="str">
            <v>SUC SINCELEJO</v>
          </cell>
        </row>
        <row r="2791">
          <cell r="B2791" t="str">
            <v>SUC SINCELEJO DS</v>
          </cell>
        </row>
        <row r="2792">
          <cell r="B2792" t="str">
            <v>SUC SOACHA</v>
          </cell>
        </row>
        <row r="2793">
          <cell r="B2793" t="str">
            <v>SUC SOACHA DS</v>
          </cell>
        </row>
        <row r="2794">
          <cell r="B2794" t="str">
            <v>SUC SOCHA BOYACA</v>
          </cell>
        </row>
        <row r="2795">
          <cell r="B2795" t="str">
            <v>SUC SOCHA BOYACA DS</v>
          </cell>
        </row>
        <row r="2796">
          <cell r="B2796" t="str">
            <v>SUC SOCIEDAD PORTUARIA BARRANQUILLA DS</v>
          </cell>
        </row>
        <row r="2797">
          <cell r="B2797" t="str">
            <v>SUC SOCIEDAD PORTUARIA CARTAGENA DS</v>
          </cell>
        </row>
        <row r="2798">
          <cell r="B2798" t="str">
            <v>SUC SOCIEDAD PORTUARIA SANTA MARTA DS</v>
          </cell>
        </row>
        <row r="2799">
          <cell r="B2799" t="str">
            <v>SUC SOCORRO SANTANDER</v>
          </cell>
        </row>
        <row r="2800">
          <cell r="B2800" t="str">
            <v>SUC SOCORRO SANTANDER DS</v>
          </cell>
        </row>
        <row r="2801">
          <cell r="B2801" t="str">
            <v>SUC SOFASA CHIA DS</v>
          </cell>
        </row>
        <row r="2802">
          <cell r="B2802" t="str">
            <v>SUC SOFASA ENVIGADO DS</v>
          </cell>
        </row>
        <row r="2803">
          <cell r="B2803" t="str">
            <v>SUC SOGAMOSO</v>
          </cell>
        </row>
        <row r="2804">
          <cell r="B2804" t="str">
            <v>SUC SOGAMOSO DS</v>
          </cell>
        </row>
        <row r="2805">
          <cell r="B2805" t="str">
            <v>SUC SOLEDAD</v>
          </cell>
        </row>
        <row r="2806">
          <cell r="B2806" t="str">
            <v>SUC SOLEDAD DS</v>
          </cell>
        </row>
        <row r="2807">
          <cell r="B2807" t="str">
            <v>SUC SONSON</v>
          </cell>
        </row>
        <row r="2808">
          <cell r="B2808" t="str">
            <v>SUC SONSON DS</v>
          </cell>
        </row>
        <row r="2809">
          <cell r="B2809" t="str">
            <v>SUC SOPO</v>
          </cell>
        </row>
        <row r="2810">
          <cell r="B2810" t="str">
            <v>SUC SOPO DS</v>
          </cell>
        </row>
        <row r="2811">
          <cell r="B2811" t="str">
            <v>SUC SUBA</v>
          </cell>
        </row>
        <row r="2812">
          <cell r="B2812" t="str">
            <v>SUC SUBA DS</v>
          </cell>
        </row>
        <row r="2813">
          <cell r="B2813" t="str">
            <v>SUC SUBACHOQUE</v>
          </cell>
        </row>
        <row r="2814">
          <cell r="B2814" t="str">
            <v>SUC SUBACHOQUE DS</v>
          </cell>
        </row>
        <row r="2815">
          <cell r="B2815" t="str">
            <v>SUC SUPIA</v>
          </cell>
        </row>
        <row r="2816">
          <cell r="B2816" t="str">
            <v>SUC SUPIA DS</v>
          </cell>
        </row>
        <row r="2817">
          <cell r="B2817" t="str">
            <v>SUC SURAMERICANA</v>
          </cell>
        </row>
        <row r="2818">
          <cell r="B2818" t="str">
            <v>SUC SURAMERICANA DS</v>
          </cell>
        </row>
        <row r="2819">
          <cell r="B2819" t="str">
            <v>SUC TABIO</v>
          </cell>
        </row>
        <row r="2820">
          <cell r="B2820" t="str">
            <v>SUC TABIO DS</v>
          </cell>
        </row>
        <row r="2821">
          <cell r="B2821" t="str">
            <v>SUC TEATRO AVENIDA</v>
          </cell>
        </row>
        <row r="2822">
          <cell r="B2822" t="str">
            <v>SUC TEATRO AVENIDA DS</v>
          </cell>
        </row>
        <row r="2823">
          <cell r="B2823" t="str">
            <v>SUC TELEPORT</v>
          </cell>
        </row>
        <row r="2824">
          <cell r="B2824" t="str">
            <v>SUC TELEPORT DS</v>
          </cell>
        </row>
        <row r="2825">
          <cell r="B2825" t="str">
            <v>SUC TENJO</v>
          </cell>
        </row>
        <row r="2826">
          <cell r="B2826" t="str">
            <v>SUC TENJO DS</v>
          </cell>
        </row>
        <row r="2827">
          <cell r="B2827" t="str">
            <v>SUC TEQUENDAMA</v>
          </cell>
        </row>
        <row r="2828">
          <cell r="B2828" t="str">
            <v>SUC TEQUENDAMA DS</v>
          </cell>
        </row>
        <row r="2829">
          <cell r="B2829" t="str">
            <v>SUC TERMINAL DE CARGA INTERNACIONAL </v>
          </cell>
        </row>
        <row r="2830">
          <cell r="B2830" t="str">
            <v>SUC TERMINAL DE CARGA INTERNACIONAL DS</v>
          </cell>
        </row>
        <row r="2831">
          <cell r="B2831" t="str">
            <v>SUC TERMINAL DE TRANSPORTE BOGOTA</v>
          </cell>
        </row>
        <row r="2832">
          <cell r="B2832" t="str">
            <v>SUC TERMINAL DE TRANSPORTE BOGOTA DS</v>
          </cell>
        </row>
        <row r="2833">
          <cell r="B2833" t="str">
            <v>SUC TERMINAL DE TRANSPORTE DEL SUR DS</v>
          </cell>
        </row>
        <row r="2834">
          <cell r="B2834" t="str">
            <v>SUC TERMINAL DE TRANSPORTE NORTE</v>
          </cell>
        </row>
        <row r="2835">
          <cell r="B2835" t="str">
            <v>SUC TERMINAL DE TRANSPORTE NORTE DS</v>
          </cell>
        </row>
        <row r="2836">
          <cell r="B2836" t="str">
            <v>SUC TERMINAL DEL SUR</v>
          </cell>
        </row>
        <row r="2837">
          <cell r="B2837" t="str">
            <v>SUC TERMINAL DEL SUR DS</v>
          </cell>
        </row>
        <row r="2838">
          <cell r="B2838" t="str">
            <v>SUC TERPEL DEL CENTRO DS</v>
          </cell>
        </row>
        <row r="2839">
          <cell r="B2839" t="str">
            <v>SUC TERRAZA PASTEUR</v>
          </cell>
        </row>
        <row r="2840">
          <cell r="B2840" t="str">
            <v>SUC TERRAZA PASTEUR DS</v>
          </cell>
        </row>
        <row r="2841">
          <cell r="B2841" t="str">
            <v>SUC TERTULIA</v>
          </cell>
        </row>
        <row r="2842">
          <cell r="B2842" t="str">
            <v>SUC TERTULIA DS</v>
          </cell>
        </row>
        <row r="2843">
          <cell r="B2843" t="str">
            <v>SUC TINTAL MILENIO</v>
          </cell>
        </row>
        <row r="2844">
          <cell r="B2844" t="str">
            <v>SUC TINTAL MILENIO DS</v>
          </cell>
        </row>
        <row r="2845">
          <cell r="B2845" t="str">
            <v>SUC TITAN PLAZA</v>
          </cell>
        </row>
        <row r="2846">
          <cell r="B2846" t="str">
            <v>SUC TITAN PLAZA DS</v>
          </cell>
        </row>
        <row r="2847">
          <cell r="B2847" t="str">
            <v>SUC TOBERIN</v>
          </cell>
        </row>
        <row r="2848">
          <cell r="B2848" t="str">
            <v>SUC TOBERIN DS</v>
          </cell>
        </row>
        <row r="2849">
          <cell r="B2849" t="str">
            <v>SUC TOCANCIPA</v>
          </cell>
        </row>
        <row r="2850">
          <cell r="B2850" t="str">
            <v>SUC TOCANCIPA DS</v>
          </cell>
        </row>
        <row r="2851">
          <cell r="B2851" t="str">
            <v>SUC TRINIDAD GALAN</v>
          </cell>
        </row>
        <row r="2852">
          <cell r="B2852" t="str">
            <v>SUC TRINIDAD GALAN DS</v>
          </cell>
        </row>
        <row r="2853">
          <cell r="B2853" t="str">
            <v>SUC TULUA</v>
          </cell>
        </row>
        <row r="2854">
          <cell r="B2854" t="str">
            <v>SUC TULUA DS</v>
          </cell>
        </row>
        <row r="2855">
          <cell r="B2855" t="str">
            <v>SUC TUMACO</v>
          </cell>
        </row>
        <row r="2856">
          <cell r="B2856" t="str">
            <v>SUC TUMACO DS</v>
          </cell>
        </row>
        <row r="2857">
          <cell r="B2857" t="str">
            <v>SUC TUNJA</v>
          </cell>
        </row>
        <row r="2858">
          <cell r="B2858" t="str">
            <v>SUC TUNJA DS</v>
          </cell>
        </row>
        <row r="2859">
          <cell r="B2859" t="str">
            <v>SUC TUQUERRES</v>
          </cell>
        </row>
        <row r="2860">
          <cell r="B2860" t="str">
            <v>SUC TUQUERRES DS</v>
          </cell>
        </row>
        <row r="2861">
          <cell r="B2861" t="str">
            <v>SUC TURBO</v>
          </cell>
        </row>
        <row r="2862">
          <cell r="B2862" t="str">
            <v>SUC TURBO DS</v>
          </cell>
        </row>
        <row r="2863">
          <cell r="B2863" t="str">
            <v>SUC TURIN</v>
          </cell>
        </row>
        <row r="2864">
          <cell r="B2864" t="str">
            <v>SUC TURIN DS</v>
          </cell>
        </row>
        <row r="2865">
          <cell r="B2865" t="str">
            <v>SUC UBATE</v>
          </cell>
        </row>
        <row r="2866">
          <cell r="B2866" t="str">
            <v>SUC UBATE DS</v>
          </cell>
        </row>
        <row r="2867">
          <cell r="B2867" t="str">
            <v>SUC UGI</v>
          </cell>
        </row>
        <row r="2868">
          <cell r="B2868" t="str">
            <v>SUC UGI DS</v>
          </cell>
        </row>
        <row r="2869">
          <cell r="B2869" t="str">
            <v>SUC UNICENTRO ARMENIA</v>
          </cell>
        </row>
        <row r="2870">
          <cell r="B2870" t="str">
            <v>SUC UNICENTRO ARMENIA DS</v>
          </cell>
        </row>
        <row r="2871">
          <cell r="B2871" t="str">
            <v>SUC UNICENTRO BOGOTA</v>
          </cell>
        </row>
        <row r="2872">
          <cell r="B2872" t="str">
            <v>SUC UNICENTRO BOGOTA DS</v>
          </cell>
        </row>
        <row r="2873">
          <cell r="B2873" t="str">
            <v>SUC UNICENTRO CALI</v>
          </cell>
        </row>
        <row r="2874">
          <cell r="B2874" t="str">
            <v>SUC UNICENTRO CALI DS</v>
          </cell>
        </row>
        <row r="2875">
          <cell r="B2875" t="str">
            <v>SUC UNICENTRO CENTRO CCIAL</v>
          </cell>
        </row>
        <row r="2876">
          <cell r="B2876" t="str">
            <v>SUC UNICENTRO CENTRO CCIAL DS</v>
          </cell>
        </row>
        <row r="2877">
          <cell r="B2877" t="str">
            <v>SUC UNICENTRO CUCUTA</v>
          </cell>
        </row>
        <row r="2878">
          <cell r="B2878" t="str">
            <v>SUC UNICENTRO CUCUTA DS</v>
          </cell>
        </row>
        <row r="2879">
          <cell r="B2879" t="str">
            <v>SUC UNICENTRO PEREIRA</v>
          </cell>
        </row>
        <row r="2880">
          <cell r="B2880" t="str">
            <v>SUC UNICENTRO PEREIRA DS</v>
          </cell>
        </row>
        <row r="2881">
          <cell r="B2881" t="str">
            <v>SUC UNICENTRO TUNJA</v>
          </cell>
        </row>
        <row r="2882">
          <cell r="B2882" t="str">
            <v>SUC UNICENTRO TUNJA DS</v>
          </cell>
        </row>
        <row r="2883">
          <cell r="B2883" t="str">
            <v>SUC UNICENTRO VILLAVICENCIO</v>
          </cell>
        </row>
        <row r="2884">
          <cell r="B2884" t="str">
            <v>SUC UNICENTRO VILLAVICENCIO DS</v>
          </cell>
        </row>
        <row r="2885">
          <cell r="B2885" t="str">
            <v>SUC UNICO BARRANQUILLA</v>
          </cell>
        </row>
        <row r="2886">
          <cell r="B2886" t="str">
            <v>SUC UNICO BARRANQUILLA DS</v>
          </cell>
        </row>
        <row r="2887">
          <cell r="B2887" t="str">
            <v>SUC UNISUR</v>
          </cell>
        </row>
        <row r="2888">
          <cell r="B2888" t="str">
            <v>SUC UNISUR DS</v>
          </cell>
        </row>
        <row r="2889">
          <cell r="B2889" t="str">
            <v>SUC UNIV FRANCISCO DE PAULA SANTANDER</v>
          </cell>
        </row>
        <row r="2890">
          <cell r="B2890" t="str">
            <v>SUC UNIV FRANCISCO DE PAULA SANTANDER DS</v>
          </cell>
        </row>
        <row r="2891">
          <cell r="B2891" t="str">
            <v>SUC UNIVERSIDAD  POPULAR DEL CESAR DS</v>
          </cell>
        </row>
        <row r="2892">
          <cell r="B2892" t="str">
            <v>SUC UNIVERSIDAD AUTONOMA BOGOTA DS</v>
          </cell>
        </row>
        <row r="2893">
          <cell r="B2893" t="str">
            <v>SUC UNIVERSIDAD DEL NORTE DS</v>
          </cell>
        </row>
        <row r="2894">
          <cell r="B2894" t="str">
            <v>SUC UNIVERSIDAD MEDELLIN DS</v>
          </cell>
        </row>
        <row r="2895">
          <cell r="B2895" t="str">
            <v>SUC UPB DS</v>
          </cell>
        </row>
        <row r="2896">
          <cell r="B2896" t="str">
            <v>SUC URIBIA DS</v>
          </cell>
        </row>
        <row r="2897">
          <cell r="B2897" t="str">
            <v>SUC URRAO</v>
          </cell>
        </row>
        <row r="2898">
          <cell r="B2898" t="str">
            <v>SUC URRAO DS</v>
          </cell>
        </row>
        <row r="2899">
          <cell r="B2899" t="str">
            <v>SUC USAQUEN SANTA BARBARA</v>
          </cell>
        </row>
        <row r="2900">
          <cell r="B2900" t="str">
            <v>SUC USAQUEN SANTA BARBARA DS</v>
          </cell>
        </row>
        <row r="2901">
          <cell r="B2901" t="str">
            <v>SUC VALLEDUPAR</v>
          </cell>
        </row>
        <row r="2902">
          <cell r="B2902" t="str">
            <v>SUC VALLEDUPAR DS</v>
          </cell>
        </row>
        <row r="2903">
          <cell r="B2903" t="str">
            <v>SUC VALVANERA</v>
          </cell>
        </row>
        <row r="2904">
          <cell r="B2904" t="str">
            <v>SUC VALVANERA DS</v>
          </cell>
        </row>
        <row r="2905">
          <cell r="B2905" t="str">
            <v>SUC VELEZ</v>
          </cell>
        </row>
        <row r="2906">
          <cell r="B2906" t="str">
            <v>SUC VELEZ DS</v>
          </cell>
        </row>
        <row r="2907">
          <cell r="B2907" t="str">
            <v>SUC VENECIA</v>
          </cell>
        </row>
        <row r="2908">
          <cell r="B2908" t="str">
            <v>SUC VENECIA DS</v>
          </cell>
        </row>
        <row r="2909">
          <cell r="B2909" t="str">
            <v>SUC VENTURA PLAZA</v>
          </cell>
        </row>
        <row r="2910">
          <cell r="B2910" t="str">
            <v>SUC VENTURA PLAZA DS</v>
          </cell>
        </row>
        <row r="2911">
          <cell r="B2911" t="str">
            <v>SUC VERSALLES</v>
          </cell>
        </row>
        <row r="2912">
          <cell r="B2912" t="str">
            <v>SUC VERSALLES DS</v>
          </cell>
        </row>
        <row r="2913">
          <cell r="B2913" t="str">
            <v>SUC VICTORIA PLAZA</v>
          </cell>
        </row>
        <row r="2914">
          <cell r="B2914" t="str">
            <v>SUC VICTORIA PLAZA DS</v>
          </cell>
        </row>
        <row r="2915">
          <cell r="B2915" t="str">
            <v>SUC VILLA COUNTRY</v>
          </cell>
        </row>
        <row r="2916">
          <cell r="B2916" t="str">
            <v>SUC VILLA COUNTRY DS</v>
          </cell>
        </row>
        <row r="2917">
          <cell r="B2917" t="str">
            <v>SUC VILLA DE LEYVA</v>
          </cell>
        </row>
        <row r="2918">
          <cell r="B2918" t="str">
            <v>SUC VILLA DE LEYVA DS</v>
          </cell>
        </row>
        <row r="2919">
          <cell r="B2919" t="str">
            <v>SUC VILLACENTRO</v>
          </cell>
        </row>
        <row r="2920">
          <cell r="B2920" t="str">
            <v>SUC VILLACENTRO DS</v>
          </cell>
        </row>
        <row r="2921">
          <cell r="B2921" t="str">
            <v>SUC VILLACOLOMBIA</v>
          </cell>
        </row>
        <row r="2922">
          <cell r="B2922" t="str">
            <v>SUC VILLACOLOMBIA DS</v>
          </cell>
        </row>
        <row r="2923">
          <cell r="B2923" t="str">
            <v>SUC VILLANUEVA</v>
          </cell>
        </row>
        <row r="2924">
          <cell r="B2924" t="str">
            <v>SUC VILLANUEVA  CASANARE</v>
          </cell>
        </row>
        <row r="2925">
          <cell r="B2925" t="str">
            <v>SUC VILLANUEVA CASANARE DS</v>
          </cell>
        </row>
        <row r="2926">
          <cell r="B2926" t="str">
            <v>SUC VILLANUEVA DS</v>
          </cell>
        </row>
        <row r="2927">
          <cell r="B2927" t="str">
            <v>SUC VILLAPINZON</v>
          </cell>
        </row>
        <row r="2928">
          <cell r="B2928" t="str">
            <v>SUC VILLAPINZON DS</v>
          </cell>
        </row>
        <row r="2929">
          <cell r="B2929" t="str">
            <v>SUC VILLAVICENCIO</v>
          </cell>
        </row>
        <row r="2930">
          <cell r="B2930" t="str">
            <v>SUC VILLAVICENCIO DS</v>
          </cell>
        </row>
        <row r="2931">
          <cell r="B2931" t="str">
            <v>SUC VILLETA</v>
          </cell>
        </row>
        <row r="2932">
          <cell r="B2932" t="str">
            <v>SUC VILLETA DS</v>
          </cell>
        </row>
        <row r="2933">
          <cell r="B2933" t="str">
            <v>SUC VIPASA</v>
          </cell>
        </row>
        <row r="2934">
          <cell r="B2934" t="str">
            <v>SUC VIPASA DS</v>
          </cell>
        </row>
        <row r="2935">
          <cell r="B2935" t="str">
            <v>SUC VISITACION</v>
          </cell>
        </row>
        <row r="2936">
          <cell r="B2936" t="str">
            <v>SUC VISITACION DS</v>
          </cell>
        </row>
        <row r="2937">
          <cell r="B2937" t="str">
            <v>SUC VIVA LAURELES</v>
          </cell>
        </row>
        <row r="2938">
          <cell r="B2938" t="str">
            <v>SUC VIVA LAURELES DS</v>
          </cell>
        </row>
        <row r="2939">
          <cell r="B2939" t="str">
            <v>SUC WORLD TRADE CENTER</v>
          </cell>
        </row>
        <row r="2940">
          <cell r="B2940" t="str">
            <v>SUC WORLD TRADE CENTER DS</v>
          </cell>
        </row>
        <row r="2941">
          <cell r="B2941" t="str">
            <v>SUC YAGUARA DS</v>
          </cell>
        </row>
        <row r="2942">
          <cell r="B2942" t="str">
            <v>SUC YARUMAL</v>
          </cell>
        </row>
        <row r="2943">
          <cell r="B2943" t="str">
            <v>SUC YARUMAL DS</v>
          </cell>
        </row>
        <row r="2944">
          <cell r="B2944" t="str">
            <v>SUC YOPAL</v>
          </cell>
        </row>
        <row r="2945">
          <cell r="B2945" t="str">
            <v>SUC YOPAL DS</v>
          </cell>
        </row>
        <row r="2946">
          <cell r="B2946" t="str">
            <v>SUC YOPAL OF. 88 TAURAMENA</v>
          </cell>
        </row>
        <row r="2947">
          <cell r="B2947" t="str">
            <v>SUC YOPAL OF. 88 TAURAMENA DS</v>
          </cell>
        </row>
        <row r="2948">
          <cell r="B2948" t="str">
            <v>SUC YUMBO</v>
          </cell>
        </row>
        <row r="2949">
          <cell r="B2949" t="str">
            <v>SUC YUMBO DS</v>
          </cell>
        </row>
        <row r="2950">
          <cell r="B2950" t="str">
            <v>SUC ZIPAQUIRA</v>
          </cell>
        </row>
        <row r="2951">
          <cell r="B2951" t="str">
            <v>SUC ZIPAQUIRA DS</v>
          </cell>
        </row>
        <row r="2952">
          <cell r="B2952" t="str">
            <v>SUC ZONA FRANCA DE RIONEGRO DS</v>
          </cell>
        </row>
        <row r="2953">
          <cell r="B2953" t="str">
            <v>SUC ZONA FRANCA DS</v>
          </cell>
        </row>
        <row r="2954">
          <cell r="B2954" t="str">
            <v>SUC ZONA ROSA</v>
          </cell>
        </row>
        <row r="2955">
          <cell r="B2955" t="str">
            <v>SUC ZONA ROSA DS</v>
          </cell>
        </row>
        <row r="2956">
          <cell r="B2956" t="str">
            <v>SUCBANCA COLOMBIA GRANADA CALI</v>
          </cell>
        </row>
        <row r="2957">
          <cell r="B2957" t="str">
            <v>SUFI</v>
          </cell>
        </row>
        <row r="2958">
          <cell r="B2958" t="str">
            <v>TECNOLOGIA</v>
          </cell>
        </row>
        <row r="2959">
          <cell r="B2959" t="str">
            <v>VICEPRESIDENCIA  ESTRATEGIA  Y FINANZA</v>
          </cell>
        </row>
        <row r="2960">
          <cell r="B2960" t="str">
            <v>VICEPRESIDENCIA  ESTRATEGIA Y DLLO CCIAL</v>
          </cell>
        </row>
        <row r="2961">
          <cell r="B2961" t="str">
            <v>VICEPRESIDENCIA  INMOBILIARIA Y CONSUMO</v>
          </cell>
        </row>
        <row r="2962">
          <cell r="B2962" t="str">
            <v>VICEPRESIDENCIA ADMINISTRATIVA</v>
          </cell>
        </row>
        <row r="2963">
          <cell r="B2963" t="str">
            <v>VICEPRESIDENCIA ADMON FIDEICOMISOS</v>
          </cell>
        </row>
        <row r="2964">
          <cell r="B2964" t="str">
            <v>VICEPRESIDENCIA AUDITORIA INTERNA</v>
          </cell>
        </row>
        <row r="2965">
          <cell r="B2965" t="str">
            <v>VICEPRESIDENCIA BCA DE EMPRESAS Y PYME</v>
          </cell>
        </row>
        <row r="2966">
          <cell r="B2966" t="str">
            <v>VICEPRESIDENCIA BCA DE PERSONAS Y PYMES</v>
          </cell>
        </row>
        <row r="2967">
          <cell r="B2967" t="str">
            <v>VICEPRESIDENCIA CCIAL BANCA EMPRESARIAL</v>
          </cell>
        </row>
        <row r="2968">
          <cell r="B2968" t="str">
            <v>VICEPRESIDENCIA CCIAL BANCA PYMES</v>
          </cell>
        </row>
        <row r="2969">
          <cell r="B2969" t="str">
            <v>VICEPRESIDENCIA COMERCIAL</v>
          </cell>
        </row>
        <row r="2970">
          <cell r="B2970" t="str">
            <v>VICEPRESIDENCIA COMERCIAL BANCA PRIVADA</v>
          </cell>
        </row>
        <row r="2971">
          <cell r="B2971" t="str">
            <v>VICEPRESIDENCIA COMERCIAL FAC</v>
          </cell>
        </row>
        <row r="2972">
          <cell r="B2972" t="str">
            <v>VICEPRESIDENCIA COMERCIAL GOBIERNO</v>
          </cell>
        </row>
        <row r="2973">
          <cell r="B2973" t="str">
            <v>VICEPRESIDENCIA CORPORATIVA DE SERVICIOS</v>
          </cell>
        </row>
        <row r="2974">
          <cell r="B2974" t="str">
            <v>VICEPRESIDENCIA DE DESARROLLO</v>
          </cell>
        </row>
        <row r="2975">
          <cell r="B2975" t="str">
            <v>VICEPRESIDENCIA DE RIESGOS</v>
          </cell>
        </row>
        <row r="2976">
          <cell r="B2976" t="str">
            <v>VICEPRESIDENCIA EMPRESAS Y GOB</v>
          </cell>
        </row>
        <row r="2977">
          <cell r="B2977" t="str">
            <v>VICEPRESIDENCIA ESPECIALISTAS Y ESTRUCTU</v>
          </cell>
        </row>
        <row r="2978">
          <cell r="B2978" t="str">
            <v>VICEPRESIDENCIA ESTRUCTCION MKDO CAPTALS</v>
          </cell>
        </row>
        <row r="2979">
          <cell r="B2979" t="str">
            <v>VICEPRESIDENCIA ESTRUCTURACION</v>
          </cell>
        </row>
        <row r="2980">
          <cell r="B2980" t="str">
            <v>VICEPRESIDENCIA ESTRUCTURACION FCIERA</v>
          </cell>
        </row>
        <row r="2981">
          <cell r="B2981" t="str">
            <v>VICEPRESIDENCIA ESTRUCTURACION NEGOCIOS</v>
          </cell>
        </row>
        <row r="2982">
          <cell r="B2982" t="str">
            <v>VICEPRESIDENCIA FIDUCIA PUBLICA</v>
          </cell>
        </row>
        <row r="2983">
          <cell r="B2983" t="str">
            <v>VICEPRESIDENCIA FINANCIERA</v>
          </cell>
        </row>
        <row r="2984">
          <cell r="B2984" t="str">
            <v>VICEPRESIDENCIA FINANZAS CORPORATIVAS</v>
          </cell>
        </row>
        <row r="2985">
          <cell r="B2985" t="str">
            <v>VICEPRESIDENCIA GESTION DE LO HUMANO</v>
          </cell>
        </row>
        <row r="2986">
          <cell r="B2986" t="str">
            <v>VICEPRESIDENCIA GTION CCIAL NEGOCIOS FID</v>
          </cell>
        </row>
        <row r="2987">
          <cell r="B2987" t="str">
            <v>VICEPRESIDENCIA INMOB Y CONST OTRAS CUID</v>
          </cell>
        </row>
        <row r="2988">
          <cell r="B2988" t="str">
            <v>VICEPRESIDENCIA INMOB Y CONST OTRAS REG</v>
          </cell>
        </row>
        <row r="2989">
          <cell r="B2989" t="str">
            <v>VICEPRESIDENCIA INMOBILIARIA CONST ANTIO</v>
          </cell>
        </row>
        <row r="2990">
          <cell r="B2990" t="str">
            <v>VICEPRESIDENCIA INMOBILIARIA CONST BOGOT</v>
          </cell>
        </row>
        <row r="2991">
          <cell r="B2991" t="str">
            <v>VICEPRESIDENCIA INMOBILIARIA CONSTRUCTOR</v>
          </cell>
        </row>
        <row r="2992">
          <cell r="B2992" t="str">
            <v>VICEPRESIDENCIA INMOBILIARIA CONSUMO ESP</v>
          </cell>
        </row>
        <row r="2993">
          <cell r="B2993" t="str">
            <v>VICEPRESIDENCIA INTERNACIONAL</v>
          </cell>
        </row>
        <row r="2994">
          <cell r="B2994" t="str">
            <v>VICEPRESIDENCIA INVERSIONES</v>
          </cell>
        </row>
        <row r="2995">
          <cell r="B2995" t="str">
            <v>VICEPRESIDENCIA INVERSIONES DE CAPITAL</v>
          </cell>
        </row>
        <row r="2996">
          <cell r="B2996" t="str">
            <v>VICEPRESIDENCIA JURIDICA SECRET GENERAL</v>
          </cell>
        </row>
        <row r="2997">
          <cell r="B2997" t="str">
            <v>VICEPRESIDENCIA MEDIOS DE PAGO</v>
          </cell>
        </row>
        <row r="2998">
          <cell r="B2998" t="str">
            <v>VICEPRESIDENCIA MERCADO DE CAPITALES</v>
          </cell>
        </row>
        <row r="2999">
          <cell r="B2999" t="str">
            <v>VICEPRESIDENCIA MESAS DE NEGOCIACION</v>
          </cell>
        </row>
        <row r="3000">
          <cell r="B3000" t="str">
            <v>VICEPRESIDENCIA ORIGINACION DE NEGOCIOS</v>
          </cell>
        </row>
        <row r="3001">
          <cell r="B3001" t="str">
            <v>VICEPRESIDENCIA PERSONAS Y PYME ANTIOQUI</v>
          </cell>
        </row>
        <row r="3002">
          <cell r="B3002" t="str">
            <v>VICEPRESIDENCIA PERSONAS Y PYME BOGOTA</v>
          </cell>
        </row>
        <row r="3003">
          <cell r="B3003" t="str">
            <v>VICEPRESIDENCIA PERSONAS Y PYME CARIBE</v>
          </cell>
        </row>
        <row r="3004">
          <cell r="B3004" t="str">
            <v>VICEPRESIDENCIA PERSONAS Y PYME CENTRO</v>
          </cell>
        </row>
        <row r="3005">
          <cell r="B3005" t="str">
            <v>VICEPRESIDENCIA PERSONAS Y PYME SUR</v>
          </cell>
        </row>
        <row r="3006">
          <cell r="B3006" t="str">
            <v>VICEPRESIDENCIA PERSONAS Y PYMES</v>
          </cell>
        </row>
        <row r="3007">
          <cell r="B3007" t="str">
            <v>VICEPRESIDENCIA SECRETARIA GENERAL</v>
          </cell>
        </row>
        <row r="3008">
          <cell r="B3008" t="str">
            <v>VICEPRESIDENCIA SERV ADMINISTRATIVOS</v>
          </cell>
        </row>
        <row r="3009">
          <cell r="B3009" t="str">
            <v>VICEPRESIDENCIA SERV DE TECNOLOGIA</v>
          </cell>
        </row>
        <row r="3010">
          <cell r="B3010" t="str">
            <v>VICEPRESIDENCIA SERV PARA LOS CLIENTES</v>
          </cell>
        </row>
        <row r="3011">
          <cell r="B3011" t="str">
            <v>VICEPRESIDENCIA TECNOLOGIA DE INFORMACI</v>
          </cell>
        </row>
        <row r="3012">
          <cell r="B3012" t="str">
            <v>VP BANCA EMPRESAS Y GOBIERNO ANTIOQUIA</v>
          </cell>
        </row>
        <row r="3013">
          <cell r="B3013" t="str">
            <v>VP BANCA EMPRESAS Y GOBIERNO BOGOTA</v>
          </cell>
        </row>
        <row r="3014">
          <cell r="B3014" t="str">
            <v>VP BANCA EMPRESAS Y GOBIERNO CARIBE</v>
          </cell>
        </row>
        <row r="3015">
          <cell r="B3015" t="str">
            <v>VP BANCA EMPRESAS Y GOBIERNO SUR</v>
          </cell>
        </row>
        <row r="3016">
          <cell r="B3016" t="str">
            <v>FACTORING BANCOLOMBIA</v>
          </cell>
        </row>
        <row r="3017">
          <cell r="B3017" t="str">
            <v>FIDUCIARIA BANCOLOMBIA</v>
          </cell>
        </row>
        <row r="3018">
          <cell r="B3018" t="str">
            <v>GCIA DE CONTINUIDAD DEL NEGOCIO</v>
          </cell>
        </row>
        <row r="3019">
          <cell r="B3019" t="str">
            <v>LEASING BANCOLOMBIA</v>
          </cell>
        </row>
        <row r="3020">
          <cell r="B3020" t="str">
            <v>VALORES BANCOLOMBIA</v>
          </cell>
        </row>
      </sheetData>
      <sheetData sheetId="5">
        <row r="2">
          <cell r="B2" t="str">
            <v>APRENDIZ</v>
          </cell>
        </row>
        <row r="3">
          <cell r="B3" t="str">
            <v>AREA REVISION S</v>
          </cell>
        </row>
        <row r="4">
          <cell r="B4" t="str">
            <v>BECARIOS</v>
          </cell>
        </row>
        <row r="5">
          <cell r="B5" t="str">
            <v>IDENTIDAD CORPORATIVA</v>
          </cell>
        </row>
        <row r="6">
          <cell r="B6" t="str">
            <v>PRESIDENCIA</v>
          </cell>
        </row>
        <row r="7">
          <cell r="B7" t="str">
            <v>VICEPRESIDENCIA  ESTRATEGIA  Y FINANZA</v>
          </cell>
        </row>
        <row r="8">
          <cell r="B8" t="str">
            <v>VICEPRESIDENCIA AUDITORIA INTERNA</v>
          </cell>
        </row>
        <row r="9">
          <cell r="B9" t="str">
            <v>VICEPRESIDENCIA CORPORATIVA DE SERVICIOS</v>
          </cell>
        </row>
        <row r="10">
          <cell r="B10" t="str">
            <v>VICEPRESIDENCIA DE RIESGOS</v>
          </cell>
        </row>
        <row r="11">
          <cell r="B11" t="str">
            <v>VICEPRESIDENCIA EMPRESAS Y GOB</v>
          </cell>
        </row>
        <row r="12">
          <cell r="B12" t="str">
            <v>VICEPRESIDENCIA GESTION DE LO HUMANO</v>
          </cell>
        </row>
        <row r="13">
          <cell r="B13" t="str">
            <v>VICEPRESIDENCIA INMOBILIARIA CONSUMO ESP</v>
          </cell>
        </row>
        <row r="14">
          <cell r="B14" t="str">
            <v>VICEPRESIDENCIA INTERNACIONAL</v>
          </cell>
        </row>
        <row r="15">
          <cell r="B15" t="str">
            <v>VICEPRESIDENCIA JURIDICA SECRET GENERAL</v>
          </cell>
        </row>
        <row r="16">
          <cell r="B16" t="str">
            <v>VICEPRESIDENCIA MERCADO DE CAPITALES</v>
          </cell>
        </row>
        <row r="17">
          <cell r="B17" t="str">
            <v>VICEPRESIDENCIA PERSONAS Y PYMES</v>
          </cell>
        </row>
        <row r="18">
          <cell r="B18" t="str">
            <v>LEASING BANCOLOMBIA</v>
          </cell>
        </row>
        <row r="19">
          <cell r="B19" t="str">
            <v>VALORES BANCOLOMBIA</v>
          </cell>
        </row>
        <row r="20">
          <cell r="B20" t="str">
            <v>FIDUCIARIA BANCOLOMBIA</v>
          </cell>
        </row>
        <row r="21">
          <cell r="B21" t="str">
            <v>FACTORING BANCOLOMBIA</v>
          </cell>
        </row>
        <row r="22">
          <cell r="B22" t="str">
            <v>DIRECCION DE CULTURA ORGANIZACIONAL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D8D99-1D8D-4CD0-A62C-8DEADB187BA9}" name="TERCEROS_INFO" displayName="TERCEROS_INFO" ref="A1:G337" totalsRowShown="0" headerRowDxfId="71" dataDxfId="147">
  <autoFilter ref="A1:G337" xr:uid="{456D8D99-1D8D-4CD0-A62C-8DEADB187BA9}"/>
  <tableColumns count="7">
    <tableColumn id="1" xr3:uid="{36A50E19-DC7A-4E16-BE4C-42C64333F9EA}" name="PROVEEDOR" dataDxfId="74"/>
    <tableColumn id="4" xr3:uid="{F38BFA0E-D3EB-471E-9755-547858181740}" name="Column1" dataDxfId="0"/>
    <tableColumn id="2" xr3:uid="{33B16C29-2DF5-45A1-87C1-48E44DFA4D60}" name="DIAS DE PLAZO" dataDxfId="75"/>
    <tableColumn id="3" xr3:uid="{FB09C725-92D2-4DCA-AB96-E3501A05815F}" name="IVA" dataDxfId="146"/>
    <tableColumn id="7" xr3:uid="{6DF6E84E-4497-42A2-A0FF-8BB736818592}" name="ID RETENCION" dataDxfId="73"/>
    <tableColumn id="5" xr3:uid="{C601C28E-77FB-4104-BEA3-CABF7F512A2B}" name="CORREO"/>
    <tableColumn id="6" xr3:uid="{0898AD1E-5D0B-451F-AD5F-54E60AC27BC0}" name="CUENTA BANCARIA" dataDxfId="7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43606D-B1F7-4CE6-BB32-CD904DFA3A69}" name="PROVEEDORES" displayName="PROVEEDORES" ref="A1:Z1593" totalsRowShown="0" headerRowDxfId="44" dataDxfId="43" tableBorderDxfId="145">
  <autoFilter ref="A1:Z1593" xr:uid="{0043606D-B1F7-4CE6-BB32-CD904DFA3A69}"/>
  <sortState xmlns:xlrd2="http://schemas.microsoft.com/office/spreadsheetml/2017/richdata2" ref="A2:Z1593">
    <sortCondition ref="G1:G1593"/>
  </sortState>
  <tableColumns count="26">
    <tableColumn id="1" xr3:uid="{4F9DF858-596D-4EB8-BFED-725FE3B6A454}" name="a" dataDxfId="70">
      <calculatedColumnFormula>+IF(PROVEEDORES[[#This Row],[FECHA DE PAGO]]=PROVEEDORES[[#This Row],[FECHA DE FACTURACIÓN]],"DE CONTADO","CRÉDITO")</calculatedColumnFormula>
    </tableColumn>
    <tableColumn id="2" xr3:uid="{E41DD9AA-337C-4F1C-BBCB-16D1B395C3EF}" name="PV" dataDxfId="69">
      <calculatedColumnFormula>+IF((PROVEEDORES[[#This Row],[FECHA DE PAGO]]-PROVEEDORES[[#This Row],[FECHA DE FACTURACIÓN]])&gt;PROVEEDORES[[#This Row],[PLAZO Días]],"PAGO VENCIDO")</calculatedColumnFormula>
    </tableColumn>
    <tableColumn id="3" xr3:uid="{D19A95DA-BBA6-466A-9ABB-E98D09D15428}" name="PLAZO Días" dataDxfId="68">
      <calculatedColumnFormula>+VLOOKUP(PROVEEDORES[[#This Row],[PROVEEDOR]],TERCEROS_INFO[#All],2,FALSE)</calculatedColumnFormula>
    </tableColumn>
    <tableColumn id="4" xr3:uid="{71AED75C-80F2-471D-AEBA-4ED68EBAD009}" name="SALDO PROVEEDOR" dataDxfId="67">
      <calculatedColumnFormula>+SUMIFS(PROVEEDORES[Total],PROVEEDORES[PROVEEDOR],PROVEEDORES[[#This Row],[PROVEEDOR]],PROVEEDORES[FECHA DE PAGO],"")</calculatedColumnFormula>
    </tableColumn>
    <tableColumn id="5" xr3:uid="{23C25549-7822-44AA-9851-133DFF411756}" name="NOTAS" dataDxfId="66"/>
    <tableColumn id="6" xr3:uid="{F624A2BC-D951-4693-9CBB-BA40FB802479}" name="CORREO" dataDxfId="65">
      <calculatedColumnFormula>+VLOOKUP(PROVEEDORES[[#This Row],[PROVEEDOR]],
                       Terceros!$A:$G,
                       5,
                       FALSE)</calculatedColumnFormula>
    </tableColumn>
    <tableColumn id="7" xr3:uid="{A479BEF1-FD05-45A4-971C-81846174781A}" name="FECHA DE PAGO" dataDxfId="64"/>
    <tableColumn id="8" xr3:uid="{539D9199-4B43-419E-8145-E2E1EF749FFC}" name="PROVEEDOR" dataDxfId="63"/>
    <tableColumn id="9" xr3:uid="{C8382347-5AF2-4835-9CDF-1AD2BCDA92AA}" name="FECHA DE FACTURACIÓN" dataDxfId="62"/>
    <tableColumn id="10" xr3:uid="{3DFCAEBC-022A-475E-84C7-9C2FB3136220}" name="# DE FACTURA" dataDxfId="61"/>
    <tableColumn id="11" xr3:uid="{DF1A270C-B4D8-41D7-A334-F52FB50622A2}" name="ALMA/INSTI" dataDxfId="60"/>
    <tableColumn id="12" xr3:uid="{16B565E5-F651-42A4-86D0-961EE3F35173}" name="Origen_x000a_de los_x000a_Recursos" dataDxfId="59"/>
    <tableColumn id="13" xr3:uid="{44CD2AC7-2D54-4AFD-AB58-C49F72A53B72}" name="SUBTOTAL" dataDxfId="58"/>
    <tableColumn id="14" xr3:uid="{F2B0414A-E3EB-487F-B38D-95FF1DC204E9}" name="IVA 19%" dataDxfId="57">
      <calculatedColumnFormula>+(PROVEEDORES[[#This Row],[SUBTOTAL]])*VLOOKUP(PROVEEDORES[[#This Row],[PROVEEDOR]],TERCEROS_INFO[#All],3,FALSE)</calculatedColumnFormula>
    </tableColumn>
    <tableColumn id="15" xr3:uid="{571B41DC-EA39-403C-B84F-4FC5089FE61F}" name="Descuento_x000a_$" dataDxfId="56">
      <calculatedColumnFormula>+'Palabra que no opera y Listas d'!$D$2</calculatedColumnFormula>
    </tableColumn>
    <tableColumn id="16" xr3:uid="{4A9E4B14-B7BC-4507-947A-DA846C9A4C24}" name="ReteFuente_x000a_%" dataDxfId="55">
      <calculatedColumnFormula>+IF(PROVEEDORES[[#This Row],[SUBTOTAL]]&lt;PROVEEDORES[[#This Row],[base retencion]],0,PROVEEDORES[[#This Row],[retención aplicada]])</calculatedColumnFormula>
    </tableColumn>
    <tableColumn id="17" xr3:uid="{D9889BB2-78CD-4A3E-BF81-20F00BC1BC2C}" name="ReteFuente_x000a_$" dataDxfId="54">
      <calculatedColumnFormula>+PROVEEDORES[[#This Row],[ReteFuente
%]]*(PROVEEDORES[[#This Row],[SUBTOTAL]])</calculatedColumnFormula>
    </tableColumn>
    <tableColumn id="18" xr3:uid="{BE85280F-DB3A-4381-AA38-6072B593E55B}" name="Total" dataDxfId="53">
      <calculatedColumnFormula>+PROVEEDORES[[#This Row],[SUBTOTAL]]+PROVEEDORES[[#This Row],[IVA 19%]]-PROVEEDORES[[#This Row],[Descuento
$]]-PROVEEDORES[[#This Row],[ReteFuente
$]]</calculatedColumnFormula>
    </tableColumn>
    <tableColumn id="19" xr3:uid="{9E047FFD-06F2-479A-895D-735298CADC49}" name="Estado de la factura" dataDxfId="52">
      <calculatedColumnFormula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calculatedColumnFormula>
    </tableColumn>
    <tableColumn id="20" xr3:uid="{A2CFDDED-9578-42C5-ADB6-D365F0733C0C}" name="días de vencimiento" dataDxfId="51">
      <calculatedColumnFormula>+IF(PROVEEDORES[[#This Row],[FECHA DE PAGO]]=0,TODAY()-PROVEEDORES[[#This Row],[FECHA DE FACTURACIÓN]]-PROVEEDORES[[#This Row],[PLAZO Días]],0)</calculatedColumnFormula>
    </tableColumn>
    <tableColumn id="21" xr3:uid="{9341C9BD-D100-4B94-ACC4-27624EB6275F}" name="ID RETENCION" dataDxfId="50">
      <calculatedColumnFormula>+VLOOKUP(PROVEEDORES[[#This Row],[PROVEEDOR]],Terceros!$A:$E,4,FALSE)</calculatedColumnFormula>
    </tableColumn>
    <tableColumn id="22" xr3:uid="{A80EE7D8-3E28-4C5E-97D3-C2A90F3DAFFB}" name="año facturado" dataDxfId="49">
      <calculatedColumnFormula>+YEAR(PROVEEDORES[[#This Row],[FECHA DE FACTURACIÓN]])</calculatedColumnFormula>
    </tableColumn>
    <tableColumn id="23" xr3:uid="{F0E6333F-CAB8-4AA8-BE10-1583EB531E06}" name="indicador de columna" dataDxfId="48">
      <calculatedColumnFormula>+MATCH(PROVEEDORES[[#This Row],[año facturado]],Retenciones!$1:$1,0)</calculatedColumnFormula>
    </tableColumn>
    <tableColumn id="24" xr3:uid="{8A25825B-2FF5-4185-83B9-E21AAA58E53F}" name="base retencion" dataDxfId="47">
      <calculatedColumnFormula>+VLOOKUP(PROVEEDORES[[#This Row],[ID RETENCION]],Retenciones!$A$1:$O$25,PROVEEDORES[[#This Row],[indicador de columna]],FALSE)</calculatedColumnFormula>
    </tableColumn>
    <tableColumn id="25" xr3:uid="{63967F7E-DED9-4C7E-AAD2-5C0E38514703}" name="retención aplicada" dataDxfId="46">
      <calculatedColumnFormula>+VLOOKUP(PROVEEDORES[[#This Row],[ID RETENCION]],Retenciones!$A$1:$O$25,2,FALSE)</calculatedColumnFormula>
    </tableColumn>
    <tableColumn id="26" xr3:uid="{F9069F17-FA48-45D7-9FFD-3345665C901E}" name="X@" dataDxfId="45">
      <calculatedColumnFormula>+OR(COUNTIF(PROVEEDORES[[#This Row],[PROVEEDOR]],"*"&amp;'Palabra que no opera y Listas d'!$A$2&amp;"*"))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C2564-C1F9-4E2E-88B6-BAEE1998EC6E}" name="PROVEEDORES3" displayName="PROVEEDORES3" ref="A1:F2" totalsRowShown="0" headerRowDxfId="144" dataDxfId="143" tableBorderDxfId="142">
  <autoFilter ref="A1:F2" xr:uid="{00000000-0009-0000-0100-000001000000}"/>
  <tableColumns count="6">
    <tableColumn id="11" xr3:uid="{574CCCB7-6404-4014-A7C4-E24B35C8242E}" name="FECHA DE PAGO" dataDxfId="141"/>
    <tableColumn id="4" xr3:uid="{2700B3B9-841F-4270-BE9A-B050B545D6DF}" name="PROVEEDOR" dataDxfId="140"/>
    <tableColumn id="1" xr3:uid="{B9637DF7-0F06-414E-8A02-470A0D288B88}" name="FECHA DE FACTURACIÓN" dataDxfId="139"/>
    <tableColumn id="3" xr3:uid="{10A8A101-FA0E-4186-AE5D-EF5556E9484A}" name="# DE FACTURA" dataDxfId="138"/>
    <tableColumn id="15" xr3:uid="{30CB4C40-8263-4421-A32D-17C764402102}" name="Total USD" dataDxfId="137"/>
    <tableColumn id="17" xr3:uid="{1392C75A-49B5-4F13-B7A2-4E0DF985E8DF}" name="COP" dataDxfId="136">
      <calculatedColumnFormula>+PROVEEDORES3[[#This Row],[Total USD]]*3828.5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FINANCIACION" displayName="FINANCIACION" ref="A1:K784" totalsRowShown="0" headerRowDxfId="78" dataDxfId="77">
  <autoFilter ref="A1:K784" xr:uid="{00000000-000C-0000-FFFF-FFFF02000000}"/>
  <tableColumns count="11">
    <tableColumn id="1" xr3:uid="{00000000-0010-0000-0200-000001000000}" name="Fecha" dataDxfId="89" totalsRowDxfId="135"/>
    <tableColumn id="2" xr3:uid="{00000000-0010-0000-0200-000002000000}" name="PRESTAMO" dataDxfId="88" totalsRowDxfId="134"/>
    <tableColumn id="5" xr3:uid="{00000000-0010-0000-0200-000005000000}" name="$ CAPITAL" dataDxfId="87" totalsRowDxfId="133"/>
    <tableColumn id="6" xr3:uid="{00000000-0010-0000-0200-000006000000}" name="$ INTERESES" dataDxfId="86" totalsRowDxfId="132"/>
    <tableColumn id="13" xr3:uid="{AC18AAE4-5F2F-43AA-9096-028504347CEB}" name="PAGO" dataDxfId="85" totalsRowDxfId="131">
      <calculatedColumnFormula>+IF(FINANCIACION[[#This Row],[$ CAPITAL]]&gt;=0,FINANCIACION[[#This Row],[$ CAPITAL]]+FINANCIACION[[#This Row],[$ INTERESES]],"")</calculatedColumnFormula>
    </tableColumn>
    <tableColumn id="16" xr3:uid="{4B8B17DE-D423-4092-ADCD-01A01AB7EA01}" name="SALDO" dataDxfId="84" totalsRowDxfId="130">
      <calculatedColumnFormula>+SUMIFS(FINANCIACION[$ CAPITAL],FINANCIACION[Fecha],"&lt;="&amp;FINANCIACION[[#This Row],[Fecha]],FINANCIACION[PRESTAMO],FINANCIACION[[#This Row],[PRESTAMO]])</calculatedColumnFormula>
    </tableColumn>
    <tableColumn id="3" xr3:uid="{1584E566-D9AE-4D6B-97E1-7826ECE58C32}" name="Origen_x000a_de los_x000a_Recursos" dataDxfId="83" totalsRowDxfId="129"/>
    <tableColumn id="9" xr3:uid="{00000000-0010-0000-0200-000009000000}" name="DETALLE" dataDxfId="82" totalsRowDxfId="128"/>
    <tableColumn id="10" xr3:uid="{00000000-0010-0000-0200-00000A000000}" name="VALOR EN DOLARES" dataDxfId="81" totalsRowDxfId="127"/>
    <tableColumn id="4" xr3:uid="{00000000-0010-0000-0200-000004000000}" name="ABONOS" dataDxfId="80" totalsRowDxfId="126">
      <calculatedColumnFormula>+IF(FINANCIACION[[#This Row],[$ CAPITAL]]&gt;0,FINANCIACION[[#This Row],[$ CAPITAL]])</calculatedColumnFormula>
    </tableColumn>
    <tableColumn id="11" xr3:uid="{00000000-0010-0000-0200-00000B000000}" name="Pagos del mes" dataDxfId="79" totalsRowDxfId="125">
      <calculatedColumnFormula>+IF(FINANCIACION[[#This Row],[$ CAPITAL]]&gt;=0,FINANCIACION[[#This Row],[$ CAPITAL]]+FINANCIACION[[#This Row],[$ INTERESES]],0)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E4E5B-D41E-4DBC-BA0B-E05C8D02B861}" name="Tabla10" displayName="Tabla10" ref="A1:B29" totalsRowShown="0" headerRowDxfId="76" dataDxfId="124">
  <autoFilter ref="A1:B29" xr:uid="{0E1D4469-06DD-45C8-98F5-0FCFA256904B}"/>
  <sortState xmlns:xlrd2="http://schemas.microsoft.com/office/spreadsheetml/2017/richdata2" ref="A2:B29">
    <sortCondition ref="A1:A29"/>
  </sortState>
  <tableColumns count="2">
    <tableColumn id="1" xr3:uid="{352BFAB1-24B4-46D7-A59C-4164B96E8980}" name="PRESTAMO" dataDxfId="123"/>
    <tableColumn id="6" xr3:uid="{71BA46B7-7F39-4EA9-A1B8-9B595F93F60B}" name="01/04/2025" dataDxfId="122">
      <calculatedColumnFormula>-SUMIFS(FINANCIACION[$ CAPITAL],
FINANCIACION[Fecha],"&lt;="&amp;EOMONTH(B$1,0),
FINANCIACION[PRESTAMO],$A2)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DB2F45-C381-47B2-8086-480DEE1C9502}" name="Tabla2" displayName="Tabla2" ref="A6:AD7" totalsRowShown="0" headerRowDxfId="121" dataDxfId="120">
  <autoFilter ref="A6:AD7" xr:uid="{73DB2F45-C381-47B2-8086-480DEE1C9502}"/>
  <sortState xmlns:xlrd2="http://schemas.microsoft.com/office/spreadsheetml/2017/richdata2" ref="A7:AD7">
    <sortCondition descending="1" ref="G6:G7"/>
  </sortState>
  <tableColumns count="30">
    <tableColumn id="1" xr3:uid="{132C3118-3023-4B2F-96BC-F16058F7D256}" name="a" dataDxfId="119"/>
    <tableColumn id="22" xr3:uid="{FB717189-4C41-4440-AD6D-E75C00690007}" name="PV" dataDxfId="118"/>
    <tableColumn id="21" xr3:uid="{43D51372-0EC8-4031-B5C8-4E48EFCBE846}" name="PLAZO Días" dataDxfId="117"/>
    <tableColumn id="2" xr3:uid="{EC2FA82B-2E14-4DCF-9EAD-2BACCB783CD8}" name="SALDO PROVEEDOR" dataDxfId="116"/>
    <tableColumn id="3" xr3:uid="{43A7058F-2ED1-4A27-AA72-06520D8322EE}" name="NOTAS" dataDxfId="115"/>
    <tableColumn id="4" xr3:uid="{60D859DF-64A4-4B14-BEA4-53EDC451A813}" name="CORREO" dataDxfId="114"/>
    <tableColumn id="5" xr3:uid="{454828DC-3C5A-4715-824B-B24F214C5E13}" name="FECHA DE PAGO" dataDxfId="113"/>
    <tableColumn id="6" xr3:uid="{611243B7-0D0B-43AA-B686-311F876022B1}" name="PROVEEDOR" dataDxfId="112"/>
    <tableColumn id="7" xr3:uid="{D855F350-1086-42A0-8EA3-7F25CD38C9D3}" name="FECHA DE FACTURACIÓN" dataDxfId="111"/>
    <tableColumn id="8" xr3:uid="{A47DA67B-9F1D-4774-868A-72372E5564B9}" name="# DE FACTURA" dataDxfId="110"/>
    <tableColumn id="9" xr3:uid="{EFE5C62A-0ACB-4DCD-8ECF-5EF13B6C5317}" name="ALMA/INSTI" dataDxfId="109"/>
    <tableColumn id="10" xr3:uid="{F1AF051F-9A83-4E4B-A579-356CF6E1CC40}" name="Origen_x000a_de los_x000a_Recursos" dataDxfId="108"/>
    <tableColumn id="11" xr3:uid="{8B4607B9-C44B-4133-85DE-013E69B20E93}" name="SUBTOTAL" dataDxfId="107"/>
    <tableColumn id="12" xr3:uid="{6A9D0E38-9470-494D-8871-9052119ECCAA}" name="IVA 19%" dataDxfId="106"/>
    <tableColumn id="13" xr3:uid="{B7846F5F-DCDC-455C-A820-B1866BD3DEF5}" name="Descuento_x000a_$" dataDxfId="105"/>
    <tableColumn id="14" xr3:uid="{871D7124-3BAA-4827-B045-4443CA46B11E}" name="ReteFuente_x000a_%" dataDxfId="104"/>
    <tableColumn id="15" xr3:uid="{02032375-550C-45FC-AA0D-736EC726964B}" name="ReteFuente_x000a_$" dataDxfId="103"/>
    <tableColumn id="16" xr3:uid="{3FBB1F41-A526-42EA-A203-54ABBC239BBD}" name="Total" dataDxfId="102"/>
    <tableColumn id="24" xr3:uid="{7A743829-AEA0-45B6-966E-8D925966D2DE}" name="Estado de la factura" dataDxfId="101"/>
    <tableColumn id="25" xr3:uid="{B7BC761D-0768-4A9C-A5BF-420FDE6F9B67}" name="días de vencimiento" dataDxfId="100"/>
    <tableColumn id="26" xr3:uid="{8393985A-B357-47DA-A28F-A13CBE11ACF1}" name="ID RETENCION" dataDxfId="99"/>
    <tableColumn id="27" xr3:uid="{BEAB3D63-16E1-4BF2-92EA-0C890B6441E0}" name="año facturado" dataDxfId="98"/>
    <tableColumn id="28" xr3:uid="{E3305014-E25D-4184-A1D0-AF16177752F9}" name="indicador de columna" dataDxfId="97"/>
    <tableColumn id="29" xr3:uid="{D4AC43D6-3EAB-4A32-BFB1-062B2425B172}" name="base retencion" dataDxfId="96"/>
    <tableColumn id="30" xr3:uid="{176DC95F-479D-40F9-8352-AA31FFF0DB4E}" name="retención aplicada" dataDxfId="95"/>
    <tableColumn id="23" xr3:uid="{0177C05A-981A-4D8C-8138-55A654CB25B0}" name="X@" dataDxfId="94"/>
    <tableColumn id="17" xr3:uid="{DA71BCF1-93B0-47B9-A984-E2A41D7DDACE}" name="dias de credito" dataDxfId="93">
      <calculatedColumnFormula>+$AD$5-Tabla2[[#This Row],[FECHA DE FACTURACIÓN]]</calculatedColumnFormula>
    </tableColumn>
    <tableColumn id="18" xr3:uid="{CF911DDE-F405-4380-86D1-ECA9628F67A6}" name="venc" dataDxfId="92">
      <calculatedColumnFormula>+IF(Tabla2[[#This Row],[dias de credito]]&gt;=Tabla2[[#This Row],[PLAZO Días]],"venc", "No venc")</calculatedColumnFormula>
    </tableColumn>
    <tableColumn id="19" xr3:uid="{8067E3DF-2FE9-4BF5-8CCB-1D20A2AD809A}" name="estado pago" dataDxfId="91">
      <calculatedColumnFormula>+IF(Tabla2[[#This Row],[FECHA DE PAGO]]&gt;0,"pagada","por pagar")</calculatedColumnFormula>
    </tableColumn>
    <tableColumn id="20" xr3:uid="{986FB463-3412-4AF8-ADC3-B64A4214F098}" name="VENCIDA" dataDxfId="90">
      <calculatedColumnFormula>+IF(AND(Tabla2[[#This Row],[venc]]="venc",Tabla2[[#This Row],[estado pago]]="por pagar"),"vencida","no")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UNIFORMES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X@" TargetMode="Externa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D6C3-5E23-41FC-BAFD-26AEEF3E0171}">
  <sheetPr codeName="Hoja7">
    <pageSetUpPr autoPageBreaks="0"/>
  </sheetPr>
  <dimension ref="G1:S49"/>
  <sheetViews>
    <sheetView workbookViewId="0"/>
  </sheetViews>
  <sheetFormatPr defaultColWidth="0" defaultRowHeight="0" customHeight="1" zeroHeight="1" x14ac:dyDescent="0.3"/>
  <cols>
    <col min="1" max="17" width="11.44140625" customWidth="1"/>
    <col min="18" max="19" width="11.44140625" hidden="1" customWidth="1"/>
  </cols>
  <sheetData>
    <row r="1" spans="7:14" ht="12.75" customHeight="1" x14ac:dyDescent="0.3"/>
    <row r="2" spans="7:14" ht="12.75" customHeight="1" x14ac:dyDescent="0.3">
      <c r="N2" s="15"/>
    </row>
    <row r="3" spans="7:14" ht="12.75" customHeight="1" x14ac:dyDescent="0.3"/>
    <row r="4" spans="7:14" ht="15" thickBot="1" x14ac:dyDescent="0.35"/>
    <row r="5" spans="7:14" ht="18.600000000000001" thickBot="1" x14ac:dyDescent="0.4">
      <c r="G5" s="61" t="s">
        <v>432</v>
      </c>
      <c r="H5" s="62"/>
      <c r="I5" s="62"/>
    </row>
    <row r="6" spans="7:14" ht="15" thickBot="1" x14ac:dyDescent="0.35">
      <c r="G6" s="63" t="s">
        <v>1812</v>
      </c>
      <c r="H6" s="64"/>
      <c r="I6" s="64"/>
      <c r="J6" s="64"/>
      <c r="K6" s="64"/>
      <c r="L6" s="32"/>
    </row>
    <row r="7" spans="7:14" ht="14.4" x14ac:dyDescent="0.3"/>
    <row r="8" spans="7:14" ht="14.4" x14ac:dyDescent="0.3"/>
    <row r="9" spans="7:14" ht="14.4" x14ac:dyDescent="0.3"/>
    <row r="10" spans="7:14" ht="14.4" x14ac:dyDescent="0.3"/>
    <row r="11" spans="7:14" ht="14.4" x14ac:dyDescent="0.3"/>
    <row r="12" spans="7:14" ht="14.4" x14ac:dyDescent="0.3"/>
    <row r="13" spans="7:14" ht="14.4" x14ac:dyDescent="0.3"/>
    <row r="14" spans="7:14" ht="14.4" x14ac:dyDescent="0.3"/>
    <row r="15" spans="7:14" ht="14.4" x14ac:dyDescent="0.3"/>
    <row r="16" spans="7:14" ht="14.4" x14ac:dyDescent="0.3"/>
    <row r="17" spans="10:10" ht="14.4" x14ac:dyDescent="0.3"/>
    <row r="18" spans="10:10" ht="14.4" x14ac:dyDescent="0.3">
      <c r="J18" s="14"/>
    </row>
    <row r="19" spans="10:10" ht="14.4" x14ac:dyDescent="0.3"/>
    <row r="20" spans="10:10" ht="14.4" x14ac:dyDescent="0.3"/>
    <row r="21" spans="10:10" ht="14.4" x14ac:dyDescent="0.3"/>
    <row r="22" spans="10:10" ht="14.4" x14ac:dyDescent="0.3"/>
    <row r="23" spans="10:10" ht="14.4" x14ac:dyDescent="0.3"/>
    <row r="24" spans="10:10" ht="14.4" x14ac:dyDescent="0.3"/>
    <row r="25" spans="10:10" ht="14.4" x14ac:dyDescent="0.3"/>
    <row r="26" spans="10:10" ht="14.4" x14ac:dyDescent="0.3"/>
    <row r="27" spans="10:10" ht="14.4" x14ac:dyDescent="0.3"/>
    <row r="28" spans="10:10" ht="14.4" x14ac:dyDescent="0.3"/>
    <row r="29" spans="10:10" ht="14.4" x14ac:dyDescent="0.3"/>
    <row r="30" spans="10:10" ht="14.4" x14ac:dyDescent="0.3"/>
    <row r="31" spans="10:10" ht="14.4" x14ac:dyDescent="0.3"/>
    <row r="32" spans="10:10" ht="14.4" x14ac:dyDescent="0.3"/>
    <row r="33" ht="14.4" x14ac:dyDescent="0.3"/>
    <row r="34" ht="14.4" x14ac:dyDescent="0.3"/>
    <row r="35" ht="14.4" x14ac:dyDescent="0.3"/>
    <row r="36" ht="14.4" x14ac:dyDescent="0.3"/>
    <row r="37" ht="14.4" x14ac:dyDescent="0.3"/>
    <row r="38" ht="14.4" x14ac:dyDescent="0.3"/>
    <row r="39" ht="14.4" x14ac:dyDescent="0.3"/>
    <row r="40" ht="14.4" x14ac:dyDescent="0.3"/>
    <row r="41" ht="14.4" hidden="1" x14ac:dyDescent="0.3"/>
    <row r="42" ht="12.75" customHeight="1" x14ac:dyDescent="0.3"/>
    <row r="43" ht="12.75" customHeight="1" x14ac:dyDescent="0.3"/>
    <row r="44" ht="12.75" customHeight="1" x14ac:dyDescent="0.3"/>
    <row r="45" ht="12.75" customHeight="1" x14ac:dyDescent="0.3"/>
    <row r="46" ht="12.75" customHeight="1" x14ac:dyDescent="0.3"/>
    <row r="47" ht="12.75" customHeight="1" x14ac:dyDescent="0.3"/>
    <row r="48" ht="12.75" customHeight="1" x14ac:dyDescent="0.3"/>
    <row r="49" ht="12.75" customHeight="1" x14ac:dyDescent="0.3"/>
  </sheetData>
  <pageMargins left="0.7" right="0.7" top="0.75" bottom="0.75" header="0.3" footer="0.3"/>
  <pageSetup orientation="portrait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386F-B57E-455D-B19E-4479E4CE8555}">
  <sheetPr codeName="Hoja2">
    <pageSetUpPr fitToPage="1"/>
  </sheetPr>
  <dimension ref="A1:N9"/>
  <sheetViews>
    <sheetView workbookViewId="0">
      <selection activeCell="B1" sqref="B1"/>
    </sheetView>
  </sheetViews>
  <sheetFormatPr defaultColWidth="11.5546875" defaultRowHeight="14.4" x14ac:dyDescent="0.3"/>
  <cols>
    <col min="1" max="1" width="11.44140625" customWidth="1"/>
    <col min="2" max="2" width="11.88671875" bestFit="1" customWidth="1"/>
    <col min="3" max="3" width="28.88671875" bestFit="1" customWidth="1"/>
    <col min="4" max="4" width="13.109375" bestFit="1" customWidth="1"/>
    <col min="5" max="5" width="32.6640625" bestFit="1" customWidth="1"/>
    <col min="6" max="6" width="12.44140625" hidden="1" customWidth="1"/>
    <col min="7" max="7" width="9.5546875" bestFit="1" customWidth="1"/>
    <col min="8" max="8" width="11.33203125" bestFit="1" customWidth="1"/>
    <col min="9" max="9" width="8.88671875" bestFit="1" customWidth="1"/>
    <col min="10" max="10" width="11.33203125" bestFit="1" customWidth="1"/>
    <col min="11" max="12" width="11" bestFit="1" customWidth="1"/>
    <col min="13" max="13" width="11.33203125" bestFit="1" customWidth="1"/>
    <col min="14" max="14" width="8" customWidth="1"/>
  </cols>
  <sheetData>
    <row r="1" spans="1:14" ht="46.8" x14ac:dyDescent="0.3">
      <c r="A1" s="73" t="s">
        <v>91</v>
      </c>
      <c r="B1" s="74" t="s">
        <v>6</v>
      </c>
      <c r="C1" s="74" t="s">
        <v>3</v>
      </c>
      <c r="D1" s="74" t="s">
        <v>1</v>
      </c>
      <c r="E1" s="74" t="s">
        <v>2</v>
      </c>
      <c r="F1" s="74" t="s">
        <v>1501</v>
      </c>
      <c r="G1" s="74" t="s">
        <v>1514</v>
      </c>
      <c r="H1" s="74" t="s">
        <v>77</v>
      </c>
      <c r="I1" s="74" t="s">
        <v>78</v>
      </c>
      <c r="J1" s="74" t="s">
        <v>1520</v>
      </c>
      <c r="K1" s="74" t="s">
        <v>1524</v>
      </c>
      <c r="L1" s="74" t="s">
        <v>1521</v>
      </c>
      <c r="M1" s="74" t="s">
        <v>79</v>
      </c>
      <c r="N1" s="39" t="s">
        <v>1397</v>
      </c>
    </row>
    <row r="2" spans="1:14" ht="15.6" x14ac:dyDescent="0.3">
      <c r="A2" s="70" t="s">
        <v>205</v>
      </c>
      <c r="B2" s="71">
        <v>45419</v>
      </c>
      <c r="C2" s="72" t="s">
        <v>1785</v>
      </c>
      <c r="D2" s="71">
        <v>45358</v>
      </c>
      <c r="E2" s="44" t="s">
        <v>1825</v>
      </c>
      <c r="F2" s="44" t="s">
        <v>1512</v>
      </c>
      <c r="G2" s="44"/>
      <c r="H2" s="36">
        <v>3445900</v>
      </c>
      <c r="I2" s="37">
        <v>0</v>
      </c>
      <c r="J2" s="37">
        <v>0</v>
      </c>
      <c r="K2" s="38">
        <v>0</v>
      </c>
      <c r="L2" s="37">
        <v>0</v>
      </c>
      <c r="M2" s="36">
        <v>3445900</v>
      </c>
      <c r="N2" s="35">
        <v>3445900</v>
      </c>
    </row>
    <row r="3" spans="1:14" ht="15.6" x14ac:dyDescent="0.3">
      <c r="A3" s="70" t="s">
        <v>205</v>
      </c>
      <c r="B3" s="71">
        <v>45419</v>
      </c>
      <c r="C3" s="72" t="s">
        <v>1785</v>
      </c>
      <c r="D3" s="71">
        <v>45383</v>
      </c>
      <c r="E3" s="44" t="s">
        <v>1715</v>
      </c>
      <c r="F3" s="44" t="s">
        <v>1512</v>
      </c>
      <c r="G3" s="44"/>
      <c r="H3" s="36">
        <v>2823000</v>
      </c>
      <c r="I3" s="37">
        <v>0</v>
      </c>
      <c r="J3" s="37">
        <v>423450</v>
      </c>
      <c r="K3" s="38">
        <v>0</v>
      </c>
      <c r="L3" s="37">
        <v>0</v>
      </c>
      <c r="M3" s="36">
        <v>2399550</v>
      </c>
      <c r="N3" s="35">
        <v>2399550</v>
      </c>
    </row>
    <row r="4" spans="1:14" ht="15.6" x14ac:dyDescent="0.3">
      <c r="A4" s="70" t="s">
        <v>205</v>
      </c>
      <c r="B4" s="71">
        <v>45419</v>
      </c>
      <c r="C4" s="72" t="s">
        <v>1785</v>
      </c>
      <c r="D4" s="71">
        <v>45392</v>
      </c>
      <c r="E4" s="44" t="s">
        <v>1721</v>
      </c>
      <c r="F4" s="44" t="s">
        <v>1512</v>
      </c>
      <c r="G4" s="44"/>
      <c r="H4" s="36">
        <v>84000</v>
      </c>
      <c r="I4" s="37">
        <v>0</v>
      </c>
      <c r="J4" s="37">
        <v>0</v>
      </c>
      <c r="K4" s="38">
        <v>0</v>
      </c>
      <c r="L4" s="37">
        <v>0</v>
      </c>
      <c r="M4" s="36">
        <v>84000</v>
      </c>
      <c r="N4" s="35">
        <v>84000</v>
      </c>
    </row>
    <row r="5" spans="1:14" ht="15.6" x14ac:dyDescent="0.3">
      <c r="A5" s="70" t="s">
        <v>205</v>
      </c>
      <c r="B5" s="71">
        <v>45419</v>
      </c>
      <c r="C5" s="72" t="s">
        <v>1785</v>
      </c>
      <c r="D5" s="71">
        <v>45383</v>
      </c>
      <c r="E5" s="44" t="s">
        <v>1826</v>
      </c>
      <c r="F5" s="44" t="s">
        <v>1512</v>
      </c>
      <c r="G5" s="44"/>
      <c r="H5" s="36">
        <v>-39310</v>
      </c>
      <c r="I5" s="37">
        <v>0</v>
      </c>
      <c r="J5" s="37">
        <v>0</v>
      </c>
      <c r="K5" s="38">
        <v>0</v>
      </c>
      <c r="L5" s="37">
        <v>0</v>
      </c>
      <c r="M5" s="36">
        <v>-39310</v>
      </c>
      <c r="N5" s="35">
        <v>-39310</v>
      </c>
    </row>
    <row r="6" spans="1:14" ht="15.6" x14ac:dyDescent="0.3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43" t="s">
        <v>79</v>
      </c>
      <c r="M6" s="58">
        <v>5890140</v>
      </c>
      <c r="N6" s="35">
        <v>5890140</v>
      </c>
    </row>
    <row r="9" spans="1:14" ht="15.6" x14ac:dyDescent="0.3">
      <c r="A9" s="65"/>
      <c r="B9" s="65"/>
      <c r="C9" s="65"/>
      <c r="D9" s="65"/>
      <c r="E9" s="65"/>
      <c r="F9" s="65"/>
      <c r="G9" s="65"/>
      <c r="H9" s="65"/>
      <c r="I9" s="65"/>
      <c r="J9" s="65"/>
      <c r="K9" s="65"/>
      <c r="L9" s="65" t="s">
        <v>79</v>
      </c>
      <c r="M9" s="66">
        <v>5890140</v>
      </c>
      <c r="N9" s="65">
        <v>5890140</v>
      </c>
    </row>
  </sheetData>
  <sortState xmlns:xlrd2="http://schemas.microsoft.com/office/spreadsheetml/2017/richdata2" ref="A2:M5">
    <sortCondition ref="G1"/>
    <sortCondition ref="C1"/>
    <sortCondition ref="E1"/>
  </sortState>
  <pageMargins left="0.7" right="0.7" top="0.75" bottom="0.75" header="0.3" footer="0.3"/>
  <pageSetup scale="5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D0D9-3698-4ED1-860D-1FB619299F45}">
  <sheetPr codeName="Hoja4"/>
  <dimension ref="A1:B1"/>
  <sheetViews>
    <sheetView workbookViewId="0"/>
  </sheetViews>
  <sheetFormatPr defaultColWidth="11.5546875" defaultRowHeight="14.4" x14ac:dyDescent="0.3"/>
  <cols>
    <col min="1" max="2" width="21.44140625" customWidth="1"/>
  </cols>
  <sheetData>
    <row r="1" spans="1:2" ht="25.8" x14ac:dyDescent="0.3">
      <c r="A1" s="1" t="s">
        <v>0</v>
      </c>
      <c r="B1" s="2">
        <f ca="1">TODAY()</f>
        <v>45666</v>
      </c>
    </row>
  </sheetData>
  <protectedRanges>
    <protectedRange sqref="B1" name="Rango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CADD-6A68-4762-9F6D-CC040449CF7B}">
  <sheetPr codeName="Hoja3">
    <tabColor theme="9" tint="0.39997558519241921"/>
  </sheetPr>
  <dimension ref="A1:O25"/>
  <sheetViews>
    <sheetView workbookViewId="0">
      <selection activeCell="G5" sqref="G5"/>
    </sheetView>
  </sheetViews>
  <sheetFormatPr defaultColWidth="11.5546875" defaultRowHeight="14.4" x14ac:dyDescent="0.3"/>
  <cols>
    <col min="2" max="2" width="11.5546875" style="21"/>
    <col min="3" max="4" width="11.5546875" style="20" bestFit="1" customWidth="1"/>
    <col min="5" max="5" width="12.5546875" style="20" customWidth="1"/>
    <col min="6" max="15" width="12.5546875" customWidth="1"/>
  </cols>
  <sheetData>
    <row r="1" spans="1:15" s="27" customFormat="1" x14ac:dyDescent="0.3">
      <c r="A1" s="25" t="s">
        <v>360</v>
      </c>
      <c r="B1" s="26" t="s">
        <v>80</v>
      </c>
      <c r="C1" s="25">
        <v>2020</v>
      </c>
      <c r="D1" s="25">
        <v>2021</v>
      </c>
      <c r="E1" s="25">
        <v>2022</v>
      </c>
      <c r="F1" s="25">
        <v>2023</v>
      </c>
      <c r="G1" s="25">
        <v>2024</v>
      </c>
      <c r="H1" s="25">
        <v>2025</v>
      </c>
      <c r="I1" s="25">
        <v>2026</v>
      </c>
      <c r="J1" s="25">
        <v>2027</v>
      </c>
      <c r="K1" s="25">
        <v>2028</v>
      </c>
      <c r="L1" s="25">
        <v>2029</v>
      </c>
      <c r="M1" s="25">
        <v>2030</v>
      </c>
      <c r="N1" s="25">
        <v>2031</v>
      </c>
      <c r="O1" s="25">
        <v>2032</v>
      </c>
    </row>
    <row r="2" spans="1:15" x14ac:dyDescent="0.3">
      <c r="A2" s="23">
        <v>0</v>
      </c>
      <c r="B2" s="22">
        <v>0</v>
      </c>
      <c r="C2" s="24">
        <v>0</v>
      </c>
      <c r="D2" s="24">
        <v>0</v>
      </c>
      <c r="E2" s="24">
        <v>0</v>
      </c>
      <c r="F2" s="24">
        <v>0</v>
      </c>
      <c r="G2" s="24">
        <v>0</v>
      </c>
      <c r="H2" s="24"/>
      <c r="I2" s="24"/>
      <c r="J2" s="24"/>
      <c r="K2" s="24"/>
      <c r="L2" s="24"/>
      <c r="M2" s="24"/>
      <c r="N2" s="24"/>
      <c r="O2" s="24"/>
    </row>
    <row r="3" spans="1:15" x14ac:dyDescent="0.3">
      <c r="A3" s="23" t="s">
        <v>371</v>
      </c>
      <c r="B3" s="22">
        <v>0.01</v>
      </c>
      <c r="C3" s="24">
        <v>0</v>
      </c>
      <c r="D3" s="24">
        <v>0</v>
      </c>
      <c r="E3" s="24">
        <v>0</v>
      </c>
      <c r="F3" s="24">
        <v>0</v>
      </c>
      <c r="G3" s="24">
        <v>0</v>
      </c>
      <c r="H3" s="24"/>
      <c r="I3" s="24"/>
      <c r="J3" s="24"/>
      <c r="K3" s="24"/>
      <c r="L3" s="24"/>
      <c r="M3" s="24"/>
      <c r="N3" s="24"/>
      <c r="O3" s="24"/>
    </row>
    <row r="4" spans="1:15" x14ac:dyDescent="0.3">
      <c r="A4" s="23" t="s">
        <v>361</v>
      </c>
      <c r="B4" s="22">
        <v>0.01</v>
      </c>
      <c r="C4" s="24">
        <v>142000</v>
      </c>
      <c r="D4" s="24">
        <v>145000</v>
      </c>
      <c r="E4" s="24">
        <v>152000</v>
      </c>
      <c r="F4" s="24">
        <v>170000</v>
      </c>
      <c r="G4" s="24">
        <v>188000</v>
      </c>
      <c r="H4" s="24"/>
      <c r="I4" s="24"/>
      <c r="J4" s="24"/>
      <c r="K4" s="24"/>
      <c r="L4" s="24"/>
      <c r="M4" s="24"/>
      <c r="N4" s="24"/>
      <c r="O4" s="24"/>
    </row>
    <row r="5" spans="1:15" x14ac:dyDescent="0.3">
      <c r="A5" s="23" t="s">
        <v>362</v>
      </c>
      <c r="B5" s="22">
        <v>2.5000000000000001E-2</v>
      </c>
      <c r="C5" s="24">
        <v>961000</v>
      </c>
      <c r="D5" s="24">
        <v>980000</v>
      </c>
      <c r="E5" s="24">
        <v>1026000</v>
      </c>
      <c r="F5" s="24">
        <v>1145000</v>
      </c>
      <c r="G5" s="24">
        <v>1271000</v>
      </c>
      <c r="H5" s="24"/>
      <c r="I5" s="24"/>
      <c r="J5" s="24"/>
      <c r="K5" s="24"/>
      <c r="L5" s="24"/>
      <c r="M5" s="24"/>
      <c r="N5" s="24"/>
      <c r="O5" s="24"/>
    </row>
    <row r="6" spans="1:15" x14ac:dyDescent="0.3">
      <c r="A6" s="23" t="s">
        <v>363</v>
      </c>
      <c r="B6" s="22">
        <v>3.5000000000000003E-2</v>
      </c>
      <c r="C6" s="24">
        <v>0</v>
      </c>
      <c r="D6" s="24">
        <v>0</v>
      </c>
      <c r="E6" s="24">
        <v>0</v>
      </c>
      <c r="F6" s="24">
        <v>0</v>
      </c>
      <c r="G6" s="24">
        <v>0</v>
      </c>
      <c r="H6" s="24"/>
      <c r="I6" s="24"/>
      <c r="J6" s="24"/>
      <c r="K6" s="24"/>
      <c r="L6" s="24"/>
      <c r="M6" s="24"/>
      <c r="N6" s="24"/>
      <c r="O6" s="24"/>
    </row>
    <row r="7" spans="1:15" x14ac:dyDescent="0.3">
      <c r="A7" s="23" t="s">
        <v>364</v>
      </c>
      <c r="B7" s="22">
        <v>3.5000000000000003E-2</v>
      </c>
      <c r="C7" s="24">
        <v>961000</v>
      </c>
      <c r="D7" s="24">
        <v>980000</v>
      </c>
      <c r="E7" s="24">
        <v>1026000</v>
      </c>
      <c r="F7" s="24">
        <v>1145000</v>
      </c>
      <c r="G7" s="24">
        <v>1271000</v>
      </c>
      <c r="H7" s="24"/>
      <c r="I7" s="24"/>
      <c r="J7" s="24"/>
      <c r="K7" s="24"/>
      <c r="L7" s="24"/>
      <c r="M7" s="24"/>
      <c r="N7" s="24"/>
      <c r="O7" s="24"/>
    </row>
    <row r="8" spans="1:15" x14ac:dyDescent="0.3">
      <c r="A8" s="23" t="s">
        <v>365</v>
      </c>
      <c r="B8" s="22">
        <v>0.04</v>
      </c>
      <c r="C8" s="24">
        <v>0</v>
      </c>
      <c r="D8" s="24">
        <v>0</v>
      </c>
      <c r="E8" s="24">
        <v>0</v>
      </c>
      <c r="F8" s="24">
        <v>0</v>
      </c>
      <c r="G8" s="24">
        <v>0</v>
      </c>
      <c r="H8" s="24"/>
      <c r="I8" s="24"/>
      <c r="J8" s="24"/>
      <c r="K8" s="24"/>
      <c r="L8" s="24"/>
      <c r="M8" s="24"/>
      <c r="N8" s="24"/>
      <c r="O8" s="24"/>
    </row>
    <row r="9" spans="1:15" x14ac:dyDescent="0.3">
      <c r="A9" s="23" t="s">
        <v>458</v>
      </c>
      <c r="B9" s="22">
        <v>0.04</v>
      </c>
      <c r="C9" s="24">
        <v>0</v>
      </c>
      <c r="D9" s="24">
        <v>0</v>
      </c>
      <c r="E9" s="24">
        <v>150000</v>
      </c>
      <c r="F9" s="24">
        <v>170000</v>
      </c>
      <c r="G9" s="24">
        <v>188000</v>
      </c>
      <c r="H9" s="24"/>
      <c r="I9" s="24"/>
      <c r="J9" s="24"/>
      <c r="K9" s="24"/>
      <c r="L9" s="24"/>
      <c r="M9" s="24"/>
      <c r="N9" s="24"/>
      <c r="O9" s="24"/>
    </row>
    <row r="10" spans="1:15" x14ac:dyDescent="0.3">
      <c r="A10" s="23" t="s">
        <v>366</v>
      </c>
      <c r="B10" s="22">
        <v>0.11</v>
      </c>
      <c r="C10" s="24">
        <v>0</v>
      </c>
      <c r="D10" s="24">
        <v>0</v>
      </c>
      <c r="E10" s="24">
        <v>0</v>
      </c>
      <c r="F10" s="24">
        <v>0</v>
      </c>
      <c r="G10" s="24">
        <v>0</v>
      </c>
      <c r="H10" s="24"/>
      <c r="I10" s="24"/>
      <c r="J10" s="24"/>
      <c r="K10" s="24"/>
      <c r="L10" s="24"/>
      <c r="M10" s="24"/>
      <c r="N10" s="24"/>
      <c r="O10" s="24"/>
    </row>
    <row r="11" spans="1:15" x14ac:dyDescent="0.3">
      <c r="A11" s="23"/>
      <c r="B11" s="22"/>
      <c r="C11" s="24"/>
      <c r="D11" s="24"/>
      <c r="E11" s="24"/>
      <c r="F11" s="23"/>
      <c r="G11" s="24"/>
      <c r="H11" s="24"/>
      <c r="I11" s="24"/>
      <c r="J11" s="24"/>
      <c r="K11" s="24"/>
      <c r="L11" s="24"/>
      <c r="M11" s="24"/>
      <c r="N11" s="24"/>
      <c r="O11" s="24"/>
    </row>
    <row r="12" spans="1:15" x14ac:dyDescent="0.3">
      <c r="A12" s="23"/>
      <c r="B12" s="22"/>
      <c r="C12" s="24"/>
      <c r="D12" s="24"/>
      <c r="E12" s="24"/>
      <c r="F12" s="23"/>
      <c r="G12" s="24"/>
      <c r="H12" s="24"/>
      <c r="I12" s="24"/>
      <c r="J12" s="24"/>
      <c r="K12" s="24"/>
      <c r="L12" s="24"/>
      <c r="M12" s="24"/>
      <c r="N12" s="24"/>
      <c r="O12" s="24"/>
    </row>
    <row r="13" spans="1:15" x14ac:dyDescent="0.3">
      <c r="A13" s="23"/>
      <c r="B13" s="22"/>
      <c r="C13" s="24"/>
      <c r="D13" s="24"/>
      <c r="E13" s="24"/>
      <c r="F13" s="23"/>
      <c r="G13" s="24"/>
      <c r="H13" s="24"/>
      <c r="I13" s="24"/>
      <c r="J13" s="24"/>
      <c r="K13" s="24"/>
      <c r="L13" s="24"/>
      <c r="M13" s="24"/>
      <c r="N13" s="24"/>
      <c r="O13" s="24"/>
    </row>
    <row r="14" spans="1:15" x14ac:dyDescent="0.3">
      <c r="A14" s="23"/>
      <c r="B14" s="22"/>
      <c r="C14" s="24"/>
      <c r="D14" s="24"/>
      <c r="E14" s="24"/>
      <c r="F14" s="23"/>
      <c r="G14" s="24"/>
      <c r="H14" s="24"/>
      <c r="I14" s="24"/>
      <c r="J14" s="24"/>
      <c r="K14" s="24"/>
      <c r="L14" s="24"/>
      <c r="M14" s="24"/>
      <c r="N14" s="24"/>
      <c r="O14" s="24"/>
    </row>
    <row r="15" spans="1:15" x14ac:dyDescent="0.3">
      <c r="A15" s="23"/>
      <c r="B15" s="22"/>
      <c r="C15" s="24"/>
      <c r="D15" s="24"/>
      <c r="E15" s="24"/>
      <c r="F15" s="23"/>
      <c r="G15" s="24"/>
      <c r="H15" s="24"/>
      <c r="I15" s="24"/>
      <c r="J15" s="24"/>
      <c r="K15" s="24"/>
      <c r="L15" s="24"/>
      <c r="M15" s="24"/>
      <c r="N15" s="24"/>
      <c r="O15" s="24"/>
    </row>
    <row r="16" spans="1:15" x14ac:dyDescent="0.3">
      <c r="A16" s="23"/>
      <c r="B16" s="22"/>
      <c r="C16" s="24"/>
      <c r="D16" s="24"/>
      <c r="E16" s="24"/>
      <c r="F16" s="23"/>
      <c r="G16" s="24"/>
      <c r="H16" s="24"/>
      <c r="I16" s="24"/>
      <c r="J16" s="24"/>
      <c r="K16" s="24"/>
      <c r="L16" s="24"/>
      <c r="M16" s="24"/>
      <c r="N16" s="24"/>
      <c r="O16" s="24"/>
    </row>
    <row r="17" spans="1:15" x14ac:dyDescent="0.3">
      <c r="A17" s="23"/>
      <c r="B17" s="22"/>
      <c r="C17" s="24"/>
      <c r="D17" s="24"/>
      <c r="E17" s="24"/>
      <c r="F17" s="23"/>
      <c r="G17" s="24"/>
      <c r="H17" s="24"/>
      <c r="I17" s="24"/>
      <c r="J17" s="24"/>
      <c r="K17" s="24"/>
      <c r="L17" s="24"/>
      <c r="M17" s="24"/>
      <c r="N17" s="24"/>
      <c r="O17" s="24"/>
    </row>
    <row r="18" spans="1:15" x14ac:dyDescent="0.3">
      <c r="A18" s="23"/>
      <c r="B18" s="22"/>
      <c r="C18" s="24"/>
      <c r="D18" s="24"/>
      <c r="E18" s="24"/>
      <c r="F18" s="23"/>
      <c r="G18" s="24"/>
      <c r="H18" s="24"/>
      <c r="I18" s="24"/>
      <c r="J18" s="24"/>
      <c r="K18" s="24"/>
      <c r="L18" s="24"/>
      <c r="M18" s="24"/>
      <c r="N18" s="24"/>
      <c r="O18" s="24"/>
    </row>
    <row r="19" spans="1:15" x14ac:dyDescent="0.3">
      <c r="A19" s="23"/>
      <c r="B19" s="22"/>
      <c r="C19" s="24"/>
      <c r="D19" s="24"/>
      <c r="E19" s="24"/>
      <c r="F19" s="23"/>
      <c r="G19" s="24"/>
      <c r="H19" s="24"/>
      <c r="I19" s="24"/>
      <c r="J19" s="24"/>
      <c r="K19" s="24"/>
      <c r="L19" s="24"/>
      <c r="M19" s="24"/>
      <c r="N19" s="24"/>
      <c r="O19" s="24"/>
    </row>
    <row r="20" spans="1:15" x14ac:dyDescent="0.3">
      <c r="A20" s="23"/>
      <c r="B20" s="22"/>
      <c r="C20" s="24"/>
      <c r="D20" s="24"/>
      <c r="E20" s="24"/>
      <c r="F20" s="23"/>
      <c r="G20" s="24"/>
      <c r="H20" s="24"/>
      <c r="I20" s="24"/>
      <c r="J20" s="24"/>
      <c r="K20" s="24"/>
      <c r="L20" s="24"/>
      <c r="M20" s="24"/>
      <c r="N20" s="24"/>
      <c r="O20" s="24"/>
    </row>
    <row r="21" spans="1:15" x14ac:dyDescent="0.3">
      <c r="A21" s="23"/>
      <c r="B21" s="22"/>
      <c r="C21" s="24"/>
      <c r="D21" s="24"/>
      <c r="E21" s="24"/>
      <c r="F21" s="23"/>
      <c r="G21" s="24"/>
      <c r="H21" s="24"/>
      <c r="I21" s="24"/>
      <c r="J21" s="24"/>
      <c r="K21" s="24"/>
      <c r="L21" s="24"/>
      <c r="M21" s="24"/>
      <c r="N21" s="24"/>
      <c r="O21" s="24"/>
    </row>
    <row r="22" spans="1:15" x14ac:dyDescent="0.3">
      <c r="A22" s="23"/>
      <c r="B22" s="22"/>
      <c r="C22" s="24"/>
      <c r="D22" s="24"/>
      <c r="E22" s="24"/>
      <c r="F22" s="23"/>
      <c r="G22" s="24"/>
      <c r="H22" s="24"/>
      <c r="I22" s="24"/>
      <c r="J22" s="24"/>
      <c r="K22" s="24"/>
      <c r="L22" s="24"/>
      <c r="M22" s="24"/>
      <c r="N22" s="24"/>
      <c r="O22" s="24"/>
    </row>
    <row r="23" spans="1:15" x14ac:dyDescent="0.3">
      <c r="A23" s="23"/>
      <c r="B23" s="22"/>
      <c r="C23" s="24"/>
      <c r="D23" s="24"/>
      <c r="E23" s="24"/>
      <c r="F23" s="23"/>
      <c r="G23" s="24"/>
      <c r="H23" s="24"/>
      <c r="I23" s="24"/>
      <c r="J23" s="24"/>
      <c r="K23" s="24"/>
      <c r="L23" s="24"/>
      <c r="M23" s="24"/>
      <c r="N23" s="24"/>
      <c r="O23" s="24"/>
    </row>
    <row r="24" spans="1:15" x14ac:dyDescent="0.3">
      <c r="A24" s="23"/>
      <c r="B24" s="22"/>
      <c r="C24" s="24"/>
      <c r="D24" s="24"/>
      <c r="E24" s="24"/>
      <c r="F24" s="23"/>
      <c r="G24" s="24"/>
      <c r="H24" s="24"/>
      <c r="I24" s="24"/>
      <c r="J24" s="24"/>
      <c r="K24" s="24"/>
      <c r="L24" s="24"/>
      <c r="M24" s="24"/>
      <c r="N24" s="24"/>
      <c r="O24" s="24"/>
    </row>
    <row r="25" spans="1:15" x14ac:dyDescent="0.3">
      <c r="A25" s="23"/>
      <c r="B25" s="22"/>
      <c r="C25" s="24"/>
      <c r="D25" s="24"/>
      <c r="E25" s="24"/>
      <c r="F25" s="23"/>
      <c r="G25" s="24"/>
      <c r="H25" s="24"/>
      <c r="I25" s="24"/>
      <c r="J25" s="24"/>
      <c r="K25" s="24"/>
      <c r="L25" s="24"/>
      <c r="M25" s="24"/>
      <c r="N25" s="24"/>
      <c r="O25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56BA-D9EB-4E90-AF1E-28BABDF33B05}">
  <sheetPr codeName="Hoja5"/>
  <dimension ref="A1:O337"/>
  <sheetViews>
    <sheetView tabSelected="1" zoomScaleNormal="100" zoomScaleSheetLayoutView="100" workbookViewId="0">
      <pane ySplit="1" topLeftCell="A314" activePane="bottomLeft" state="frozen"/>
      <selection pane="bottomLeft" activeCell="B1" sqref="B1:B1048576"/>
    </sheetView>
  </sheetViews>
  <sheetFormatPr defaultColWidth="10.5546875" defaultRowHeight="21" customHeight="1" x14ac:dyDescent="0.3"/>
  <cols>
    <col min="1" max="1" width="58.88671875" style="131" bestFit="1" customWidth="1"/>
    <col min="2" max="2" width="58.88671875" style="131" customWidth="1"/>
    <col min="3" max="3" width="12.44140625" style="9" customWidth="1"/>
    <col min="4" max="4" width="9.5546875" style="9" customWidth="1"/>
    <col min="5" max="5" width="11.44140625" style="69" customWidth="1"/>
    <col min="6" max="6" width="33.5546875" customWidth="1"/>
    <col min="7" max="7" width="27.5546875" style="9" customWidth="1"/>
    <col min="8" max="16384" width="10.5546875" style="9"/>
  </cols>
  <sheetData>
    <row r="1" spans="1:7" s="132" customFormat="1" ht="28.8" x14ac:dyDescent="0.3">
      <c r="A1" s="90" t="s">
        <v>3</v>
      </c>
      <c r="B1" s="90" t="s">
        <v>1832</v>
      </c>
      <c r="C1" s="132" t="s">
        <v>90</v>
      </c>
      <c r="D1" s="132" t="s">
        <v>27</v>
      </c>
      <c r="E1" s="133" t="s">
        <v>360</v>
      </c>
      <c r="F1" s="134" t="s">
        <v>91</v>
      </c>
      <c r="G1" s="132" t="s">
        <v>93</v>
      </c>
    </row>
    <row r="2" spans="1:7" ht="21" customHeight="1" x14ac:dyDescent="0.3">
      <c r="A2" s="129" t="s">
        <v>426</v>
      </c>
      <c r="B2" s="129"/>
      <c r="C2" s="28">
        <v>30</v>
      </c>
      <c r="D2" s="92">
        <v>0.19</v>
      </c>
      <c r="E2" s="69" t="s">
        <v>362</v>
      </c>
      <c r="F2" t="s">
        <v>1478</v>
      </c>
    </row>
    <row r="3" spans="1:7" ht="21" customHeight="1" x14ac:dyDescent="0.3">
      <c r="A3" s="129" t="s">
        <v>59</v>
      </c>
      <c r="B3" s="129"/>
      <c r="C3" s="28">
        <v>30</v>
      </c>
      <c r="D3" s="92">
        <v>0.19</v>
      </c>
      <c r="E3" s="69" t="s">
        <v>362</v>
      </c>
      <c r="F3" t="s">
        <v>95</v>
      </c>
    </row>
    <row r="4" spans="1:7" ht="21" customHeight="1" x14ac:dyDescent="0.3">
      <c r="A4" s="129" t="s">
        <v>308</v>
      </c>
      <c r="B4" s="129"/>
      <c r="C4" s="28">
        <v>30</v>
      </c>
      <c r="D4" s="92">
        <v>0</v>
      </c>
      <c r="E4" s="69">
        <v>0</v>
      </c>
      <c r="F4" t="s">
        <v>95</v>
      </c>
    </row>
    <row r="5" spans="1:7" ht="21" customHeight="1" x14ac:dyDescent="0.3">
      <c r="A5" s="129" t="s">
        <v>251</v>
      </c>
      <c r="B5" s="129"/>
      <c r="C5" s="28">
        <v>30</v>
      </c>
      <c r="D5" s="92">
        <v>0</v>
      </c>
      <c r="E5" s="69">
        <v>0</v>
      </c>
      <c r="F5" t="s">
        <v>246</v>
      </c>
      <c r="G5" s="9" t="s">
        <v>245</v>
      </c>
    </row>
    <row r="6" spans="1:7" ht="21" customHeight="1" x14ac:dyDescent="0.3">
      <c r="A6" s="129" t="s">
        <v>1585</v>
      </c>
      <c r="B6" s="129"/>
      <c r="C6" s="28">
        <v>30</v>
      </c>
      <c r="D6" s="92">
        <v>0</v>
      </c>
      <c r="E6" s="69">
        <v>0</v>
      </c>
      <c r="F6" t="s">
        <v>95</v>
      </c>
    </row>
    <row r="7" spans="1:7" ht="21" customHeight="1" x14ac:dyDescent="0.3">
      <c r="A7" s="129" t="s">
        <v>309</v>
      </c>
      <c r="B7" s="129"/>
      <c r="C7" s="28">
        <v>30</v>
      </c>
      <c r="D7" s="92">
        <v>0</v>
      </c>
      <c r="E7" s="69">
        <v>0</v>
      </c>
      <c r="F7" t="s">
        <v>95</v>
      </c>
    </row>
    <row r="8" spans="1:7" ht="21" customHeight="1" x14ac:dyDescent="0.3">
      <c r="A8" s="129" t="s">
        <v>253</v>
      </c>
      <c r="B8" s="129"/>
      <c r="C8" s="28">
        <v>30</v>
      </c>
      <c r="D8" s="92">
        <v>0</v>
      </c>
      <c r="E8" s="69">
        <v>0</v>
      </c>
      <c r="F8" t="s">
        <v>95</v>
      </c>
    </row>
    <row r="9" spans="1:7" ht="21" customHeight="1" x14ac:dyDescent="0.3">
      <c r="A9" s="129" t="s">
        <v>254</v>
      </c>
      <c r="B9" s="129"/>
      <c r="C9" s="28">
        <v>20</v>
      </c>
      <c r="D9" s="92">
        <v>0</v>
      </c>
      <c r="E9" s="69">
        <v>0</v>
      </c>
    </row>
    <row r="10" spans="1:7" ht="21" customHeight="1" x14ac:dyDescent="0.3">
      <c r="A10" s="129" t="s">
        <v>255</v>
      </c>
      <c r="B10" s="129"/>
      <c r="C10" s="28">
        <v>30</v>
      </c>
      <c r="D10" s="92">
        <v>0</v>
      </c>
      <c r="E10" s="69">
        <v>0</v>
      </c>
    </row>
    <row r="11" spans="1:7" ht="21" customHeight="1" x14ac:dyDescent="0.3">
      <c r="A11" s="129" t="s">
        <v>907</v>
      </c>
      <c r="B11" s="129"/>
      <c r="C11" s="28">
        <v>30</v>
      </c>
      <c r="D11" s="92">
        <v>0</v>
      </c>
      <c r="E11" s="69">
        <v>0</v>
      </c>
    </row>
    <row r="12" spans="1:7" ht="21" customHeight="1" x14ac:dyDescent="0.3">
      <c r="A12" s="129" t="s">
        <v>1618</v>
      </c>
      <c r="B12" s="129"/>
      <c r="C12" s="28">
        <v>30</v>
      </c>
      <c r="D12" s="92">
        <v>0</v>
      </c>
      <c r="E12" s="69">
        <v>0</v>
      </c>
      <c r="F12" t="s">
        <v>95</v>
      </c>
    </row>
    <row r="13" spans="1:7" ht="21" customHeight="1" x14ac:dyDescent="0.3">
      <c r="A13" s="129" t="s">
        <v>1560</v>
      </c>
      <c r="B13" s="129"/>
      <c r="C13" s="28">
        <v>30</v>
      </c>
      <c r="D13" s="92">
        <v>0</v>
      </c>
      <c r="E13" s="69">
        <v>0</v>
      </c>
      <c r="F13" t="s">
        <v>252</v>
      </c>
    </row>
    <row r="14" spans="1:7" ht="21" customHeight="1" x14ac:dyDescent="0.3">
      <c r="A14" s="129" t="s">
        <v>256</v>
      </c>
      <c r="B14" s="129"/>
      <c r="C14" s="28">
        <v>30</v>
      </c>
      <c r="D14" s="92">
        <v>0</v>
      </c>
      <c r="E14" s="69">
        <v>0</v>
      </c>
    </row>
    <row r="15" spans="1:7" ht="21" customHeight="1" x14ac:dyDescent="0.3">
      <c r="A15" s="129" t="s">
        <v>257</v>
      </c>
      <c r="B15" s="129"/>
      <c r="C15" s="28">
        <v>30</v>
      </c>
      <c r="D15" s="92">
        <v>0</v>
      </c>
      <c r="E15" s="69">
        <v>0</v>
      </c>
      <c r="F15" t="s">
        <v>95</v>
      </c>
    </row>
    <row r="16" spans="1:7" ht="21" customHeight="1" x14ac:dyDescent="0.3">
      <c r="A16" s="129" t="s">
        <v>258</v>
      </c>
      <c r="B16" s="129"/>
      <c r="C16" s="28">
        <v>30</v>
      </c>
      <c r="D16" s="92">
        <v>0</v>
      </c>
      <c r="E16" s="69">
        <v>0</v>
      </c>
      <c r="F16" t="s">
        <v>359</v>
      </c>
    </row>
    <row r="17" spans="1:6" ht="21" customHeight="1" x14ac:dyDescent="0.3">
      <c r="A17" s="129" t="s">
        <v>310</v>
      </c>
      <c r="B17" s="129"/>
      <c r="C17" s="28">
        <v>30</v>
      </c>
      <c r="D17" s="92">
        <v>0</v>
      </c>
      <c r="E17" s="69">
        <v>0</v>
      </c>
      <c r="F17" t="s">
        <v>95</v>
      </c>
    </row>
    <row r="18" spans="1:6" ht="21" customHeight="1" x14ac:dyDescent="0.3">
      <c r="A18" s="129" t="s">
        <v>507</v>
      </c>
      <c r="B18" s="129"/>
      <c r="C18" s="28">
        <v>30</v>
      </c>
      <c r="D18" s="92">
        <v>0</v>
      </c>
      <c r="E18" s="69">
        <v>0</v>
      </c>
    </row>
    <row r="19" spans="1:6" ht="21" customHeight="1" x14ac:dyDescent="0.3">
      <c r="A19" s="129" t="s">
        <v>570</v>
      </c>
      <c r="B19" s="129"/>
      <c r="C19" s="28">
        <v>30</v>
      </c>
      <c r="D19" s="92">
        <v>0</v>
      </c>
      <c r="E19" s="69">
        <v>0</v>
      </c>
    </row>
    <row r="20" spans="1:6" ht="21" customHeight="1" x14ac:dyDescent="0.3">
      <c r="A20" s="129" t="s">
        <v>259</v>
      </c>
      <c r="B20" s="129"/>
      <c r="C20" s="28">
        <v>30</v>
      </c>
      <c r="D20" s="92">
        <v>0</v>
      </c>
      <c r="E20" s="69">
        <v>0</v>
      </c>
      <c r="F20" t="s">
        <v>95</v>
      </c>
    </row>
    <row r="21" spans="1:6" ht="21" customHeight="1" x14ac:dyDescent="0.3">
      <c r="A21" s="129" t="s">
        <v>311</v>
      </c>
      <c r="B21" s="129"/>
      <c r="C21" s="28">
        <v>30</v>
      </c>
      <c r="D21" s="92">
        <v>0</v>
      </c>
      <c r="E21" s="69">
        <v>0</v>
      </c>
      <c r="F21" t="s">
        <v>95</v>
      </c>
    </row>
    <row r="22" spans="1:6" ht="21" customHeight="1" x14ac:dyDescent="0.3">
      <c r="A22" s="129" t="s">
        <v>312</v>
      </c>
      <c r="B22" s="129"/>
      <c r="C22" s="28">
        <v>30</v>
      </c>
      <c r="D22" s="92">
        <v>0</v>
      </c>
      <c r="E22" s="69">
        <v>0</v>
      </c>
      <c r="F22" t="s">
        <v>95</v>
      </c>
    </row>
    <row r="23" spans="1:6" ht="21" customHeight="1" x14ac:dyDescent="0.3">
      <c r="A23" s="129" t="s">
        <v>260</v>
      </c>
      <c r="B23" s="129"/>
      <c r="C23" s="28">
        <v>10</v>
      </c>
      <c r="D23" s="92">
        <v>0</v>
      </c>
      <c r="E23" s="69">
        <v>0</v>
      </c>
      <c r="F23" t="s">
        <v>249</v>
      </c>
    </row>
    <row r="24" spans="1:6" ht="21" customHeight="1" x14ac:dyDescent="0.3">
      <c r="A24" s="129" t="s">
        <v>261</v>
      </c>
      <c r="B24" s="129"/>
      <c r="C24" s="28">
        <v>30</v>
      </c>
      <c r="D24" s="92">
        <v>0</v>
      </c>
      <c r="E24" s="69">
        <v>0</v>
      </c>
      <c r="F24" t="s">
        <v>95</v>
      </c>
    </row>
    <row r="25" spans="1:6" ht="21" customHeight="1" x14ac:dyDescent="0.3">
      <c r="A25" s="129" t="s">
        <v>262</v>
      </c>
      <c r="B25" s="129"/>
      <c r="C25" s="28">
        <v>30</v>
      </c>
      <c r="D25" s="92">
        <v>0</v>
      </c>
      <c r="E25" s="69">
        <v>0</v>
      </c>
    </row>
    <row r="26" spans="1:6" ht="21" customHeight="1" x14ac:dyDescent="0.3">
      <c r="A26" s="129" t="s">
        <v>263</v>
      </c>
      <c r="B26" s="129"/>
      <c r="C26" s="28">
        <v>30</v>
      </c>
      <c r="D26" s="92">
        <v>0</v>
      </c>
      <c r="E26" s="69">
        <v>0</v>
      </c>
      <c r="F26" t="s">
        <v>95</v>
      </c>
    </row>
    <row r="27" spans="1:6" ht="21" customHeight="1" x14ac:dyDescent="0.3">
      <c r="A27" s="129" t="s">
        <v>376</v>
      </c>
      <c r="B27" s="129"/>
      <c r="C27" s="28">
        <v>30</v>
      </c>
      <c r="D27" s="92">
        <v>0</v>
      </c>
      <c r="E27" s="69">
        <v>0</v>
      </c>
    </row>
    <row r="28" spans="1:6" ht="21" customHeight="1" x14ac:dyDescent="0.3">
      <c r="A28" s="129" t="s">
        <v>313</v>
      </c>
      <c r="B28" s="129"/>
      <c r="C28" s="28">
        <v>30</v>
      </c>
      <c r="D28" s="92">
        <v>0</v>
      </c>
      <c r="E28" s="69">
        <v>0</v>
      </c>
      <c r="F28" t="s">
        <v>148</v>
      </c>
    </row>
    <row r="29" spans="1:6" ht="21" customHeight="1" x14ac:dyDescent="0.3">
      <c r="A29" s="129" t="s">
        <v>870</v>
      </c>
      <c r="B29" s="129"/>
      <c r="C29" s="28">
        <v>30</v>
      </c>
      <c r="D29" s="92">
        <v>0</v>
      </c>
      <c r="E29" s="69">
        <v>0</v>
      </c>
    </row>
    <row r="30" spans="1:6" ht="21" customHeight="1" x14ac:dyDescent="0.3">
      <c r="A30" s="130" t="s">
        <v>1534</v>
      </c>
      <c r="B30" s="130"/>
      <c r="C30" s="28">
        <v>90</v>
      </c>
      <c r="D30" s="92"/>
    </row>
    <row r="31" spans="1:6" ht="21" customHeight="1" x14ac:dyDescent="0.3">
      <c r="A31" s="129" t="s">
        <v>264</v>
      </c>
      <c r="B31" s="129"/>
      <c r="C31" s="28">
        <v>30</v>
      </c>
      <c r="D31" s="92">
        <v>0</v>
      </c>
      <c r="E31" s="69">
        <v>0</v>
      </c>
      <c r="F31" t="s">
        <v>215</v>
      </c>
    </row>
    <row r="32" spans="1:6" ht="21" customHeight="1" x14ac:dyDescent="0.3">
      <c r="A32" s="129" t="s">
        <v>265</v>
      </c>
      <c r="B32" s="129"/>
      <c r="C32" s="28">
        <v>30</v>
      </c>
      <c r="D32" s="92">
        <v>0</v>
      </c>
      <c r="E32" s="69">
        <v>0</v>
      </c>
    </row>
    <row r="33" spans="1:7" ht="21" customHeight="1" x14ac:dyDescent="0.3">
      <c r="A33" s="129" t="s">
        <v>266</v>
      </c>
      <c r="B33" s="129"/>
      <c r="C33" s="28">
        <v>30</v>
      </c>
      <c r="D33" s="92">
        <v>0</v>
      </c>
      <c r="E33" s="69">
        <v>0</v>
      </c>
    </row>
    <row r="34" spans="1:7" ht="21" customHeight="1" x14ac:dyDescent="0.3">
      <c r="A34" s="129" t="s">
        <v>374</v>
      </c>
      <c r="B34" s="129"/>
      <c r="C34" s="28">
        <v>10</v>
      </c>
      <c r="D34" s="92">
        <v>0</v>
      </c>
      <c r="E34" s="69">
        <v>0</v>
      </c>
      <c r="F34" t="s">
        <v>250</v>
      </c>
    </row>
    <row r="35" spans="1:7" ht="21" customHeight="1" x14ac:dyDescent="0.3">
      <c r="A35" s="129" t="s">
        <v>267</v>
      </c>
      <c r="B35" s="129"/>
      <c r="C35" s="28">
        <v>30</v>
      </c>
      <c r="D35" s="92">
        <v>0</v>
      </c>
      <c r="E35" s="69">
        <v>0</v>
      </c>
    </row>
    <row r="36" spans="1:7" ht="21" customHeight="1" x14ac:dyDescent="0.3">
      <c r="A36" s="129" t="s">
        <v>269</v>
      </c>
      <c r="B36" s="129"/>
      <c r="C36" s="28">
        <v>30</v>
      </c>
      <c r="D36" s="92">
        <v>0</v>
      </c>
      <c r="E36" s="69">
        <v>0</v>
      </c>
      <c r="F36" t="s">
        <v>95</v>
      </c>
    </row>
    <row r="37" spans="1:7" ht="21" customHeight="1" x14ac:dyDescent="0.3">
      <c r="A37" s="129" t="s">
        <v>270</v>
      </c>
      <c r="B37" s="129"/>
      <c r="C37" s="28">
        <v>30</v>
      </c>
      <c r="D37" s="92">
        <v>0</v>
      </c>
      <c r="E37" s="69">
        <v>0</v>
      </c>
      <c r="F37" t="s">
        <v>95</v>
      </c>
    </row>
    <row r="38" spans="1:7" ht="21" customHeight="1" x14ac:dyDescent="0.3">
      <c r="A38" s="130" t="s">
        <v>1730</v>
      </c>
      <c r="B38" s="130"/>
      <c r="C38" s="28">
        <v>0</v>
      </c>
      <c r="D38" s="92">
        <v>0</v>
      </c>
      <c r="E38" s="69">
        <v>0</v>
      </c>
    </row>
    <row r="39" spans="1:7" ht="21" customHeight="1" x14ac:dyDescent="0.3">
      <c r="A39" s="129" t="s">
        <v>314</v>
      </c>
      <c r="B39" s="129"/>
      <c r="C39" s="28">
        <v>30</v>
      </c>
      <c r="D39" s="92">
        <v>0</v>
      </c>
      <c r="E39" s="69">
        <v>0</v>
      </c>
      <c r="F39" t="s">
        <v>95</v>
      </c>
      <c r="G39" s="9" t="s">
        <v>121</v>
      </c>
    </row>
    <row r="40" spans="1:7" ht="21" customHeight="1" x14ac:dyDescent="0.3">
      <c r="A40" s="129" t="s">
        <v>315</v>
      </c>
      <c r="B40" s="129"/>
      <c r="C40" s="28">
        <v>30</v>
      </c>
      <c r="D40" s="92">
        <v>0</v>
      </c>
      <c r="E40" s="69">
        <v>0</v>
      </c>
    </row>
    <row r="41" spans="1:7" ht="21" customHeight="1" x14ac:dyDescent="0.3">
      <c r="A41" s="129" t="s">
        <v>316</v>
      </c>
      <c r="B41" s="129"/>
      <c r="C41" s="28">
        <v>30</v>
      </c>
      <c r="D41" s="92">
        <v>0</v>
      </c>
      <c r="E41" s="69">
        <v>0</v>
      </c>
      <c r="F41" t="s">
        <v>95</v>
      </c>
    </row>
    <row r="42" spans="1:7" ht="21" customHeight="1" x14ac:dyDescent="0.3">
      <c r="A42" s="129" t="s">
        <v>317</v>
      </c>
      <c r="B42" s="129"/>
      <c r="C42" s="28">
        <v>30</v>
      </c>
      <c r="D42" s="92">
        <v>0</v>
      </c>
      <c r="E42" s="69">
        <v>0</v>
      </c>
      <c r="F42" t="s">
        <v>95</v>
      </c>
    </row>
    <row r="43" spans="1:7" ht="21" customHeight="1" x14ac:dyDescent="0.3">
      <c r="A43" s="129" t="s">
        <v>318</v>
      </c>
      <c r="B43" s="129"/>
      <c r="C43" s="28">
        <v>30</v>
      </c>
      <c r="D43" s="92">
        <v>0</v>
      </c>
      <c r="E43" s="69">
        <v>0</v>
      </c>
      <c r="F43" t="s">
        <v>95</v>
      </c>
    </row>
    <row r="44" spans="1:7" ht="21" customHeight="1" x14ac:dyDescent="0.3">
      <c r="A44" s="129" t="s">
        <v>435</v>
      </c>
      <c r="B44" s="129"/>
      <c r="C44" s="28">
        <v>30</v>
      </c>
      <c r="D44" s="92">
        <v>0</v>
      </c>
      <c r="E44" s="69">
        <v>0</v>
      </c>
    </row>
    <row r="45" spans="1:7" ht="21" customHeight="1" x14ac:dyDescent="0.3">
      <c r="A45" s="129" t="s">
        <v>271</v>
      </c>
      <c r="B45" s="129"/>
      <c r="C45" s="28">
        <v>30</v>
      </c>
      <c r="D45" s="92">
        <v>0</v>
      </c>
      <c r="E45" s="69">
        <v>0</v>
      </c>
      <c r="F45" t="s">
        <v>412</v>
      </c>
    </row>
    <row r="46" spans="1:7" ht="21" customHeight="1" x14ac:dyDescent="0.3">
      <c r="A46" s="130" t="s">
        <v>1778</v>
      </c>
      <c r="B46" s="130"/>
      <c r="C46" s="28">
        <v>60</v>
      </c>
      <c r="D46" s="92">
        <v>0</v>
      </c>
      <c r="E46" s="69">
        <v>0</v>
      </c>
    </row>
    <row r="47" spans="1:7" ht="21" customHeight="1" x14ac:dyDescent="0.3">
      <c r="A47" s="129" t="s">
        <v>319</v>
      </c>
      <c r="B47" s="129"/>
      <c r="C47" s="28">
        <v>90</v>
      </c>
      <c r="D47" s="92">
        <v>0</v>
      </c>
      <c r="E47" s="69">
        <v>0</v>
      </c>
      <c r="F47" t="s">
        <v>95</v>
      </c>
    </row>
    <row r="48" spans="1:7" ht="21" customHeight="1" x14ac:dyDescent="0.3">
      <c r="A48" s="130" t="s">
        <v>1727</v>
      </c>
      <c r="B48" s="130"/>
      <c r="C48" s="28">
        <v>30</v>
      </c>
      <c r="D48" s="92">
        <v>0</v>
      </c>
      <c r="E48" s="69">
        <v>0</v>
      </c>
      <c r="F48" t="s">
        <v>167</v>
      </c>
    </row>
    <row r="49" spans="1:7" ht="21" customHeight="1" x14ac:dyDescent="0.3">
      <c r="A49" s="129" t="s">
        <v>272</v>
      </c>
      <c r="B49" s="129"/>
      <c r="C49" s="28">
        <v>30</v>
      </c>
      <c r="D49" s="92">
        <v>0</v>
      </c>
      <c r="E49" s="69">
        <v>0</v>
      </c>
    </row>
    <row r="50" spans="1:7" ht="21" customHeight="1" x14ac:dyDescent="0.3">
      <c r="A50" s="129" t="s">
        <v>274</v>
      </c>
      <c r="B50" s="129"/>
      <c r="C50" s="28">
        <v>60</v>
      </c>
      <c r="D50" s="92">
        <v>0</v>
      </c>
      <c r="E50" s="69">
        <v>0</v>
      </c>
      <c r="F50" t="s">
        <v>273</v>
      </c>
    </row>
    <row r="51" spans="1:7" ht="21" customHeight="1" x14ac:dyDescent="0.3">
      <c r="A51" s="129" t="s">
        <v>275</v>
      </c>
      <c r="B51" s="129"/>
      <c r="C51" s="28">
        <v>30</v>
      </c>
      <c r="D51" s="92">
        <v>0</v>
      </c>
      <c r="E51" s="69">
        <v>0</v>
      </c>
      <c r="F51" t="s">
        <v>95</v>
      </c>
    </row>
    <row r="52" spans="1:7" ht="21" customHeight="1" x14ac:dyDescent="0.3">
      <c r="A52" s="129" t="s">
        <v>320</v>
      </c>
      <c r="B52" s="129"/>
      <c r="C52" s="28">
        <v>30</v>
      </c>
      <c r="D52" s="92">
        <v>0</v>
      </c>
      <c r="E52" s="69">
        <v>0</v>
      </c>
    </row>
    <row r="53" spans="1:7" ht="21" customHeight="1" x14ac:dyDescent="0.3">
      <c r="A53" s="129" t="s">
        <v>276</v>
      </c>
      <c r="B53" s="129"/>
      <c r="C53" s="28">
        <v>30</v>
      </c>
      <c r="D53" s="92">
        <v>0</v>
      </c>
      <c r="E53" s="69">
        <v>0</v>
      </c>
      <c r="F53" t="s">
        <v>95</v>
      </c>
    </row>
    <row r="54" spans="1:7" ht="21" customHeight="1" x14ac:dyDescent="0.3">
      <c r="A54" s="129" t="s">
        <v>277</v>
      </c>
      <c r="B54" s="129"/>
      <c r="C54" s="28">
        <v>30</v>
      </c>
      <c r="D54" s="92">
        <v>0</v>
      </c>
      <c r="E54" s="69">
        <v>0</v>
      </c>
      <c r="F54" t="s">
        <v>95</v>
      </c>
    </row>
    <row r="55" spans="1:7" ht="21" customHeight="1" x14ac:dyDescent="0.3">
      <c r="A55" s="129" t="s">
        <v>321</v>
      </c>
      <c r="B55" s="129"/>
      <c r="C55" s="28">
        <v>30</v>
      </c>
      <c r="D55" s="92">
        <v>0</v>
      </c>
      <c r="E55" s="69">
        <v>0</v>
      </c>
      <c r="F55" t="s">
        <v>156</v>
      </c>
      <c r="G55" s="9" t="s">
        <v>120</v>
      </c>
    </row>
    <row r="56" spans="1:7" ht="21" customHeight="1" x14ac:dyDescent="0.3">
      <c r="A56" s="129" t="s">
        <v>278</v>
      </c>
      <c r="B56" s="129"/>
      <c r="C56" s="28">
        <v>30</v>
      </c>
      <c r="D56" s="92">
        <v>0</v>
      </c>
      <c r="E56" s="69">
        <v>0</v>
      </c>
    </row>
    <row r="57" spans="1:7" ht="21" customHeight="1" x14ac:dyDescent="0.3">
      <c r="A57" s="129" t="s">
        <v>462</v>
      </c>
      <c r="B57" s="129"/>
      <c r="C57" s="28">
        <v>30</v>
      </c>
      <c r="D57" s="92">
        <v>0</v>
      </c>
      <c r="E57" s="69">
        <v>0</v>
      </c>
      <c r="F57" t="s">
        <v>149</v>
      </c>
      <c r="G57" s="91"/>
    </row>
    <row r="58" spans="1:7" ht="21" customHeight="1" x14ac:dyDescent="0.3">
      <c r="A58" s="129" t="s">
        <v>279</v>
      </c>
      <c r="B58" s="129"/>
      <c r="C58" s="28">
        <v>30</v>
      </c>
      <c r="D58" s="92">
        <v>0</v>
      </c>
      <c r="E58" s="69">
        <v>0</v>
      </c>
    </row>
    <row r="59" spans="1:7" ht="21" customHeight="1" x14ac:dyDescent="0.3">
      <c r="A59" s="129" t="s">
        <v>1128</v>
      </c>
      <c r="B59" s="129"/>
      <c r="C59" s="28">
        <v>0</v>
      </c>
      <c r="D59" s="92">
        <v>0</v>
      </c>
      <c r="E59" s="69">
        <v>0</v>
      </c>
    </row>
    <row r="60" spans="1:7" ht="21" customHeight="1" x14ac:dyDescent="0.3">
      <c r="A60" s="129" t="s">
        <v>1176</v>
      </c>
      <c r="B60" s="129"/>
      <c r="C60" s="28">
        <v>30</v>
      </c>
      <c r="D60" s="92">
        <v>0</v>
      </c>
      <c r="E60" s="69">
        <v>0</v>
      </c>
    </row>
    <row r="61" spans="1:7" ht="21" customHeight="1" x14ac:dyDescent="0.3">
      <c r="A61" s="129" t="s">
        <v>280</v>
      </c>
      <c r="B61" s="129"/>
      <c r="C61" s="28">
        <v>30</v>
      </c>
      <c r="D61" s="92">
        <v>0</v>
      </c>
      <c r="E61" s="69">
        <v>0</v>
      </c>
      <c r="F61" t="s">
        <v>229</v>
      </c>
      <c r="G61" s="9" t="s">
        <v>134</v>
      </c>
    </row>
    <row r="62" spans="1:7" ht="21" customHeight="1" x14ac:dyDescent="0.3">
      <c r="A62" s="129" t="s">
        <v>322</v>
      </c>
      <c r="B62" s="129"/>
      <c r="C62" s="28">
        <v>30</v>
      </c>
      <c r="D62" s="92">
        <v>0</v>
      </c>
      <c r="E62" s="69">
        <v>0</v>
      </c>
      <c r="F62" t="s">
        <v>95</v>
      </c>
    </row>
    <row r="63" spans="1:7" ht="21" customHeight="1" x14ac:dyDescent="0.3">
      <c r="A63" s="130" t="s">
        <v>1531</v>
      </c>
      <c r="B63" s="130"/>
      <c r="C63" s="28">
        <v>30</v>
      </c>
      <c r="D63" s="92">
        <v>0</v>
      </c>
      <c r="E63" s="69">
        <v>0</v>
      </c>
    </row>
    <row r="64" spans="1:7" ht="21" customHeight="1" x14ac:dyDescent="0.3">
      <c r="A64" s="129" t="s">
        <v>323</v>
      </c>
      <c r="B64" s="129"/>
      <c r="C64" s="28">
        <v>30</v>
      </c>
      <c r="D64" s="92">
        <v>0</v>
      </c>
      <c r="E64" s="69">
        <v>0</v>
      </c>
      <c r="F64" t="s">
        <v>95</v>
      </c>
    </row>
    <row r="65" spans="1:7" ht="21" customHeight="1" x14ac:dyDescent="0.3">
      <c r="A65" s="129" t="s">
        <v>281</v>
      </c>
      <c r="B65" s="129"/>
      <c r="C65" s="28">
        <v>20</v>
      </c>
      <c r="D65" s="92">
        <v>0</v>
      </c>
      <c r="E65" s="69">
        <v>0</v>
      </c>
    </row>
    <row r="66" spans="1:7" ht="21" customHeight="1" x14ac:dyDescent="0.3">
      <c r="A66" s="129" t="s">
        <v>324</v>
      </c>
      <c r="B66" s="129"/>
      <c r="C66" s="28">
        <v>30</v>
      </c>
      <c r="D66" s="92">
        <v>0</v>
      </c>
      <c r="E66" s="69">
        <v>0</v>
      </c>
      <c r="F66" t="s">
        <v>95</v>
      </c>
    </row>
    <row r="67" spans="1:7" ht="21" customHeight="1" x14ac:dyDescent="0.3">
      <c r="A67" s="129" t="s">
        <v>822</v>
      </c>
      <c r="B67" s="129"/>
      <c r="C67" s="28">
        <v>30</v>
      </c>
      <c r="D67" s="92">
        <v>0</v>
      </c>
      <c r="E67" s="69">
        <v>0</v>
      </c>
    </row>
    <row r="68" spans="1:7" ht="21" customHeight="1" x14ac:dyDescent="0.3">
      <c r="A68" s="129" t="s">
        <v>325</v>
      </c>
      <c r="B68" s="129"/>
      <c r="C68" s="28">
        <v>30</v>
      </c>
      <c r="D68" s="92">
        <v>0</v>
      </c>
      <c r="E68" s="69">
        <v>0</v>
      </c>
      <c r="F68" t="s">
        <v>424</v>
      </c>
    </row>
    <row r="69" spans="1:7" ht="21" customHeight="1" x14ac:dyDescent="0.3">
      <c r="A69" s="130" t="s">
        <v>1746</v>
      </c>
      <c r="B69" s="130"/>
      <c r="C69" s="28">
        <v>30</v>
      </c>
      <c r="D69" s="92"/>
    </row>
    <row r="70" spans="1:7" ht="21" customHeight="1" x14ac:dyDescent="0.3">
      <c r="A70" s="129" t="s">
        <v>326</v>
      </c>
      <c r="B70" s="129"/>
      <c r="C70" s="28">
        <v>30</v>
      </c>
      <c r="D70" s="92">
        <v>0</v>
      </c>
      <c r="E70" s="69">
        <v>0</v>
      </c>
      <c r="F70" t="s">
        <v>95</v>
      </c>
    </row>
    <row r="71" spans="1:7" ht="21" customHeight="1" x14ac:dyDescent="0.3">
      <c r="A71" s="129" t="s">
        <v>327</v>
      </c>
      <c r="B71" s="129"/>
      <c r="C71" s="28">
        <v>30</v>
      </c>
      <c r="D71" s="92">
        <v>0</v>
      </c>
      <c r="E71" s="69">
        <v>0</v>
      </c>
      <c r="F71" t="s">
        <v>95</v>
      </c>
    </row>
    <row r="72" spans="1:7" ht="21" customHeight="1" x14ac:dyDescent="0.3">
      <c r="A72" s="129" t="s">
        <v>488</v>
      </c>
      <c r="B72" s="129"/>
      <c r="C72" s="28">
        <v>30</v>
      </c>
      <c r="D72" s="92">
        <v>0</v>
      </c>
      <c r="E72" s="69">
        <v>0</v>
      </c>
    </row>
    <row r="73" spans="1:7" ht="21" customHeight="1" x14ac:dyDescent="0.3">
      <c r="A73" s="129" t="s">
        <v>282</v>
      </c>
      <c r="B73" s="129"/>
      <c r="C73" s="28">
        <v>30</v>
      </c>
      <c r="D73" s="92">
        <v>0</v>
      </c>
      <c r="E73" s="69">
        <v>0</v>
      </c>
      <c r="F73" t="s">
        <v>95</v>
      </c>
    </row>
    <row r="74" spans="1:7" ht="21" customHeight="1" x14ac:dyDescent="0.3">
      <c r="A74" s="129" t="s">
        <v>444</v>
      </c>
      <c r="B74" s="129"/>
      <c r="C74" s="28">
        <v>30</v>
      </c>
      <c r="D74" s="92">
        <v>0</v>
      </c>
      <c r="E74" s="69">
        <v>0</v>
      </c>
      <c r="F74" t="s">
        <v>95</v>
      </c>
    </row>
    <row r="75" spans="1:7" ht="21" customHeight="1" x14ac:dyDescent="0.3">
      <c r="A75" s="129" t="s">
        <v>284</v>
      </c>
      <c r="B75" s="129"/>
      <c r="C75" s="28">
        <v>30</v>
      </c>
      <c r="D75" s="92">
        <v>0</v>
      </c>
      <c r="E75" s="69">
        <v>0</v>
      </c>
      <c r="F75" t="s">
        <v>219</v>
      </c>
    </row>
    <row r="76" spans="1:7" ht="21" customHeight="1" x14ac:dyDescent="0.3">
      <c r="A76" s="129" t="s">
        <v>285</v>
      </c>
      <c r="B76" s="129"/>
      <c r="C76" s="28">
        <v>30</v>
      </c>
      <c r="D76" s="92">
        <v>0</v>
      </c>
      <c r="E76" s="69">
        <v>0</v>
      </c>
    </row>
    <row r="77" spans="1:7" ht="21" customHeight="1" x14ac:dyDescent="0.3">
      <c r="A77" s="129" t="s">
        <v>328</v>
      </c>
      <c r="B77" s="129"/>
      <c r="C77" s="28">
        <v>30</v>
      </c>
      <c r="D77" s="92">
        <v>0</v>
      </c>
      <c r="E77" s="69">
        <v>0</v>
      </c>
      <c r="F77" t="s">
        <v>95</v>
      </c>
    </row>
    <row r="78" spans="1:7" ht="21" customHeight="1" x14ac:dyDescent="0.3">
      <c r="A78" s="129" t="s">
        <v>489</v>
      </c>
      <c r="B78" s="129"/>
      <c r="C78" s="28">
        <v>30</v>
      </c>
      <c r="D78" s="92">
        <v>0</v>
      </c>
      <c r="E78" s="69">
        <v>0</v>
      </c>
    </row>
    <row r="79" spans="1:7" ht="21" customHeight="1" x14ac:dyDescent="0.3">
      <c r="A79" s="129" t="s">
        <v>286</v>
      </c>
      <c r="B79" s="129"/>
      <c r="C79" s="28">
        <v>30</v>
      </c>
      <c r="D79" s="92">
        <v>0</v>
      </c>
      <c r="E79" s="69">
        <v>0</v>
      </c>
      <c r="F79" t="s">
        <v>95</v>
      </c>
      <c r="G79" s="9" t="s">
        <v>125</v>
      </c>
    </row>
    <row r="80" spans="1:7" ht="21" customHeight="1" x14ac:dyDescent="0.3">
      <c r="A80" s="129" t="s">
        <v>415</v>
      </c>
      <c r="B80" s="129"/>
      <c r="C80" s="28">
        <v>30</v>
      </c>
      <c r="D80" s="92">
        <v>0</v>
      </c>
      <c r="E80" s="69">
        <v>0</v>
      </c>
    </row>
    <row r="81" spans="1:6" ht="21" customHeight="1" x14ac:dyDescent="0.3">
      <c r="A81" s="129" t="s">
        <v>329</v>
      </c>
      <c r="B81" s="129"/>
      <c r="C81" s="28">
        <v>30</v>
      </c>
      <c r="D81" s="92">
        <v>0</v>
      </c>
      <c r="E81" s="69">
        <v>0</v>
      </c>
      <c r="F81" t="s">
        <v>95</v>
      </c>
    </row>
    <row r="82" spans="1:6" ht="21" customHeight="1" x14ac:dyDescent="0.3">
      <c r="A82" s="129" t="s">
        <v>287</v>
      </c>
      <c r="B82" s="129"/>
      <c r="C82" s="28">
        <v>30</v>
      </c>
      <c r="D82" s="92">
        <v>0</v>
      </c>
      <c r="E82" s="69">
        <v>0</v>
      </c>
      <c r="F82" t="s">
        <v>95</v>
      </c>
    </row>
    <row r="83" spans="1:6" ht="21" customHeight="1" x14ac:dyDescent="0.3">
      <c r="A83" s="129" t="s">
        <v>330</v>
      </c>
      <c r="B83" s="129"/>
      <c r="C83" s="28">
        <v>30</v>
      </c>
      <c r="D83" s="92">
        <v>0</v>
      </c>
      <c r="E83" s="69">
        <v>0</v>
      </c>
      <c r="F83" t="s">
        <v>95</v>
      </c>
    </row>
    <row r="84" spans="1:6" ht="21" customHeight="1" x14ac:dyDescent="0.3">
      <c r="A84" s="129" t="s">
        <v>288</v>
      </c>
      <c r="B84" s="129"/>
      <c r="C84" s="28">
        <v>30</v>
      </c>
      <c r="D84" s="92">
        <v>0</v>
      </c>
      <c r="E84" s="69">
        <v>0</v>
      </c>
      <c r="F84" t="s">
        <v>95</v>
      </c>
    </row>
    <row r="85" spans="1:6" ht="21" customHeight="1" x14ac:dyDescent="0.3">
      <c r="A85" s="129" t="s">
        <v>1438</v>
      </c>
      <c r="B85" s="129"/>
      <c r="C85" s="28">
        <v>10</v>
      </c>
      <c r="D85" s="92">
        <v>0</v>
      </c>
      <c r="E85" s="69">
        <v>0</v>
      </c>
    </row>
    <row r="86" spans="1:6" ht="21" customHeight="1" x14ac:dyDescent="0.3">
      <c r="A86" s="129" t="s">
        <v>331</v>
      </c>
      <c r="B86" s="129"/>
      <c r="C86" s="28">
        <v>30</v>
      </c>
      <c r="D86" s="92">
        <v>0</v>
      </c>
      <c r="E86" s="69">
        <v>0</v>
      </c>
      <c r="F86" t="s">
        <v>95</v>
      </c>
    </row>
    <row r="87" spans="1:6" ht="21" customHeight="1" x14ac:dyDescent="0.3">
      <c r="A87" s="129" t="s">
        <v>289</v>
      </c>
      <c r="B87" s="129"/>
      <c r="C87" s="28">
        <v>30</v>
      </c>
      <c r="D87" s="92">
        <v>0</v>
      </c>
      <c r="E87" s="69">
        <v>0</v>
      </c>
      <c r="F87" t="s">
        <v>95</v>
      </c>
    </row>
    <row r="88" spans="1:6" ht="21" customHeight="1" x14ac:dyDescent="0.3">
      <c r="A88" s="129" t="s">
        <v>332</v>
      </c>
      <c r="B88" s="129"/>
      <c r="C88" s="28">
        <v>30</v>
      </c>
      <c r="D88" s="92">
        <v>0</v>
      </c>
      <c r="E88" s="69">
        <v>0</v>
      </c>
      <c r="F88" t="s">
        <v>95</v>
      </c>
    </row>
    <row r="89" spans="1:6" ht="21" customHeight="1" x14ac:dyDescent="0.3">
      <c r="A89" s="129" t="s">
        <v>333</v>
      </c>
      <c r="B89" s="129"/>
      <c r="C89" s="28">
        <v>30</v>
      </c>
      <c r="D89" s="92">
        <v>0</v>
      </c>
      <c r="E89" s="69">
        <v>0</v>
      </c>
      <c r="F89" t="s">
        <v>95</v>
      </c>
    </row>
    <row r="90" spans="1:6" ht="21" customHeight="1" x14ac:dyDescent="0.3">
      <c r="A90" s="129" t="s">
        <v>290</v>
      </c>
      <c r="B90" s="129"/>
      <c r="C90" s="28">
        <v>30</v>
      </c>
      <c r="D90" s="92">
        <v>0</v>
      </c>
      <c r="E90" s="69">
        <v>0</v>
      </c>
      <c r="F90" t="s">
        <v>180</v>
      </c>
    </row>
    <row r="91" spans="1:6" ht="21" customHeight="1" x14ac:dyDescent="0.3">
      <c r="A91" s="129" t="s">
        <v>334</v>
      </c>
      <c r="B91" s="129"/>
      <c r="C91" s="28">
        <v>30</v>
      </c>
      <c r="D91" s="92">
        <v>0</v>
      </c>
      <c r="E91" s="69">
        <v>0</v>
      </c>
      <c r="F91" t="s">
        <v>95</v>
      </c>
    </row>
    <row r="92" spans="1:6" ht="21" customHeight="1" x14ac:dyDescent="0.3">
      <c r="A92" s="129" t="s">
        <v>291</v>
      </c>
      <c r="B92" s="129"/>
      <c r="C92" s="28">
        <v>30</v>
      </c>
      <c r="D92" s="92">
        <v>0</v>
      </c>
      <c r="E92" s="69">
        <v>0</v>
      </c>
      <c r="F92" t="s">
        <v>95</v>
      </c>
    </row>
    <row r="93" spans="1:6" ht="21" customHeight="1" x14ac:dyDescent="0.3">
      <c r="A93" s="129" t="s">
        <v>431</v>
      </c>
      <c r="B93" s="129"/>
      <c r="C93" s="28">
        <v>0</v>
      </c>
      <c r="D93" s="92">
        <v>0</v>
      </c>
      <c r="E93" s="69">
        <v>0</v>
      </c>
    </row>
    <row r="94" spans="1:6" ht="21" customHeight="1" x14ac:dyDescent="0.3">
      <c r="A94" s="129" t="s">
        <v>736</v>
      </c>
      <c r="B94" s="129"/>
      <c r="C94" s="28">
        <v>30</v>
      </c>
      <c r="D94" s="92">
        <v>0</v>
      </c>
      <c r="E94" s="69">
        <v>0</v>
      </c>
      <c r="F94" t="s">
        <v>721</v>
      </c>
    </row>
    <row r="95" spans="1:6" ht="21" customHeight="1" x14ac:dyDescent="0.3">
      <c r="A95" s="129" t="s">
        <v>335</v>
      </c>
      <c r="B95" s="129"/>
      <c r="C95" s="28">
        <v>30</v>
      </c>
      <c r="D95" s="92">
        <v>0</v>
      </c>
      <c r="E95" s="69">
        <v>0</v>
      </c>
      <c r="F95" t="s">
        <v>95</v>
      </c>
    </row>
    <row r="96" spans="1:6" ht="21" customHeight="1" x14ac:dyDescent="0.3">
      <c r="A96" s="129" t="s">
        <v>336</v>
      </c>
      <c r="B96" s="129"/>
      <c r="C96" s="28">
        <v>30</v>
      </c>
      <c r="D96" s="92">
        <v>0</v>
      </c>
      <c r="E96" s="69">
        <v>0</v>
      </c>
      <c r="F96" t="s">
        <v>95</v>
      </c>
    </row>
    <row r="97" spans="1:6" ht="21" customHeight="1" x14ac:dyDescent="0.3">
      <c r="A97" s="129" t="s">
        <v>293</v>
      </c>
      <c r="B97" s="129"/>
      <c r="C97" s="28">
        <v>30</v>
      </c>
      <c r="D97" s="92">
        <v>0</v>
      </c>
      <c r="E97" s="69">
        <v>0</v>
      </c>
      <c r="F97" t="s">
        <v>292</v>
      </c>
    </row>
    <row r="98" spans="1:6" ht="21" customHeight="1" x14ac:dyDescent="0.3">
      <c r="A98" s="129" t="s">
        <v>845</v>
      </c>
      <c r="B98" s="129"/>
      <c r="C98" s="28">
        <v>30</v>
      </c>
      <c r="D98" s="92">
        <v>0</v>
      </c>
      <c r="E98" s="69">
        <v>0</v>
      </c>
    </row>
    <row r="99" spans="1:6" ht="21" customHeight="1" x14ac:dyDescent="0.3">
      <c r="A99" s="129" t="s">
        <v>411</v>
      </c>
      <c r="B99" s="129"/>
      <c r="C99" s="28">
        <v>8</v>
      </c>
      <c r="D99" s="92">
        <v>0</v>
      </c>
      <c r="E99" s="69">
        <v>0</v>
      </c>
    </row>
    <row r="100" spans="1:6" ht="21" customHeight="1" x14ac:dyDescent="0.3">
      <c r="A100" s="129" t="s">
        <v>337</v>
      </c>
      <c r="B100" s="129"/>
      <c r="C100" s="28">
        <v>30</v>
      </c>
      <c r="D100" s="92">
        <v>0</v>
      </c>
      <c r="E100" s="69">
        <v>0</v>
      </c>
      <c r="F100" t="s">
        <v>95</v>
      </c>
    </row>
    <row r="101" spans="1:6" ht="21" customHeight="1" x14ac:dyDescent="0.3">
      <c r="A101" s="129" t="s">
        <v>338</v>
      </c>
      <c r="B101" s="129"/>
      <c r="C101" s="28">
        <v>30</v>
      </c>
      <c r="D101" s="92">
        <v>0</v>
      </c>
      <c r="E101" s="69">
        <v>0</v>
      </c>
      <c r="F101" t="s">
        <v>95</v>
      </c>
    </row>
    <row r="102" spans="1:6" ht="21" customHeight="1" x14ac:dyDescent="0.3">
      <c r="A102" s="129" t="s">
        <v>294</v>
      </c>
      <c r="B102" s="129"/>
      <c r="C102" s="28">
        <v>30</v>
      </c>
      <c r="D102" s="92">
        <v>0</v>
      </c>
      <c r="E102" s="69">
        <v>0</v>
      </c>
      <c r="F102" t="s">
        <v>95</v>
      </c>
    </row>
    <row r="103" spans="1:6" ht="21" customHeight="1" x14ac:dyDescent="0.3">
      <c r="A103" s="129" t="s">
        <v>295</v>
      </c>
      <c r="B103" s="129"/>
      <c r="C103" s="28">
        <v>30</v>
      </c>
      <c r="D103" s="92">
        <v>0</v>
      </c>
      <c r="E103" s="69">
        <v>0</v>
      </c>
      <c r="F103" t="s">
        <v>205</v>
      </c>
    </row>
    <row r="104" spans="1:6" ht="21" customHeight="1" x14ac:dyDescent="0.3">
      <c r="A104" s="129" t="s">
        <v>296</v>
      </c>
      <c r="B104" s="129"/>
      <c r="C104" s="28">
        <v>20</v>
      </c>
      <c r="D104" s="92">
        <v>0</v>
      </c>
      <c r="E104" s="69">
        <v>0</v>
      </c>
    </row>
    <row r="105" spans="1:6" ht="21" customHeight="1" x14ac:dyDescent="0.3">
      <c r="A105" s="129" t="s">
        <v>339</v>
      </c>
      <c r="B105" s="129"/>
      <c r="C105" s="28">
        <v>30</v>
      </c>
      <c r="D105" s="92">
        <v>0</v>
      </c>
      <c r="E105" s="69">
        <v>0</v>
      </c>
      <c r="F105" t="s">
        <v>95</v>
      </c>
    </row>
    <row r="106" spans="1:6" ht="21" customHeight="1" x14ac:dyDescent="0.3">
      <c r="A106" s="129" t="s">
        <v>340</v>
      </c>
      <c r="B106" s="129"/>
      <c r="C106" s="28">
        <v>30</v>
      </c>
      <c r="D106" s="92">
        <v>0</v>
      </c>
      <c r="E106" s="69">
        <v>0</v>
      </c>
      <c r="F106" t="s">
        <v>95</v>
      </c>
    </row>
    <row r="107" spans="1:6" ht="21" customHeight="1" x14ac:dyDescent="0.3">
      <c r="A107" s="129" t="s">
        <v>739</v>
      </c>
      <c r="B107" s="129"/>
      <c r="C107" s="28">
        <v>30</v>
      </c>
      <c r="D107" s="92">
        <v>0</v>
      </c>
      <c r="E107" s="69">
        <v>0</v>
      </c>
    </row>
    <row r="108" spans="1:6" ht="21" customHeight="1" x14ac:dyDescent="0.3">
      <c r="A108" s="129" t="s">
        <v>297</v>
      </c>
      <c r="B108" s="129"/>
      <c r="C108" s="28">
        <v>30</v>
      </c>
      <c r="D108" s="92">
        <v>0</v>
      </c>
      <c r="E108" s="69">
        <v>0</v>
      </c>
    </row>
    <row r="109" spans="1:6" ht="21" customHeight="1" x14ac:dyDescent="0.3">
      <c r="A109" s="129" t="s">
        <v>501</v>
      </c>
      <c r="B109" s="129"/>
      <c r="C109" s="28">
        <v>30</v>
      </c>
      <c r="D109" s="92">
        <v>0</v>
      </c>
      <c r="E109" s="69">
        <v>0</v>
      </c>
    </row>
    <row r="110" spans="1:6" ht="21" customHeight="1" x14ac:dyDescent="0.3">
      <c r="A110" s="129" t="s">
        <v>298</v>
      </c>
      <c r="B110" s="129"/>
      <c r="C110" s="28">
        <v>30</v>
      </c>
      <c r="D110" s="92">
        <v>0</v>
      </c>
      <c r="E110" s="69">
        <v>0</v>
      </c>
      <c r="F110" t="s">
        <v>95</v>
      </c>
    </row>
    <row r="111" spans="1:6" ht="21" customHeight="1" x14ac:dyDescent="0.3">
      <c r="A111" s="129" t="s">
        <v>341</v>
      </c>
      <c r="B111" s="129"/>
      <c r="C111" s="28">
        <v>30</v>
      </c>
      <c r="D111" s="92">
        <v>0</v>
      </c>
      <c r="E111" s="69">
        <v>0</v>
      </c>
      <c r="F111" t="s">
        <v>95</v>
      </c>
    </row>
    <row r="112" spans="1:6" ht="21" customHeight="1" x14ac:dyDescent="0.3">
      <c r="A112" s="129" t="s">
        <v>342</v>
      </c>
      <c r="B112" s="129"/>
      <c r="C112" s="28">
        <v>30</v>
      </c>
      <c r="D112" s="92">
        <v>0</v>
      </c>
      <c r="E112" s="69">
        <v>0</v>
      </c>
      <c r="F112" t="s">
        <v>95</v>
      </c>
    </row>
    <row r="113" spans="1:6" ht="21" customHeight="1" x14ac:dyDescent="0.3">
      <c r="A113" s="129" t="s">
        <v>299</v>
      </c>
      <c r="B113" s="129"/>
      <c r="C113" s="28">
        <v>30</v>
      </c>
      <c r="D113" s="92">
        <v>0</v>
      </c>
      <c r="E113" s="69">
        <v>0</v>
      </c>
      <c r="F113" t="s">
        <v>215</v>
      </c>
    </row>
    <row r="114" spans="1:6" ht="21" customHeight="1" x14ac:dyDescent="0.3">
      <c r="A114" s="129" t="s">
        <v>343</v>
      </c>
      <c r="B114" s="129"/>
      <c r="C114" s="28">
        <v>30</v>
      </c>
      <c r="D114" s="92">
        <v>0</v>
      </c>
      <c r="E114" s="69">
        <v>0</v>
      </c>
      <c r="F114" t="s">
        <v>150</v>
      </c>
    </row>
    <row r="115" spans="1:6" ht="21" customHeight="1" x14ac:dyDescent="0.3">
      <c r="A115" s="129" t="s">
        <v>300</v>
      </c>
      <c r="B115" s="129"/>
      <c r="C115" s="28">
        <v>30</v>
      </c>
      <c r="D115" s="92">
        <v>0</v>
      </c>
      <c r="E115" s="69">
        <v>0</v>
      </c>
      <c r="F115" t="s">
        <v>150</v>
      </c>
    </row>
    <row r="116" spans="1:6" ht="21" customHeight="1" x14ac:dyDescent="0.3">
      <c r="A116" s="129" t="s">
        <v>301</v>
      </c>
      <c r="B116" s="129"/>
      <c r="C116" s="28">
        <v>30</v>
      </c>
      <c r="D116" s="92">
        <v>0</v>
      </c>
      <c r="E116" s="69">
        <v>0</v>
      </c>
    </row>
    <row r="117" spans="1:6" ht="21" customHeight="1" x14ac:dyDescent="0.3">
      <c r="A117" s="129" t="s">
        <v>302</v>
      </c>
      <c r="B117" s="129"/>
      <c r="C117" s="28">
        <v>30</v>
      </c>
      <c r="D117" s="92">
        <v>0.19</v>
      </c>
      <c r="E117" s="69" t="s">
        <v>362</v>
      </c>
    </row>
    <row r="118" spans="1:6" ht="21" customHeight="1" x14ac:dyDescent="0.3">
      <c r="A118" s="129" t="s">
        <v>51</v>
      </c>
      <c r="B118" s="129"/>
      <c r="C118" s="28">
        <v>30</v>
      </c>
      <c r="D118" s="92">
        <v>0.19</v>
      </c>
      <c r="E118" s="69">
        <v>0</v>
      </c>
      <c r="F118" t="s">
        <v>199</v>
      </c>
    </row>
    <row r="119" spans="1:6" ht="21" customHeight="1" x14ac:dyDescent="0.3">
      <c r="A119" s="129" t="s">
        <v>195</v>
      </c>
      <c r="B119" s="129"/>
      <c r="C119" s="28">
        <v>10</v>
      </c>
      <c r="D119" s="92">
        <v>0</v>
      </c>
      <c r="E119" s="69">
        <v>0</v>
      </c>
    </row>
    <row r="120" spans="1:6" ht="21" customHeight="1" x14ac:dyDescent="0.3">
      <c r="A120" s="129" t="s">
        <v>213</v>
      </c>
      <c r="B120" s="129"/>
      <c r="C120" s="28">
        <v>10</v>
      </c>
      <c r="D120" s="92">
        <v>0.19</v>
      </c>
      <c r="E120" s="69" t="s">
        <v>362</v>
      </c>
      <c r="F120" t="s">
        <v>212</v>
      </c>
    </row>
    <row r="121" spans="1:6" ht="21" customHeight="1" x14ac:dyDescent="0.3">
      <c r="A121" s="129" t="s">
        <v>175</v>
      </c>
      <c r="B121" s="129"/>
      <c r="C121" s="28">
        <v>30</v>
      </c>
      <c r="D121" s="92">
        <v>0.19</v>
      </c>
      <c r="E121" s="69" t="s">
        <v>362</v>
      </c>
    </row>
    <row r="122" spans="1:6" ht="21" customHeight="1" x14ac:dyDescent="0.3">
      <c r="A122" s="129" t="s">
        <v>230</v>
      </c>
      <c r="B122" s="129"/>
      <c r="C122" s="28">
        <v>20</v>
      </c>
      <c r="D122" s="92">
        <v>0</v>
      </c>
      <c r="E122" s="69" t="s">
        <v>365</v>
      </c>
      <c r="F122" t="s">
        <v>231</v>
      </c>
    </row>
    <row r="123" spans="1:6" ht="21" customHeight="1" x14ac:dyDescent="0.3">
      <c r="A123" s="129" t="s">
        <v>226</v>
      </c>
      <c r="B123" s="129"/>
      <c r="C123" s="28">
        <v>30</v>
      </c>
      <c r="D123" s="92">
        <v>0.19</v>
      </c>
      <c r="E123" s="69">
        <v>0</v>
      </c>
    </row>
    <row r="124" spans="1:6" ht="21" customHeight="1" x14ac:dyDescent="0.3">
      <c r="A124" s="129" t="s">
        <v>377</v>
      </c>
      <c r="B124" s="129"/>
      <c r="C124" s="28">
        <v>30</v>
      </c>
      <c r="D124" s="92">
        <v>0.19</v>
      </c>
      <c r="E124" s="69">
        <v>0</v>
      </c>
      <c r="F124" t="s">
        <v>129</v>
      </c>
    </row>
    <row r="125" spans="1:6" ht="21" customHeight="1" x14ac:dyDescent="0.3">
      <c r="A125" s="129" t="s">
        <v>241</v>
      </c>
      <c r="B125" s="129"/>
      <c r="C125" s="28">
        <v>30</v>
      </c>
      <c r="D125" s="92">
        <v>0.19</v>
      </c>
      <c r="E125" s="69" t="s">
        <v>362</v>
      </c>
    </row>
    <row r="126" spans="1:6" ht="21" customHeight="1" x14ac:dyDescent="0.3">
      <c r="A126" s="129" t="s">
        <v>1223</v>
      </c>
      <c r="B126" s="129"/>
      <c r="C126" s="28">
        <v>30</v>
      </c>
      <c r="D126" s="92">
        <v>0.19</v>
      </c>
      <c r="E126" s="69" t="s">
        <v>362</v>
      </c>
      <c r="F126" t="s">
        <v>1224</v>
      </c>
    </row>
    <row r="127" spans="1:6" ht="21" customHeight="1" x14ac:dyDescent="0.3">
      <c r="A127" s="129" t="s">
        <v>503</v>
      </c>
      <c r="B127" s="129"/>
      <c r="C127" s="28">
        <v>30</v>
      </c>
      <c r="D127" s="92">
        <v>0.19</v>
      </c>
      <c r="E127" s="69" t="s">
        <v>362</v>
      </c>
    </row>
    <row r="128" spans="1:6" ht="21" customHeight="1" x14ac:dyDescent="0.3">
      <c r="A128" s="129" t="s">
        <v>502</v>
      </c>
      <c r="B128" s="129"/>
      <c r="C128" s="28">
        <v>30</v>
      </c>
      <c r="D128" s="92">
        <v>0</v>
      </c>
      <c r="E128" s="69">
        <v>0</v>
      </c>
    </row>
    <row r="129" spans="1:7" ht="21" customHeight="1" x14ac:dyDescent="0.3">
      <c r="A129" s="129" t="s">
        <v>19</v>
      </c>
      <c r="B129" s="129"/>
      <c r="C129" s="28">
        <v>30</v>
      </c>
      <c r="D129" s="92">
        <v>0.19</v>
      </c>
      <c r="E129" s="69" t="s">
        <v>362</v>
      </c>
      <c r="F129" t="s">
        <v>122</v>
      </c>
      <c r="G129" s="9" t="s">
        <v>181</v>
      </c>
    </row>
    <row r="130" spans="1:7" ht="21" customHeight="1" x14ac:dyDescent="0.3">
      <c r="A130" s="129" t="s">
        <v>20</v>
      </c>
      <c r="B130" s="129"/>
      <c r="C130" s="28">
        <v>30</v>
      </c>
      <c r="D130" s="92">
        <v>0.19</v>
      </c>
      <c r="E130" s="69" t="s">
        <v>362</v>
      </c>
      <c r="F130" t="s">
        <v>459</v>
      </c>
    </row>
    <row r="131" spans="1:7" ht="21" customHeight="1" x14ac:dyDescent="0.3">
      <c r="A131" s="129" t="s">
        <v>443</v>
      </c>
      <c r="B131" s="129"/>
      <c r="C131" s="28">
        <v>30</v>
      </c>
      <c r="D131" s="92">
        <v>0.19</v>
      </c>
      <c r="E131" s="69" t="s">
        <v>362</v>
      </c>
      <c r="F131" t="s">
        <v>459</v>
      </c>
    </row>
    <row r="132" spans="1:7" ht="21" customHeight="1" x14ac:dyDescent="0.3">
      <c r="A132" s="129" t="s">
        <v>378</v>
      </c>
      <c r="B132" s="129"/>
      <c r="C132" s="28">
        <v>30</v>
      </c>
      <c r="D132" s="92">
        <v>0.19</v>
      </c>
      <c r="E132" s="69" t="s">
        <v>365</v>
      </c>
    </row>
    <row r="133" spans="1:7" ht="21" customHeight="1" x14ac:dyDescent="0.3">
      <c r="A133" s="129" t="s">
        <v>1002</v>
      </c>
      <c r="B133" s="129"/>
      <c r="C133" s="28">
        <v>0</v>
      </c>
      <c r="D133" s="92">
        <v>0.19</v>
      </c>
      <c r="E133" s="69" t="s">
        <v>362</v>
      </c>
    </row>
    <row r="134" spans="1:7" ht="21" customHeight="1" x14ac:dyDescent="0.3">
      <c r="A134" s="130" t="s">
        <v>1601</v>
      </c>
      <c r="B134" s="130"/>
      <c r="C134" s="28">
        <v>30</v>
      </c>
      <c r="D134" s="92">
        <v>0</v>
      </c>
      <c r="E134" s="69">
        <v>0</v>
      </c>
    </row>
    <row r="135" spans="1:7" ht="21" customHeight="1" x14ac:dyDescent="0.3">
      <c r="A135" s="129" t="s">
        <v>46</v>
      </c>
      <c r="B135" s="129"/>
      <c r="C135" s="28">
        <v>30</v>
      </c>
      <c r="D135" s="92">
        <v>0.19</v>
      </c>
      <c r="E135" s="69" t="s">
        <v>362</v>
      </c>
      <c r="F135" t="s">
        <v>95</v>
      </c>
    </row>
    <row r="136" spans="1:7" ht="21" customHeight="1" x14ac:dyDescent="0.3">
      <c r="A136" s="129" t="s">
        <v>465</v>
      </c>
      <c r="B136" s="129"/>
      <c r="C136" s="28">
        <v>0</v>
      </c>
      <c r="D136" s="92">
        <v>0.19</v>
      </c>
      <c r="E136" s="69" t="s">
        <v>362</v>
      </c>
      <c r="F136" t="s">
        <v>129</v>
      </c>
    </row>
    <row r="137" spans="1:7" ht="21" customHeight="1" x14ac:dyDescent="0.3">
      <c r="A137" s="129" t="s">
        <v>379</v>
      </c>
      <c r="B137" s="129"/>
      <c r="C137" s="28">
        <v>10</v>
      </c>
      <c r="D137" s="92">
        <v>0.19</v>
      </c>
      <c r="E137" s="69">
        <v>0</v>
      </c>
    </row>
    <row r="138" spans="1:7" ht="21" customHeight="1" x14ac:dyDescent="0.3">
      <c r="A138" s="129" t="s">
        <v>380</v>
      </c>
      <c r="B138" s="129"/>
      <c r="C138" s="28">
        <v>30</v>
      </c>
      <c r="D138" s="92">
        <v>0</v>
      </c>
      <c r="E138" s="69">
        <v>0</v>
      </c>
      <c r="F138" t="s">
        <v>151</v>
      </c>
    </row>
    <row r="139" spans="1:7" ht="21" customHeight="1" x14ac:dyDescent="0.3">
      <c r="A139" s="129" t="s">
        <v>380</v>
      </c>
      <c r="B139" s="129"/>
      <c r="C139" s="28">
        <v>0</v>
      </c>
      <c r="D139" s="92">
        <v>0.19</v>
      </c>
      <c r="E139" s="69">
        <v>0</v>
      </c>
      <c r="F139" t="s">
        <v>151</v>
      </c>
      <c r="G139" s="9" t="s">
        <v>473</v>
      </c>
    </row>
    <row r="140" spans="1:7" ht="21" customHeight="1" x14ac:dyDescent="0.3">
      <c r="A140" s="129" t="s">
        <v>38</v>
      </c>
      <c r="B140" s="129"/>
      <c r="C140" s="28">
        <v>30</v>
      </c>
      <c r="D140" s="92">
        <v>0.19</v>
      </c>
      <c r="E140" s="69" t="s">
        <v>362</v>
      </c>
      <c r="F140" t="s">
        <v>95</v>
      </c>
    </row>
    <row r="141" spans="1:7" ht="21" customHeight="1" x14ac:dyDescent="0.3">
      <c r="A141" s="129" t="s">
        <v>238</v>
      </c>
      <c r="B141" s="129"/>
      <c r="C141" s="28">
        <v>60</v>
      </c>
      <c r="D141" s="92">
        <v>0</v>
      </c>
      <c r="E141" s="69">
        <v>0</v>
      </c>
      <c r="F141" t="s">
        <v>615</v>
      </c>
    </row>
    <row r="142" spans="1:7" ht="21" customHeight="1" x14ac:dyDescent="0.3">
      <c r="A142" s="129" t="s">
        <v>239</v>
      </c>
      <c r="B142" s="129"/>
      <c r="C142" s="28">
        <v>45</v>
      </c>
      <c r="D142" s="92">
        <v>0</v>
      </c>
      <c r="E142" s="69">
        <v>0</v>
      </c>
      <c r="F142" t="s">
        <v>615</v>
      </c>
    </row>
    <row r="143" spans="1:7" ht="21" customHeight="1" x14ac:dyDescent="0.3">
      <c r="A143" s="129" t="s">
        <v>1701</v>
      </c>
      <c r="B143" s="129"/>
      <c r="C143" s="28">
        <v>45</v>
      </c>
      <c r="D143" s="92">
        <v>0</v>
      </c>
      <c r="E143" s="69">
        <v>0</v>
      </c>
      <c r="F143" t="s">
        <v>615</v>
      </c>
    </row>
    <row r="144" spans="1:7" ht="21" customHeight="1" x14ac:dyDescent="0.3">
      <c r="A144" s="129" t="s">
        <v>240</v>
      </c>
      <c r="B144" s="129"/>
      <c r="C144" s="28">
        <v>45</v>
      </c>
      <c r="D144" s="92">
        <v>0</v>
      </c>
      <c r="E144" s="69">
        <v>0</v>
      </c>
      <c r="F144" t="s">
        <v>615</v>
      </c>
    </row>
    <row r="145" spans="1:7" ht="21" customHeight="1" x14ac:dyDescent="0.3">
      <c r="A145" s="129" t="s">
        <v>407</v>
      </c>
      <c r="B145" s="129"/>
      <c r="C145" s="28">
        <v>20</v>
      </c>
      <c r="D145" s="92">
        <v>0</v>
      </c>
      <c r="E145" s="69">
        <v>0</v>
      </c>
      <c r="F145" t="s">
        <v>129</v>
      </c>
    </row>
    <row r="146" spans="1:7" ht="21" customHeight="1" x14ac:dyDescent="0.3">
      <c r="A146" s="129" t="s">
        <v>381</v>
      </c>
      <c r="B146" s="129"/>
      <c r="C146" s="28">
        <v>90</v>
      </c>
      <c r="D146" s="92">
        <v>0</v>
      </c>
      <c r="E146" s="69" t="s">
        <v>363</v>
      </c>
      <c r="F146" t="s">
        <v>303</v>
      </c>
    </row>
    <row r="147" spans="1:7" ht="21" customHeight="1" x14ac:dyDescent="0.3">
      <c r="A147" s="129" t="s">
        <v>436</v>
      </c>
      <c r="B147" s="129"/>
      <c r="C147" s="28">
        <v>30</v>
      </c>
      <c r="D147" s="92">
        <v>0</v>
      </c>
      <c r="E147" s="69">
        <v>0</v>
      </c>
      <c r="F147" t="s">
        <v>438</v>
      </c>
    </row>
    <row r="148" spans="1:7" ht="21" customHeight="1" x14ac:dyDescent="0.3">
      <c r="A148" s="129" t="s">
        <v>236</v>
      </c>
      <c r="B148" s="129"/>
      <c r="C148" s="28">
        <v>30</v>
      </c>
      <c r="D148" s="92">
        <v>0.19</v>
      </c>
      <c r="E148" s="69">
        <v>0</v>
      </c>
      <c r="F148" t="s">
        <v>243</v>
      </c>
    </row>
    <row r="149" spans="1:7" ht="21" customHeight="1" x14ac:dyDescent="0.3">
      <c r="A149" s="129" t="s">
        <v>375</v>
      </c>
      <c r="B149" s="129"/>
      <c r="C149" s="28">
        <v>30</v>
      </c>
      <c r="D149" s="92">
        <v>0.19</v>
      </c>
      <c r="E149" s="69">
        <v>0</v>
      </c>
      <c r="F149" t="s">
        <v>243</v>
      </c>
    </row>
    <row r="150" spans="1:7" ht="21" customHeight="1" x14ac:dyDescent="0.3">
      <c r="A150" s="129" t="s">
        <v>382</v>
      </c>
      <c r="B150" s="129"/>
      <c r="C150" s="28">
        <v>0</v>
      </c>
      <c r="D150" s="92">
        <v>0</v>
      </c>
      <c r="E150" s="69">
        <v>0</v>
      </c>
      <c r="F150" t="s">
        <v>123</v>
      </c>
      <c r="G150" s="9" t="s">
        <v>96</v>
      </c>
    </row>
    <row r="151" spans="1:7" ht="21" customHeight="1" x14ac:dyDescent="0.3">
      <c r="A151" s="129" t="s">
        <v>358</v>
      </c>
      <c r="B151" s="129"/>
      <c r="C151" s="28">
        <v>30</v>
      </c>
      <c r="D151" s="92">
        <v>0.19</v>
      </c>
      <c r="E151" s="69">
        <v>0</v>
      </c>
      <c r="F151" t="s">
        <v>359</v>
      </c>
    </row>
    <row r="152" spans="1:7" ht="21" customHeight="1" x14ac:dyDescent="0.3">
      <c r="A152" s="129" t="s">
        <v>237</v>
      </c>
      <c r="B152" s="129"/>
      <c r="C152" s="28">
        <v>60</v>
      </c>
      <c r="D152" s="92">
        <v>0.19</v>
      </c>
      <c r="E152" s="69" t="s">
        <v>362</v>
      </c>
      <c r="F152" t="s">
        <v>158</v>
      </c>
    </row>
    <row r="153" spans="1:7" ht="21" customHeight="1" x14ac:dyDescent="0.3">
      <c r="A153" s="129" t="s">
        <v>1464</v>
      </c>
      <c r="B153" s="129"/>
      <c r="C153" s="28">
        <v>30</v>
      </c>
      <c r="D153" s="92">
        <v>0.19</v>
      </c>
      <c r="E153" s="69" t="s">
        <v>362</v>
      </c>
    </row>
    <row r="154" spans="1:7" ht="21" customHeight="1" x14ac:dyDescent="0.3">
      <c r="A154" s="129" t="s">
        <v>1225</v>
      </c>
      <c r="B154" s="129"/>
      <c r="C154" s="28">
        <v>90</v>
      </c>
      <c r="D154" s="92">
        <v>0.19</v>
      </c>
      <c r="E154" s="69" t="s">
        <v>362</v>
      </c>
      <c r="F154" t="s">
        <v>1497</v>
      </c>
    </row>
    <row r="155" spans="1:7" ht="21" customHeight="1" x14ac:dyDescent="0.3">
      <c r="A155" s="129" t="s">
        <v>222</v>
      </c>
      <c r="B155" s="129"/>
      <c r="C155" s="28">
        <v>30</v>
      </c>
      <c r="D155" s="92">
        <v>0.19</v>
      </c>
      <c r="E155" s="69" t="s">
        <v>362</v>
      </c>
      <c r="F155" t="s">
        <v>1561</v>
      </c>
    </row>
    <row r="156" spans="1:7" ht="21" customHeight="1" x14ac:dyDescent="0.3">
      <c r="A156" s="129" t="s">
        <v>383</v>
      </c>
      <c r="B156" s="129"/>
      <c r="C156" s="28">
        <v>30</v>
      </c>
      <c r="D156" s="92">
        <v>0.19</v>
      </c>
      <c r="F156" t="s">
        <v>268</v>
      </c>
    </row>
    <row r="157" spans="1:7" ht="21" customHeight="1" x14ac:dyDescent="0.3">
      <c r="A157" s="129" t="s">
        <v>439</v>
      </c>
      <c r="B157" s="129"/>
      <c r="C157" s="28">
        <v>30</v>
      </c>
      <c r="D157" s="92">
        <v>0.19</v>
      </c>
      <c r="E157" s="69">
        <v>0</v>
      </c>
      <c r="F157" t="s">
        <v>413</v>
      </c>
    </row>
    <row r="158" spans="1:7" ht="21" customHeight="1" x14ac:dyDescent="0.3">
      <c r="A158" s="129" t="s">
        <v>446</v>
      </c>
      <c r="B158" s="129"/>
      <c r="C158" s="28">
        <v>0</v>
      </c>
      <c r="D158" s="92">
        <v>0.19</v>
      </c>
      <c r="E158" s="69">
        <v>0</v>
      </c>
      <c r="F158" t="s">
        <v>445</v>
      </c>
    </row>
    <row r="159" spans="1:7" ht="21" customHeight="1" x14ac:dyDescent="0.3">
      <c r="A159" s="129" t="s">
        <v>44</v>
      </c>
      <c r="B159" s="129"/>
      <c r="C159" s="28">
        <v>30</v>
      </c>
      <c r="D159" s="92">
        <v>0.19</v>
      </c>
      <c r="E159" s="69" t="s">
        <v>362</v>
      </c>
      <c r="F159" t="s">
        <v>148</v>
      </c>
      <c r="G159" s="9" t="s">
        <v>200</v>
      </c>
    </row>
    <row r="160" spans="1:7" ht="21" customHeight="1" x14ac:dyDescent="0.3">
      <c r="A160" s="129" t="s">
        <v>1445</v>
      </c>
      <c r="B160" s="129"/>
      <c r="C160" s="28">
        <v>30</v>
      </c>
      <c r="D160" s="92">
        <v>0.19</v>
      </c>
      <c r="E160" s="69" t="s">
        <v>362</v>
      </c>
      <c r="F160" t="s">
        <v>1457</v>
      </c>
    </row>
    <row r="161" spans="1:7" ht="21" customHeight="1" x14ac:dyDescent="0.3">
      <c r="A161" s="129" t="s">
        <v>384</v>
      </c>
      <c r="B161" s="129"/>
      <c r="C161" s="28">
        <v>30</v>
      </c>
      <c r="D161" s="92">
        <v>0.19</v>
      </c>
      <c r="E161" s="69" t="s">
        <v>362</v>
      </c>
      <c r="F161" t="s">
        <v>97</v>
      </c>
    </row>
    <row r="162" spans="1:7" ht="21" customHeight="1" x14ac:dyDescent="0.3">
      <c r="A162" s="129" t="s">
        <v>510</v>
      </c>
      <c r="B162" s="129"/>
      <c r="C162" s="28">
        <v>30</v>
      </c>
      <c r="D162" s="92">
        <v>0.19</v>
      </c>
      <c r="E162" s="69" t="s">
        <v>362</v>
      </c>
    </row>
    <row r="163" spans="1:7" ht="21" customHeight="1" x14ac:dyDescent="0.3">
      <c r="A163" s="129" t="s">
        <v>437</v>
      </c>
      <c r="B163" s="129"/>
      <c r="C163" s="28">
        <v>30</v>
      </c>
      <c r="D163" s="92">
        <v>0.19</v>
      </c>
      <c r="E163" s="69" t="s">
        <v>362</v>
      </c>
      <c r="F163" t="s">
        <v>449</v>
      </c>
    </row>
    <row r="164" spans="1:7" ht="21" customHeight="1" x14ac:dyDescent="0.3">
      <c r="A164" s="129" t="s">
        <v>385</v>
      </c>
      <c r="B164" s="129"/>
      <c r="C164" s="28">
        <v>180</v>
      </c>
      <c r="D164" s="92">
        <v>0.05</v>
      </c>
      <c r="E164" s="69" t="s">
        <v>362</v>
      </c>
      <c r="F164" t="s">
        <v>235</v>
      </c>
    </row>
    <row r="165" spans="1:7" ht="21" customHeight="1" x14ac:dyDescent="0.3">
      <c r="A165" s="129" t="s">
        <v>1169</v>
      </c>
      <c r="B165" s="129"/>
      <c r="C165" s="28">
        <v>30</v>
      </c>
      <c r="D165" s="92">
        <v>0.19</v>
      </c>
      <c r="E165" s="69" t="s">
        <v>362</v>
      </c>
      <c r="F165" t="s">
        <v>1170</v>
      </c>
    </row>
    <row r="166" spans="1:7" ht="21" customHeight="1" x14ac:dyDescent="0.3">
      <c r="A166" s="129" t="s">
        <v>594</v>
      </c>
      <c r="B166" s="129"/>
      <c r="C166" s="28">
        <v>60</v>
      </c>
      <c r="D166" s="92">
        <v>0.19</v>
      </c>
      <c r="E166" s="69" t="s">
        <v>362</v>
      </c>
      <c r="F166" t="s">
        <v>595</v>
      </c>
    </row>
    <row r="167" spans="1:7" ht="21" customHeight="1" x14ac:dyDescent="0.3">
      <c r="A167" s="129" t="s">
        <v>71</v>
      </c>
      <c r="B167" s="129"/>
      <c r="C167" s="28">
        <v>60</v>
      </c>
      <c r="D167" s="92">
        <v>0.19</v>
      </c>
      <c r="E167" s="69" t="s">
        <v>362</v>
      </c>
      <c r="F167" t="s">
        <v>414</v>
      </c>
    </row>
    <row r="168" spans="1:7" ht="21" customHeight="1" x14ac:dyDescent="0.3">
      <c r="A168" s="129" t="s">
        <v>201</v>
      </c>
      <c r="B168" s="129"/>
      <c r="C168" s="28">
        <v>30</v>
      </c>
      <c r="D168" s="92">
        <v>0.19</v>
      </c>
      <c r="E168" s="69" t="s">
        <v>362</v>
      </c>
      <c r="F168" t="s">
        <v>232</v>
      </c>
    </row>
    <row r="169" spans="1:7" ht="21" customHeight="1" x14ac:dyDescent="0.3">
      <c r="A169" s="129" t="s">
        <v>386</v>
      </c>
      <c r="B169" s="129"/>
      <c r="C169" s="28">
        <v>10</v>
      </c>
      <c r="D169" s="92">
        <v>0.19</v>
      </c>
      <c r="E169" s="69" t="s">
        <v>362</v>
      </c>
      <c r="F169" t="s">
        <v>228</v>
      </c>
    </row>
    <row r="170" spans="1:7" ht="21" customHeight="1" x14ac:dyDescent="0.3">
      <c r="A170" s="129" t="s">
        <v>23</v>
      </c>
      <c r="B170" s="129"/>
      <c r="C170" s="28">
        <v>30</v>
      </c>
      <c r="D170" s="92">
        <v>0.19</v>
      </c>
      <c r="E170" s="69" t="s">
        <v>362</v>
      </c>
      <c r="F170" t="s">
        <v>470</v>
      </c>
      <c r="G170" s="9" t="s">
        <v>483</v>
      </c>
    </row>
    <row r="171" spans="1:7" ht="21" customHeight="1" x14ac:dyDescent="0.3">
      <c r="A171" s="129" t="s">
        <v>11</v>
      </c>
      <c r="B171" s="129"/>
      <c r="C171" s="28">
        <v>90</v>
      </c>
      <c r="D171" s="92">
        <v>0.19</v>
      </c>
      <c r="E171" s="69" t="s">
        <v>362</v>
      </c>
      <c r="F171" t="s">
        <v>152</v>
      </c>
    </row>
    <row r="172" spans="1:7" ht="21" customHeight="1" x14ac:dyDescent="0.3">
      <c r="A172" s="129" t="s">
        <v>450</v>
      </c>
      <c r="B172" s="129"/>
      <c r="C172" s="28">
        <v>30</v>
      </c>
      <c r="D172" s="92">
        <v>0.19</v>
      </c>
      <c r="E172" s="69" t="s">
        <v>362</v>
      </c>
      <c r="F172" t="s">
        <v>451</v>
      </c>
    </row>
    <row r="173" spans="1:7" ht="21" customHeight="1" x14ac:dyDescent="0.3">
      <c r="A173" s="129" t="s">
        <v>127</v>
      </c>
      <c r="B173" s="129"/>
      <c r="C173" s="28">
        <v>30</v>
      </c>
      <c r="D173" s="92">
        <v>0.19</v>
      </c>
      <c r="E173" s="69" t="s">
        <v>362</v>
      </c>
      <c r="F173" t="s">
        <v>177</v>
      </c>
      <c r="G173" s="9" t="s">
        <v>128</v>
      </c>
    </row>
    <row r="174" spans="1:7" ht="21" customHeight="1" x14ac:dyDescent="0.3">
      <c r="A174" s="129" t="s">
        <v>35</v>
      </c>
      <c r="B174" s="129"/>
      <c r="C174" s="28">
        <v>30</v>
      </c>
      <c r="D174" s="92">
        <v>0.19</v>
      </c>
      <c r="E174" s="69" t="s">
        <v>362</v>
      </c>
      <c r="F174" t="s">
        <v>95</v>
      </c>
    </row>
    <row r="175" spans="1:7" ht="21" customHeight="1" x14ac:dyDescent="0.3">
      <c r="A175" s="129" t="s">
        <v>69</v>
      </c>
      <c r="B175" s="129"/>
      <c r="C175" s="28">
        <v>30</v>
      </c>
      <c r="D175" s="92">
        <v>0.19</v>
      </c>
      <c r="E175" s="69" t="s">
        <v>362</v>
      </c>
      <c r="F175" t="s">
        <v>95</v>
      </c>
    </row>
    <row r="176" spans="1:7" ht="21" customHeight="1" x14ac:dyDescent="0.3">
      <c r="A176" s="129" t="s">
        <v>41</v>
      </c>
      <c r="B176" s="129"/>
      <c r="C176" s="28">
        <v>30</v>
      </c>
      <c r="D176" s="92">
        <v>0.19</v>
      </c>
      <c r="E176" s="69">
        <v>0</v>
      </c>
      <c r="F176" t="s">
        <v>153</v>
      </c>
    </row>
    <row r="177" spans="1:6" ht="21" customHeight="1" x14ac:dyDescent="0.3">
      <c r="A177" s="129" t="s">
        <v>45</v>
      </c>
      <c r="B177" s="129"/>
      <c r="C177" s="28">
        <v>30</v>
      </c>
      <c r="D177" s="92">
        <v>0.19</v>
      </c>
      <c r="E177" s="69" t="s">
        <v>362</v>
      </c>
      <c r="F177" t="s">
        <v>95</v>
      </c>
    </row>
    <row r="178" spans="1:6" ht="21" customHeight="1" x14ac:dyDescent="0.3">
      <c r="A178" s="129" t="s">
        <v>43</v>
      </c>
      <c r="B178" s="129"/>
      <c r="C178" s="28">
        <v>30</v>
      </c>
      <c r="D178" s="92">
        <v>0.19</v>
      </c>
      <c r="E178" s="69" t="s">
        <v>362</v>
      </c>
      <c r="F178" t="s">
        <v>95</v>
      </c>
    </row>
    <row r="179" spans="1:6" ht="21" customHeight="1" x14ac:dyDescent="0.3">
      <c r="A179" s="129" t="s">
        <v>53</v>
      </c>
      <c r="B179" s="129"/>
      <c r="C179" s="28">
        <v>30</v>
      </c>
      <c r="D179" s="92">
        <v>0.19</v>
      </c>
      <c r="E179" s="69" t="s">
        <v>362</v>
      </c>
      <c r="F179" t="s">
        <v>95</v>
      </c>
    </row>
    <row r="180" spans="1:6" ht="21" customHeight="1" x14ac:dyDescent="0.3">
      <c r="A180" s="129" t="s">
        <v>47</v>
      </c>
      <c r="B180" s="129"/>
      <c r="C180" s="28">
        <v>30</v>
      </c>
      <c r="D180" s="92">
        <v>0.19</v>
      </c>
      <c r="E180" s="69" t="s">
        <v>362</v>
      </c>
      <c r="F180" t="s">
        <v>95</v>
      </c>
    </row>
    <row r="181" spans="1:6" ht="21" customHeight="1" x14ac:dyDescent="0.3">
      <c r="A181" s="129" t="s">
        <v>52</v>
      </c>
      <c r="B181" s="129"/>
      <c r="C181" s="28">
        <v>30</v>
      </c>
      <c r="D181" s="92">
        <v>0</v>
      </c>
      <c r="E181" s="69">
        <v>0</v>
      </c>
      <c r="F181" t="s">
        <v>154</v>
      </c>
    </row>
    <row r="182" spans="1:6" ht="21" customHeight="1" x14ac:dyDescent="0.3">
      <c r="A182" s="129" t="s">
        <v>92</v>
      </c>
      <c r="B182" s="129"/>
      <c r="C182" s="28">
        <v>30</v>
      </c>
      <c r="D182" s="92">
        <v>0</v>
      </c>
      <c r="E182" s="69">
        <v>0</v>
      </c>
      <c r="F182" t="s">
        <v>154</v>
      </c>
    </row>
    <row r="183" spans="1:6" ht="21" customHeight="1" x14ac:dyDescent="0.3">
      <c r="A183" s="129" t="s">
        <v>99</v>
      </c>
      <c r="B183" s="129"/>
      <c r="C183" s="28">
        <v>30</v>
      </c>
      <c r="D183" s="92">
        <v>0</v>
      </c>
      <c r="E183" s="69">
        <v>0</v>
      </c>
      <c r="F183" t="s">
        <v>154</v>
      </c>
    </row>
    <row r="184" spans="1:6" ht="21" customHeight="1" x14ac:dyDescent="0.3">
      <c r="A184" s="129" t="s">
        <v>62</v>
      </c>
      <c r="B184" s="129"/>
      <c r="C184" s="28">
        <v>30</v>
      </c>
      <c r="D184" s="92">
        <v>0</v>
      </c>
      <c r="E184" s="69">
        <v>0</v>
      </c>
      <c r="F184" t="s">
        <v>154</v>
      </c>
    </row>
    <row r="185" spans="1:6" ht="21" customHeight="1" x14ac:dyDescent="0.3">
      <c r="A185" s="129" t="s">
        <v>65</v>
      </c>
      <c r="B185" s="129"/>
      <c r="C185" s="28">
        <v>30</v>
      </c>
      <c r="D185" s="92">
        <v>0</v>
      </c>
      <c r="E185" s="69">
        <v>0</v>
      </c>
      <c r="F185" t="s">
        <v>154</v>
      </c>
    </row>
    <row r="186" spans="1:6" ht="21" customHeight="1" x14ac:dyDescent="0.3">
      <c r="A186" s="129" t="s">
        <v>54</v>
      </c>
      <c r="B186" s="129"/>
      <c r="C186" s="28">
        <v>30</v>
      </c>
      <c r="D186" s="92">
        <v>0</v>
      </c>
      <c r="E186" s="69">
        <v>0</v>
      </c>
      <c r="F186" t="s">
        <v>154</v>
      </c>
    </row>
    <row r="187" spans="1:6" ht="21" customHeight="1" x14ac:dyDescent="0.3">
      <c r="A187" s="129" t="s">
        <v>55</v>
      </c>
      <c r="B187" s="129"/>
      <c r="C187" s="28">
        <v>30</v>
      </c>
      <c r="D187" s="92">
        <v>0</v>
      </c>
      <c r="E187" s="69">
        <v>0</v>
      </c>
      <c r="F187" t="s">
        <v>154</v>
      </c>
    </row>
    <row r="188" spans="1:6" ht="21" customHeight="1" x14ac:dyDescent="0.3">
      <c r="A188" s="129" t="s">
        <v>81</v>
      </c>
      <c r="B188" s="129"/>
      <c r="C188" s="28">
        <v>30</v>
      </c>
      <c r="D188" s="92">
        <v>0</v>
      </c>
      <c r="E188" s="69">
        <v>0</v>
      </c>
      <c r="F188" t="s">
        <v>154</v>
      </c>
    </row>
    <row r="189" spans="1:6" ht="21" customHeight="1" x14ac:dyDescent="0.3">
      <c r="A189" s="129" t="s">
        <v>82</v>
      </c>
      <c r="B189" s="129"/>
      <c r="C189" s="28">
        <v>30</v>
      </c>
      <c r="D189" s="92">
        <v>0</v>
      </c>
      <c r="E189" s="69">
        <v>0</v>
      </c>
      <c r="F189" t="s">
        <v>154</v>
      </c>
    </row>
    <row r="190" spans="1:6" ht="21" customHeight="1" x14ac:dyDescent="0.3">
      <c r="A190" s="129" t="s">
        <v>21</v>
      </c>
      <c r="B190" s="129"/>
      <c r="C190" s="28">
        <v>30</v>
      </c>
      <c r="D190" s="92">
        <v>0</v>
      </c>
      <c r="E190" s="69">
        <v>0</v>
      </c>
      <c r="F190" t="s">
        <v>154</v>
      </c>
    </row>
    <row r="191" spans="1:6" ht="21" customHeight="1" x14ac:dyDescent="0.3">
      <c r="A191" s="130" t="s">
        <v>1546</v>
      </c>
      <c r="B191" s="130"/>
      <c r="C191" s="28">
        <v>0</v>
      </c>
      <c r="D191" s="92">
        <v>0.19</v>
      </c>
    </row>
    <row r="192" spans="1:6" ht="21" customHeight="1" x14ac:dyDescent="0.3">
      <c r="A192" s="129" t="s">
        <v>76</v>
      </c>
      <c r="B192" s="129"/>
      <c r="C192" s="28">
        <v>30</v>
      </c>
      <c r="D192" s="92">
        <v>0.19</v>
      </c>
      <c r="E192" s="69" t="s">
        <v>362</v>
      </c>
      <c r="F192" t="s">
        <v>95</v>
      </c>
    </row>
    <row r="193" spans="1:7" ht="21" customHeight="1" x14ac:dyDescent="0.3">
      <c r="A193" s="129" t="s">
        <v>1314</v>
      </c>
      <c r="B193" s="129"/>
      <c r="C193" s="28">
        <v>0</v>
      </c>
      <c r="D193" s="92">
        <v>0</v>
      </c>
      <c r="E193" s="69">
        <v>0</v>
      </c>
    </row>
    <row r="194" spans="1:7" ht="21" customHeight="1" x14ac:dyDescent="0.3">
      <c r="A194" s="129" t="s">
        <v>387</v>
      </c>
      <c r="B194" s="129"/>
      <c r="C194" s="28">
        <v>10</v>
      </c>
      <c r="D194" s="92">
        <v>0.19</v>
      </c>
      <c r="E194" s="69">
        <v>0</v>
      </c>
    </row>
    <row r="195" spans="1:7" ht="21" customHeight="1" x14ac:dyDescent="0.3">
      <c r="A195" s="130" t="s">
        <v>1668</v>
      </c>
      <c r="B195" s="130"/>
      <c r="C195" s="28"/>
      <c r="D195" s="92">
        <v>0</v>
      </c>
      <c r="E195" s="69">
        <v>0</v>
      </c>
      <c r="F195" t="s">
        <v>1667</v>
      </c>
    </row>
    <row r="196" spans="1:7" ht="21" customHeight="1" x14ac:dyDescent="0.3">
      <c r="A196" s="129" t="s">
        <v>1562</v>
      </c>
      <c r="B196" s="129"/>
      <c r="C196" s="28">
        <v>30</v>
      </c>
      <c r="D196" s="92">
        <v>0.19</v>
      </c>
      <c r="E196" s="69" t="s">
        <v>362</v>
      </c>
      <c r="F196" t="s">
        <v>167</v>
      </c>
    </row>
    <row r="197" spans="1:7" ht="21" customHeight="1" x14ac:dyDescent="0.3">
      <c r="A197" s="129" t="s">
        <v>468</v>
      </c>
      <c r="B197" s="129"/>
      <c r="C197" s="28">
        <v>10</v>
      </c>
      <c r="D197" s="92">
        <v>0.19</v>
      </c>
      <c r="E197" s="69" t="s">
        <v>362</v>
      </c>
      <c r="F197" t="s">
        <v>469</v>
      </c>
    </row>
    <row r="198" spans="1:7" ht="21" customHeight="1" x14ac:dyDescent="0.3">
      <c r="A198" s="129" t="s">
        <v>460</v>
      </c>
      <c r="B198" s="129"/>
      <c r="C198" s="28">
        <v>60</v>
      </c>
      <c r="D198" s="92">
        <v>0.19</v>
      </c>
      <c r="E198" s="69">
        <v>0</v>
      </c>
    </row>
    <row r="199" spans="1:7" ht="21" customHeight="1" x14ac:dyDescent="0.3">
      <c r="A199" s="129" t="s">
        <v>17</v>
      </c>
      <c r="B199" s="129"/>
      <c r="C199" s="28">
        <v>30</v>
      </c>
      <c r="D199" s="92">
        <v>0.19</v>
      </c>
      <c r="E199" s="69" t="s">
        <v>362</v>
      </c>
      <c r="F199" t="s">
        <v>1535</v>
      </c>
      <c r="G199" s="9" t="s">
        <v>500</v>
      </c>
    </row>
    <row r="200" spans="1:7" ht="21" customHeight="1" x14ac:dyDescent="0.3">
      <c r="A200" s="129" t="s">
        <v>1340</v>
      </c>
      <c r="B200" s="129"/>
      <c r="C200" s="28">
        <v>30</v>
      </c>
      <c r="D200" s="92">
        <v>0.19</v>
      </c>
      <c r="E200" s="69" t="s">
        <v>362</v>
      </c>
      <c r="F200" t="s">
        <v>1341</v>
      </c>
      <c r="G200" s="9" t="s">
        <v>1342</v>
      </c>
    </row>
    <row r="201" spans="1:7" ht="21" customHeight="1" x14ac:dyDescent="0.3">
      <c r="A201" s="129" t="s">
        <v>434</v>
      </c>
      <c r="B201" s="129"/>
      <c r="C201" s="28">
        <v>30</v>
      </c>
      <c r="D201" s="92">
        <v>0.19</v>
      </c>
      <c r="E201" s="69" t="s">
        <v>362</v>
      </c>
      <c r="F201" t="s">
        <v>453</v>
      </c>
    </row>
    <row r="202" spans="1:7" ht="21" customHeight="1" x14ac:dyDescent="0.3">
      <c r="A202" s="129" t="s">
        <v>1130</v>
      </c>
      <c r="B202" s="129"/>
      <c r="C202" s="28">
        <v>0</v>
      </c>
      <c r="D202" s="92">
        <v>0.19</v>
      </c>
      <c r="E202" s="69" t="s">
        <v>458</v>
      </c>
      <c r="F202" t="s">
        <v>1131</v>
      </c>
    </row>
    <row r="203" spans="1:7" ht="21" customHeight="1" x14ac:dyDescent="0.3">
      <c r="A203" s="129" t="s">
        <v>1130</v>
      </c>
      <c r="B203" s="129"/>
      <c r="C203" s="28">
        <v>30</v>
      </c>
      <c r="D203" s="92">
        <v>0.19</v>
      </c>
      <c r="E203" s="69" t="s">
        <v>362</v>
      </c>
    </row>
    <row r="204" spans="1:7" ht="21" customHeight="1" x14ac:dyDescent="0.3">
      <c r="A204" s="129" t="s">
        <v>956</v>
      </c>
      <c r="B204" s="129"/>
      <c r="C204" s="28">
        <v>30</v>
      </c>
      <c r="D204" s="92">
        <v>0.19</v>
      </c>
      <c r="E204" s="69" t="s">
        <v>362</v>
      </c>
      <c r="F204" t="s">
        <v>150</v>
      </c>
    </row>
    <row r="205" spans="1:7" ht="21" customHeight="1" x14ac:dyDescent="0.3">
      <c r="A205" s="129" t="s">
        <v>1702</v>
      </c>
      <c r="B205" s="129"/>
      <c r="C205" s="28">
        <v>10</v>
      </c>
      <c r="D205" s="92">
        <v>0.19</v>
      </c>
      <c r="E205" s="69" t="s">
        <v>365</v>
      </c>
      <c r="F205" t="s">
        <v>248</v>
      </c>
    </row>
    <row r="206" spans="1:7" ht="21" customHeight="1" x14ac:dyDescent="0.3">
      <c r="A206" s="129" t="s">
        <v>509</v>
      </c>
      <c r="B206" s="129"/>
      <c r="C206" s="28">
        <v>30</v>
      </c>
      <c r="D206" s="92">
        <v>0.19</v>
      </c>
      <c r="E206" s="69">
        <v>0</v>
      </c>
    </row>
    <row r="207" spans="1:7" ht="21" customHeight="1" x14ac:dyDescent="0.3">
      <c r="A207" s="129" t="s">
        <v>32</v>
      </c>
      <c r="B207" s="129"/>
      <c r="C207" s="28">
        <v>30</v>
      </c>
      <c r="D207" s="92">
        <v>0.19</v>
      </c>
      <c r="E207" s="69" t="s">
        <v>362</v>
      </c>
      <c r="F207" t="s">
        <v>155</v>
      </c>
    </row>
    <row r="208" spans="1:7" ht="21" customHeight="1" x14ac:dyDescent="0.3">
      <c r="A208" s="129" t="s">
        <v>61</v>
      </c>
      <c r="B208" s="129"/>
      <c r="C208" s="28">
        <v>30</v>
      </c>
      <c r="D208" s="92">
        <v>0</v>
      </c>
      <c r="E208" s="69">
        <v>0</v>
      </c>
      <c r="F208" t="s">
        <v>154</v>
      </c>
    </row>
    <row r="209" spans="1:7" ht="21" customHeight="1" x14ac:dyDescent="0.3">
      <c r="A209" s="129" t="s">
        <v>206</v>
      </c>
      <c r="B209" s="129"/>
      <c r="C209" s="28">
        <v>30</v>
      </c>
      <c r="D209" s="92">
        <v>0</v>
      </c>
      <c r="E209" s="69">
        <v>0</v>
      </c>
    </row>
    <row r="210" spans="1:7" ht="21" customHeight="1" x14ac:dyDescent="0.3">
      <c r="A210" s="129" t="s">
        <v>1703</v>
      </c>
      <c r="B210" s="129"/>
      <c r="C210" s="28">
        <v>30</v>
      </c>
      <c r="D210" s="92">
        <v>0</v>
      </c>
      <c r="E210" s="69">
        <v>0</v>
      </c>
      <c r="F210" t="s">
        <v>95</v>
      </c>
    </row>
    <row r="211" spans="1:7" ht="21" customHeight="1" x14ac:dyDescent="0.3">
      <c r="A211" s="129" t="s">
        <v>63</v>
      </c>
      <c r="B211" s="129"/>
      <c r="C211" s="28">
        <v>30</v>
      </c>
      <c r="D211" s="92">
        <v>0</v>
      </c>
      <c r="E211" s="69">
        <v>0</v>
      </c>
      <c r="F211" t="s">
        <v>95</v>
      </c>
    </row>
    <row r="212" spans="1:7" ht="21" customHeight="1" x14ac:dyDescent="0.3">
      <c r="A212" s="129" t="s">
        <v>192</v>
      </c>
      <c r="B212" s="129"/>
      <c r="C212" s="28">
        <v>10</v>
      </c>
      <c r="D212" s="92">
        <v>0</v>
      </c>
      <c r="E212" s="69">
        <v>0</v>
      </c>
    </row>
    <row r="213" spans="1:7" ht="21" customHeight="1" x14ac:dyDescent="0.3">
      <c r="A213" s="129" t="s">
        <v>57</v>
      </c>
      <c r="B213" s="129"/>
      <c r="C213" s="28">
        <v>30</v>
      </c>
      <c r="D213" s="92">
        <v>0</v>
      </c>
      <c r="E213" s="69">
        <v>0</v>
      </c>
      <c r="F213" t="s">
        <v>95</v>
      </c>
    </row>
    <row r="214" spans="1:7" ht="21" customHeight="1" x14ac:dyDescent="0.3">
      <c r="A214" s="129" t="s">
        <v>67</v>
      </c>
      <c r="B214" s="129"/>
      <c r="C214" s="28">
        <v>30</v>
      </c>
      <c r="D214" s="92">
        <v>0</v>
      </c>
      <c r="E214" s="69">
        <v>0</v>
      </c>
      <c r="F214" t="s">
        <v>154</v>
      </c>
    </row>
    <row r="215" spans="1:7" ht="21" customHeight="1" x14ac:dyDescent="0.3">
      <c r="A215" s="129" t="s">
        <v>94</v>
      </c>
      <c r="B215" s="129"/>
      <c r="C215" s="28">
        <v>30</v>
      </c>
      <c r="D215" s="92">
        <v>0</v>
      </c>
      <c r="E215" s="69">
        <v>0</v>
      </c>
      <c r="F215" t="s">
        <v>154</v>
      </c>
    </row>
    <row r="216" spans="1:7" ht="21" customHeight="1" x14ac:dyDescent="0.3">
      <c r="A216" s="129" t="s">
        <v>66</v>
      </c>
      <c r="B216" s="129"/>
      <c r="C216" s="28">
        <v>30</v>
      </c>
      <c r="D216" s="92">
        <v>0</v>
      </c>
      <c r="E216" s="69">
        <v>0</v>
      </c>
      <c r="F216" t="s">
        <v>154</v>
      </c>
    </row>
    <row r="217" spans="1:7" ht="21" customHeight="1" x14ac:dyDescent="0.3">
      <c r="A217" s="129" t="s">
        <v>83</v>
      </c>
      <c r="B217" s="129"/>
      <c r="C217" s="28">
        <v>30</v>
      </c>
      <c r="D217" s="92">
        <v>0</v>
      </c>
      <c r="E217" s="69">
        <v>0</v>
      </c>
      <c r="F217" t="s">
        <v>154</v>
      </c>
    </row>
    <row r="218" spans="1:7" ht="21" customHeight="1" x14ac:dyDescent="0.3">
      <c r="A218" s="129" t="s">
        <v>50</v>
      </c>
      <c r="B218" s="129"/>
      <c r="C218" s="28">
        <v>30</v>
      </c>
      <c r="D218" s="92">
        <v>0</v>
      </c>
      <c r="E218" s="69">
        <v>0</v>
      </c>
      <c r="F218" t="s">
        <v>95</v>
      </c>
    </row>
    <row r="219" spans="1:7" ht="21" customHeight="1" x14ac:dyDescent="0.3">
      <c r="A219" s="129" t="s">
        <v>48</v>
      </c>
      <c r="B219" s="129"/>
      <c r="C219" s="28">
        <v>30</v>
      </c>
      <c r="D219" s="92">
        <v>0</v>
      </c>
      <c r="E219" s="69">
        <v>0</v>
      </c>
      <c r="F219" t="s">
        <v>95</v>
      </c>
      <c r="G219" s="91"/>
    </row>
    <row r="220" spans="1:7" ht="21" customHeight="1" x14ac:dyDescent="0.3">
      <c r="A220" s="129" t="s">
        <v>461</v>
      </c>
      <c r="B220" s="129"/>
      <c r="C220" s="28">
        <v>30</v>
      </c>
      <c r="D220" s="92">
        <v>0.19</v>
      </c>
      <c r="E220" s="69">
        <v>0</v>
      </c>
      <c r="F220" t="s">
        <v>161</v>
      </c>
    </row>
    <row r="221" spans="1:7" ht="21" customHeight="1" x14ac:dyDescent="0.3">
      <c r="A221" s="129" t="s">
        <v>60</v>
      </c>
      <c r="B221" s="129"/>
      <c r="C221" s="28">
        <v>30</v>
      </c>
      <c r="D221" s="92">
        <v>0.19</v>
      </c>
      <c r="E221" s="69" t="s">
        <v>362</v>
      </c>
      <c r="F221" t="s">
        <v>156</v>
      </c>
      <c r="G221" s="91"/>
    </row>
    <row r="222" spans="1:7" ht="21" customHeight="1" x14ac:dyDescent="0.3">
      <c r="A222" s="129" t="s">
        <v>463</v>
      </c>
      <c r="B222" s="129"/>
      <c r="C222" s="28">
        <v>30</v>
      </c>
      <c r="D222" s="92">
        <v>0</v>
      </c>
      <c r="E222" s="69" t="s">
        <v>361</v>
      </c>
      <c r="F222" t="s">
        <v>149</v>
      </c>
    </row>
    <row r="223" spans="1:7" ht="21" customHeight="1" x14ac:dyDescent="0.3">
      <c r="A223" s="129" t="s">
        <v>42</v>
      </c>
      <c r="B223" s="129"/>
      <c r="C223" s="28">
        <v>30</v>
      </c>
      <c r="D223" s="92">
        <v>0.19</v>
      </c>
      <c r="E223" s="69" t="s">
        <v>362</v>
      </c>
      <c r="F223" t="s">
        <v>179</v>
      </c>
      <c r="G223" s="9" t="s">
        <v>484</v>
      </c>
    </row>
    <row r="224" spans="1:7" ht="21" customHeight="1" x14ac:dyDescent="0.3">
      <c r="A224" s="129" t="s">
        <v>457</v>
      </c>
      <c r="B224" s="129"/>
      <c r="C224" s="28">
        <v>30</v>
      </c>
      <c r="D224" s="92">
        <v>0.19</v>
      </c>
      <c r="E224" s="69" t="s">
        <v>362</v>
      </c>
      <c r="F224" t="s">
        <v>179</v>
      </c>
    </row>
    <row r="225" spans="1:7" ht="21" customHeight="1" x14ac:dyDescent="0.3">
      <c r="A225" s="129" t="s">
        <v>1136</v>
      </c>
      <c r="B225" s="129"/>
      <c r="C225" s="28">
        <v>30</v>
      </c>
      <c r="D225" s="92">
        <v>0.19</v>
      </c>
      <c r="E225" s="69" t="s">
        <v>362</v>
      </c>
      <c r="F225" t="s">
        <v>1135</v>
      </c>
    </row>
    <row r="226" spans="1:7" ht="21" customHeight="1" x14ac:dyDescent="0.3">
      <c r="A226" s="129" t="s">
        <v>143</v>
      </c>
      <c r="B226" s="129"/>
      <c r="C226" s="28">
        <v>30</v>
      </c>
      <c r="D226" s="92">
        <v>0.19</v>
      </c>
      <c r="E226" s="69" t="s">
        <v>362</v>
      </c>
      <c r="F226" t="s">
        <v>229</v>
      </c>
      <c r="G226" s="9" t="s">
        <v>134</v>
      </c>
    </row>
    <row r="227" spans="1:7" ht="21" customHeight="1" x14ac:dyDescent="0.3">
      <c r="A227" s="129" t="s">
        <v>208</v>
      </c>
      <c r="B227" s="129"/>
      <c r="C227" s="28">
        <v>30</v>
      </c>
      <c r="D227" s="92">
        <v>0.19</v>
      </c>
      <c r="E227" s="69" t="s">
        <v>362</v>
      </c>
      <c r="F227" t="s">
        <v>229</v>
      </c>
      <c r="G227" s="9" t="s">
        <v>134</v>
      </c>
    </row>
    <row r="228" spans="1:7" ht="21" customHeight="1" x14ac:dyDescent="0.3">
      <c r="A228" s="129" t="s">
        <v>234</v>
      </c>
      <c r="B228" s="129"/>
      <c r="C228" s="28">
        <v>30</v>
      </c>
      <c r="D228" s="92">
        <v>0.19</v>
      </c>
      <c r="E228" s="69" t="s">
        <v>362</v>
      </c>
      <c r="F228" t="s">
        <v>1456</v>
      </c>
    </row>
    <row r="229" spans="1:7" ht="21" customHeight="1" x14ac:dyDescent="0.3">
      <c r="A229" s="129" t="s">
        <v>113</v>
      </c>
      <c r="B229" s="129"/>
      <c r="C229" s="28">
        <v>30</v>
      </c>
      <c r="D229" s="92">
        <v>0.19</v>
      </c>
      <c r="E229" s="69" t="s">
        <v>362</v>
      </c>
    </row>
    <row r="230" spans="1:7" ht="21" customHeight="1" x14ac:dyDescent="0.3">
      <c r="A230" s="129" t="s">
        <v>29</v>
      </c>
      <c r="B230" s="129"/>
      <c r="C230" s="28">
        <v>60</v>
      </c>
      <c r="D230" s="92">
        <v>0</v>
      </c>
      <c r="E230" s="69">
        <v>0</v>
      </c>
      <c r="F230" t="s">
        <v>197</v>
      </c>
    </row>
    <row r="231" spans="1:7" ht="21" customHeight="1" x14ac:dyDescent="0.3">
      <c r="A231" s="129" t="s">
        <v>427</v>
      </c>
      <c r="B231" s="129"/>
      <c r="C231" s="28">
        <v>30</v>
      </c>
      <c r="D231" s="92">
        <v>0.19</v>
      </c>
      <c r="E231" s="69" t="s">
        <v>362</v>
      </c>
      <c r="F231" t="s">
        <v>428</v>
      </c>
    </row>
    <row r="232" spans="1:7" ht="21" customHeight="1" x14ac:dyDescent="0.3">
      <c r="A232" s="129" t="s">
        <v>770</v>
      </c>
      <c r="B232" s="129"/>
      <c r="C232" s="28">
        <v>30</v>
      </c>
      <c r="D232" s="92">
        <v>0.19</v>
      </c>
      <c r="E232" s="69" t="s">
        <v>362</v>
      </c>
      <c r="F232" t="s">
        <v>428</v>
      </c>
    </row>
    <row r="233" spans="1:7" ht="21" customHeight="1" x14ac:dyDescent="0.3">
      <c r="A233" s="129" t="s">
        <v>31</v>
      </c>
      <c r="B233" s="129"/>
      <c r="C233" s="28">
        <v>90</v>
      </c>
      <c r="D233" s="92">
        <v>0.19</v>
      </c>
      <c r="E233" s="69" t="s">
        <v>362</v>
      </c>
      <c r="F233" t="s">
        <v>220</v>
      </c>
    </row>
    <row r="234" spans="1:7" ht="21" customHeight="1" x14ac:dyDescent="0.3">
      <c r="A234" s="129" t="s">
        <v>388</v>
      </c>
      <c r="B234" s="129"/>
      <c r="C234" s="28">
        <v>30</v>
      </c>
      <c r="D234" s="92">
        <v>0</v>
      </c>
      <c r="E234" s="69">
        <v>0</v>
      </c>
      <c r="F234" t="s">
        <v>1428</v>
      </c>
    </row>
    <row r="235" spans="1:7" ht="21" customHeight="1" x14ac:dyDescent="0.3">
      <c r="A235" s="129" t="s">
        <v>84</v>
      </c>
      <c r="B235" s="129"/>
      <c r="C235" s="28">
        <v>30</v>
      </c>
      <c r="D235" s="92">
        <v>0.19</v>
      </c>
      <c r="E235" s="69">
        <v>0</v>
      </c>
      <c r="F235" t="s">
        <v>95</v>
      </c>
    </row>
    <row r="236" spans="1:7" ht="21" customHeight="1" x14ac:dyDescent="0.3">
      <c r="A236" s="129" t="s">
        <v>474</v>
      </c>
      <c r="B236" s="129"/>
      <c r="C236" s="28">
        <v>0</v>
      </c>
      <c r="D236" s="92">
        <v>0</v>
      </c>
      <c r="E236" s="69">
        <v>0</v>
      </c>
      <c r="F236" t="s">
        <v>476</v>
      </c>
      <c r="G236" s="93" t="s">
        <v>475</v>
      </c>
    </row>
    <row r="237" spans="1:7" ht="21" customHeight="1" x14ac:dyDescent="0.3">
      <c r="A237" s="129" t="s">
        <v>389</v>
      </c>
      <c r="B237" s="129"/>
      <c r="C237" s="28">
        <v>30</v>
      </c>
      <c r="D237" s="92">
        <v>0</v>
      </c>
      <c r="E237" s="69">
        <v>0</v>
      </c>
    </row>
    <row r="238" spans="1:7" ht="21" customHeight="1" x14ac:dyDescent="0.3">
      <c r="A238" s="129" t="s">
        <v>1706</v>
      </c>
      <c r="B238" s="129"/>
      <c r="C238" s="28">
        <v>30</v>
      </c>
      <c r="D238" s="92">
        <v>0</v>
      </c>
      <c r="E238" s="69">
        <v>0</v>
      </c>
      <c r="F238" t="s">
        <v>1479</v>
      </c>
    </row>
    <row r="239" spans="1:7" ht="21" customHeight="1" x14ac:dyDescent="0.3">
      <c r="A239" s="130" t="s">
        <v>1683</v>
      </c>
      <c r="B239" s="130"/>
      <c r="C239" s="28">
        <v>30</v>
      </c>
      <c r="D239" s="92">
        <v>0</v>
      </c>
      <c r="E239" s="69">
        <v>0</v>
      </c>
      <c r="F239" t="s">
        <v>1479</v>
      </c>
    </row>
    <row r="240" spans="1:7" ht="21" customHeight="1" x14ac:dyDescent="0.3">
      <c r="A240" s="129" t="s">
        <v>85</v>
      </c>
      <c r="B240" s="129"/>
      <c r="C240" s="28">
        <v>30</v>
      </c>
      <c r="D240" s="92">
        <v>0</v>
      </c>
      <c r="E240" s="69">
        <v>0</v>
      </c>
      <c r="F240" t="s">
        <v>1596</v>
      </c>
    </row>
    <row r="241" spans="1:6" ht="21" customHeight="1" x14ac:dyDescent="0.3">
      <c r="A241" s="129" t="s">
        <v>207</v>
      </c>
      <c r="B241" s="129"/>
      <c r="C241" s="28">
        <v>30</v>
      </c>
      <c r="D241" s="92">
        <v>0</v>
      </c>
      <c r="E241" s="69">
        <v>0</v>
      </c>
      <c r="F241" t="s">
        <v>1479</v>
      </c>
    </row>
    <row r="242" spans="1:6" ht="21" customHeight="1" x14ac:dyDescent="0.3">
      <c r="A242" s="129" t="s">
        <v>191</v>
      </c>
      <c r="B242" s="129"/>
      <c r="C242" s="28">
        <v>30</v>
      </c>
      <c r="D242" s="92">
        <v>0</v>
      </c>
      <c r="E242" s="69">
        <v>0</v>
      </c>
      <c r="F242" t="s">
        <v>1479</v>
      </c>
    </row>
    <row r="243" spans="1:6" ht="21" customHeight="1" x14ac:dyDescent="0.3">
      <c r="A243" s="129" t="s">
        <v>70</v>
      </c>
      <c r="B243" s="129"/>
      <c r="C243" s="28">
        <v>30</v>
      </c>
      <c r="D243" s="92">
        <v>0.19</v>
      </c>
      <c r="E243" s="69" t="s">
        <v>362</v>
      </c>
      <c r="F243" t="s">
        <v>157</v>
      </c>
    </row>
    <row r="244" spans="1:6" ht="21" customHeight="1" x14ac:dyDescent="0.3">
      <c r="A244" s="129" t="s">
        <v>441</v>
      </c>
      <c r="B244" s="129"/>
      <c r="C244" s="28">
        <v>30</v>
      </c>
      <c r="D244" s="92">
        <v>0.19</v>
      </c>
      <c r="E244" s="69">
        <v>0</v>
      </c>
      <c r="F244" t="s">
        <v>442</v>
      </c>
    </row>
    <row r="245" spans="1:6" ht="21" customHeight="1" x14ac:dyDescent="0.3">
      <c r="A245" s="129" t="s">
        <v>408</v>
      </c>
      <c r="B245" s="129"/>
      <c r="C245" s="28">
        <v>30</v>
      </c>
      <c r="D245" s="92">
        <v>0.19</v>
      </c>
      <c r="E245" s="69" t="s">
        <v>364</v>
      </c>
      <c r="F245" t="s">
        <v>304</v>
      </c>
    </row>
    <row r="246" spans="1:6" ht="21" customHeight="1" x14ac:dyDescent="0.3">
      <c r="A246" s="129" t="s">
        <v>30</v>
      </c>
      <c r="B246" s="129"/>
      <c r="C246" s="28">
        <v>30</v>
      </c>
      <c r="D246" s="92">
        <v>0.19</v>
      </c>
      <c r="E246" s="69" t="s">
        <v>362</v>
      </c>
      <c r="F246" t="s">
        <v>424</v>
      </c>
    </row>
    <row r="247" spans="1:6" ht="21" customHeight="1" x14ac:dyDescent="0.3">
      <c r="A247" s="129" t="s">
        <v>1387</v>
      </c>
      <c r="B247" s="129"/>
      <c r="C247" s="28">
        <v>30</v>
      </c>
      <c r="D247" s="92">
        <v>0.19</v>
      </c>
      <c r="E247" s="69" t="s">
        <v>362</v>
      </c>
    </row>
    <row r="248" spans="1:6" ht="21" customHeight="1" x14ac:dyDescent="0.3">
      <c r="A248" s="129" t="s">
        <v>224</v>
      </c>
      <c r="B248" s="129"/>
      <c r="C248" s="28">
        <v>30</v>
      </c>
      <c r="D248" s="92">
        <v>0.19</v>
      </c>
      <c r="E248" s="69" t="s">
        <v>362</v>
      </c>
      <c r="F248" t="s">
        <v>229</v>
      </c>
    </row>
    <row r="249" spans="1:6" ht="21" customHeight="1" x14ac:dyDescent="0.3">
      <c r="A249" s="129" t="s">
        <v>390</v>
      </c>
      <c r="B249" s="129"/>
      <c r="C249" s="28">
        <v>60</v>
      </c>
      <c r="D249" s="92">
        <v>0</v>
      </c>
      <c r="E249" s="69">
        <v>0</v>
      </c>
    </row>
    <row r="250" spans="1:6" ht="21" customHeight="1" x14ac:dyDescent="0.3">
      <c r="A250" s="129" t="s">
        <v>196</v>
      </c>
      <c r="B250" s="129"/>
      <c r="C250" s="28">
        <v>30</v>
      </c>
      <c r="D250" s="92">
        <v>0.19</v>
      </c>
      <c r="E250" s="69" t="s">
        <v>362</v>
      </c>
    </row>
    <row r="251" spans="1:6" ht="21" customHeight="1" x14ac:dyDescent="0.3">
      <c r="A251" s="129" t="s">
        <v>86</v>
      </c>
      <c r="B251" s="129"/>
      <c r="C251" s="28">
        <v>30</v>
      </c>
      <c r="D251" s="92">
        <v>0.19</v>
      </c>
      <c r="E251" s="69" t="s">
        <v>362</v>
      </c>
      <c r="F251" t="s">
        <v>95</v>
      </c>
    </row>
    <row r="252" spans="1:6" ht="21" customHeight="1" x14ac:dyDescent="0.3">
      <c r="A252" s="129" t="s">
        <v>305</v>
      </c>
      <c r="B252" s="129"/>
      <c r="C252" s="28">
        <v>30</v>
      </c>
      <c r="D252" s="92">
        <v>0.19</v>
      </c>
      <c r="E252" s="69" t="s">
        <v>362</v>
      </c>
      <c r="F252" t="s">
        <v>158</v>
      </c>
    </row>
    <row r="253" spans="1:6" ht="21" customHeight="1" x14ac:dyDescent="0.3">
      <c r="A253" s="129" t="s">
        <v>218</v>
      </c>
      <c r="B253" s="129"/>
      <c r="C253" s="28">
        <v>30</v>
      </c>
      <c r="D253" s="92">
        <v>0.19</v>
      </c>
      <c r="E253" s="69" t="s">
        <v>362</v>
      </c>
      <c r="F253" t="s">
        <v>219</v>
      </c>
    </row>
    <row r="254" spans="1:6" ht="21" customHeight="1" x14ac:dyDescent="0.3">
      <c r="A254" s="129" t="s">
        <v>391</v>
      </c>
      <c r="B254" s="129"/>
      <c r="C254" s="28">
        <v>30</v>
      </c>
      <c r="D254" s="92">
        <v>0</v>
      </c>
      <c r="E254" s="69">
        <v>0</v>
      </c>
      <c r="F254" t="s">
        <v>283</v>
      </c>
    </row>
    <row r="255" spans="1:6" ht="21" customHeight="1" x14ac:dyDescent="0.3">
      <c r="A255" s="129" t="s">
        <v>25</v>
      </c>
      <c r="B255" s="129"/>
      <c r="C255" s="28">
        <v>30</v>
      </c>
      <c r="D255" s="92">
        <v>0</v>
      </c>
      <c r="E255" s="69">
        <v>0</v>
      </c>
      <c r="F255" t="s">
        <v>95</v>
      </c>
    </row>
    <row r="256" spans="1:6" ht="21" customHeight="1" x14ac:dyDescent="0.3">
      <c r="A256" s="130" t="s">
        <v>1699</v>
      </c>
      <c r="B256" s="130"/>
      <c r="C256" s="28">
        <v>30</v>
      </c>
      <c r="D256" s="92">
        <v>0.19</v>
      </c>
      <c r="E256" s="69" t="s">
        <v>371</v>
      </c>
      <c r="F256" t="s">
        <v>188</v>
      </c>
    </row>
    <row r="257" spans="1:7" ht="21" customHeight="1" x14ac:dyDescent="0.3">
      <c r="A257" s="129" t="s">
        <v>1700</v>
      </c>
      <c r="B257" s="129"/>
      <c r="C257" s="28">
        <v>30</v>
      </c>
      <c r="D257" s="92">
        <v>0.19</v>
      </c>
      <c r="E257" s="69" t="s">
        <v>371</v>
      </c>
      <c r="F257" t="s">
        <v>188</v>
      </c>
    </row>
    <row r="258" spans="1:7" ht="21" customHeight="1" x14ac:dyDescent="0.3">
      <c r="A258" s="129" t="s">
        <v>392</v>
      </c>
      <c r="B258" s="129"/>
      <c r="C258" s="28">
        <v>45</v>
      </c>
      <c r="D258" s="92">
        <v>0</v>
      </c>
      <c r="E258" s="69">
        <v>0</v>
      </c>
    </row>
    <row r="259" spans="1:7" ht="21" customHeight="1" x14ac:dyDescent="0.3">
      <c r="A259" s="129" t="s">
        <v>16</v>
      </c>
      <c r="B259" s="129"/>
      <c r="C259" s="28">
        <v>30</v>
      </c>
      <c r="D259" s="92">
        <v>0.19</v>
      </c>
      <c r="E259" s="69">
        <v>0</v>
      </c>
      <c r="F259" t="s">
        <v>159</v>
      </c>
    </row>
    <row r="260" spans="1:7" ht="21" customHeight="1" x14ac:dyDescent="0.3">
      <c r="A260" s="129" t="s">
        <v>182</v>
      </c>
      <c r="B260" s="129"/>
      <c r="C260" s="28">
        <v>10</v>
      </c>
      <c r="D260" s="92">
        <v>0</v>
      </c>
      <c r="E260" s="69">
        <v>0</v>
      </c>
      <c r="F260" t="s">
        <v>183</v>
      </c>
    </row>
    <row r="261" spans="1:7" ht="21" customHeight="1" x14ac:dyDescent="0.3">
      <c r="A261" s="129" t="s">
        <v>186</v>
      </c>
      <c r="B261" s="129"/>
      <c r="C261" s="28">
        <v>10</v>
      </c>
      <c r="D261" s="92">
        <v>0.19</v>
      </c>
      <c r="E261" s="69" t="s">
        <v>362</v>
      </c>
      <c r="F261" t="s">
        <v>187</v>
      </c>
    </row>
    <row r="262" spans="1:7" ht="21" customHeight="1" x14ac:dyDescent="0.3">
      <c r="A262" s="129" t="s">
        <v>393</v>
      </c>
      <c r="B262" s="129"/>
      <c r="C262" s="28">
        <v>30</v>
      </c>
      <c r="D262" s="92">
        <v>0</v>
      </c>
      <c r="E262" s="69">
        <v>0</v>
      </c>
    </row>
    <row r="263" spans="1:7" ht="21" customHeight="1" x14ac:dyDescent="0.3">
      <c r="A263" s="129" t="s">
        <v>1023</v>
      </c>
      <c r="B263" s="129"/>
      <c r="C263" s="28">
        <v>30</v>
      </c>
      <c r="D263" s="92">
        <v>0.19</v>
      </c>
      <c r="E263" s="69" t="s">
        <v>362</v>
      </c>
    </row>
    <row r="264" spans="1:7" ht="21" customHeight="1" x14ac:dyDescent="0.3">
      <c r="A264" s="130" t="s">
        <v>1738</v>
      </c>
      <c r="B264" s="130"/>
      <c r="C264" s="28">
        <v>0</v>
      </c>
      <c r="D264" s="92">
        <v>0.19</v>
      </c>
      <c r="E264" s="69" t="s">
        <v>362</v>
      </c>
      <c r="F264" t="s">
        <v>1739</v>
      </c>
    </row>
    <row r="265" spans="1:7" ht="21" customHeight="1" x14ac:dyDescent="0.3">
      <c r="A265" s="129" t="s">
        <v>466</v>
      </c>
      <c r="B265" s="129"/>
      <c r="C265" s="28">
        <v>30</v>
      </c>
      <c r="D265" s="92">
        <v>0.19</v>
      </c>
      <c r="E265" s="69" t="s">
        <v>362</v>
      </c>
      <c r="F265" t="s">
        <v>160</v>
      </c>
    </row>
    <row r="266" spans="1:7" ht="21" customHeight="1" x14ac:dyDescent="0.3">
      <c r="A266" s="129" t="s">
        <v>87</v>
      </c>
      <c r="B266" s="129"/>
      <c r="C266" s="28">
        <v>30</v>
      </c>
      <c r="D266" s="92">
        <v>0.19</v>
      </c>
      <c r="E266" s="69" t="s">
        <v>362</v>
      </c>
      <c r="F266" t="s">
        <v>174</v>
      </c>
      <c r="G266" s="9" t="s">
        <v>173</v>
      </c>
    </row>
    <row r="267" spans="1:7" ht="21" customHeight="1" x14ac:dyDescent="0.3">
      <c r="A267" s="129" t="s">
        <v>18</v>
      </c>
      <c r="B267" s="129"/>
      <c r="C267" s="28">
        <v>45</v>
      </c>
      <c r="D267" s="92">
        <v>0.19</v>
      </c>
      <c r="E267" s="69">
        <v>0</v>
      </c>
      <c r="F267" t="s">
        <v>372</v>
      </c>
    </row>
    <row r="268" spans="1:7" ht="21" customHeight="1" x14ac:dyDescent="0.3">
      <c r="A268" s="129" t="s">
        <v>559</v>
      </c>
      <c r="B268" s="129"/>
      <c r="C268" s="28">
        <v>30</v>
      </c>
      <c r="D268" s="92">
        <v>0.19</v>
      </c>
      <c r="E268" s="69" t="s">
        <v>362</v>
      </c>
    </row>
    <row r="269" spans="1:7" ht="21" customHeight="1" x14ac:dyDescent="0.3">
      <c r="A269" s="129" t="s">
        <v>24</v>
      </c>
      <c r="B269" s="129"/>
      <c r="C269" s="28">
        <v>30</v>
      </c>
      <c r="D269" s="92">
        <v>0.19</v>
      </c>
      <c r="E269" s="69" t="s">
        <v>364</v>
      </c>
      <c r="F269" t="s">
        <v>95</v>
      </c>
    </row>
    <row r="270" spans="1:7" ht="21" customHeight="1" x14ac:dyDescent="0.3">
      <c r="A270" s="129" t="s">
        <v>88</v>
      </c>
      <c r="B270" s="129"/>
      <c r="C270" s="28">
        <v>30</v>
      </c>
      <c r="D270" s="92">
        <v>0.19</v>
      </c>
      <c r="E270" s="69" t="s">
        <v>364</v>
      </c>
      <c r="F270" t="s">
        <v>95</v>
      </c>
    </row>
    <row r="271" spans="1:7" ht="21" customHeight="1" x14ac:dyDescent="0.3">
      <c r="A271" s="129" t="s">
        <v>1704</v>
      </c>
      <c r="B271" s="129"/>
      <c r="C271" s="28">
        <v>30</v>
      </c>
      <c r="D271" s="92">
        <v>0.19</v>
      </c>
      <c r="E271" s="69" t="s">
        <v>364</v>
      </c>
      <c r="F271" t="s">
        <v>95</v>
      </c>
    </row>
    <row r="272" spans="1:7" ht="21" customHeight="1" x14ac:dyDescent="0.3">
      <c r="A272" s="129" t="s">
        <v>64</v>
      </c>
      <c r="B272" s="129"/>
      <c r="C272" s="28">
        <v>30</v>
      </c>
      <c r="D272" s="92">
        <v>0.19</v>
      </c>
      <c r="E272" s="69" t="s">
        <v>364</v>
      </c>
      <c r="F272" t="s">
        <v>95</v>
      </c>
    </row>
    <row r="273" spans="1:7" ht="21" customHeight="1" x14ac:dyDescent="0.3">
      <c r="A273" s="129" t="s">
        <v>56</v>
      </c>
      <c r="B273" s="129"/>
      <c r="C273" s="28">
        <v>30</v>
      </c>
      <c r="D273" s="92">
        <v>0.19</v>
      </c>
      <c r="E273" s="69" t="s">
        <v>364</v>
      </c>
      <c r="F273" t="s">
        <v>95</v>
      </c>
    </row>
    <row r="274" spans="1:7" ht="21" customHeight="1" x14ac:dyDescent="0.3">
      <c r="A274" s="129" t="s">
        <v>39</v>
      </c>
      <c r="B274" s="129"/>
      <c r="C274" s="28">
        <v>30</v>
      </c>
      <c r="D274" s="92">
        <v>0.19</v>
      </c>
      <c r="E274" s="69" t="s">
        <v>364</v>
      </c>
      <c r="F274" t="s">
        <v>95</v>
      </c>
    </row>
    <row r="275" spans="1:7" ht="21" customHeight="1" x14ac:dyDescent="0.3">
      <c r="A275" s="129" t="s">
        <v>49</v>
      </c>
      <c r="B275" s="129"/>
      <c r="C275" s="28">
        <v>30</v>
      </c>
      <c r="D275" s="92">
        <v>0.19</v>
      </c>
      <c r="E275" s="69" t="s">
        <v>364</v>
      </c>
      <c r="F275" t="s">
        <v>95</v>
      </c>
    </row>
    <row r="276" spans="1:7" ht="21" customHeight="1" x14ac:dyDescent="0.3">
      <c r="A276" s="130" t="s">
        <v>1550</v>
      </c>
      <c r="B276" s="130"/>
      <c r="C276" s="28">
        <v>0</v>
      </c>
      <c r="D276" s="92">
        <v>0.19</v>
      </c>
    </row>
    <row r="277" spans="1:7" ht="20.100000000000001" customHeight="1" x14ac:dyDescent="0.3">
      <c r="A277" s="129" t="s">
        <v>394</v>
      </c>
      <c r="B277" s="129"/>
      <c r="C277" s="28">
        <v>18</v>
      </c>
      <c r="D277" s="92">
        <v>0</v>
      </c>
      <c r="E277" s="69">
        <v>0</v>
      </c>
      <c r="F277" t="s">
        <v>162</v>
      </c>
    </row>
    <row r="278" spans="1:7" ht="21" customHeight="1" x14ac:dyDescent="0.3">
      <c r="A278" s="129" t="s">
        <v>1705</v>
      </c>
      <c r="B278" s="129"/>
      <c r="C278" s="28">
        <v>30</v>
      </c>
      <c r="D278" s="92">
        <v>0</v>
      </c>
      <c r="E278" s="69">
        <v>0</v>
      </c>
      <c r="F278" t="s">
        <v>247</v>
      </c>
    </row>
    <row r="279" spans="1:7" ht="21" customHeight="1" x14ac:dyDescent="0.3">
      <c r="A279" s="129" t="s">
        <v>202</v>
      </c>
      <c r="B279" s="129"/>
      <c r="C279" s="28">
        <v>20</v>
      </c>
      <c r="D279" s="92">
        <v>0</v>
      </c>
      <c r="E279" s="69" t="s">
        <v>361</v>
      </c>
      <c r="F279" t="s">
        <v>185</v>
      </c>
    </row>
    <row r="280" spans="1:7" ht="21" customHeight="1" x14ac:dyDescent="0.3">
      <c r="A280" s="129" t="s">
        <v>203</v>
      </c>
      <c r="B280" s="129"/>
      <c r="C280" s="28">
        <v>20</v>
      </c>
      <c r="D280" s="92">
        <v>0</v>
      </c>
      <c r="E280" s="69" t="s">
        <v>361</v>
      </c>
      <c r="F280" t="s">
        <v>185</v>
      </c>
    </row>
    <row r="281" spans="1:7" ht="21" customHeight="1" x14ac:dyDescent="0.3">
      <c r="A281" s="129" t="s">
        <v>204</v>
      </c>
      <c r="B281" s="129"/>
      <c r="C281" s="28">
        <v>20</v>
      </c>
      <c r="D281" s="92">
        <v>0</v>
      </c>
      <c r="E281" s="69" t="s">
        <v>361</v>
      </c>
      <c r="F281" t="s">
        <v>185</v>
      </c>
    </row>
    <row r="282" spans="1:7" ht="21" customHeight="1" x14ac:dyDescent="0.3">
      <c r="A282" s="129" t="s">
        <v>225</v>
      </c>
      <c r="B282" s="129"/>
      <c r="C282" s="28">
        <v>20</v>
      </c>
      <c r="D282" s="92">
        <v>0</v>
      </c>
      <c r="E282" s="69" t="s">
        <v>361</v>
      </c>
      <c r="F282" t="s">
        <v>185</v>
      </c>
    </row>
    <row r="283" spans="1:7" ht="21" customHeight="1" x14ac:dyDescent="0.3">
      <c r="A283" s="129" t="s">
        <v>193</v>
      </c>
      <c r="B283" s="129"/>
      <c r="C283" s="28">
        <v>20</v>
      </c>
      <c r="D283" s="92">
        <v>0.19</v>
      </c>
      <c r="E283" s="69" t="s">
        <v>365</v>
      </c>
      <c r="F283" t="s">
        <v>185</v>
      </c>
    </row>
    <row r="284" spans="1:7" ht="21" customHeight="1" x14ac:dyDescent="0.3">
      <c r="A284" s="129" t="s">
        <v>194</v>
      </c>
      <c r="B284" s="129"/>
      <c r="C284" s="28">
        <v>20</v>
      </c>
      <c r="D284" s="92">
        <v>0.19</v>
      </c>
      <c r="E284" s="69" t="s">
        <v>365</v>
      </c>
      <c r="F284" t="s">
        <v>185</v>
      </c>
    </row>
    <row r="285" spans="1:7" ht="21" customHeight="1" x14ac:dyDescent="0.3">
      <c r="A285" s="129" t="s">
        <v>189</v>
      </c>
      <c r="B285" s="129"/>
      <c r="C285" s="28">
        <v>20</v>
      </c>
      <c r="D285" s="92">
        <v>0.19</v>
      </c>
      <c r="E285" s="69" t="s">
        <v>365</v>
      </c>
      <c r="F285" t="s">
        <v>185</v>
      </c>
    </row>
    <row r="286" spans="1:7" ht="21" customHeight="1" x14ac:dyDescent="0.3">
      <c r="A286" s="129" t="s">
        <v>395</v>
      </c>
      <c r="B286" s="129"/>
      <c r="C286" s="28">
        <v>30</v>
      </c>
      <c r="D286" s="92">
        <v>0</v>
      </c>
      <c r="E286" s="69" t="s">
        <v>363</v>
      </c>
      <c r="F286" t="s">
        <v>221</v>
      </c>
    </row>
    <row r="287" spans="1:7" ht="21" customHeight="1" x14ac:dyDescent="0.3">
      <c r="A287" s="129" t="s">
        <v>209</v>
      </c>
      <c r="B287" s="129"/>
      <c r="C287" s="28">
        <v>30</v>
      </c>
      <c r="D287" s="92">
        <v>0.19</v>
      </c>
      <c r="E287" s="69">
        <v>0</v>
      </c>
      <c r="F287" t="s">
        <v>233</v>
      </c>
    </row>
    <row r="288" spans="1:7" ht="21" customHeight="1" x14ac:dyDescent="0.3">
      <c r="A288" s="129" t="s">
        <v>471</v>
      </c>
      <c r="B288" s="129"/>
      <c r="C288" s="28">
        <v>0</v>
      </c>
      <c r="D288" s="92">
        <v>0</v>
      </c>
      <c r="E288" s="69">
        <v>0</v>
      </c>
      <c r="G288" s="9" t="s">
        <v>472</v>
      </c>
    </row>
    <row r="289" spans="1:7" ht="21" customHeight="1" x14ac:dyDescent="0.3">
      <c r="A289" s="129" t="s">
        <v>1574</v>
      </c>
      <c r="B289" s="129"/>
      <c r="C289" s="28">
        <v>30</v>
      </c>
      <c r="D289" s="92">
        <v>0.19</v>
      </c>
      <c r="E289" s="69" t="s">
        <v>362</v>
      </c>
      <c r="F289" t="s">
        <v>180</v>
      </c>
    </row>
    <row r="290" spans="1:7" ht="21" customHeight="1" x14ac:dyDescent="0.3">
      <c r="A290" s="129" t="s">
        <v>1192</v>
      </c>
      <c r="B290" s="129"/>
      <c r="C290" s="28">
        <v>30</v>
      </c>
      <c r="D290" s="92">
        <v>0.19</v>
      </c>
      <c r="E290" s="69" t="s">
        <v>362</v>
      </c>
      <c r="F290" t="s">
        <v>1191</v>
      </c>
    </row>
    <row r="291" spans="1:7" ht="21" customHeight="1" x14ac:dyDescent="0.3">
      <c r="A291" s="129" t="s">
        <v>15</v>
      </c>
      <c r="B291" s="129"/>
      <c r="C291" s="28">
        <v>30</v>
      </c>
      <c r="D291" s="92">
        <v>0.19</v>
      </c>
      <c r="E291" s="69" t="s">
        <v>362</v>
      </c>
      <c r="F291" t="s">
        <v>163</v>
      </c>
    </row>
    <row r="292" spans="1:7" ht="21" customHeight="1" x14ac:dyDescent="0.3">
      <c r="A292" s="129" t="s">
        <v>396</v>
      </c>
      <c r="B292" s="129"/>
      <c r="C292" s="28">
        <v>30</v>
      </c>
      <c r="D292" s="92">
        <v>0.19</v>
      </c>
      <c r="E292" s="69" t="s">
        <v>366</v>
      </c>
      <c r="F292" t="s">
        <v>190</v>
      </c>
    </row>
    <row r="293" spans="1:7" ht="21" customHeight="1" x14ac:dyDescent="0.3">
      <c r="A293" s="129" t="s">
        <v>455</v>
      </c>
      <c r="B293" s="129"/>
      <c r="C293" s="28">
        <v>10</v>
      </c>
      <c r="D293" s="92">
        <v>0.19</v>
      </c>
      <c r="E293" s="69" t="s">
        <v>365</v>
      </c>
      <c r="F293" t="s">
        <v>454</v>
      </c>
    </row>
    <row r="294" spans="1:7" ht="21" customHeight="1" x14ac:dyDescent="0.3">
      <c r="A294" s="130" t="s">
        <v>1707</v>
      </c>
      <c r="B294" s="130"/>
      <c r="C294" s="28">
        <v>0</v>
      </c>
      <c r="D294" s="92">
        <v>0.19</v>
      </c>
      <c r="E294" s="69" t="s">
        <v>458</v>
      </c>
      <c r="F294" t="s">
        <v>1708</v>
      </c>
    </row>
    <row r="295" spans="1:7" ht="21" customHeight="1" x14ac:dyDescent="0.3">
      <c r="A295" s="129" t="s">
        <v>306</v>
      </c>
      <c r="B295" s="129"/>
      <c r="C295" s="28">
        <v>30</v>
      </c>
      <c r="D295" s="92">
        <v>0.19</v>
      </c>
      <c r="E295" s="69" t="s">
        <v>362</v>
      </c>
    </row>
    <row r="296" spans="1:7" ht="21" customHeight="1" x14ac:dyDescent="0.3">
      <c r="A296" s="129" t="s">
        <v>58</v>
      </c>
      <c r="B296" s="129"/>
      <c r="C296" s="28">
        <v>30</v>
      </c>
      <c r="D296" s="92">
        <v>0.19</v>
      </c>
      <c r="E296" s="69" t="s">
        <v>364</v>
      </c>
      <c r="F296" t="s">
        <v>95</v>
      </c>
    </row>
    <row r="297" spans="1:7" ht="21" customHeight="1" x14ac:dyDescent="0.3">
      <c r="A297" s="129" t="s">
        <v>720</v>
      </c>
      <c r="B297" s="129"/>
      <c r="C297" s="28">
        <v>30</v>
      </c>
      <c r="D297" s="92">
        <v>0.19</v>
      </c>
      <c r="F297" t="s">
        <v>721</v>
      </c>
    </row>
    <row r="298" spans="1:7" ht="21" customHeight="1" x14ac:dyDescent="0.3">
      <c r="A298" s="129" t="s">
        <v>397</v>
      </c>
      <c r="B298" s="129"/>
      <c r="C298" s="28">
        <v>30</v>
      </c>
      <c r="D298" s="92">
        <v>0</v>
      </c>
      <c r="E298" s="69">
        <v>0</v>
      </c>
      <c r="F298" t="s">
        <v>429</v>
      </c>
    </row>
    <row r="299" spans="1:7" ht="21" customHeight="1" x14ac:dyDescent="0.3">
      <c r="A299" s="129" t="s">
        <v>242</v>
      </c>
      <c r="B299" s="129"/>
      <c r="C299" s="28">
        <v>30</v>
      </c>
      <c r="D299" s="92">
        <v>0.19</v>
      </c>
      <c r="E299" s="69" t="s">
        <v>362</v>
      </c>
      <c r="F299" t="s">
        <v>292</v>
      </c>
    </row>
    <row r="300" spans="1:7" ht="21" customHeight="1" x14ac:dyDescent="0.3">
      <c r="A300" s="129" t="s">
        <v>1433</v>
      </c>
      <c r="B300" s="129"/>
      <c r="C300" s="28">
        <v>10</v>
      </c>
      <c r="D300" s="92">
        <v>0.19</v>
      </c>
      <c r="E300" s="69" t="s">
        <v>363</v>
      </c>
      <c r="F300" t="s">
        <v>1522</v>
      </c>
    </row>
    <row r="301" spans="1:7" ht="21" customHeight="1" x14ac:dyDescent="0.3">
      <c r="A301" s="129" t="s">
        <v>398</v>
      </c>
      <c r="B301" s="129"/>
      <c r="C301" s="28">
        <v>30</v>
      </c>
      <c r="D301" s="92">
        <v>0.19</v>
      </c>
      <c r="E301" s="69" t="s">
        <v>363</v>
      </c>
      <c r="F301" t="s">
        <v>1522</v>
      </c>
    </row>
    <row r="302" spans="1:7" ht="21" customHeight="1" x14ac:dyDescent="0.3">
      <c r="A302" s="129" t="s">
        <v>478</v>
      </c>
      <c r="B302" s="129"/>
      <c r="C302" s="28">
        <v>0</v>
      </c>
      <c r="D302" s="92">
        <v>0</v>
      </c>
      <c r="E302" s="69">
        <v>0</v>
      </c>
      <c r="F302" t="s">
        <v>480</v>
      </c>
      <c r="G302" s="9" t="s">
        <v>479</v>
      </c>
    </row>
    <row r="303" spans="1:7" ht="21" customHeight="1" x14ac:dyDescent="0.3">
      <c r="A303" s="129" t="s">
        <v>399</v>
      </c>
      <c r="B303" s="129"/>
      <c r="C303" s="28">
        <v>30</v>
      </c>
      <c r="D303" s="92">
        <v>0.19</v>
      </c>
      <c r="E303" s="69" t="s">
        <v>363</v>
      </c>
      <c r="F303" t="s">
        <v>164</v>
      </c>
    </row>
    <row r="304" spans="1:7" ht="21" customHeight="1" x14ac:dyDescent="0.3">
      <c r="A304" s="129" t="s">
        <v>142</v>
      </c>
      <c r="B304" s="129"/>
      <c r="C304" s="28">
        <v>30</v>
      </c>
      <c r="D304" s="92">
        <v>0.19</v>
      </c>
      <c r="E304" s="69" t="s">
        <v>362</v>
      </c>
      <c r="F304" t="s">
        <v>150</v>
      </c>
      <c r="G304" s="9" t="s">
        <v>147</v>
      </c>
    </row>
    <row r="305" spans="1:6" ht="21" customHeight="1" x14ac:dyDescent="0.3">
      <c r="A305" s="129" t="s">
        <v>400</v>
      </c>
      <c r="B305" s="129"/>
      <c r="C305" s="28">
        <v>30</v>
      </c>
      <c r="D305" s="92">
        <v>0</v>
      </c>
      <c r="E305" s="69" t="s">
        <v>363</v>
      </c>
      <c r="F305" t="s">
        <v>165</v>
      </c>
    </row>
    <row r="306" spans="1:6" ht="21" customHeight="1" x14ac:dyDescent="0.3">
      <c r="A306" s="130" t="s">
        <v>1542</v>
      </c>
      <c r="B306" s="130"/>
      <c r="C306" s="28">
        <v>0</v>
      </c>
      <c r="D306" s="92">
        <v>0.19</v>
      </c>
      <c r="E306" s="69" t="s">
        <v>363</v>
      </c>
      <c r="F306" t="s">
        <v>1543</v>
      </c>
    </row>
    <row r="307" spans="1:6" ht="21" customHeight="1" x14ac:dyDescent="0.3">
      <c r="A307" s="129" t="s">
        <v>562</v>
      </c>
      <c r="B307" s="129"/>
      <c r="C307" s="28">
        <v>30</v>
      </c>
      <c r="D307" s="92">
        <v>0.19</v>
      </c>
      <c r="E307" s="69" t="s">
        <v>362</v>
      </c>
    </row>
    <row r="308" spans="1:6" ht="21" customHeight="1" x14ac:dyDescent="0.3">
      <c r="A308" s="129" t="s">
        <v>401</v>
      </c>
      <c r="B308" s="129"/>
      <c r="C308" s="28">
        <v>30</v>
      </c>
      <c r="D308" s="92">
        <v>0.19</v>
      </c>
      <c r="E308" s="69" t="s">
        <v>363</v>
      </c>
    </row>
    <row r="309" spans="1:6" ht="21" customHeight="1" x14ac:dyDescent="0.3">
      <c r="A309" s="129" t="s">
        <v>448</v>
      </c>
      <c r="B309" s="129"/>
      <c r="C309" s="28">
        <v>10</v>
      </c>
      <c r="D309" s="92">
        <v>0.19</v>
      </c>
      <c r="E309" s="69" t="s">
        <v>458</v>
      </c>
      <c r="F309" t="s">
        <v>447</v>
      </c>
    </row>
    <row r="310" spans="1:6" ht="21" customHeight="1" x14ac:dyDescent="0.3">
      <c r="A310" s="129" t="s">
        <v>176</v>
      </c>
      <c r="B310" s="129"/>
      <c r="C310" s="28">
        <v>20</v>
      </c>
      <c r="D310" s="92">
        <v>0</v>
      </c>
      <c r="E310" s="69">
        <v>0</v>
      </c>
      <c r="F310" t="s">
        <v>178</v>
      </c>
    </row>
    <row r="311" spans="1:6" ht="21" customHeight="1" x14ac:dyDescent="0.3">
      <c r="A311" s="129" t="s">
        <v>111</v>
      </c>
      <c r="B311" s="129"/>
      <c r="C311" s="28">
        <v>30</v>
      </c>
      <c r="D311" s="92">
        <v>0</v>
      </c>
      <c r="E311" s="69">
        <v>0</v>
      </c>
      <c r="F311" t="s">
        <v>112</v>
      </c>
    </row>
    <row r="312" spans="1:6" ht="21" customHeight="1" x14ac:dyDescent="0.3">
      <c r="A312" s="129" t="s">
        <v>28</v>
      </c>
      <c r="B312" s="129"/>
      <c r="C312" s="28">
        <v>30</v>
      </c>
      <c r="D312" s="92">
        <v>0</v>
      </c>
      <c r="E312" s="69">
        <v>0</v>
      </c>
      <c r="F312" t="s">
        <v>166</v>
      </c>
    </row>
    <row r="313" spans="1:6" ht="21" customHeight="1" x14ac:dyDescent="0.3">
      <c r="A313" s="129" t="s">
        <v>89</v>
      </c>
      <c r="B313" s="129"/>
      <c r="C313" s="28">
        <v>30</v>
      </c>
      <c r="D313" s="92">
        <v>0.19</v>
      </c>
      <c r="E313" s="69" t="s">
        <v>362</v>
      </c>
      <c r="F313" t="s">
        <v>95</v>
      </c>
    </row>
    <row r="314" spans="1:6" ht="21" customHeight="1" x14ac:dyDescent="0.3">
      <c r="A314" s="129" t="s">
        <v>14</v>
      </c>
      <c r="B314" s="129"/>
      <c r="C314" s="28">
        <v>10</v>
      </c>
      <c r="D314" s="92">
        <v>0.19</v>
      </c>
      <c r="E314" s="69" t="s">
        <v>362</v>
      </c>
      <c r="F314" t="s">
        <v>95</v>
      </c>
    </row>
    <row r="315" spans="1:6" ht="21" customHeight="1" x14ac:dyDescent="0.3">
      <c r="A315" s="129" t="s">
        <v>8</v>
      </c>
      <c r="B315" s="129"/>
      <c r="C315" s="28">
        <v>60</v>
      </c>
      <c r="D315" s="92">
        <v>0.19</v>
      </c>
      <c r="E315" s="69" t="s">
        <v>362</v>
      </c>
      <c r="F315" t="s">
        <v>168</v>
      </c>
    </row>
    <row r="316" spans="1:6" ht="21" customHeight="1" x14ac:dyDescent="0.3">
      <c r="A316" s="129" t="s">
        <v>217</v>
      </c>
      <c r="B316" s="129"/>
      <c r="C316" s="28">
        <v>30</v>
      </c>
      <c r="D316" s="92">
        <v>0.19</v>
      </c>
      <c r="E316" s="69" t="s">
        <v>362</v>
      </c>
      <c r="F316" t="s">
        <v>215</v>
      </c>
    </row>
    <row r="317" spans="1:6" ht="21" customHeight="1" x14ac:dyDescent="0.3">
      <c r="A317" s="129" t="s">
        <v>402</v>
      </c>
      <c r="B317" s="129"/>
      <c r="C317" s="28">
        <v>30</v>
      </c>
      <c r="D317" s="92">
        <v>0</v>
      </c>
      <c r="E317" s="69">
        <v>0</v>
      </c>
    </row>
    <row r="318" spans="1:6" ht="21" customHeight="1" x14ac:dyDescent="0.3">
      <c r="A318" s="129" t="s">
        <v>984</v>
      </c>
      <c r="B318" s="129"/>
      <c r="C318" s="28">
        <v>0</v>
      </c>
      <c r="D318" s="92">
        <v>0.19</v>
      </c>
      <c r="E318" s="69" t="s">
        <v>362</v>
      </c>
    </row>
    <row r="319" spans="1:6" ht="21" customHeight="1" x14ac:dyDescent="0.3">
      <c r="A319" s="130" t="s">
        <v>1576</v>
      </c>
      <c r="B319" s="130"/>
      <c r="C319" s="28">
        <v>30</v>
      </c>
      <c r="D319" s="92">
        <v>0.19</v>
      </c>
      <c r="E319" s="69" t="s">
        <v>362</v>
      </c>
      <c r="F319" t="s">
        <v>1813</v>
      </c>
    </row>
    <row r="320" spans="1:6" ht="21" customHeight="1" x14ac:dyDescent="0.3">
      <c r="A320" s="129" t="s">
        <v>403</v>
      </c>
      <c r="B320" s="129"/>
      <c r="C320" s="28">
        <v>30</v>
      </c>
      <c r="D320" s="92">
        <v>0.19</v>
      </c>
      <c r="E320" s="69">
        <v>0</v>
      </c>
      <c r="F320" t="s">
        <v>97</v>
      </c>
    </row>
    <row r="321" spans="1:7" ht="21" customHeight="1" x14ac:dyDescent="0.3">
      <c r="A321" s="129" t="s">
        <v>214</v>
      </c>
      <c r="B321" s="129"/>
      <c r="C321" s="28">
        <v>30</v>
      </c>
      <c r="D321" s="92">
        <v>0.19</v>
      </c>
      <c r="E321" s="69" t="s">
        <v>362</v>
      </c>
      <c r="F321" t="s">
        <v>244</v>
      </c>
    </row>
    <row r="322" spans="1:7" ht="21" customHeight="1" x14ac:dyDescent="0.3">
      <c r="A322" s="129" t="s">
        <v>417</v>
      </c>
      <c r="B322" s="129"/>
      <c r="C322" s="28">
        <v>0</v>
      </c>
      <c r="D322" s="92">
        <v>0.19</v>
      </c>
      <c r="E322" s="69">
        <v>0</v>
      </c>
    </row>
    <row r="323" spans="1:7" ht="21" customHeight="1" x14ac:dyDescent="0.3">
      <c r="A323" s="129" t="s">
        <v>511</v>
      </c>
      <c r="B323" s="129"/>
      <c r="C323" s="28">
        <v>30</v>
      </c>
      <c r="D323" s="92">
        <v>0.19</v>
      </c>
      <c r="E323" s="69" t="s">
        <v>362</v>
      </c>
    </row>
    <row r="324" spans="1:7" ht="21" customHeight="1" x14ac:dyDescent="0.3">
      <c r="A324" s="129" t="s">
        <v>26</v>
      </c>
      <c r="B324" s="129"/>
      <c r="C324" s="28">
        <v>30</v>
      </c>
      <c r="D324" s="92">
        <v>0</v>
      </c>
      <c r="E324" s="69">
        <v>0</v>
      </c>
      <c r="F324" t="s">
        <v>95</v>
      </c>
    </row>
    <row r="325" spans="1:7" ht="21" customHeight="1" x14ac:dyDescent="0.3">
      <c r="A325" s="129" t="s">
        <v>40</v>
      </c>
      <c r="B325" s="129"/>
      <c r="C325" s="28">
        <v>30</v>
      </c>
      <c r="D325" s="92">
        <v>0.19</v>
      </c>
      <c r="E325" s="69" t="s">
        <v>362</v>
      </c>
      <c r="F325" t="s">
        <v>95</v>
      </c>
    </row>
    <row r="326" spans="1:7" ht="21" customHeight="1" x14ac:dyDescent="0.3">
      <c r="A326" s="129" t="s">
        <v>404</v>
      </c>
      <c r="B326" s="129"/>
      <c r="C326" s="28">
        <v>13</v>
      </c>
      <c r="D326" s="92">
        <v>0</v>
      </c>
      <c r="E326" s="69">
        <v>0</v>
      </c>
    </row>
    <row r="327" spans="1:7" ht="21" customHeight="1" x14ac:dyDescent="0.3">
      <c r="A327" s="129" t="s">
        <v>405</v>
      </c>
      <c r="B327" s="129"/>
      <c r="C327" s="28">
        <v>30</v>
      </c>
      <c r="D327" s="92">
        <v>0</v>
      </c>
      <c r="E327" s="69">
        <v>0</v>
      </c>
      <c r="F327" t="s">
        <v>97</v>
      </c>
    </row>
    <row r="328" spans="1:7" ht="21" customHeight="1" x14ac:dyDescent="0.3">
      <c r="A328" s="129" t="s">
        <v>22</v>
      </c>
      <c r="B328" s="129"/>
      <c r="C328" s="28">
        <v>30</v>
      </c>
      <c r="D328" s="92">
        <v>0</v>
      </c>
      <c r="E328" s="69">
        <v>0</v>
      </c>
      <c r="F328" t="s">
        <v>95</v>
      </c>
    </row>
    <row r="329" spans="1:7" ht="21" customHeight="1" x14ac:dyDescent="0.3">
      <c r="A329" s="129" t="s">
        <v>9</v>
      </c>
      <c r="B329" s="129"/>
      <c r="C329" s="28">
        <v>45</v>
      </c>
      <c r="D329" s="92">
        <v>0.19</v>
      </c>
      <c r="E329" s="69" t="s">
        <v>362</v>
      </c>
      <c r="F329" t="s">
        <v>169</v>
      </c>
      <c r="G329" s="9" t="s">
        <v>485</v>
      </c>
    </row>
    <row r="330" spans="1:7" ht="21" customHeight="1" x14ac:dyDescent="0.3">
      <c r="A330" s="129" t="s">
        <v>467</v>
      </c>
      <c r="B330" s="129"/>
      <c r="C330" s="28">
        <v>30</v>
      </c>
      <c r="D330" s="92">
        <v>0.19</v>
      </c>
      <c r="E330" s="69" t="s">
        <v>362</v>
      </c>
      <c r="F330" t="s">
        <v>170</v>
      </c>
    </row>
    <row r="331" spans="1:7" ht="21" customHeight="1" x14ac:dyDescent="0.3">
      <c r="A331" s="129" t="s">
        <v>13</v>
      </c>
      <c r="B331" s="129"/>
      <c r="C331" s="28">
        <v>30</v>
      </c>
      <c r="D331" s="92">
        <v>0.19</v>
      </c>
      <c r="E331" s="69" t="s">
        <v>362</v>
      </c>
      <c r="F331" t="s">
        <v>171</v>
      </c>
    </row>
    <row r="332" spans="1:7" ht="21" customHeight="1" x14ac:dyDescent="0.3">
      <c r="A332" s="129" t="s">
        <v>68</v>
      </c>
      <c r="B332" s="129"/>
      <c r="C332" s="28">
        <v>30</v>
      </c>
      <c r="D332" s="92">
        <v>0.19</v>
      </c>
      <c r="E332" s="69" t="s">
        <v>362</v>
      </c>
      <c r="F332" t="s">
        <v>95</v>
      </c>
    </row>
    <row r="333" spans="1:7" ht="21" customHeight="1" x14ac:dyDescent="0.3">
      <c r="A333" s="129" t="s">
        <v>497</v>
      </c>
      <c r="B333" s="129"/>
      <c r="C333" s="28">
        <v>10</v>
      </c>
      <c r="D333" s="92">
        <v>0.19</v>
      </c>
      <c r="E333" s="69">
        <v>0</v>
      </c>
      <c r="F333" t="s">
        <v>498</v>
      </c>
      <c r="G333" s="9" t="s">
        <v>499</v>
      </c>
    </row>
    <row r="334" spans="1:7" ht="21" customHeight="1" x14ac:dyDescent="0.3">
      <c r="A334" s="129" t="s">
        <v>406</v>
      </c>
      <c r="B334" s="129"/>
      <c r="C334" s="28">
        <v>20</v>
      </c>
      <c r="D334" s="92">
        <v>0.19</v>
      </c>
      <c r="E334" s="69" t="s">
        <v>363</v>
      </c>
      <c r="F334" t="s">
        <v>172</v>
      </c>
    </row>
    <row r="335" spans="1:7" ht="21" customHeight="1" x14ac:dyDescent="0.3">
      <c r="A335" s="129" t="s">
        <v>10</v>
      </c>
      <c r="B335" s="129"/>
      <c r="C335" s="28">
        <v>30</v>
      </c>
      <c r="D335" s="92">
        <v>0.19</v>
      </c>
      <c r="E335" s="69" t="s">
        <v>362</v>
      </c>
      <c r="F335" t="s">
        <v>425</v>
      </c>
      <c r="G335" s="9" t="s">
        <v>486</v>
      </c>
    </row>
    <row r="336" spans="1:7" ht="21" customHeight="1" x14ac:dyDescent="0.3">
      <c r="A336" s="129" t="s">
        <v>987</v>
      </c>
      <c r="B336" s="129"/>
      <c r="C336" s="28">
        <v>0</v>
      </c>
      <c r="D336" s="92">
        <v>0.19</v>
      </c>
      <c r="E336" s="69" t="s">
        <v>366</v>
      </c>
    </row>
    <row r="337" spans="1:6" ht="21" customHeight="1" x14ac:dyDescent="0.3">
      <c r="A337" s="129" t="s">
        <v>12</v>
      </c>
      <c r="B337" s="129"/>
      <c r="C337" s="28">
        <v>30</v>
      </c>
      <c r="D337" s="92">
        <v>0.19</v>
      </c>
      <c r="E337" s="69" t="s">
        <v>362</v>
      </c>
      <c r="F337" t="s">
        <v>150</v>
      </c>
    </row>
  </sheetData>
  <conditionalFormatting sqref="A1:B337">
    <cfRule type="expression" dxfId="42" priority="127">
      <formula>#REF!="Por pagar"</formula>
    </cfRule>
    <cfRule type="expression" dxfId="41" priority="128">
      <formula>#REF!="Vencida"</formula>
    </cfRule>
    <cfRule type="expression" dxfId="40" priority="129">
      <formula>#REF!="Pagada"</formula>
    </cfRule>
  </conditionalFormatting>
  <dataValidations count="1">
    <dataValidation type="list" allowBlank="1" showInputMessage="1" showErrorMessage="1" error="Primero crea el proveedor en la hoja &quot;Proveedores&quot;." sqref="A218:B218" xr:uid="{77572996-20EB-437C-9030-DFC47C99B2D6}">
      <formula1>$A:$A</formula1>
    </dataValidation>
  </dataValidations>
  <hyperlinks>
    <hyperlink ref="A109" r:id="rId1" display="UNIFORMES@" xr:uid="{85D855E3-E840-4304-BB1C-2A00B2BA648D}"/>
  </hyperlinks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6EC51F-C8CD-49B9-A38C-2B4CB8C3A653}">
          <x14:formula1>
            <xm:f>Retenciones!$A:$A</xm:f>
          </x14:formula1>
          <xm:sqref>E1</xm:sqref>
        </x14:dataValidation>
        <x14:dataValidation type="list" allowBlank="1" showInputMessage="1" showErrorMessage="1" xr:uid="{B5A62AA5-23EA-4F7A-B2B4-6878BD22A052}">
          <x14:formula1>
            <xm:f>Retenciones!$A$2:$A$25</xm:f>
          </x14:formula1>
          <xm:sqref>E2:E1048576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A017-5649-4FEC-8EAA-99E240C5BE79}">
  <sheetPr codeName="Hoja11">
    <tabColor theme="5" tint="0.59999389629810485"/>
  </sheetPr>
  <dimension ref="A1:E8"/>
  <sheetViews>
    <sheetView workbookViewId="0">
      <selection activeCell="E6" sqref="E6"/>
    </sheetView>
  </sheetViews>
  <sheetFormatPr defaultColWidth="11.5546875" defaultRowHeight="14.4" x14ac:dyDescent="0.3"/>
  <cols>
    <col min="1" max="1" width="22" style="28" bestFit="1" customWidth="1"/>
    <col min="2" max="2" width="17.5546875" customWidth="1"/>
  </cols>
  <sheetData>
    <row r="1" spans="1:5" ht="41.4" x14ac:dyDescent="0.3">
      <c r="A1" s="30" t="s">
        <v>373</v>
      </c>
      <c r="B1" s="59" t="s">
        <v>1501</v>
      </c>
      <c r="C1" s="59" t="s">
        <v>1514</v>
      </c>
      <c r="D1" s="60" t="s">
        <v>1520</v>
      </c>
      <c r="E1" s="60" t="s">
        <v>1598</v>
      </c>
    </row>
    <row r="2" spans="1:5" x14ac:dyDescent="0.3">
      <c r="A2" s="31" t="s">
        <v>410</v>
      </c>
      <c r="B2" t="s">
        <v>1512</v>
      </c>
      <c r="C2" t="s">
        <v>1515</v>
      </c>
      <c r="D2" s="29">
        <v>0</v>
      </c>
      <c r="E2" s="33" t="s">
        <v>1599</v>
      </c>
    </row>
    <row r="3" spans="1:5" x14ac:dyDescent="0.3">
      <c r="B3" t="s">
        <v>516</v>
      </c>
      <c r="C3" t="s">
        <v>1516</v>
      </c>
      <c r="E3" s="33" t="s">
        <v>1600</v>
      </c>
    </row>
    <row r="4" spans="1:5" x14ac:dyDescent="0.3">
      <c r="C4" t="s">
        <v>1517</v>
      </c>
    </row>
    <row r="5" spans="1:5" x14ac:dyDescent="0.3">
      <c r="C5" t="s">
        <v>1518</v>
      </c>
    </row>
    <row r="6" spans="1:5" x14ac:dyDescent="0.3">
      <c r="C6" t="s">
        <v>1390</v>
      </c>
    </row>
    <row r="7" spans="1:5" x14ac:dyDescent="0.3">
      <c r="C7" t="s">
        <v>1523</v>
      </c>
    </row>
    <row r="8" spans="1:5" x14ac:dyDescent="0.3">
      <c r="C8" t="s">
        <v>1519</v>
      </c>
    </row>
  </sheetData>
  <dataValidations count="1">
    <dataValidation allowBlank="1" showInputMessage="1" showErrorMessage="1" error="Primero crea el proveedor en la hoja &quot;Proveedores&quot;." sqref="B1:D1" xr:uid="{C4757183-93B8-4800-9CE6-5437F3DB455E}"/>
  </dataValidations>
  <hyperlinks>
    <hyperlink ref="A2" r:id="rId1" xr:uid="{105D12F8-423B-4A30-A16E-9120E251499C}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A5714-C1A6-4EAE-B4B6-BB4BF625550E}">
  <sheetPr codeName="Hoja1"/>
  <dimension ref="A1:Z1593"/>
  <sheetViews>
    <sheetView workbookViewId="0">
      <pane ySplit="1" topLeftCell="A1383" activePane="bottomLeft" state="frozen"/>
      <selection activeCell="G1" sqref="G1"/>
      <selection pane="bottomLeft" activeCell="A2" sqref="A2:XFD1394"/>
    </sheetView>
  </sheetViews>
  <sheetFormatPr defaultColWidth="11.44140625" defaultRowHeight="27.75" customHeight="1" x14ac:dyDescent="0.3"/>
  <cols>
    <col min="1" max="1" width="10.6640625" style="155" customWidth="1"/>
    <col min="2" max="2" width="15.6640625" style="155" customWidth="1"/>
    <col min="3" max="3" width="11.88671875" style="155" customWidth="1"/>
    <col min="4" max="4" width="18.44140625" style="155" customWidth="1"/>
    <col min="5" max="5" width="8.5546875" style="155" customWidth="1"/>
    <col min="6" max="6" width="22.88671875" style="155" customWidth="1"/>
    <col min="7" max="7" width="15.5546875" style="154" customWidth="1"/>
    <col min="8" max="8" width="18.88671875" style="154" bestFit="1" customWidth="1"/>
    <col min="9" max="9" width="22.109375" style="154" customWidth="1"/>
    <col min="10" max="10" width="16.6640625" style="154" bestFit="1" customWidth="1"/>
    <col min="11" max="11" width="17.6640625" style="154" bestFit="1" customWidth="1"/>
    <col min="12" max="12" width="18.88671875" style="154" bestFit="1" customWidth="1"/>
    <col min="13" max="13" width="13.33203125" style="154" customWidth="1"/>
    <col min="14" max="14" width="14.33203125" style="156" bestFit="1" customWidth="1"/>
    <col min="15" max="15" width="14.5546875" style="156" bestFit="1" customWidth="1"/>
    <col min="16" max="17" width="15.5546875" style="156" bestFit="1" customWidth="1"/>
    <col min="18" max="18" width="13.109375" style="156" bestFit="1" customWidth="1"/>
    <col min="19" max="20" width="14.88671875" style="155" customWidth="1"/>
    <col min="21" max="21" width="16.88671875" style="155" customWidth="1"/>
    <col min="22" max="25" width="12.109375" style="155" customWidth="1"/>
    <col min="26" max="26" width="7.88671875" style="155" customWidth="1"/>
    <col min="27" max="16384" width="11.44140625" style="154"/>
  </cols>
  <sheetData>
    <row r="1" spans="1:26" s="143" customFormat="1" ht="57.75" customHeight="1" x14ac:dyDescent="0.3">
      <c r="A1" s="135" t="s">
        <v>1629</v>
      </c>
      <c r="B1" s="135" t="s">
        <v>130</v>
      </c>
      <c r="C1" s="135" t="s">
        <v>4</v>
      </c>
      <c r="D1" s="136" t="s">
        <v>126</v>
      </c>
      <c r="E1" s="137" t="s">
        <v>5</v>
      </c>
      <c r="F1" s="135" t="s">
        <v>91</v>
      </c>
      <c r="G1" s="96" t="s">
        <v>6</v>
      </c>
      <c r="H1" s="96" t="s">
        <v>3</v>
      </c>
      <c r="I1" s="96" t="s">
        <v>1</v>
      </c>
      <c r="J1" s="96" t="s">
        <v>2</v>
      </c>
      <c r="K1" s="96" t="s">
        <v>1501</v>
      </c>
      <c r="L1" s="96" t="s">
        <v>1514</v>
      </c>
      <c r="M1" s="96" t="s">
        <v>77</v>
      </c>
      <c r="N1" s="138" t="s">
        <v>78</v>
      </c>
      <c r="O1" s="138" t="s">
        <v>1520</v>
      </c>
      <c r="P1" s="138" t="s">
        <v>1524</v>
      </c>
      <c r="Q1" s="138" t="s">
        <v>1521</v>
      </c>
      <c r="R1" s="138" t="s">
        <v>79</v>
      </c>
      <c r="S1" s="139" t="s">
        <v>7</v>
      </c>
      <c r="T1" s="139" t="s">
        <v>307</v>
      </c>
      <c r="U1" s="139" t="s">
        <v>360</v>
      </c>
      <c r="V1" s="139" t="s">
        <v>367</v>
      </c>
      <c r="W1" s="139" t="s">
        <v>369</v>
      </c>
      <c r="X1" s="140" t="s">
        <v>368</v>
      </c>
      <c r="Y1" s="141" t="s">
        <v>370</v>
      </c>
      <c r="Z1" s="142" t="s">
        <v>410</v>
      </c>
    </row>
    <row r="2" spans="1:26" ht="27.75" customHeight="1" x14ac:dyDescent="0.3">
      <c r="A2" s="144" t="str">
        <f>+IF(PROVEEDORES[[#This Row],[FECHA DE PAGO]]=PROVEEDORES[[#This Row],[FECHA DE FACTURACIÓN]],"DE CONTADO","CRÉDITO")</f>
        <v>DE CONTADO</v>
      </c>
      <c r="B2" s="144" t="b">
        <f>+IF((PROVEEDORES[[#This Row],[FECHA DE PAGO]]-PROVEEDORES[[#This Row],[FECHA DE FACTURACIÓN]])&gt;PROVEEDORES[[#This Row],[PLAZO Días]],"PAGO VENCIDO")</f>
        <v>0</v>
      </c>
      <c r="C2" s="144">
        <f>+VLOOKUP(PROVEEDORES[[#This Row],[PROVEEDOR]],TERCEROS_INFO[#All],2,FALSE)</f>
        <v>0</v>
      </c>
      <c r="D2" s="145">
        <f>+SUMIFS(PROVEEDORES[Total],PROVEEDORES[PROVEEDOR],PROVEEDORES[[#This Row],[PROVEEDOR]],PROVEEDORES[FECHA DE PAGO],"")</f>
        <v>1503120</v>
      </c>
      <c r="E2" s="146"/>
      <c r="F2" s="144">
        <f>+VLOOKUP(PROVEEDORES[[#This Row],[PROVEEDOR]],
                       Terceros!$A:$G,
                       5,
                       FALSE)</f>
        <v>0</v>
      </c>
      <c r="G2" s="122">
        <v>44931</v>
      </c>
      <c r="H2" s="102" t="s">
        <v>1780</v>
      </c>
      <c r="I2" s="122">
        <v>44931</v>
      </c>
      <c r="J2" s="103" t="s">
        <v>540</v>
      </c>
      <c r="K2" s="103" t="s">
        <v>1512</v>
      </c>
      <c r="L2" s="103" t="s">
        <v>1515</v>
      </c>
      <c r="M2" s="105">
        <v>3875760</v>
      </c>
      <c r="N2" s="147">
        <v>0</v>
      </c>
      <c r="O2" s="147">
        <v>0</v>
      </c>
      <c r="P2" s="148">
        <v>0</v>
      </c>
      <c r="Q2" s="147">
        <v>0</v>
      </c>
      <c r="R2" s="149">
        <v>3875760</v>
      </c>
      <c r="S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" s="150">
        <f ca="1">+IF(PROVEEDORES[[#This Row],[FECHA DE PAGO]]=0,TODAY()-PROVEEDORES[[#This Row],[FECHA DE FACTURACIÓN]]-PROVEEDORES[[#This Row],[PLAZO Días]],0)</f>
        <v>0</v>
      </c>
      <c r="U2" s="150">
        <f>+VLOOKUP(PROVEEDORES[[#This Row],[PROVEEDOR]],Terceros!$A:$E,4,FALSE)</f>
        <v>0</v>
      </c>
      <c r="V2" s="150">
        <f>+YEAR(PROVEEDORES[[#This Row],[FECHA DE FACTURACIÓN]])</f>
        <v>2023</v>
      </c>
      <c r="W2" s="150">
        <f>+MATCH(PROVEEDORES[[#This Row],[año facturado]],Retenciones!$1:$1,0)</f>
        <v>6</v>
      </c>
      <c r="X2" s="151">
        <f>+VLOOKUP(PROVEEDORES[[#This Row],[ID RETENCION]],Retenciones!$A$1:$O$25,PROVEEDORES[[#This Row],[indicador de columna]],FALSE)</f>
        <v>0</v>
      </c>
      <c r="Y2" s="152">
        <f>+VLOOKUP(PROVEEDORES[[#This Row],[ID RETENCION]],Retenciones!$A$1:$O$25,2,FALSE)</f>
        <v>0</v>
      </c>
      <c r="Z2" s="153" t="b">
        <f>+OR(COUNTIF(PROVEEDORES[[#This Row],[PROVEEDOR]],"*"&amp;'Palabra que no opera y Listas d'!$A$2&amp;"*"))</f>
        <v>0</v>
      </c>
    </row>
    <row r="3" spans="1:26" ht="27.75" customHeight="1" x14ac:dyDescent="0.3">
      <c r="A3" s="144" t="str">
        <f>+IF(PROVEEDORES[[#This Row],[FECHA DE PAGO]]=PROVEEDORES[[#This Row],[FECHA DE FACTURACIÓN]],"DE CONTADO","CRÉDITO")</f>
        <v>DE CONTADO</v>
      </c>
      <c r="B3" s="144" t="b">
        <f>+IF((PROVEEDORES[[#This Row],[FECHA DE PAGO]]-PROVEEDORES[[#This Row],[FECHA DE FACTURACIÓN]])&gt;PROVEEDORES[[#This Row],[PLAZO Días]],"PAGO VENCIDO")</f>
        <v>0</v>
      </c>
      <c r="C3" s="144">
        <f>+VLOOKUP(PROVEEDORES[[#This Row],[PROVEEDOR]],TERCEROS_INFO[#All],2,FALSE)</f>
        <v>0</v>
      </c>
      <c r="D3" s="145">
        <f>+SUMIFS(PROVEEDORES[Total],PROVEEDORES[PROVEEDOR],PROVEEDORES[[#This Row],[PROVEEDOR]],PROVEEDORES[FECHA DE PAGO],"")</f>
        <v>0</v>
      </c>
      <c r="E3" s="146"/>
      <c r="F3" s="144">
        <f>+VLOOKUP(PROVEEDORES[[#This Row],[PROVEEDOR]],
                       Terceros!$A:$G,
                       5,
                       FALSE)</f>
        <v>0</v>
      </c>
      <c r="G3" s="122">
        <v>44940</v>
      </c>
      <c r="H3" s="102" t="s">
        <v>496</v>
      </c>
      <c r="I3" s="122">
        <v>44940</v>
      </c>
      <c r="J3" s="103" t="s">
        <v>535</v>
      </c>
      <c r="K3" s="103" t="s">
        <v>1512</v>
      </c>
      <c r="L3" s="103"/>
      <c r="M3" s="105">
        <v>896000</v>
      </c>
      <c r="N3" s="147">
        <v>0</v>
      </c>
      <c r="O3" s="147">
        <v>0</v>
      </c>
      <c r="P3" s="148">
        <v>0</v>
      </c>
      <c r="Q3" s="147">
        <v>0</v>
      </c>
      <c r="R3" s="149">
        <v>896000</v>
      </c>
      <c r="S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" s="150">
        <f ca="1">+IF(PROVEEDORES[[#This Row],[FECHA DE PAGO]]=0,TODAY()-PROVEEDORES[[#This Row],[FECHA DE FACTURACIÓN]]-PROVEEDORES[[#This Row],[PLAZO Días]],0)</f>
        <v>0</v>
      </c>
      <c r="U3" s="150">
        <f>+VLOOKUP(PROVEEDORES[[#This Row],[PROVEEDOR]],Terceros!$A:$E,4,FALSE)</f>
        <v>0</v>
      </c>
      <c r="V3" s="150">
        <f>+YEAR(PROVEEDORES[[#This Row],[FECHA DE FACTURACIÓN]])</f>
        <v>2023</v>
      </c>
      <c r="W3" s="150">
        <f>+MATCH(PROVEEDORES[[#This Row],[año facturado]],Retenciones!$1:$1,0)</f>
        <v>6</v>
      </c>
      <c r="X3" s="151">
        <f>+VLOOKUP(PROVEEDORES[[#This Row],[ID RETENCION]],Retenciones!$A$1:$O$25,PROVEEDORES[[#This Row],[indicador de columna]],FALSE)</f>
        <v>0</v>
      </c>
      <c r="Y3" s="152">
        <f>+VLOOKUP(PROVEEDORES[[#This Row],[ID RETENCION]],Retenciones!$A$1:$O$25,2,FALSE)</f>
        <v>0</v>
      </c>
      <c r="Z3" s="153" t="b">
        <f>+OR(COUNTIF(PROVEEDORES[[#This Row],[PROVEEDOR]],"*"&amp;'Palabra que no opera y Listas d'!$A$2&amp;"*"))</f>
        <v>0</v>
      </c>
    </row>
    <row r="4" spans="1:26" ht="27.75" customHeight="1" x14ac:dyDescent="0.3">
      <c r="A4" s="144" t="str">
        <f>+IF(PROVEEDORES[[#This Row],[FECHA DE PAGO]]=PROVEEDORES[[#This Row],[FECHA DE FACTURACIÓN]],"DE CONTADO","CRÉDITO")</f>
        <v>CRÉDITO</v>
      </c>
      <c r="B4" s="144" t="str">
        <f>+IF((PROVEEDORES[[#This Row],[FECHA DE PAGO]]-PROVEEDORES[[#This Row],[FECHA DE FACTURACIÓN]])&gt;PROVEEDORES[[#This Row],[PLAZO Días]],"PAGO VENCIDO")</f>
        <v>PAGO VENCIDO</v>
      </c>
      <c r="C4" s="144">
        <f>+VLOOKUP(PROVEEDORES[[#This Row],[PROVEEDOR]],TERCEROS_INFO[#All],2,FALSE)</f>
        <v>0</v>
      </c>
      <c r="D4" s="145">
        <f>+SUMIFS(PROVEEDORES[Total],PROVEEDORES[PROVEEDOR],PROVEEDORES[[#This Row],[PROVEEDOR]],PROVEEDORES[FECHA DE PAGO],"")</f>
        <v>0</v>
      </c>
      <c r="E4" s="146"/>
      <c r="F4" s="144">
        <f>+VLOOKUP(PROVEEDORES[[#This Row],[PROVEEDOR]],
                       Terceros!$A:$G,
                       5,
                       FALSE)</f>
        <v>0</v>
      </c>
      <c r="G4" s="122">
        <v>44942</v>
      </c>
      <c r="H4" s="102" t="s">
        <v>388</v>
      </c>
      <c r="I4" s="122">
        <v>44928</v>
      </c>
      <c r="J4" s="103" t="s">
        <v>518</v>
      </c>
      <c r="K4" s="103" t="s">
        <v>1512</v>
      </c>
      <c r="L4" s="103"/>
      <c r="M4" s="105">
        <v>1866320</v>
      </c>
      <c r="N4" s="147">
        <v>0</v>
      </c>
      <c r="O4" s="147">
        <v>0</v>
      </c>
      <c r="P4" s="148">
        <v>0</v>
      </c>
      <c r="Q4" s="147">
        <v>0</v>
      </c>
      <c r="R4" s="149">
        <v>1866320</v>
      </c>
      <c r="S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" s="150">
        <f ca="1">+IF(PROVEEDORES[[#This Row],[FECHA DE PAGO]]=0,TODAY()-PROVEEDORES[[#This Row],[FECHA DE FACTURACIÓN]]-PROVEEDORES[[#This Row],[PLAZO Días]],0)</f>
        <v>0</v>
      </c>
      <c r="U4" s="150">
        <f>+VLOOKUP(PROVEEDORES[[#This Row],[PROVEEDOR]],Terceros!$A:$E,4,FALSE)</f>
        <v>0</v>
      </c>
      <c r="V4" s="150">
        <f>+YEAR(PROVEEDORES[[#This Row],[FECHA DE FACTURACIÓN]])</f>
        <v>2023</v>
      </c>
      <c r="W4" s="150">
        <f>+MATCH(PROVEEDORES[[#This Row],[año facturado]],Retenciones!$1:$1,0)</f>
        <v>6</v>
      </c>
      <c r="X4" s="151">
        <f>+VLOOKUP(PROVEEDORES[[#This Row],[ID RETENCION]],Retenciones!$A$1:$O$25,PROVEEDORES[[#This Row],[indicador de columna]],FALSE)</f>
        <v>0</v>
      </c>
      <c r="Y4" s="152">
        <f>+VLOOKUP(PROVEEDORES[[#This Row],[ID RETENCION]],Retenciones!$A$1:$O$25,2,FALSE)</f>
        <v>0</v>
      </c>
      <c r="Z4" s="153" t="b">
        <f>+OR(COUNTIF(PROVEEDORES[[#This Row],[PROVEEDOR]],"*"&amp;'Palabra que no opera y Listas d'!$A$2&amp;"*"))</f>
        <v>1</v>
      </c>
    </row>
    <row r="5" spans="1:26" ht="27.75" customHeight="1" x14ac:dyDescent="0.3">
      <c r="A5" s="144" t="str">
        <f>+IF(PROVEEDORES[[#This Row],[FECHA DE PAGO]]=PROVEEDORES[[#This Row],[FECHA DE FACTURACIÓN]],"DE CONTADO","CRÉDITO")</f>
        <v>DE CONTADO</v>
      </c>
      <c r="B5" s="144" t="b">
        <f>+IF((PROVEEDORES[[#This Row],[FECHA DE PAGO]]-PROVEEDORES[[#This Row],[FECHA DE FACTURACIÓN]])&gt;PROVEEDORES[[#This Row],[PLAZO Días]],"PAGO VENCIDO")</f>
        <v>0</v>
      </c>
      <c r="C5" s="144">
        <f>+VLOOKUP(PROVEEDORES[[#This Row],[PROVEEDOR]],TERCEROS_INFO[#All],2,FALSE)</f>
        <v>0</v>
      </c>
      <c r="D5" s="145">
        <f>+SUMIFS(PROVEEDORES[Total],PROVEEDORES[PROVEEDOR],PROVEEDORES[[#This Row],[PROVEEDOR]],PROVEEDORES[FECHA DE PAGO],"")</f>
        <v>0</v>
      </c>
      <c r="E5" s="146"/>
      <c r="F5" s="144">
        <f>+VLOOKUP(PROVEEDORES[[#This Row],[PROVEEDOR]],
                       Terceros!$A:$G,
                       5,
                       FALSE)</f>
        <v>0</v>
      </c>
      <c r="G5" s="122">
        <v>44943</v>
      </c>
      <c r="H5" s="102" t="s">
        <v>537</v>
      </c>
      <c r="I5" s="122">
        <v>44943</v>
      </c>
      <c r="J5" s="103" t="s">
        <v>543</v>
      </c>
      <c r="K5" s="103" t="s">
        <v>1512</v>
      </c>
      <c r="L5" s="103"/>
      <c r="M5" s="105">
        <v>1055879</v>
      </c>
      <c r="N5" s="147">
        <v>0</v>
      </c>
      <c r="O5" s="147">
        <v>0</v>
      </c>
      <c r="P5" s="148">
        <v>0</v>
      </c>
      <c r="Q5" s="147">
        <v>0</v>
      </c>
      <c r="R5" s="149">
        <v>1055879</v>
      </c>
      <c r="S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" s="150">
        <f ca="1">+IF(PROVEEDORES[[#This Row],[FECHA DE PAGO]]=0,TODAY()-PROVEEDORES[[#This Row],[FECHA DE FACTURACIÓN]]-PROVEEDORES[[#This Row],[PLAZO Días]],0)</f>
        <v>0</v>
      </c>
      <c r="U5" s="150">
        <f>+VLOOKUP(PROVEEDORES[[#This Row],[PROVEEDOR]],Terceros!$A:$E,4,FALSE)</f>
        <v>0</v>
      </c>
      <c r="V5" s="150">
        <f>+YEAR(PROVEEDORES[[#This Row],[FECHA DE FACTURACIÓN]])</f>
        <v>2023</v>
      </c>
      <c r="W5" s="150">
        <f>+MATCH(PROVEEDORES[[#This Row],[año facturado]],Retenciones!$1:$1,0)</f>
        <v>6</v>
      </c>
      <c r="X5" s="151">
        <f>+VLOOKUP(PROVEEDORES[[#This Row],[ID RETENCION]],Retenciones!$A$1:$O$25,PROVEEDORES[[#This Row],[indicador de columna]],FALSE)</f>
        <v>0</v>
      </c>
      <c r="Y5" s="152">
        <f>+VLOOKUP(PROVEEDORES[[#This Row],[ID RETENCION]],Retenciones!$A$1:$O$25,2,FALSE)</f>
        <v>0</v>
      </c>
      <c r="Z5" s="153" t="b">
        <f>+OR(COUNTIF(PROVEEDORES[[#This Row],[PROVEEDOR]],"*"&amp;'Palabra que no opera y Listas d'!$A$2&amp;"*"))</f>
        <v>0</v>
      </c>
    </row>
    <row r="6" spans="1:26" ht="27.75" customHeight="1" x14ac:dyDescent="0.3">
      <c r="A6" s="144" t="str">
        <f>+IF(PROVEEDORES[[#This Row],[FECHA DE PAGO]]=PROVEEDORES[[#This Row],[FECHA DE FACTURACIÓN]],"DE CONTADO","CRÉDITO")</f>
        <v>CRÉDITO</v>
      </c>
      <c r="B6" s="144" t="str">
        <f>+IF((PROVEEDORES[[#This Row],[FECHA DE PAGO]]-PROVEEDORES[[#This Row],[FECHA DE FACTURACIÓN]])&gt;PROVEEDORES[[#This Row],[PLAZO Días]],"PAGO VENCIDO")</f>
        <v>PAGO VENCIDO</v>
      </c>
      <c r="C6" s="144">
        <f>+VLOOKUP(PROVEEDORES[[#This Row],[PROVEEDOR]],TERCEROS_INFO[#All],2,FALSE)</f>
        <v>0</v>
      </c>
      <c r="D6" s="145">
        <f>+SUMIFS(PROVEEDORES[Total],PROVEEDORES[PROVEEDOR],PROVEEDORES[[#This Row],[PROVEEDOR]],PROVEEDORES[FECHA DE PAGO],"")</f>
        <v>0</v>
      </c>
      <c r="E6" s="146"/>
      <c r="F6" s="144">
        <f>+VLOOKUP(PROVEEDORES[[#This Row],[PROVEEDOR]],
                       Terceros!$A:$G,
                       5,
                       FALSE)</f>
        <v>0</v>
      </c>
      <c r="G6" s="122">
        <v>44946</v>
      </c>
      <c r="H6" s="102" t="s">
        <v>391</v>
      </c>
      <c r="I6" s="122">
        <v>44929</v>
      </c>
      <c r="J6" s="103" t="s">
        <v>521</v>
      </c>
      <c r="K6" s="103" t="s">
        <v>1512</v>
      </c>
      <c r="L6" s="103"/>
      <c r="M6" s="105">
        <v>337254</v>
      </c>
      <c r="N6" s="147">
        <v>0</v>
      </c>
      <c r="O6" s="147">
        <v>0</v>
      </c>
      <c r="P6" s="148">
        <v>0</v>
      </c>
      <c r="Q6" s="147">
        <v>0</v>
      </c>
      <c r="R6" s="149">
        <v>337254</v>
      </c>
      <c r="S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" s="150">
        <f ca="1">+IF(PROVEEDORES[[#This Row],[FECHA DE PAGO]]=0,TODAY()-PROVEEDORES[[#This Row],[FECHA DE FACTURACIÓN]]-PROVEEDORES[[#This Row],[PLAZO Días]],0)</f>
        <v>0</v>
      </c>
      <c r="U6" s="150">
        <f>+VLOOKUP(PROVEEDORES[[#This Row],[PROVEEDOR]],Terceros!$A:$E,4,FALSE)</f>
        <v>0</v>
      </c>
      <c r="V6" s="150">
        <f>+YEAR(PROVEEDORES[[#This Row],[FECHA DE FACTURACIÓN]])</f>
        <v>2023</v>
      </c>
      <c r="W6" s="150">
        <f>+MATCH(PROVEEDORES[[#This Row],[año facturado]],Retenciones!$1:$1,0)</f>
        <v>6</v>
      </c>
      <c r="X6" s="151">
        <f>+VLOOKUP(PROVEEDORES[[#This Row],[ID RETENCION]],Retenciones!$A$1:$O$25,PROVEEDORES[[#This Row],[indicador de columna]],FALSE)</f>
        <v>0</v>
      </c>
      <c r="Y6" s="152">
        <f>+VLOOKUP(PROVEEDORES[[#This Row],[ID RETENCION]],Retenciones!$A$1:$O$25,2,FALSE)</f>
        <v>0</v>
      </c>
      <c r="Z6" s="153" t="b">
        <f>+OR(COUNTIF(PROVEEDORES[[#This Row],[PROVEEDOR]],"*"&amp;'Palabra que no opera y Listas d'!$A$2&amp;"*"))</f>
        <v>1</v>
      </c>
    </row>
    <row r="7" spans="1:26" ht="27.75" customHeight="1" x14ac:dyDescent="0.3">
      <c r="A7" s="144" t="str">
        <f>+IF(PROVEEDORES[[#This Row],[FECHA DE PAGO]]=PROVEEDORES[[#This Row],[FECHA DE FACTURACIÓN]],"DE CONTADO","CRÉDITO")</f>
        <v>DE CONTADO</v>
      </c>
      <c r="B7" s="144" t="b">
        <f>+IF((PROVEEDORES[[#This Row],[FECHA DE PAGO]]-PROVEEDORES[[#This Row],[FECHA DE FACTURACIÓN]])&gt;PROVEEDORES[[#This Row],[PLAZO Días]],"PAGO VENCIDO")</f>
        <v>0</v>
      </c>
      <c r="C7" s="144">
        <f>+VLOOKUP(PROVEEDORES[[#This Row],[PROVEEDOR]],TERCEROS_INFO[#All],2,FALSE)</f>
        <v>0</v>
      </c>
      <c r="D7" s="145">
        <f>+SUMIFS(PROVEEDORES[Total],PROVEEDORES[PROVEEDOR],PROVEEDORES[[#This Row],[PROVEEDOR]],PROVEEDORES[FECHA DE PAGO],"")</f>
        <v>0</v>
      </c>
      <c r="E7" s="146"/>
      <c r="F7" s="144">
        <f>+VLOOKUP(PROVEEDORES[[#This Row],[PROVEEDOR]],
                       Terceros!$A:$G,
                       5,
                       FALSE)</f>
        <v>0</v>
      </c>
      <c r="G7" s="122">
        <v>44946</v>
      </c>
      <c r="H7" s="102" t="s">
        <v>537</v>
      </c>
      <c r="I7" s="122">
        <v>44946</v>
      </c>
      <c r="J7" s="103" t="s">
        <v>538</v>
      </c>
      <c r="K7" s="103" t="s">
        <v>1512</v>
      </c>
      <c r="L7" s="103"/>
      <c r="M7" s="105">
        <v>69000</v>
      </c>
      <c r="N7" s="147">
        <v>0</v>
      </c>
      <c r="O7" s="147">
        <v>0</v>
      </c>
      <c r="P7" s="148">
        <v>0</v>
      </c>
      <c r="Q7" s="147">
        <v>0</v>
      </c>
      <c r="R7" s="149">
        <v>69000</v>
      </c>
      <c r="S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" s="150">
        <f ca="1">+IF(PROVEEDORES[[#This Row],[FECHA DE PAGO]]=0,TODAY()-PROVEEDORES[[#This Row],[FECHA DE FACTURACIÓN]]-PROVEEDORES[[#This Row],[PLAZO Días]],0)</f>
        <v>0</v>
      </c>
      <c r="U7" s="150">
        <f>+VLOOKUP(PROVEEDORES[[#This Row],[PROVEEDOR]],Terceros!$A:$E,4,FALSE)</f>
        <v>0</v>
      </c>
      <c r="V7" s="150">
        <f>+YEAR(PROVEEDORES[[#This Row],[FECHA DE FACTURACIÓN]])</f>
        <v>2023</v>
      </c>
      <c r="W7" s="150">
        <f>+MATCH(PROVEEDORES[[#This Row],[año facturado]],Retenciones!$1:$1,0)</f>
        <v>6</v>
      </c>
      <c r="X7" s="151">
        <f>+VLOOKUP(PROVEEDORES[[#This Row],[ID RETENCION]],Retenciones!$A$1:$O$25,PROVEEDORES[[#This Row],[indicador de columna]],FALSE)</f>
        <v>0</v>
      </c>
      <c r="Y7" s="152">
        <f>+VLOOKUP(PROVEEDORES[[#This Row],[ID RETENCION]],Retenciones!$A$1:$O$25,2,FALSE)</f>
        <v>0</v>
      </c>
      <c r="Z7" s="153" t="b">
        <f>+OR(COUNTIF(PROVEEDORES[[#This Row],[PROVEEDOR]],"*"&amp;'Palabra que no opera y Listas d'!$A$2&amp;"*"))</f>
        <v>0</v>
      </c>
    </row>
    <row r="8" spans="1:26" ht="27.75" customHeight="1" x14ac:dyDescent="0.3">
      <c r="A8" s="144" t="str">
        <f>+IF(PROVEEDORES[[#This Row],[FECHA DE PAGO]]=PROVEEDORES[[#This Row],[FECHA DE FACTURACIÓN]],"DE CONTADO","CRÉDITO")</f>
        <v>DE CONTADO</v>
      </c>
      <c r="B8" s="144" t="b">
        <f>+IF((PROVEEDORES[[#This Row],[FECHA DE PAGO]]-PROVEEDORES[[#This Row],[FECHA DE FACTURACIÓN]])&gt;PROVEEDORES[[#This Row],[PLAZO Días]],"PAGO VENCIDO")</f>
        <v>0</v>
      </c>
      <c r="C8" s="144">
        <f>+VLOOKUP(PROVEEDORES[[#This Row],[PROVEEDOR]],TERCEROS_INFO[#All],2,FALSE)</f>
        <v>0</v>
      </c>
      <c r="D8" s="145">
        <f>+SUMIFS(PROVEEDORES[Total],PROVEEDORES[PROVEEDOR],PROVEEDORES[[#This Row],[PROVEEDOR]],PROVEEDORES[FECHA DE PAGO],"")</f>
        <v>550000</v>
      </c>
      <c r="E8" s="146"/>
      <c r="F8" s="144">
        <f>+VLOOKUP(PROVEEDORES[[#This Row],[PROVEEDOR]],
                       Terceros!$A:$G,
                       5,
                       FALSE)</f>
        <v>0</v>
      </c>
      <c r="G8" s="122">
        <v>44947</v>
      </c>
      <c r="H8" s="102" t="s">
        <v>1784</v>
      </c>
      <c r="I8" s="122">
        <v>44947</v>
      </c>
      <c r="J8" s="103" t="s">
        <v>541</v>
      </c>
      <c r="K8" s="103" t="s">
        <v>1512</v>
      </c>
      <c r="L8" s="103"/>
      <c r="M8" s="105">
        <v>840000</v>
      </c>
      <c r="N8" s="147">
        <v>0</v>
      </c>
      <c r="O8" s="147">
        <v>0</v>
      </c>
      <c r="P8" s="148">
        <v>0</v>
      </c>
      <c r="Q8" s="147">
        <v>0</v>
      </c>
      <c r="R8" s="149">
        <v>840000</v>
      </c>
      <c r="S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" s="150">
        <f ca="1">+IF(PROVEEDORES[[#This Row],[FECHA DE PAGO]]=0,TODAY()-PROVEEDORES[[#This Row],[FECHA DE FACTURACIÓN]]-PROVEEDORES[[#This Row],[PLAZO Días]],0)</f>
        <v>0</v>
      </c>
      <c r="U8" s="150">
        <f>+VLOOKUP(PROVEEDORES[[#This Row],[PROVEEDOR]],Terceros!$A:$E,4,FALSE)</f>
        <v>0</v>
      </c>
      <c r="V8" s="150">
        <f>+YEAR(PROVEEDORES[[#This Row],[FECHA DE FACTURACIÓN]])</f>
        <v>2023</v>
      </c>
      <c r="W8" s="150">
        <f>+MATCH(PROVEEDORES[[#This Row],[año facturado]],Retenciones!$1:$1,0)</f>
        <v>6</v>
      </c>
      <c r="X8" s="151">
        <f>+VLOOKUP(PROVEEDORES[[#This Row],[ID RETENCION]],Retenciones!$A$1:$O$25,PROVEEDORES[[#This Row],[indicador de columna]],FALSE)</f>
        <v>0</v>
      </c>
      <c r="Y8" s="152">
        <f>+VLOOKUP(PROVEEDORES[[#This Row],[ID RETENCION]],Retenciones!$A$1:$O$25,2,FALSE)</f>
        <v>0</v>
      </c>
      <c r="Z8" s="153" t="b">
        <f>+OR(COUNTIF(PROVEEDORES[[#This Row],[PROVEEDOR]],"*"&amp;'Palabra que no opera y Listas d'!$A$2&amp;"*"))</f>
        <v>0</v>
      </c>
    </row>
    <row r="9" spans="1:26" ht="27.75" customHeight="1" x14ac:dyDescent="0.3">
      <c r="A9" s="144" t="str">
        <f>+IF(PROVEEDORES[[#This Row],[FECHA DE PAGO]]=PROVEEDORES[[#This Row],[FECHA DE FACTURACIÓN]],"DE CONTADO","CRÉDITO")</f>
        <v>CRÉDITO</v>
      </c>
      <c r="B9" s="144" t="b">
        <f>+IF((PROVEEDORES[[#This Row],[FECHA DE PAGO]]-PROVEEDORES[[#This Row],[FECHA DE FACTURACIÓN]])&gt;PROVEEDORES[[#This Row],[PLAZO Días]],"PAGO VENCIDO")</f>
        <v>0</v>
      </c>
      <c r="C9" s="144">
        <f>+VLOOKUP(PROVEEDORES[[#This Row],[PROVEEDOR]],TERCEROS_INFO[#All],2,FALSE)</f>
        <v>0</v>
      </c>
      <c r="D9" s="145">
        <f>+SUMIFS(PROVEEDORES[Total],PROVEEDORES[PROVEEDOR],PROVEEDORES[[#This Row],[PROVEEDOR]],PROVEEDORES[FECHA DE PAGO],"")</f>
        <v>0</v>
      </c>
      <c r="E9" s="146"/>
      <c r="F9" s="144" t="str">
        <f>+VLOOKUP(PROVEEDORES[[#This Row],[PROVEEDOR]],
                       Terceros!$A:$G,
                       5,
                       FALSE)</f>
        <v>2,5% con base</v>
      </c>
      <c r="G9" s="122">
        <v>44948</v>
      </c>
      <c r="H9" s="102" t="s">
        <v>71</v>
      </c>
      <c r="I9" s="122">
        <v>45252</v>
      </c>
      <c r="J9" s="103" t="s">
        <v>1436</v>
      </c>
      <c r="K9" s="103" t="s">
        <v>1512</v>
      </c>
      <c r="L9" s="103"/>
      <c r="M9" s="105">
        <v>-504202</v>
      </c>
      <c r="N9" s="147">
        <v>-95798.38</v>
      </c>
      <c r="O9" s="147">
        <v>0</v>
      </c>
      <c r="P9" s="148">
        <v>0</v>
      </c>
      <c r="Q9" s="147">
        <v>0</v>
      </c>
      <c r="R9" s="149">
        <v>-600000.38</v>
      </c>
      <c r="S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" s="150">
        <f ca="1">+IF(PROVEEDORES[[#This Row],[FECHA DE PAGO]]=0,TODAY()-PROVEEDORES[[#This Row],[FECHA DE FACTURACIÓN]]-PROVEEDORES[[#This Row],[PLAZO Días]],0)</f>
        <v>0</v>
      </c>
      <c r="U9" s="150">
        <f>+VLOOKUP(PROVEEDORES[[#This Row],[PROVEEDOR]],Terceros!$A:$E,4,FALSE)</f>
        <v>0.19</v>
      </c>
      <c r="V9" s="150">
        <f>+YEAR(PROVEEDORES[[#This Row],[FECHA DE FACTURACIÓN]])</f>
        <v>2023</v>
      </c>
      <c r="W9" s="150">
        <f>+MATCH(PROVEEDORES[[#This Row],[año facturado]],Retenciones!$1:$1,0)</f>
        <v>6</v>
      </c>
      <c r="X9" s="151" t="e">
        <f>+VLOOKUP(PROVEEDORES[[#This Row],[ID RETENCION]],Retenciones!$A$1:$O$25,PROVEEDORES[[#This Row],[indicador de columna]],FALSE)</f>
        <v>#N/A</v>
      </c>
      <c r="Y9" s="152" t="e">
        <f>+VLOOKUP(PROVEEDORES[[#This Row],[ID RETENCION]],Retenciones!$A$1:$O$25,2,FALSE)</f>
        <v>#N/A</v>
      </c>
      <c r="Z9" s="153" t="b">
        <f>+OR(COUNTIF(PROVEEDORES[[#This Row],[PROVEEDOR]],"*"&amp;'Palabra que no opera y Listas d'!$A$2&amp;"*"))</f>
        <v>0</v>
      </c>
    </row>
    <row r="10" spans="1:26" ht="27.75" customHeight="1" x14ac:dyDescent="0.3">
      <c r="A10" s="144" t="str">
        <f>+IF(PROVEEDORES[[#This Row],[FECHA DE PAGO]]=PROVEEDORES[[#This Row],[FECHA DE FACTURACIÓN]],"DE CONTADO","CRÉDITO")</f>
        <v>DE CONTADO</v>
      </c>
      <c r="B10" s="144" t="b">
        <f>+IF((PROVEEDORES[[#This Row],[FECHA DE PAGO]]-PROVEEDORES[[#This Row],[FECHA DE FACTURACIÓN]])&gt;PROVEEDORES[[#This Row],[PLAZO Días]],"PAGO VENCIDO")</f>
        <v>0</v>
      </c>
      <c r="C10" s="144">
        <f>+VLOOKUP(PROVEEDORES[[#This Row],[PROVEEDOR]],TERCEROS_INFO[#All],2,FALSE)</f>
        <v>0</v>
      </c>
      <c r="D10" s="145">
        <f>+SUMIFS(PROVEEDORES[Total],PROVEEDORES[PROVEEDOR],PROVEEDORES[[#This Row],[PROVEEDOR]],PROVEEDORES[FECHA DE PAGO],"")</f>
        <v>0</v>
      </c>
      <c r="E10" s="146"/>
      <c r="F10" s="144">
        <f>+VLOOKUP(PROVEEDORES[[#This Row],[PROVEEDOR]],
                       Terceros!$A:$G,
                       5,
                       FALSE)</f>
        <v>0</v>
      </c>
      <c r="G10" s="122">
        <v>44949</v>
      </c>
      <c r="H10" s="102" t="s">
        <v>496</v>
      </c>
      <c r="I10" s="122">
        <v>44949</v>
      </c>
      <c r="J10" s="103" t="s">
        <v>536</v>
      </c>
      <c r="K10" s="103" t="s">
        <v>1512</v>
      </c>
      <c r="L10" s="103"/>
      <c r="M10" s="105">
        <v>1883000</v>
      </c>
      <c r="N10" s="147">
        <v>0</v>
      </c>
      <c r="O10" s="147">
        <v>0</v>
      </c>
      <c r="P10" s="148">
        <v>0</v>
      </c>
      <c r="Q10" s="147">
        <v>0</v>
      </c>
      <c r="R10" s="149">
        <v>1883000</v>
      </c>
      <c r="S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" s="150">
        <f ca="1">+IF(PROVEEDORES[[#This Row],[FECHA DE PAGO]]=0,TODAY()-PROVEEDORES[[#This Row],[FECHA DE FACTURACIÓN]]-PROVEEDORES[[#This Row],[PLAZO Días]],0)</f>
        <v>0</v>
      </c>
      <c r="U10" s="150">
        <f>+VLOOKUP(PROVEEDORES[[#This Row],[PROVEEDOR]],Terceros!$A:$E,4,FALSE)</f>
        <v>0</v>
      </c>
      <c r="V10" s="150">
        <f>+YEAR(PROVEEDORES[[#This Row],[FECHA DE FACTURACIÓN]])</f>
        <v>2023</v>
      </c>
      <c r="W10" s="150">
        <f>+MATCH(PROVEEDORES[[#This Row],[año facturado]],Retenciones!$1:$1,0)</f>
        <v>6</v>
      </c>
      <c r="X10" s="151">
        <f>+VLOOKUP(PROVEEDORES[[#This Row],[ID RETENCION]],Retenciones!$A$1:$O$25,PROVEEDORES[[#This Row],[indicador de columna]],FALSE)</f>
        <v>0</v>
      </c>
      <c r="Y10" s="152">
        <f>+VLOOKUP(PROVEEDORES[[#This Row],[ID RETENCION]],Retenciones!$A$1:$O$25,2,FALSE)</f>
        <v>0</v>
      </c>
      <c r="Z10" s="153" t="b">
        <f>+OR(COUNTIF(PROVEEDORES[[#This Row],[PROVEEDOR]],"*"&amp;'Palabra que no opera y Listas d'!$A$2&amp;"*"))</f>
        <v>0</v>
      </c>
    </row>
    <row r="11" spans="1:26" ht="27.75" customHeight="1" x14ac:dyDescent="0.3">
      <c r="A11" s="144" t="str">
        <f>+IF(PROVEEDORES[[#This Row],[FECHA DE PAGO]]=PROVEEDORES[[#This Row],[FECHA DE FACTURACIÓN]],"DE CONTADO","CRÉDITO")</f>
        <v>DE CONTADO</v>
      </c>
      <c r="B11" s="144" t="b">
        <f>+IF((PROVEEDORES[[#This Row],[FECHA DE PAGO]]-PROVEEDORES[[#This Row],[FECHA DE FACTURACIÓN]])&gt;PROVEEDORES[[#This Row],[PLAZO Días]],"PAGO VENCIDO")</f>
        <v>0</v>
      </c>
      <c r="C11" s="144">
        <f>+VLOOKUP(PROVEEDORES[[#This Row],[PROVEEDOR]],TERCEROS_INFO[#All],2,FALSE)</f>
        <v>0</v>
      </c>
      <c r="D11" s="145">
        <f>+SUMIFS(PROVEEDORES[Total],PROVEEDORES[PROVEEDOR],PROVEEDORES[[#This Row],[PROVEEDOR]],PROVEEDORES[FECHA DE PAGO],"")</f>
        <v>0</v>
      </c>
      <c r="E11" s="146"/>
      <c r="F11" s="144">
        <f>+VLOOKUP(PROVEEDORES[[#This Row],[PROVEEDOR]],
                       Terceros!$A:$G,
                       5,
                       FALSE)</f>
        <v>0</v>
      </c>
      <c r="G11" s="122">
        <v>44949</v>
      </c>
      <c r="H11" s="102" t="s">
        <v>191</v>
      </c>
      <c r="I11" s="122">
        <v>44949</v>
      </c>
      <c r="J11" s="103" t="s">
        <v>532</v>
      </c>
      <c r="K11" s="103" t="s">
        <v>1512</v>
      </c>
      <c r="L11" s="103"/>
      <c r="M11" s="105">
        <v>2110000</v>
      </c>
      <c r="N11" s="147">
        <v>0</v>
      </c>
      <c r="O11" s="147">
        <v>0</v>
      </c>
      <c r="P11" s="148">
        <v>0</v>
      </c>
      <c r="Q11" s="147">
        <v>0</v>
      </c>
      <c r="R11" s="149">
        <v>2110000</v>
      </c>
      <c r="S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" s="150">
        <f ca="1">+IF(PROVEEDORES[[#This Row],[FECHA DE PAGO]]=0,TODAY()-PROVEEDORES[[#This Row],[FECHA DE FACTURACIÓN]]-PROVEEDORES[[#This Row],[PLAZO Días]],0)</f>
        <v>0</v>
      </c>
      <c r="U11" s="150">
        <f>+VLOOKUP(PROVEEDORES[[#This Row],[PROVEEDOR]],Terceros!$A:$E,4,FALSE)</f>
        <v>0</v>
      </c>
      <c r="V11" s="150">
        <f>+YEAR(PROVEEDORES[[#This Row],[FECHA DE FACTURACIÓN]])</f>
        <v>2023</v>
      </c>
      <c r="W11" s="150">
        <f>+MATCH(PROVEEDORES[[#This Row],[año facturado]],Retenciones!$1:$1,0)</f>
        <v>6</v>
      </c>
      <c r="X11" s="151">
        <f>+VLOOKUP(PROVEEDORES[[#This Row],[ID RETENCION]],Retenciones!$A$1:$O$25,PROVEEDORES[[#This Row],[indicador de columna]],FALSE)</f>
        <v>0</v>
      </c>
      <c r="Y11" s="152">
        <f>+VLOOKUP(PROVEEDORES[[#This Row],[ID RETENCION]],Retenciones!$A$1:$O$25,2,FALSE)</f>
        <v>0</v>
      </c>
      <c r="Z11" s="153" t="b">
        <f>+OR(COUNTIF(PROVEEDORES[[#This Row],[PROVEEDOR]],"*"&amp;'Palabra que no opera y Listas d'!$A$2&amp;"*"))</f>
        <v>0</v>
      </c>
    </row>
    <row r="12" spans="1:26" ht="27.75" customHeight="1" x14ac:dyDescent="0.3">
      <c r="A12" s="144" t="str">
        <f>+IF(PROVEEDORES[[#This Row],[FECHA DE PAGO]]=PROVEEDORES[[#This Row],[FECHA DE FACTURACIÓN]],"DE CONTADO","CRÉDITO")</f>
        <v>CRÉDITO</v>
      </c>
      <c r="B12" s="144" t="str">
        <f>+IF((PROVEEDORES[[#This Row],[FECHA DE PAGO]]-PROVEEDORES[[#This Row],[FECHA DE FACTURACIÓN]])&gt;PROVEEDORES[[#This Row],[PLAZO Días]],"PAGO VENCIDO")</f>
        <v>PAGO VENCIDO</v>
      </c>
      <c r="C12" s="144">
        <f>+VLOOKUP(PROVEEDORES[[#This Row],[PROVEEDOR]],TERCEROS_INFO[#All],2,FALSE)</f>
        <v>0</v>
      </c>
      <c r="D12" s="145">
        <f>+SUMIFS(PROVEEDORES[Total],PROVEEDORES[PROVEEDOR],PROVEEDORES[[#This Row],[PROVEEDOR]],PROVEEDORES[FECHA DE PAGO],"")</f>
        <v>0</v>
      </c>
      <c r="E12" s="146"/>
      <c r="F12" s="144" t="str">
        <f>+VLOOKUP(PROVEEDORES[[#This Row],[PROVEEDOR]],
                       Terceros!$A:$G,
                       5,
                       FALSE)</f>
        <v>3,5% sin base</v>
      </c>
      <c r="G12" s="122">
        <v>44952</v>
      </c>
      <c r="H12" s="102" t="s">
        <v>409</v>
      </c>
      <c r="I12" s="122">
        <v>44928</v>
      </c>
      <c r="J12" s="103" t="s">
        <v>527</v>
      </c>
      <c r="K12" s="103" t="s">
        <v>1512</v>
      </c>
      <c r="L12" s="103"/>
      <c r="M12" s="105">
        <v>242340</v>
      </c>
      <c r="N12" s="147">
        <v>46044.6</v>
      </c>
      <c r="O12" s="147">
        <v>0</v>
      </c>
      <c r="P12" s="148">
        <v>3.5000000000000003E-2</v>
      </c>
      <c r="Q12" s="147">
        <v>8481.9000000000015</v>
      </c>
      <c r="R12" s="149">
        <v>279902.69999999995</v>
      </c>
      <c r="S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" s="150">
        <f ca="1">+IF(PROVEEDORES[[#This Row],[FECHA DE PAGO]]=0,TODAY()-PROVEEDORES[[#This Row],[FECHA DE FACTURACIÓN]]-PROVEEDORES[[#This Row],[PLAZO Días]],0)</f>
        <v>0</v>
      </c>
      <c r="U12" s="150">
        <f>+VLOOKUP(PROVEEDORES[[#This Row],[PROVEEDOR]],Terceros!$A:$E,4,FALSE)</f>
        <v>0.19</v>
      </c>
      <c r="V12" s="150">
        <f>+YEAR(PROVEEDORES[[#This Row],[FECHA DE FACTURACIÓN]])</f>
        <v>2023</v>
      </c>
      <c r="W12" s="150">
        <f>+MATCH(PROVEEDORES[[#This Row],[año facturado]],Retenciones!$1:$1,0)</f>
        <v>6</v>
      </c>
      <c r="X12" s="151" t="e">
        <f>+VLOOKUP(PROVEEDORES[[#This Row],[ID RETENCION]],Retenciones!$A$1:$O$25,PROVEEDORES[[#This Row],[indicador de columna]],FALSE)</f>
        <v>#N/A</v>
      </c>
      <c r="Y12" s="152" t="e">
        <f>+VLOOKUP(PROVEEDORES[[#This Row],[ID RETENCION]],Retenciones!$A$1:$O$25,2,FALSE)</f>
        <v>#N/A</v>
      </c>
      <c r="Z12" s="153" t="b">
        <f>+OR(COUNTIF(PROVEEDORES[[#This Row],[PROVEEDOR]],"*"&amp;'Palabra que no opera y Listas d'!$A$2&amp;"*"))</f>
        <v>1</v>
      </c>
    </row>
    <row r="13" spans="1:26" ht="27.75" customHeight="1" x14ac:dyDescent="0.3">
      <c r="A13" s="144" t="str">
        <f>+IF(PROVEEDORES[[#This Row],[FECHA DE PAGO]]=PROVEEDORES[[#This Row],[FECHA DE FACTURACIÓN]],"DE CONTADO","CRÉDITO")</f>
        <v>CRÉDITO</v>
      </c>
      <c r="B13" s="144" t="str">
        <f>+IF((PROVEEDORES[[#This Row],[FECHA DE PAGO]]-PROVEEDORES[[#This Row],[FECHA DE FACTURACIÓN]])&gt;PROVEEDORES[[#This Row],[PLAZO Días]],"PAGO VENCIDO")</f>
        <v>PAGO VENCIDO</v>
      </c>
      <c r="C13" s="144">
        <f>+VLOOKUP(PROVEEDORES[[#This Row],[PROVEEDOR]],TERCEROS_INFO[#All],2,FALSE)</f>
        <v>0</v>
      </c>
      <c r="D13" s="145">
        <f>+SUMIFS(PROVEEDORES[Total],PROVEEDORES[PROVEEDOR],PROVEEDORES[[#This Row],[PROVEEDOR]],PROVEEDORES[FECHA DE PAGO],"")</f>
        <v>0</v>
      </c>
      <c r="E13" s="146"/>
      <c r="F13" s="144">
        <f>+VLOOKUP(PROVEEDORES[[#This Row],[PROVEEDOR]],
                       Terceros!$A:$G,
                       5,
                       FALSE)</f>
        <v>0</v>
      </c>
      <c r="G13" s="122">
        <v>44952</v>
      </c>
      <c r="H13" s="102" t="s">
        <v>397</v>
      </c>
      <c r="I13" s="122">
        <v>44930</v>
      </c>
      <c r="J13" s="103" t="s">
        <v>522</v>
      </c>
      <c r="K13" s="103" t="s">
        <v>1512</v>
      </c>
      <c r="L13" s="103"/>
      <c r="M13" s="105">
        <v>949891</v>
      </c>
      <c r="N13" s="147">
        <v>0</v>
      </c>
      <c r="O13" s="147">
        <v>0</v>
      </c>
      <c r="P13" s="148">
        <v>0</v>
      </c>
      <c r="Q13" s="147">
        <v>0</v>
      </c>
      <c r="R13" s="149">
        <v>949891</v>
      </c>
      <c r="S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" s="150">
        <f ca="1">+IF(PROVEEDORES[[#This Row],[FECHA DE PAGO]]=0,TODAY()-PROVEEDORES[[#This Row],[FECHA DE FACTURACIÓN]]-PROVEEDORES[[#This Row],[PLAZO Días]],0)</f>
        <v>0</v>
      </c>
      <c r="U13" s="150">
        <f>+VLOOKUP(PROVEEDORES[[#This Row],[PROVEEDOR]],Terceros!$A:$E,4,FALSE)</f>
        <v>0</v>
      </c>
      <c r="V13" s="150">
        <f>+YEAR(PROVEEDORES[[#This Row],[FECHA DE FACTURACIÓN]])</f>
        <v>2023</v>
      </c>
      <c r="W13" s="150">
        <f>+MATCH(PROVEEDORES[[#This Row],[año facturado]],Retenciones!$1:$1,0)</f>
        <v>6</v>
      </c>
      <c r="X13" s="151">
        <f>+VLOOKUP(PROVEEDORES[[#This Row],[ID RETENCION]],Retenciones!$A$1:$O$25,PROVEEDORES[[#This Row],[indicador de columna]],FALSE)</f>
        <v>0</v>
      </c>
      <c r="Y13" s="152">
        <f>+VLOOKUP(PROVEEDORES[[#This Row],[ID RETENCION]],Retenciones!$A$1:$O$25,2,FALSE)</f>
        <v>0</v>
      </c>
      <c r="Z13" s="153" t="b">
        <f>+OR(COUNTIF(PROVEEDORES[[#This Row],[PROVEEDOR]],"*"&amp;'Palabra que no opera y Listas d'!$A$2&amp;"*"))</f>
        <v>1</v>
      </c>
    </row>
    <row r="14" spans="1:26" ht="27.75" customHeight="1" x14ac:dyDescent="0.3">
      <c r="A14" s="144" t="str">
        <f>+IF(PROVEEDORES[[#This Row],[FECHA DE PAGO]]=PROVEEDORES[[#This Row],[FECHA DE FACTURACIÓN]],"DE CONTADO","CRÉDITO")</f>
        <v>CRÉDITO</v>
      </c>
      <c r="B14" s="144" t="str">
        <f>+IF((PROVEEDORES[[#This Row],[FECHA DE PAGO]]-PROVEEDORES[[#This Row],[FECHA DE FACTURACIÓN]])&gt;PROVEEDORES[[#This Row],[PLAZO Días]],"PAGO VENCIDO")</f>
        <v>PAGO VENCIDO</v>
      </c>
      <c r="C14" s="144">
        <f>+VLOOKUP(PROVEEDORES[[#This Row],[PROVEEDOR]],TERCEROS_INFO[#All],2,FALSE)</f>
        <v>0</v>
      </c>
      <c r="D14" s="145">
        <f>+SUMIFS(PROVEEDORES[Total],PROVEEDORES[PROVEEDOR],PROVEEDORES[[#This Row],[PROVEEDOR]],PROVEEDORES[FECHA DE PAGO],"")</f>
        <v>0</v>
      </c>
      <c r="E14" s="146"/>
      <c r="F14" s="144">
        <f>+VLOOKUP(PROVEEDORES[[#This Row],[PROVEEDOR]],
                       Terceros!$A:$G,
                       5,
                       FALSE)</f>
        <v>0</v>
      </c>
      <c r="G14" s="122">
        <v>44952</v>
      </c>
      <c r="H14" s="102" t="s">
        <v>397</v>
      </c>
      <c r="I14" s="122">
        <v>44930</v>
      </c>
      <c r="J14" s="103" t="s">
        <v>524</v>
      </c>
      <c r="K14" s="103" t="s">
        <v>1512</v>
      </c>
      <c r="L14" s="103"/>
      <c r="M14" s="105">
        <v>928304</v>
      </c>
      <c r="N14" s="147">
        <v>0</v>
      </c>
      <c r="O14" s="147">
        <v>0</v>
      </c>
      <c r="P14" s="148">
        <v>0</v>
      </c>
      <c r="Q14" s="147">
        <v>0</v>
      </c>
      <c r="R14" s="149">
        <v>928304</v>
      </c>
      <c r="S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" s="150">
        <f ca="1">+IF(PROVEEDORES[[#This Row],[FECHA DE PAGO]]=0,TODAY()-PROVEEDORES[[#This Row],[FECHA DE FACTURACIÓN]]-PROVEEDORES[[#This Row],[PLAZO Días]],0)</f>
        <v>0</v>
      </c>
      <c r="U14" s="150">
        <f>+VLOOKUP(PROVEEDORES[[#This Row],[PROVEEDOR]],Terceros!$A:$E,4,FALSE)</f>
        <v>0</v>
      </c>
      <c r="V14" s="150">
        <f>+YEAR(PROVEEDORES[[#This Row],[FECHA DE FACTURACIÓN]])</f>
        <v>2023</v>
      </c>
      <c r="W14" s="150">
        <f>+MATCH(PROVEEDORES[[#This Row],[año facturado]],Retenciones!$1:$1,0)</f>
        <v>6</v>
      </c>
      <c r="X14" s="151">
        <f>+VLOOKUP(PROVEEDORES[[#This Row],[ID RETENCION]],Retenciones!$A$1:$O$25,PROVEEDORES[[#This Row],[indicador de columna]],FALSE)</f>
        <v>0</v>
      </c>
      <c r="Y14" s="152">
        <f>+VLOOKUP(PROVEEDORES[[#This Row],[ID RETENCION]],Retenciones!$A$1:$O$25,2,FALSE)</f>
        <v>0</v>
      </c>
      <c r="Z14" s="153" t="b">
        <f>+OR(COUNTIF(PROVEEDORES[[#This Row],[PROVEEDOR]],"*"&amp;'Palabra que no opera y Listas d'!$A$2&amp;"*"))</f>
        <v>1</v>
      </c>
    </row>
    <row r="15" spans="1:26" ht="27.75" customHeight="1" x14ac:dyDescent="0.3">
      <c r="A15" s="144" t="str">
        <f>+IF(PROVEEDORES[[#This Row],[FECHA DE PAGO]]=PROVEEDORES[[#This Row],[FECHA DE FACTURACIÓN]],"DE CONTADO","CRÉDITO")</f>
        <v>CRÉDITO</v>
      </c>
      <c r="B15" s="144" t="str">
        <f>+IF((PROVEEDORES[[#This Row],[FECHA DE PAGO]]-PROVEEDORES[[#This Row],[FECHA DE FACTURACIÓN]])&gt;PROVEEDORES[[#This Row],[PLAZO Días]],"PAGO VENCIDO")</f>
        <v>PAGO VENCIDO</v>
      </c>
      <c r="C15" s="144">
        <f>+VLOOKUP(PROVEEDORES[[#This Row],[PROVEEDOR]],TERCEROS_INFO[#All],2,FALSE)</f>
        <v>0</v>
      </c>
      <c r="D15" s="145">
        <f>+SUMIFS(PROVEEDORES[Total],PROVEEDORES[PROVEEDOR],PROVEEDORES[[#This Row],[PROVEEDOR]],PROVEEDORES[FECHA DE PAGO],"")</f>
        <v>0</v>
      </c>
      <c r="E15" s="146"/>
      <c r="F15" s="144">
        <f>+VLOOKUP(PROVEEDORES[[#This Row],[PROVEEDOR]],
                       Terceros!$A:$G,
                       5,
                       FALSE)</f>
        <v>0</v>
      </c>
      <c r="G15" s="122">
        <v>44952</v>
      </c>
      <c r="H15" s="102" t="s">
        <v>397</v>
      </c>
      <c r="I15" s="122">
        <v>44931</v>
      </c>
      <c r="J15" s="103" t="s">
        <v>523</v>
      </c>
      <c r="K15" s="103" t="s">
        <v>1512</v>
      </c>
      <c r="L15" s="103"/>
      <c r="M15" s="105">
        <v>68166</v>
      </c>
      <c r="N15" s="147">
        <v>0</v>
      </c>
      <c r="O15" s="147">
        <v>0</v>
      </c>
      <c r="P15" s="148">
        <v>0</v>
      </c>
      <c r="Q15" s="147">
        <v>0</v>
      </c>
      <c r="R15" s="149">
        <v>68166</v>
      </c>
      <c r="S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" s="150">
        <f ca="1">+IF(PROVEEDORES[[#This Row],[FECHA DE PAGO]]=0,TODAY()-PROVEEDORES[[#This Row],[FECHA DE FACTURACIÓN]]-PROVEEDORES[[#This Row],[PLAZO Días]],0)</f>
        <v>0</v>
      </c>
      <c r="U15" s="150">
        <f>+VLOOKUP(PROVEEDORES[[#This Row],[PROVEEDOR]],Terceros!$A:$E,4,FALSE)</f>
        <v>0</v>
      </c>
      <c r="V15" s="150">
        <f>+YEAR(PROVEEDORES[[#This Row],[FECHA DE FACTURACIÓN]])</f>
        <v>2023</v>
      </c>
      <c r="W15" s="150">
        <f>+MATCH(PROVEEDORES[[#This Row],[año facturado]],Retenciones!$1:$1,0)</f>
        <v>6</v>
      </c>
      <c r="X15" s="151">
        <f>+VLOOKUP(PROVEEDORES[[#This Row],[ID RETENCION]],Retenciones!$A$1:$O$25,PROVEEDORES[[#This Row],[indicador de columna]],FALSE)</f>
        <v>0</v>
      </c>
      <c r="Y15" s="152">
        <f>+VLOOKUP(PROVEEDORES[[#This Row],[ID RETENCION]],Retenciones!$A$1:$O$25,2,FALSE)</f>
        <v>0</v>
      </c>
      <c r="Z15" s="153" t="b">
        <f>+OR(COUNTIF(PROVEEDORES[[#This Row],[PROVEEDOR]],"*"&amp;'Palabra que no opera y Listas d'!$A$2&amp;"*"))</f>
        <v>1</v>
      </c>
    </row>
    <row r="16" spans="1:26" ht="27.75" customHeight="1" x14ac:dyDescent="0.3">
      <c r="A16" s="144" t="str">
        <f>+IF(PROVEEDORES[[#This Row],[FECHA DE PAGO]]=PROVEEDORES[[#This Row],[FECHA DE FACTURACIÓN]],"DE CONTADO","CRÉDITO")</f>
        <v>CRÉDITO</v>
      </c>
      <c r="B16" s="144" t="str">
        <f>+IF((PROVEEDORES[[#This Row],[FECHA DE PAGO]]-PROVEEDORES[[#This Row],[FECHA DE FACTURACIÓN]])&gt;PROVEEDORES[[#This Row],[PLAZO Días]],"PAGO VENCIDO")</f>
        <v>PAGO VENCIDO</v>
      </c>
      <c r="C16" s="144">
        <f>+VLOOKUP(PROVEEDORES[[#This Row],[PROVEEDOR]],TERCEROS_INFO[#All],2,FALSE)</f>
        <v>0</v>
      </c>
      <c r="D16" s="145">
        <f>+SUMIFS(PROVEEDORES[Total],PROVEEDORES[PROVEEDOR],PROVEEDORES[[#This Row],[PROVEEDOR]],PROVEEDORES[FECHA DE PAGO],"")</f>
        <v>0</v>
      </c>
      <c r="E16" s="146"/>
      <c r="F16" s="144">
        <f>+VLOOKUP(PROVEEDORES[[#This Row],[PROVEEDOR]],
                       Terceros!$A:$G,
                       5,
                       FALSE)</f>
        <v>0</v>
      </c>
      <c r="G16" s="122">
        <v>44952</v>
      </c>
      <c r="H16" s="102" t="s">
        <v>397</v>
      </c>
      <c r="I16" s="122">
        <v>44931</v>
      </c>
      <c r="J16" s="103" t="s">
        <v>525</v>
      </c>
      <c r="K16" s="103" t="s">
        <v>1512</v>
      </c>
      <c r="L16" s="103"/>
      <c r="M16" s="105">
        <v>59583</v>
      </c>
      <c r="N16" s="147">
        <v>0</v>
      </c>
      <c r="O16" s="147">
        <v>0</v>
      </c>
      <c r="P16" s="148">
        <v>0</v>
      </c>
      <c r="Q16" s="147">
        <v>0</v>
      </c>
      <c r="R16" s="149">
        <v>59583</v>
      </c>
      <c r="S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" s="150">
        <f ca="1">+IF(PROVEEDORES[[#This Row],[FECHA DE PAGO]]=0,TODAY()-PROVEEDORES[[#This Row],[FECHA DE FACTURACIÓN]]-PROVEEDORES[[#This Row],[PLAZO Días]],0)</f>
        <v>0</v>
      </c>
      <c r="U16" s="150">
        <f>+VLOOKUP(PROVEEDORES[[#This Row],[PROVEEDOR]],Terceros!$A:$E,4,FALSE)</f>
        <v>0</v>
      </c>
      <c r="V16" s="150">
        <f>+YEAR(PROVEEDORES[[#This Row],[FECHA DE FACTURACIÓN]])</f>
        <v>2023</v>
      </c>
      <c r="W16" s="150">
        <f>+MATCH(PROVEEDORES[[#This Row],[año facturado]],Retenciones!$1:$1,0)</f>
        <v>6</v>
      </c>
      <c r="X16" s="151">
        <f>+VLOOKUP(PROVEEDORES[[#This Row],[ID RETENCION]],Retenciones!$A$1:$O$25,PROVEEDORES[[#This Row],[indicador de columna]],FALSE)</f>
        <v>0</v>
      </c>
      <c r="Y16" s="152">
        <f>+VLOOKUP(PROVEEDORES[[#This Row],[ID RETENCION]],Retenciones!$A$1:$O$25,2,FALSE)</f>
        <v>0</v>
      </c>
      <c r="Z16" s="153" t="b">
        <f>+OR(COUNTIF(PROVEEDORES[[#This Row],[PROVEEDOR]],"*"&amp;'Palabra que no opera y Listas d'!$A$2&amp;"*"))</f>
        <v>1</v>
      </c>
    </row>
    <row r="17" spans="1:26" ht="27.75" customHeight="1" x14ac:dyDescent="0.3">
      <c r="A17" s="144" t="str">
        <f>+IF(PROVEEDORES[[#This Row],[FECHA DE PAGO]]=PROVEEDORES[[#This Row],[FECHA DE FACTURACIÓN]],"DE CONTADO","CRÉDITO")</f>
        <v>CRÉDITO</v>
      </c>
      <c r="B17" s="144" t="str">
        <f>+IF((PROVEEDORES[[#This Row],[FECHA DE PAGO]]-PROVEEDORES[[#This Row],[FECHA DE FACTURACIÓN]])&gt;PROVEEDORES[[#This Row],[PLAZO Días]],"PAGO VENCIDO")</f>
        <v>PAGO VENCIDO</v>
      </c>
      <c r="C17" s="144">
        <f>+VLOOKUP(PROVEEDORES[[#This Row],[PROVEEDOR]],TERCEROS_INFO[#All],2,FALSE)</f>
        <v>0</v>
      </c>
      <c r="D17" s="145">
        <f>+SUMIFS(PROVEEDORES[Total],PROVEEDORES[PROVEEDOR],PROVEEDORES[[#This Row],[PROVEEDOR]],PROVEEDORES[FECHA DE PAGO],"")</f>
        <v>181631</v>
      </c>
      <c r="E17" s="146"/>
      <c r="F17" s="144">
        <f>+VLOOKUP(PROVEEDORES[[#This Row],[PROVEEDOR]],
                       Terceros!$A:$G,
                       5,
                       FALSE)</f>
        <v>0</v>
      </c>
      <c r="G17" s="122">
        <v>44952</v>
      </c>
      <c r="H17" s="102" t="s">
        <v>383</v>
      </c>
      <c r="I17" s="122">
        <v>44931</v>
      </c>
      <c r="J17" s="103" t="s">
        <v>735</v>
      </c>
      <c r="K17" s="103" t="s">
        <v>1512</v>
      </c>
      <c r="L17" s="103"/>
      <c r="M17" s="105">
        <v>895663</v>
      </c>
      <c r="N17" s="147">
        <v>170175.97</v>
      </c>
      <c r="O17" s="147">
        <v>0</v>
      </c>
      <c r="P17" s="148">
        <v>0</v>
      </c>
      <c r="Q17" s="147">
        <v>0</v>
      </c>
      <c r="R17" s="149">
        <v>1065838.97</v>
      </c>
      <c r="S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" s="150">
        <f ca="1">+IF(PROVEEDORES[[#This Row],[FECHA DE PAGO]]=0,TODAY()-PROVEEDORES[[#This Row],[FECHA DE FACTURACIÓN]]-PROVEEDORES[[#This Row],[PLAZO Días]],0)</f>
        <v>0</v>
      </c>
      <c r="U17" s="150">
        <f>+VLOOKUP(PROVEEDORES[[#This Row],[PROVEEDOR]],Terceros!$A:$E,4,FALSE)</f>
        <v>0.19</v>
      </c>
      <c r="V17" s="150">
        <f>+YEAR(PROVEEDORES[[#This Row],[FECHA DE FACTURACIÓN]])</f>
        <v>2023</v>
      </c>
      <c r="W17" s="150">
        <f>+MATCH(PROVEEDORES[[#This Row],[año facturado]],Retenciones!$1:$1,0)</f>
        <v>6</v>
      </c>
      <c r="X17" s="151" t="e">
        <f>+VLOOKUP(PROVEEDORES[[#This Row],[ID RETENCION]],Retenciones!$A$1:$O$25,PROVEEDORES[[#This Row],[indicador de columna]],FALSE)</f>
        <v>#N/A</v>
      </c>
      <c r="Y17" s="152" t="e">
        <f>+VLOOKUP(PROVEEDORES[[#This Row],[ID RETENCION]],Retenciones!$A$1:$O$25,2,FALSE)</f>
        <v>#N/A</v>
      </c>
      <c r="Z17" s="153" t="b">
        <f>+OR(COUNTIF(PROVEEDORES[[#This Row],[PROVEEDOR]],"*"&amp;'Palabra que no opera y Listas d'!$A$2&amp;"*"))</f>
        <v>1</v>
      </c>
    </row>
    <row r="18" spans="1:26" ht="27.75" customHeight="1" x14ac:dyDescent="0.3">
      <c r="A18" s="144" t="str">
        <f>+IF(PROVEEDORES[[#This Row],[FECHA DE PAGO]]=PROVEEDORES[[#This Row],[FECHA DE FACTURACIÓN]],"DE CONTADO","CRÉDITO")</f>
        <v>CRÉDITO</v>
      </c>
      <c r="B18" s="144" t="str">
        <f>+IF((PROVEEDORES[[#This Row],[FECHA DE PAGO]]-PROVEEDORES[[#This Row],[FECHA DE FACTURACIÓN]])&gt;PROVEEDORES[[#This Row],[PLAZO Días]],"PAGO VENCIDO")</f>
        <v>PAGO VENCIDO</v>
      </c>
      <c r="C18" s="144">
        <f>+VLOOKUP(PROVEEDORES[[#This Row],[PROVEEDOR]],TERCEROS_INFO[#All],2,FALSE)</f>
        <v>0</v>
      </c>
      <c r="D18" s="145">
        <f>+SUMIFS(PROVEEDORES[Total],PROVEEDORES[PROVEEDOR],PROVEEDORES[[#This Row],[PROVEEDOR]],PROVEEDORES[FECHA DE PAGO],"")</f>
        <v>0</v>
      </c>
      <c r="E18" s="146"/>
      <c r="F18" s="144" t="str">
        <f>+VLOOKUP(PROVEEDORES[[#This Row],[PROVEEDOR]],
                       Terceros!$A:$G,
                       5,
                       FALSE)</f>
        <v>3,5% sin base</v>
      </c>
      <c r="G18" s="122">
        <v>44952</v>
      </c>
      <c r="H18" s="102" t="s">
        <v>395</v>
      </c>
      <c r="I18" s="122">
        <v>44944</v>
      </c>
      <c r="J18" s="103">
        <v>5652</v>
      </c>
      <c r="K18" s="103" t="s">
        <v>1512</v>
      </c>
      <c r="L18" s="103"/>
      <c r="M18" s="105">
        <v>3002200</v>
      </c>
      <c r="N18" s="147">
        <v>0</v>
      </c>
      <c r="O18" s="147">
        <v>0</v>
      </c>
      <c r="P18" s="148">
        <v>3.5000000000000003E-2</v>
      </c>
      <c r="Q18" s="147">
        <v>105077.00000000001</v>
      </c>
      <c r="R18" s="149">
        <v>2897123</v>
      </c>
      <c r="S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" s="150">
        <f ca="1">+IF(PROVEEDORES[[#This Row],[FECHA DE PAGO]]=0,TODAY()-PROVEEDORES[[#This Row],[FECHA DE FACTURACIÓN]]-PROVEEDORES[[#This Row],[PLAZO Días]],0)</f>
        <v>0</v>
      </c>
      <c r="U18" s="150">
        <f>+VLOOKUP(PROVEEDORES[[#This Row],[PROVEEDOR]],Terceros!$A:$E,4,FALSE)</f>
        <v>0</v>
      </c>
      <c r="V18" s="150">
        <f>+YEAR(PROVEEDORES[[#This Row],[FECHA DE FACTURACIÓN]])</f>
        <v>2023</v>
      </c>
      <c r="W18" s="150">
        <f>+MATCH(PROVEEDORES[[#This Row],[año facturado]],Retenciones!$1:$1,0)</f>
        <v>6</v>
      </c>
      <c r="X18" s="151">
        <f>+VLOOKUP(PROVEEDORES[[#This Row],[ID RETENCION]],Retenciones!$A$1:$O$25,PROVEEDORES[[#This Row],[indicador de columna]],FALSE)</f>
        <v>0</v>
      </c>
      <c r="Y18" s="152">
        <f>+VLOOKUP(PROVEEDORES[[#This Row],[ID RETENCION]],Retenciones!$A$1:$O$25,2,FALSE)</f>
        <v>0</v>
      </c>
      <c r="Z18" s="153" t="b">
        <f>+OR(COUNTIF(PROVEEDORES[[#This Row],[PROVEEDOR]],"*"&amp;'Palabra que no opera y Listas d'!$A$2&amp;"*"))</f>
        <v>1</v>
      </c>
    </row>
    <row r="19" spans="1:26" ht="27.75" customHeight="1" x14ac:dyDescent="0.3">
      <c r="A19" s="144" t="str">
        <f>+IF(PROVEEDORES[[#This Row],[FECHA DE PAGO]]=PROVEEDORES[[#This Row],[FECHA DE FACTURACIÓN]],"DE CONTADO","CRÉDITO")</f>
        <v>CRÉDITO</v>
      </c>
      <c r="B19" s="144" t="str">
        <f>+IF((PROVEEDORES[[#This Row],[FECHA DE PAGO]]-PROVEEDORES[[#This Row],[FECHA DE FACTURACIÓN]])&gt;PROVEEDORES[[#This Row],[PLAZO Días]],"PAGO VENCIDO")</f>
        <v>PAGO VENCIDO</v>
      </c>
      <c r="C19" s="144">
        <f>+VLOOKUP(PROVEEDORES[[#This Row],[PROVEEDOR]],TERCEROS_INFO[#All],2,FALSE)</f>
        <v>0</v>
      </c>
      <c r="D19" s="145">
        <f>+SUMIFS(PROVEEDORES[Total],PROVEEDORES[PROVEEDOR],PROVEEDORES[[#This Row],[PROVEEDOR]],PROVEEDORES[FECHA DE PAGO],"")</f>
        <v>0</v>
      </c>
      <c r="E19" s="146"/>
      <c r="F19" s="144" t="str">
        <f>+VLOOKUP(PROVEEDORES[[#This Row],[PROVEEDOR]],
                       Terceros!$A:$G,
                       5,
                       FALSE)</f>
        <v>1% con base</v>
      </c>
      <c r="G19" s="122">
        <v>44952</v>
      </c>
      <c r="H19" s="102" t="s">
        <v>463</v>
      </c>
      <c r="I19" s="122">
        <v>44945</v>
      </c>
      <c r="J19" s="103" t="s">
        <v>526</v>
      </c>
      <c r="K19" s="103" t="s">
        <v>1512</v>
      </c>
      <c r="L19" s="103"/>
      <c r="M19" s="105">
        <v>276000</v>
      </c>
      <c r="N19" s="147">
        <v>0</v>
      </c>
      <c r="O19" s="147">
        <v>0</v>
      </c>
      <c r="P19" s="148">
        <v>0.01</v>
      </c>
      <c r="Q19" s="147">
        <v>2760</v>
      </c>
      <c r="R19" s="149">
        <v>273240</v>
      </c>
      <c r="S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" s="150">
        <f ca="1">+IF(PROVEEDORES[[#This Row],[FECHA DE PAGO]]=0,TODAY()-PROVEEDORES[[#This Row],[FECHA DE FACTURACIÓN]]-PROVEEDORES[[#This Row],[PLAZO Días]],0)</f>
        <v>0</v>
      </c>
      <c r="U19" s="150">
        <f>+VLOOKUP(PROVEEDORES[[#This Row],[PROVEEDOR]],Terceros!$A:$E,4,FALSE)</f>
        <v>0</v>
      </c>
      <c r="V19" s="150">
        <f>+YEAR(PROVEEDORES[[#This Row],[FECHA DE FACTURACIÓN]])</f>
        <v>2023</v>
      </c>
      <c r="W19" s="150">
        <f>+MATCH(PROVEEDORES[[#This Row],[año facturado]],Retenciones!$1:$1,0)</f>
        <v>6</v>
      </c>
      <c r="X19" s="151">
        <f>+VLOOKUP(PROVEEDORES[[#This Row],[ID RETENCION]],Retenciones!$A$1:$O$25,PROVEEDORES[[#This Row],[indicador de columna]],FALSE)</f>
        <v>0</v>
      </c>
      <c r="Y19" s="152">
        <f>+VLOOKUP(PROVEEDORES[[#This Row],[ID RETENCION]],Retenciones!$A$1:$O$25,2,FALSE)</f>
        <v>0</v>
      </c>
      <c r="Z19" s="153" t="b">
        <f>+OR(COUNTIF(PROVEEDORES[[#This Row],[PROVEEDOR]],"*"&amp;'Palabra que no opera y Listas d'!$A$2&amp;"*"))</f>
        <v>0</v>
      </c>
    </row>
    <row r="20" spans="1:26" ht="27.75" customHeight="1" x14ac:dyDescent="0.3">
      <c r="A20" s="144" t="str">
        <f>+IF(PROVEEDORES[[#This Row],[FECHA DE PAGO]]=PROVEEDORES[[#This Row],[FECHA DE FACTURACIÓN]],"DE CONTADO","CRÉDITO")</f>
        <v>CRÉDITO</v>
      </c>
      <c r="B20" s="144" t="str">
        <f>+IF((PROVEEDORES[[#This Row],[FECHA DE PAGO]]-PROVEEDORES[[#This Row],[FECHA DE FACTURACIÓN]])&gt;PROVEEDORES[[#This Row],[PLAZO Días]],"PAGO VENCIDO")</f>
        <v>PAGO VENCIDO</v>
      </c>
      <c r="C20" s="144">
        <f>+VLOOKUP(PROVEEDORES[[#This Row],[PROVEEDOR]],TERCEROS_INFO[#All],2,FALSE)</f>
        <v>0</v>
      </c>
      <c r="D20" s="145">
        <f>+SUMIFS(PROVEEDORES[Total],PROVEEDORES[PROVEEDOR],PROVEEDORES[[#This Row],[PROVEEDOR]],PROVEEDORES[FECHA DE PAGO],"")</f>
        <v>0</v>
      </c>
      <c r="E20" s="146"/>
      <c r="F20" s="144">
        <f>+VLOOKUP(PROVEEDORES[[#This Row],[PROVEEDOR]],
                       Terceros!$A:$G,
                       5,
                       FALSE)</f>
        <v>0</v>
      </c>
      <c r="G20" s="122">
        <v>44952</v>
      </c>
      <c r="H20" s="102" t="s">
        <v>1783</v>
      </c>
      <c r="I20" s="122">
        <v>44945</v>
      </c>
      <c r="J20" s="103">
        <v>394</v>
      </c>
      <c r="K20" s="103" t="s">
        <v>1512</v>
      </c>
      <c r="L20" s="103"/>
      <c r="M20" s="105">
        <v>300000</v>
      </c>
      <c r="N20" s="147">
        <v>0</v>
      </c>
      <c r="O20" s="147">
        <v>0</v>
      </c>
      <c r="P20" s="148">
        <v>0</v>
      </c>
      <c r="Q20" s="147">
        <v>0</v>
      </c>
      <c r="R20" s="149">
        <v>300000</v>
      </c>
      <c r="S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" s="150">
        <f ca="1">+IF(PROVEEDORES[[#This Row],[FECHA DE PAGO]]=0,TODAY()-PROVEEDORES[[#This Row],[FECHA DE FACTURACIÓN]]-PROVEEDORES[[#This Row],[PLAZO Días]],0)</f>
        <v>0</v>
      </c>
      <c r="U20" s="150">
        <f>+VLOOKUP(PROVEEDORES[[#This Row],[PROVEEDOR]],Terceros!$A:$E,4,FALSE)</f>
        <v>0</v>
      </c>
      <c r="V20" s="150">
        <f>+YEAR(PROVEEDORES[[#This Row],[FECHA DE FACTURACIÓN]])</f>
        <v>2023</v>
      </c>
      <c r="W20" s="150">
        <f>+MATCH(PROVEEDORES[[#This Row],[año facturado]],Retenciones!$1:$1,0)</f>
        <v>6</v>
      </c>
      <c r="X20" s="151">
        <f>+VLOOKUP(PROVEEDORES[[#This Row],[ID RETENCION]],Retenciones!$A$1:$O$25,PROVEEDORES[[#This Row],[indicador de columna]],FALSE)</f>
        <v>0</v>
      </c>
      <c r="Y20" s="152">
        <f>+VLOOKUP(PROVEEDORES[[#This Row],[ID RETENCION]],Retenciones!$A$1:$O$25,2,FALSE)</f>
        <v>0</v>
      </c>
      <c r="Z20" s="153" t="b">
        <f>+OR(COUNTIF(PROVEEDORES[[#This Row],[PROVEEDOR]],"*"&amp;'Palabra que no opera y Listas d'!$A$2&amp;"*"))</f>
        <v>0</v>
      </c>
    </row>
    <row r="21" spans="1:26" ht="27.75" customHeight="1" x14ac:dyDescent="0.3">
      <c r="A21" s="144" t="str">
        <f>+IF(PROVEEDORES[[#This Row],[FECHA DE PAGO]]=PROVEEDORES[[#This Row],[FECHA DE FACTURACIÓN]],"DE CONTADO","CRÉDITO")</f>
        <v>DE CONTADO</v>
      </c>
      <c r="B21" s="144" t="b">
        <f>+IF((PROVEEDORES[[#This Row],[FECHA DE PAGO]]-PROVEEDORES[[#This Row],[FECHA DE FACTURACIÓN]])&gt;PROVEEDORES[[#This Row],[PLAZO Días]],"PAGO VENCIDO")</f>
        <v>0</v>
      </c>
      <c r="C21" s="144">
        <f>+VLOOKUP(PROVEEDORES[[#This Row],[PROVEEDOR]],TERCEROS_INFO[#All],2,FALSE)</f>
        <v>0</v>
      </c>
      <c r="D21" s="145">
        <f>+SUMIFS(PROVEEDORES[Total],PROVEEDORES[PROVEEDOR],PROVEEDORES[[#This Row],[PROVEEDOR]],PROVEEDORES[FECHA DE PAGO],"")</f>
        <v>0</v>
      </c>
      <c r="E21" s="146"/>
      <c r="F21" s="144">
        <f>+VLOOKUP(PROVEEDORES[[#This Row],[PROVEEDOR]],
                       Terceros!$A:$G,
                       5,
                       FALSE)</f>
        <v>0</v>
      </c>
      <c r="G21" s="122">
        <v>44952</v>
      </c>
      <c r="H21" s="102" t="s">
        <v>496</v>
      </c>
      <c r="I21" s="122">
        <v>44952</v>
      </c>
      <c r="J21" s="103" t="s">
        <v>534</v>
      </c>
      <c r="K21" s="103" t="s">
        <v>1512</v>
      </c>
      <c r="L21" s="103"/>
      <c r="M21" s="105">
        <v>1193000</v>
      </c>
      <c r="N21" s="147">
        <v>0</v>
      </c>
      <c r="O21" s="147">
        <v>0</v>
      </c>
      <c r="P21" s="148">
        <v>0</v>
      </c>
      <c r="Q21" s="147">
        <v>0</v>
      </c>
      <c r="R21" s="149">
        <v>1193000</v>
      </c>
      <c r="S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" s="150">
        <f ca="1">+IF(PROVEEDORES[[#This Row],[FECHA DE PAGO]]=0,TODAY()-PROVEEDORES[[#This Row],[FECHA DE FACTURACIÓN]]-PROVEEDORES[[#This Row],[PLAZO Días]],0)</f>
        <v>0</v>
      </c>
      <c r="U21" s="150">
        <f>+VLOOKUP(PROVEEDORES[[#This Row],[PROVEEDOR]],Terceros!$A:$E,4,FALSE)</f>
        <v>0</v>
      </c>
      <c r="V21" s="150">
        <f>+YEAR(PROVEEDORES[[#This Row],[FECHA DE FACTURACIÓN]])</f>
        <v>2023</v>
      </c>
      <c r="W21" s="150">
        <f>+MATCH(PROVEEDORES[[#This Row],[año facturado]],Retenciones!$1:$1,0)</f>
        <v>6</v>
      </c>
      <c r="X21" s="151">
        <f>+VLOOKUP(PROVEEDORES[[#This Row],[ID RETENCION]],Retenciones!$A$1:$O$25,PROVEEDORES[[#This Row],[indicador de columna]],FALSE)</f>
        <v>0</v>
      </c>
      <c r="Y21" s="152">
        <f>+VLOOKUP(PROVEEDORES[[#This Row],[ID RETENCION]],Retenciones!$A$1:$O$25,2,FALSE)</f>
        <v>0</v>
      </c>
      <c r="Z21" s="153" t="b">
        <f>+OR(COUNTIF(PROVEEDORES[[#This Row],[PROVEEDOR]],"*"&amp;'Palabra que no opera y Listas d'!$A$2&amp;"*"))</f>
        <v>0</v>
      </c>
    </row>
    <row r="22" spans="1:26" ht="27.75" customHeight="1" x14ac:dyDescent="0.3">
      <c r="A22" s="144" t="str">
        <f>+IF(PROVEEDORES[[#This Row],[FECHA DE PAGO]]=PROVEEDORES[[#This Row],[FECHA DE FACTURACIÓN]],"DE CONTADO","CRÉDITO")</f>
        <v>CRÉDITO</v>
      </c>
      <c r="B22" s="144" t="str">
        <f>+IF((PROVEEDORES[[#This Row],[FECHA DE PAGO]]-PROVEEDORES[[#This Row],[FECHA DE FACTURACIÓN]])&gt;PROVEEDORES[[#This Row],[PLAZO Días]],"PAGO VENCIDO")</f>
        <v>PAGO VENCIDO</v>
      </c>
      <c r="C22" s="144">
        <f>+VLOOKUP(PROVEEDORES[[#This Row],[PROVEEDOR]],TERCEROS_INFO[#All],2,FALSE)</f>
        <v>0</v>
      </c>
      <c r="D22" s="145">
        <f>+SUMIFS(PROVEEDORES[Total],PROVEEDORES[PROVEEDOR],PROVEEDORES[[#This Row],[PROVEEDOR]],PROVEEDORES[FECHA DE PAGO],"")</f>
        <v>181631</v>
      </c>
      <c r="E22" s="146"/>
      <c r="F22" s="144">
        <f>+VLOOKUP(PROVEEDORES[[#This Row],[PROVEEDOR]],
                       Terceros!$A:$G,
                       5,
                       FALSE)</f>
        <v>0</v>
      </c>
      <c r="G22" s="122">
        <v>44953</v>
      </c>
      <c r="H22" s="102" t="s">
        <v>383</v>
      </c>
      <c r="I22" s="122">
        <v>44927</v>
      </c>
      <c r="J22" s="103" t="s">
        <v>529</v>
      </c>
      <c r="K22" s="103" t="s">
        <v>1512</v>
      </c>
      <c r="L22" s="103"/>
      <c r="M22" s="105">
        <v>3294426</v>
      </c>
      <c r="N22" s="147">
        <v>625940.94000000006</v>
      </c>
      <c r="O22" s="147">
        <v>0</v>
      </c>
      <c r="P22" s="148">
        <v>0</v>
      </c>
      <c r="Q22" s="147">
        <v>0</v>
      </c>
      <c r="R22" s="149">
        <v>3920366.94</v>
      </c>
      <c r="S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" s="150">
        <f ca="1">+IF(PROVEEDORES[[#This Row],[FECHA DE PAGO]]=0,TODAY()-PROVEEDORES[[#This Row],[FECHA DE FACTURACIÓN]]-PROVEEDORES[[#This Row],[PLAZO Días]],0)</f>
        <v>0</v>
      </c>
      <c r="U22" s="150">
        <f>+VLOOKUP(PROVEEDORES[[#This Row],[PROVEEDOR]],Terceros!$A:$E,4,FALSE)</f>
        <v>0.19</v>
      </c>
      <c r="V22" s="150">
        <f>+YEAR(PROVEEDORES[[#This Row],[FECHA DE FACTURACIÓN]])</f>
        <v>2023</v>
      </c>
      <c r="W22" s="150">
        <f>+MATCH(PROVEEDORES[[#This Row],[año facturado]],Retenciones!$1:$1,0)</f>
        <v>6</v>
      </c>
      <c r="X22" s="151" t="e">
        <f>+VLOOKUP(PROVEEDORES[[#This Row],[ID RETENCION]],Retenciones!$A$1:$O$25,PROVEEDORES[[#This Row],[indicador de columna]],FALSE)</f>
        <v>#N/A</v>
      </c>
      <c r="Y22" s="152" t="e">
        <f>+VLOOKUP(PROVEEDORES[[#This Row],[ID RETENCION]],Retenciones!$A$1:$O$25,2,FALSE)</f>
        <v>#N/A</v>
      </c>
      <c r="Z22" s="153" t="b">
        <f>+OR(COUNTIF(PROVEEDORES[[#This Row],[PROVEEDOR]],"*"&amp;'Palabra que no opera y Listas d'!$A$2&amp;"*"))</f>
        <v>1</v>
      </c>
    </row>
    <row r="23" spans="1:26" ht="27.75" customHeight="1" x14ac:dyDescent="0.3">
      <c r="A23" s="144" t="str">
        <f>+IF(PROVEEDORES[[#This Row],[FECHA DE PAGO]]=PROVEEDORES[[#This Row],[FECHA DE FACTURACIÓN]],"DE CONTADO","CRÉDITO")</f>
        <v>CRÉDITO</v>
      </c>
      <c r="B23" s="144" t="str">
        <f>+IF((PROVEEDORES[[#This Row],[FECHA DE PAGO]]-PROVEEDORES[[#This Row],[FECHA DE FACTURACIÓN]])&gt;PROVEEDORES[[#This Row],[PLAZO Días]],"PAGO VENCIDO")</f>
        <v>PAGO VENCIDO</v>
      </c>
      <c r="C23" s="144">
        <f>+VLOOKUP(PROVEEDORES[[#This Row],[PROVEEDOR]],TERCEROS_INFO[#All],2,FALSE)</f>
        <v>0</v>
      </c>
      <c r="D23" s="145">
        <f>+SUMIFS(PROVEEDORES[Total],PROVEEDORES[PROVEEDOR],PROVEEDORES[[#This Row],[PROVEEDOR]],PROVEEDORES[FECHA DE PAGO],"")</f>
        <v>0</v>
      </c>
      <c r="E23" s="146"/>
      <c r="F23" s="144" t="str">
        <f>+VLOOKUP(PROVEEDORES[[#This Row],[PROVEEDOR]],
                       Terceros!$A:$G,
                       5,
                       FALSE)</f>
        <v>3,5% sin base</v>
      </c>
      <c r="G23" s="122">
        <v>44953</v>
      </c>
      <c r="H23" s="102" t="s">
        <v>398</v>
      </c>
      <c r="I23" s="122">
        <v>44928</v>
      </c>
      <c r="J23" s="103" t="s">
        <v>530</v>
      </c>
      <c r="K23" s="103" t="s">
        <v>1512</v>
      </c>
      <c r="L23" s="103"/>
      <c r="M23" s="105">
        <v>3891260</v>
      </c>
      <c r="N23" s="147">
        <v>739339.4</v>
      </c>
      <c r="O23" s="147">
        <v>0</v>
      </c>
      <c r="P23" s="148">
        <v>3.5000000000000003E-2</v>
      </c>
      <c r="Q23" s="147">
        <v>136194.1</v>
      </c>
      <c r="R23" s="149">
        <v>4494405.3000000007</v>
      </c>
      <c r="S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" s="150">
        <f ca="1">+IF(PROVEEDORES[[#This Row],[FECHA DE PAGO]]=0,TODAY()-PROVEEDORES[[#This Row],[FECHA DE FACTURACIÓN]]-PROVEEDORES[[#This Row],[PLAZO Días]],0)</f>
        <v>0</v>
      </c>
      <c r="U23" s="150">
        <f>+VLOOKUP(PROVEEDORES[[#This Row],[PROVEEDOR]],Terceros!$A:$E,4,FALSE)</f>
        <v>0.19</v>
      </c>
      <c r="V23" s="150">
        <f>+YEAR(PROVEEDORES[[#This Row],[FECHA DE FACTURACIÓN]])</f>
        <v>2023</v>
      </c>
      <c r="W23" s="150">
        <f>+MATCH(PROVEEDORES[[#This Row],[año facturado]],Retenciones!$1:$1,0)</f>
        <v>6</v>
      </c>
      <c r="X23" s="151" t="e">
        <f>+VLOOKUP(PROVEEDORES[[#This Row],[ID RETENCION]],Retenciones!$A$1:$O$25,PROVEEDORES[[#This Row],[indicador de columna]],FALSE)</f>
        <v>#N/A</v>
      </c>
      <c r="Y23" s="152" t="e">
        <f>+VLOOKUP(PROVEEDORES[[#This Row],[ID RETENCION]],Retenciones!$A$1:$O$25,2,FALSE)</f>
        <v>#N/A</v>
      </c>
      <c r="Z23" s="153" t="b">
        <f>+OR(COUNTIF(PROVEEDORES[[#This Row],[PROVEEDOR]],"*"&amp;'Palabra que no opera y Listas d'!$A$2&amp;"*"))</f>
        <v>1</v>
      </c>
    </row>
    <row r="24" spans="1:26" ht="27.75" customHeight="1" x14ac:dyDescent="0.3">
      <c r="A24" s="144" t="str">
        <f>+IF(PROVEEDORES[[#This Row],[FECHA DE PAGO]]=PROVEEDORES[[#This Row],[FECHA DE FACTURACIÓN]],"DE CONTADO","CRÉDITO")</f>
        <v>CRÉDITO</v>
      </c>
      <c r="B24" s="144" t="str">
        <f>+IF((PROVEEDORES[[#This Row],[FECHA DE PAGO]]-PROVEEDORES[[#This Row],[FECHA DE FACTURACIÓN]])&gt;PROVEEDORES[[#This Row],[PLAZO Días]],"PAGO VENCIDO")</f>
        <v>PAGO VENCIDO</v>
      </c>
      <c r="C24" s="144">
        <f>+VLOOKUP(PROVEEDORES[[#This Row],[PROVEEDOR]],TERCEROS_INFO[#All],2,FALSE)</f>
        <v>0</v>
      </c>
      <c r="D24" s="145">
        <f>+SUMIFS(PROVEEDORES[Total],PROVEEDORES[PROVEEDOR],PROVEEDORES[[#This Row],[PROVEEDOR]],PROVEEDORES[FECHA DE PAGO],"")</f>
        <v>0</v>
      </c>
      <c r="E24" s="146"/>
      <c r="F24" s="144">
        <f>+VLOOKUP(PROVEEDORES[[#This Row],[PROVEEDOR]],
                       Terceros!$A:$G,
                       5,
                       FALSE)</f>
        <v>0</v>
      </c>
      <c r="G24" s="122">
        <v>44953</v>
      </c>
      <c r="H24" s="102" t="s">
        <v>497</v>
      </c>
      <c r="I24" s="122">
        <v>44928</v>
      </c>
      <c r="J24" s="103" t="s">
        <v>531</v>
      </c>
      <c r="K24" s="103" t="s">
        <v>1512</v>
      </c>
      <c r="L24" s="103"/>
      <c r="M24" s="105">
        <v>4730000</v>
      </c>
      <c r="N24" s="147">
        <v>898700</v>
      </c>
      <c r="O24" s="147">
        <v>0</v>
      </c>
      <c r="P24" s="148">
        <v>0</v>
      </c>
      <c r="Q24" s="147">
        <v>0</v>
      </c>
      <c r="R24" s="149">
        <v>5628700</v>
      </c>
      <c r="S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" s="150">
        <f ca="1">+IF(PROVEEDORES[[#This Row],[FECHA DE PAGO]]=0,TODAY()-PROVEEDORES[[#This Row],[FECHA DE FACTURACIÓN]]-PROVEEDORES[[#This Row],[PLAZO Días]],0)</f>
        <v>0</v>
      </c>
      <c r="U24" s="150">
        <f>+VLOOKUP(PROVEEDORES[[#This Row],[PROVEEDOR]],Terceros!$A:$E,4,FALSE)</f>
        <v>0.19</v>
      </c>
      <c r="V24" s="150">
        <f>+YEAR(PROVEEDORES[[#This Row],[FECHA DE FACTURACIÓN]])</f>
        <v>2023</v>
      </c>
      <c r="W24" s="150">
        <f>+MATCH(PROVEEDORES[[#This Row],[año facturado]],Retenciones!$1:$1,0)</f>
        <v>6</v>
      </c>
      <c r="X24" s="151" t="e">
        <f>+VLOOKUP(PROVEEDORES[[#This Row],[ID RETENCION]],Retenciones!$A$1:$O$25,PROVEEDORES[[#This Row],[indicador de columna]],FALSE)</f>
        <v>#N/A</v>
      </c>
      <c r="Y24" s="152" t="e">
        <f>+VLOOKUP(PROVEEDORES[[#This Row],[ID RETENCION]],Retenciones!$A$1:$O$25,2,FALSE)</f>
        <v>#N/A</v>
      </c>
      <c r="Z24" s="153" t="b">
        <f>+OR(COUNTIF(PROVEEDORES[[#This Row],[PROVEEDOR]],"*"&amp;'Palabra que no opera y Listas d'!$A$2&amp;"*"))</f>
        <v>1</v>
      </c>
    </row>
    <row r="25" spans="1:26" ht="27.75" customHeight="1" x14ac:dyDescent="0.3">
      <c r="A25" s="144" t="str">
        <f>+IF(PROVEEDORES[[#This Row],[FECHA DE PAGO]]=PROVEEDORES[[#This Row],[FECHA DE FACTURACIÓN]],"DE CONTADO","CRÉDITO")</f>
        <v>CRÉDITO</v>
      </c>
      <c r="B25" s="144" t="b">
        <f>+IF((PROVEEDORES[[#This Row],[FECHA DE PAGO]]-PROVEEDORES[[#This Row],[FECHA DE FACTURACIÓN]])&gt;PROVEEDORES[[#This Row],[PLAZO Días]],"PAGO VENCIDO")</f>
        <v>0</v>
      </c>
      <c r="C25" s="144">
        <f>+VLOOKUP(PROVEEDORES[[#This Row],[PROVEEDOR]],TERCEROS_INFO[#All],2,FALSE)</f>
        <v>0</v>
      </c>
      <c r="D25" s="145">
        <f>+SUMIFS(PROVEEDORES[Total],PROVEEDORES[PROVEEDOR],PROVEEDORES[[#This Row],[PROVEEDOR]],PROVEEDORES[FECHA DE PAGO],"")</f>
        <v>0</v>
      </c>
      <c r="E25" s="146"/>
      <c r="F25" s="144" t="str">
        <f>+VLOOKUP(PROVEEDORES[[#This Row],[PROVEEDOR]],
                       Terceros!$A:$G,
                       5,
                       FALSE)</f>
        <v>1% con base</v>
      </c>
      <c r="G25" s="122">
        <v>44953</v>
      </c>
      <c r="H25" s="102" t="s">
        <v>463</v>
      </c>
      <c r="I25" s="122">
        <v>44976</v>
      </c>
      <c r="J25" s="103" t="s">
        <v>597</v>
      </c>
      <c r="K25" s="103" t="s">
        <v>1512</v>
      </c>
      <c r="L25" s="103"/>
      <c r="M25" s="105">
        <v>330000</v>
      </c>
      <c r="N25" s="147">
        <v>0</v>
      </c>
      <c r="O25" s="147">
        <v>0</v>
      </c>
      <c r="P25" s="148">
        <v>0.01</v>
      </c>
      <c r="Q25" s="147">
        <v>3300</v>
      </c>
      <c r="R25" s="149">
        <v>326700</v>
      </c>
      <c r="S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" s="150">
        <f ca="1">+IF(PROVEEDORES[[#This Row],[FECHA DE PAGO]]=0,TODAY()-PROVEEDORES[[#This Row],[FECHA DE FACTURACIÓN]]-PROVEEDORES[[#This Row],[PLAZO Días]],0)</f>
        <v>0</v>
      </c>
      <c r="U25" s="150">
        <f>+VLOOKUP(PROVEEDORES[[#This Row],[PROVEEDOR]],Terceros!$A:$E,4,FALSE)</f>
        <v>0</v>
      </c>
      <c r="V25" s="150">
        <f>+YEAR(PROVEEDORES[[#This Row],[FECHA DE FACTURACIÓN]])</f>
        <v>2023</v>
      </c>
      <c r="W25" s="150">
        <f>+MATCH(PROVEEDORES[[#This Row],[año facturado]],Retenciones!$1:$1,0)</f>
        <v>6</v>
      </c>
      <c r="X25" s="151">
        <f>+VLOOKUP(PROVEEDORES[[#This Row],[ID RETENCION]],Retenciones!$A$1:$O$25,PROVEEDORES[[#This Row],[indicador de columna]],FALSE)</f>
        <v>0</v>
      </c>
      <c r="Y25" s="152">
        <f>+VLOOKUP(PROVEEDORES[[#This Row],[ID RETENCION]],Retenciones!$A$1:$O$25,2,FALSE)</f>
        <v>0</v>
      </c>
      <c r="Z25" s="153" t="b">
        <f>+OR(COUNTIF(PROVEEDORES[[#This Row],[PROVEEDOR]],"*"&amp;'Palabra que no opera y Listas d'!$A$2&amp;"*"))</f>
        <v>0</v>
      </c>
    </row>
    <row r="26" spans="1:26" ht="27.75" customHeight="1" x14ac:dyDescent="0.3">
      <c r="A26" s="144" t="str">
        <f>+IF(PROVEEDORES[[#This Row],[FECHA DE PAGO]]=PROVEEDORES[[#This Row],[FECHA DE FACTURACIÓN]],"DE CONTADO","CRÉDITO")</f>
        <v>CRÉDITO</v>
      </c>
      <c r="B26" s="144" t="b">
        <f>+IF((PROVEEDORES[[#This Row],[FECHA DE PAGO]]-PROVEEDORES[[#This Row],[FECHA DE FACTURACIÓN]])&gt;PROVEEDORES[[#This Row],[PLAZO Días]],"PAGO VENCIDO")</f>
        <v>0</v>
      </c>
      <c r="C26" s="144">
        <f>+VLOOKUP(PROVEEDORES[[#This Row],[PROVEEDOR]],TERCEROS_INFO[#All],2,FALSE)</f>
        <v>0</v>
      </c>
      <c r="D26" s="145">
        <f>+SUMIFS(PROVEEDORES[Total],PROVEEDORES[PROVEEDOR],PROVEEDORES[[#This Row],[PROVEEDOR]],PROVEEDORES[FECHA DE PAGO],"")</f>
        <v>0</v>
      </c>
      <c r="E26" s="146"/>
      <c r="F26" s="144">
        <f>+VLOOKUP(PROVEEDORES[[#This Row],[PROVEEDOR]],
                       Terceros!$A:$G,
                       5,
                       FALSE)</f>
        <v>0</v>
      </c>
      <c r="G26" s="122">
        <v>44953</v>
      </c>
      <c r="H26" s="102" t="s">
        <v>1783</v>
      </c>
      <c r="I26" s="122">
        <v>44976</v>
      </c>
      <c r="J26" s="103">
        <v>402</v>
      </c>
      <c r="K26" s="103" t="s">
        <v>1512</v>
      </c>
      <c r="L26" s="103"/>
      <c r="M26" s="105">
        <v>400000</v>
      </c>
      <c r="N26" s="147">
        <v>0</v>
      </c>
      <c r="O26" s="147">
        <v>0</v>
      </c>
      <c r="P26" s="148">
        <v>0</v>
      </c>
      <c r="Q26" s="147">
        <v>0</v>
      </c>
      <c r="R26" s="149">
        <v>400000</v>
      </c>
      <c r="S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" s="150">
        <f ca="1">+IF(PROVEEDORES[[#This Row],[FECHA DE PAGO]]=0,TODAY()-PROVEEDORES[[#This Row],[FECHA DE FACTURACIÓN]]-PROVEEDORES[[#This Row],[PLAZO Días]],0)</f>
        <v>0</v>
      </c>
      <c r="U26" s="150">
        <f>+VLOOKUP(PROVEEDORES[[#This Row],[PROVEEDOR]],Terceros!$A:$E,4,FALSE)</f>
        <v>0</v>
      </c>
      <c r="V26" s="150">
        <f>+YEAR(PROVEEDORES[[#This Row],[FECHA DE FACTURACIÓN]])</f>
        <v>2023</v>
      </c>
      <c r="W26" s="150">
        <f>+MATCH(PROVEEDORES[[#This Row],[año facturado]],Retenciones!$1:$1,0)</f>
        <v>6</v>
      </c>
      <c r="X26" s="151">
        <f>+VLOOKUP(PROVEEDORES[[#This Row],[ID RETENCION]],Retenciones!$A$1:$O$25,PROVEEDORES[[#This Row],[indicador de columna]],FALSE)</f>
        <v>0</v>
      </c>
      <c r="Y26" s="152">
        <f>+VLOOKUP(PROVEEDORES[[#This Row],[ID RETENCION]],Retenciones!$A$1:$O$25,2,FALSE)</f>
        <v>0</v>
      </c>
      <c r="Z26" s="153" t="b">
        <f>+OR(COUNTIF(PROVEEDORES[[#This Row],[PROVEEDOR]],"*"&amp;'Palabra que no opera y Listas d'!$A$2&amp;"*"))</f>
        <v>0</v>
      </c>
    </row>
    <row r="27" spans="1:26" ht="27.75" customHeight="1" x14ac:dyDescent="0.3">
      <c r="A27" s="144" t="str">
        <f>+IF(PROVEEDORES[[#This Row],[FECHA DE PAGO]]=PROVEEDORES[[#This Row],[FECHA DE FACTURACIÓN]],"DE CONTADO","CRÉDITO")</f>
        <v>DE CONTADO</v>
      </c>
      <c r="B27" s="144" t="b">
        <f>+IF((PROVEEDORES[[#This Row],[FECHA DE PAGO]]-PROVEEDORES[[#This Row],[FECHA DE FACTURACIÓN]])&gt;PROVEEDORES[[#This Row],[PLAZO Días]],"PAGO VENCIDO")</f>
        <v>0</v>
      </c>
      <c r="C27" s="144">
        <f>+VLOOKUP(PROVEEDORES[[#This Row],[PROVEEDOR]],TERCEROS_INFO[#All],2,FALSE)</f>
        <v>0</v>
      </c>
      <c r="D27" s="145">
        <f>+SUMIFS(PROVEEDORES[Total],PROVEEDORES[PROVEEDOR],PROVEEDORES[[#This Row],[PROVEEDOR]],PROVEEDORES[FECHA DE PAGO],"")</f>
        <v>0</v>
      </c>
      <c r="E27" s="146"/>
      <c r="F27" s="144">
        <f>+VLOOKUP(PROVEEDORES[[#This Row],[PROVEEDOR]],
                       Terceros!$A:$G,
                       5,
                       FALSE)</f>
        <v>0</v>
      </c>
      <c r="G27" s="122">
        <v>44954</v>
      </c>
      <c r="H27" s="102" t="s">
        <v>537</v>
      </c>
      <c r="I27" s="122">
        <v>44954</v>
      </c>
      <c r="J27" s="103" t="s">
        <v>542</v>
      </c>
      <c r="K27" s="103" t="s">
        <v>1512</v>
      </c>
      <c r="L27" s="103"/>
      <c r="M27" s="105">
        <v>771400</v>
      </c>
      <c r="N27" s="147">
        <v>0</v>
      </c>
      <c r="O27" s="147">
        <v>0</v>
      </c>
      <c r="P27" s="148">
        <v>0</v>
      </c>
      <c r="Q27" s="147">
        <v>0</v>
      </c>
      <c r="R27" s="149">
        <v>771400</v>
      </c>
      <c r="S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" s="150">
        <f ca="1">+IF(PROVEEDORES[[#This Row],[FECHA DE PAGO]]=0,TODAY()-PROVEEDORES[[#This Row],[FECHA DE FACTURACIÓN]]-PROVEEDORES[[#This Row],[PLAZO Días]],0)</f>
        <v>0</v>
      </c>
      <c r="U27" s="150">
        <f>+VLOOKUP(PROVEEDORES[[#This Row],[PROVEEDOR]],Terceros!$A:$E,4,FALSE)</f>
        <v>0</v>
      </c>
      <c r="V27" s="150">
        <f>+YEAR(PROVEEDORES[[#This Row],[FECHA DE FACTURACIÓN]])</f>
        <v>2023</v>
      </c>
      <c r="W27" s="150">
        <f>+MATCH(PROVEEDORES[[#This Row],[año facturado]],Retenciones!$1:$1,0)</f>
        <v>6</v>
      </c>
      <c r="X27" s="151">
        <f>+VLOOKUP(PROVEEDORES[[#This Row],[ID RETENCION]],Retenciones!$A$1:$O$25,PROVEEDORES[[#This Row],[indicador de columna]],FALSE)</f>
        <v>0</v>
      </c>
      <c r="Y27" s="152">
        <f>+VLOOKUP(PROVEEDORES[[#This Row],[ID RETENCION]],Retenciones!$A$1:$O$25,2,FALSE)</f>
        <v>0</v>
      </c>
      <c r="Z27" s="153" t="b">
        <f>+OR(COUNTIF(PROVEEDORES[[#This Row],[PROVEEDOR]],"*"&amp;'Palabra que no opera y Listas d'!$A$2&amp;"*"))</f>
        <v>0</v>
      </c>
    </row>
    <row r="28" spans="1:26" ht="27.75" customHeight="1" x14ac:dyDescent="0.3">
      <c r="A28" s="144" t="str">
        <f>+IF(PROVEEDORES[[#This Row],[FECHA DE PAGO]]=PROVEEDORES[[#This Row],[FECHA DE FACTURACIÓN]],"DE CONTADO","CRÉDITO")</f>
        <v>DE CONTADO</v>
      </c>
      <c r="B28" s="144" t="b">
        <f>+IF((PROVEEDORES[[#This Row],[FECHA DE PAGO]]-PROVEEDORES[[#This Row],[FECHA DE FACTURACIÓN]])&gt;PROVEEDORES[[#This Row],[PLAZO Días]],"PAGO VENCIDO")</f>
        <v>0</v>
      </c>
      <c r="C28" s="144">
        <f>+VLOOKUP(PROVEEDORES[[#This Row],[PROVEEDOR]],TERCEROS_INFO[#All],2,FALSE)</f>
        <v>0</v>
      </c>
      <c r="D28" s="145">
        <f>+SUMIFS(PROVEEDORES[Total],PROVEEDORES[PROVEEDOR],PROVEEDORES[[#This Row],[PROVEEDOR]],PROVEEDORES[FECHA DE PAGO],"")</f>
        <v>0</v>
      </c>
      <c r="E28" s="146"/>
      <c r="F28" s="144">
        <f>+VLOOKUP(PROVEEDORES[[#This Row],[PROVEEDOR]],
                       Terceros!$A:$G,
                       5,
                       FALSE)</f>
        <v>0</v>
      </c>
      <c r="G28" s="122">
        <v>44957</v>
      </c>
      <c r="H28" s="102" t="s">
        <v>537</v>
      </c>
      <c r="I28" s="122">
        <v>44957</v>
      </c>
      <c r="J28" s="103" t="s">
        <v>1513</v>
      </c>
      <c r="K28" s="103" t="s">
        <v>1512</v>
      </c>
      <c r="L28" s="103"/>
      <c r="M28" s="105">
        <v>0</v>
      </c>
      <c r="N28" s="147">
        <v>0</v>
      </c>
      <c r="O28" s="147">
        <v>0</v>
      </c>
      <c r="P28" s="148">
        <v>0</v>
      </c>
      <c r="Q28" s="147">
        <v>0</v>
      </c>
      <c r="R28" s="149">
        <v>0</v>
      </c>
      <c r="S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" s="150">
        <f ca="1">+IF(PROVEEDORES[[#This Row],[FECHA DE PAGO]]=0,TODAY()-PROVEEDORES[[#This Row],[FECHA DE FACTURACIÓN]]-PROVEEDORES[[#This Row],[PLAZO Días]],0)</f>
        <v>0</v>
      </c>
      <c r="U28" s="150">
        <f>+VLOOKUP(PROVEEDORES[[#This Row],[PROVEEDOR]],Terceros!$A:$E,4,FALSE)</f>
        <v>0</v>
      </c>
      <c r="V28" s="150">
        <f>+YEAR(PROVEEDORES[[#This Row],[FECHA DE FACTURACIÓN]])</f>
        <v>2023</v>
      </c>
      <c r="W28" s="150">
        <f>+MATCH(PROVEEDORES[[#This Row],[año facturado]],Retenciones!$1:$1,0)</f>
        <v>6</v>
      </c>
      <c r="X28" s="151">
        <f>+VLOOKUP(PROVEEDORES[[#This Row],[ID RETENCION]],Retenciones!$A$1:$O$25,PROVEEDORES[[#This Row],[indicador de columna]],FALSE)</f>
        <v>0</v>
      </c>
      <c r="Y28" s="152">
        <f>+VLOOKUP(PROVEEDORES[[#This Row],[ID RETENCION]],Retenciones!$A$1:$O$25,2,FALSE)</f>
        <v>0</v>
      </c>
      <c r="Z28" s="153" t="b">
        <f>+OR(COUNTIF(PROVEEDORES[[#This Row],[PROVEEDOR]],"*"&amp;'Palabra que no opera y Listas d'!$A$2&amp;"*"))</f>
        <v>0</v>
      </c>
    </row>
    <row r="29" spans="1:26" ht="27.75" customHeight="1" x14ac:dyDescent="0.3">
      <c r="A29" s="144" t="str">
        <f>+IF(PROVEEDORES[[#This Row],[FECHA DE PAGO]]=PROVEEDORES[[#This Row],[FECHA DE FACTURACIÓN]],"DE CONTADO","CRÉDITO")</f>
        <v>DE CONTADO</v>
      </c>
      <c r="B29" s="144" t="b">
        <f>+IF((PROVEEDORES[[#This Row],[FECHA DE PAGO]]-PROVEEDORES[[#This Row],[FECHA DE FACTURACIÓN]])&gt;PROVEEDORES[[#This Row],[PLAZO Días]],"PAGO VENCIDO")</f>
        <v>0</v>
      </c>
      <c r="C29" s="144">
        <f>+VLOOKUP(PROVEEDORES[[#This Row],[PROVEEDOR]],TERCEROS_INFO[#All],2,FALSE)</f>
        <v>0</v>
      </c>
      <c r="D29" s="145">
        <f>+SUMIFS(PROVEEDORES[Total],PROVEEDORES[PROVEEDOR],PROVEEDORES[[#This Row],[PROVEEDOR]],PROVEEDORES[FECHA DE PAGO],"")</f>
        <v>0</v>
      </c>
      <c r="E29" s="146"/>
      <c r="F29" s="144">
        <f>+VLOOKUP(PROVEEDORES[[#This Row],[PROVEEDOR]],
                       Terceros!$A:$G,
                       5,
                       FALSE)</f>
        <v>0</v>
      </c>
      <c r="G29" s="122">
        <v>44957</v>
      </c>
      <c r="H29" s="102" t="s">
        <v>537</v>
      </c>
      <c r="I29" s="122">
        <v>44957</v>
      </c>
      <c r="J29" s="103" t="s">
        <v>514</v>
      </c>
      <c r="K29" s="103" t="s">
        <v>1512</v>
      </c>
      <c r="L29" s="103"/>
      <c r="M29" s="105">
        <v>56000</v>
      </c>
      <c r="N29" s="147">
        <v>0</v>
      </c>
      <c r="O29" s="147">
        <v>0</v>
      </c>
      <c r="P29" s="148">
        <v>0</v>
      </c>
      <c r="Q29" s="147">
        <v>0</v>
      </c>
      <c r="R29" s="149">
        <v>56000</v>
      </c>
      <c r="S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" s="150">
        <f ca="1">+IF(PROVEEDORES[[#This Row],[FECHA DE PAGO]]=0,TODAY()-PROVEEDORES[[#This Row],[FECHA DE FACTURACIÓN]]-PROVEEDORES[[#This Row],[PLAZO Días]],0)</f>
        <v>0</v>
      </c>
      <c r="U29" s="150">
        <f>+VLOOKUP(PROVEEDORES[[#This Row],[PROVEEDOR]],Terceros!$A:$E,4,FALSE)</f>
        <v>0</v>
      </c>
      <c r="V29" s="150">
        <f>+YEAR(PROVEEDORES[[#This Row],[FECHA DE FACTURACIÓN]])</f>
        <v>2023</v>
      </c>
      <c r="W29" s="150">
        <f>+MATCH(PROVEEDORES[[#This Row],[año facturado]],Retenciones!$1:$1,0)</f>
        <v>6</v>
      </c>
      <c r="X29" s="151">
        <f>+VLOOKUP(PROVEEDORES[[#This Row],[ID RETENCION]],Retenciones!$A$1:$O$25,PROVEEDORES[[#This Row],[indicador de columna]],FALSE)</f>
        <v>0</v>
      </c>
      <c r="Y29" s="152">
        <f>+VLOOKUP(PROVEEDORES[[#This Row],[ID RETENCION]],Retenciones!$A$1:$O$25,2,FALSE)</f>
        <v>0</v>
      </c>
      <c r="Z29" s="153" t="b">
        <f>+OR(COUNTIF(PROVEEDORES[[#This Row],[PROVEEDOR]],"*"&amp;'Palabra que no opera y Listas d'!$A$2&amp;"*"))</f>
        <v>0</v>
      </c>
    </row>
    <row r="30" spans="1:26" ht="27.75" customHeight="1" x14ac:dyDescent="0.3">
      <c r="A30" s="144" t="str">
        <f>+IF(PROVEEDORES[[#This Row],[FECHA DE PAGO]]=PROVEEDORES[[#This Row],[FECHA DE FACTURACIÓN]],"DE CONTADO","CRÉDITO")</f>
        <v>DE CONTADO</v>
      </c>
      <c r="B30" s="144" t="b">
        <f>+IF((PROVEEDORES[[#This Row],[FECHA DE PAGO]]-PROVEEDORES[[#This Row],[FECHA DE FACTURACIÓN]])&gt;PROVEEDORES[[#This Row],[PLAZO Días]],"PAGO VENCIDO")</f>
        <v>0</v>
      </c>
      <c r="C30" s="144">
        <f>+VLOOKUP(PROVEEDORES[[#This Row],[PROVEEDOR]],TERCEROS_INFO[#All],2,FALSE)</f>
        <v>0</v>
      </c>
      <c r="D30" s="145">
        <f>+SUMIFS(PROVEEDORES[Total],PROVEEDORES[PROVEEDOR],PROVEEDORES[[#This Row],[PROVEEDOR]],PROVEEDORES[FECHA DE PAGO],"")</f>
        <v>0</v>
      </c>
      <c r="E30" s="146"/>
      <c r="F30" s="144">
        <f>+VLOOKUP(PROVEEDORES[[#This Row],[PROVEEDOR]],
                       Terceros!$A:$G,
                       5,
                       FALSE)</f>
        <v>0</v>
      </c>
      <c r="G30" s="122">
        <v>44957</v>
      </c>
      <c r="H30" s="102" t="s">
        <v>537</v>
      </c>
      <c r="I30" s="122">
        <v>44957</v>
      </c>
      <c r="J30" s="103" t="s">
        <v>515</v>
      </c>
      <c r="K30" s="103" t="s">
        <v>1512</v>
      </c>
      <c r="L30" s="103"/>
      <c r="M30" s="105">
        <v>115930</v>
      </c>
      <c r="N30" s="147">
        <v>0</v>
      </c>
      <c r="O30" s="147">
        <v>0</v>
      </c>
      <c r="P30" s="148">
        <v>0</v>
      </c>
      <c r="Q30" s="147">
        <v>0</v>
      </c>
      <c r="R30" s="149">
        <v>115930</v>
      </c>
      <c r="S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" s="150">
        <f ca="1">+IF(PROVEEDORES[[#This Row],[FECHA DE PAGO]]=0,TODAY()-PROVEEDORES[[#This Row],[FECHA DE FACTURACIÓN]]-PROVEEDORES[[#This Row],[PLAZO Días]],0)</f>
        <v>0</v>
      </c>
      <c r="U30" s="150">
        <f>+VLOOKUP(PROVEEDORES[[#This Row],[PROVEEDOR]],Terceros!$A:$E,4,FALSE)</f>
        <v>0</v>
      </c>
      <c r="V30" s="150">
        <f>+YEAR(PROVEEDORES[[#This Row],[FECHA DE FACTURACIÓN]])</f>
        <v>2023</v>
      </c>
      <c r="W30" s="150">
        <f>+MATCH(PROVEEDORES[[#This Row],[año facturado]],Retenciones!$1:$1,0)</f>
        <v>6</v>
      </c>
      <c r="X30" s="151">
        <f>+VLOOKUP(PROVEEDORES[[#This Row],[ID RETENCION]],Retenciones!$A$1:$O$25,PROVEEDORES[[#This Row],[indicador de columna]],FALSE)</f>
        <v>0</v>
      </c>
      <c r="Y30" s="152">
        <f>+VLOOKUP(PROVEEDORES[[#This Row],[ID RETENCION]],Retenciones!$A$1:$O$25,2,FALSE)</f>
        <v>0</v>
      </c>
      <c r="Z30" s="153" t="b">
        <f>+OR(COUNTIF(PROVEEDORES[[#This Row],[PROVEEDOR]],"*"&amp;'Palabra que no opera y Listas d'!$A$2&amp;"*"))</f>
        <v>0</v>
      </c>
    </row>
    <row r="31" spans="1:26" ht="27.75" customHeight="1" x14ac:dyDescent="0.3">
      <c r="A31" s="144" t="str">
        <f>+IF(PROVEEDORES[[#This Row],[FECHA DE PAGO]]=PROVEEDORES[[#This Row],[FECHA DE FACTURACIÓN]],"DE CONTADO","CRÉDITO")</f>
        <v>DE CONTADO</v>
      </c>
      <c r="B31" s="144" t="b">
        <f>+IF((PROVEEDORES[[#This Row],[FECHA DE PAGO]]-PROVEEDORES[[#This Row],[FECHA DE FACTURACIÓN]])&gt;PROVEEDORES[[#This Row],[PLAZO Días]],"PAGO VENCIDO")</f>
        <v>0</v>
      </c>
      <c r="C31" s="144">
        <f>+VLOOKUP(PROVEEDORES[[#This Row],[PROVEEDOR]],TERCEROS_INFO[#All],2,FALSE)</f>
        <v>0</v>
      </c>
      <c r="D31" s="145">
        <f>+SUMIFS(PROVEEDORES[Total],PROVEEDORES[PROVEEDOR],PROVEEDORES[[#This Row],[PROVEEDOR]],PROVEEDORES[FECHA DE PAGO],"")</f>
        <v>0</v>
      </c>
      <c r="E31" s="146"/>
      <c r="F31" s="144">
        <f>+VLOOKUP(PROVEEDORES[[#This Row],[PROVEEDOR]],
                       Terceros!$A:$G,
                       5,
                       FALSE)</f>
        <v>0</v>
      </c>
      <c r="G31" s="122">
        <v>44957</v>
      </c>
      <c r="H31" s="102" t="s">
        <v>537</v>
      </c>
      <c r="I31" s="122">
        <v>44957</v>
      </c>
      <c r="J31" s="103" t="s">
        <v>493</v>
      </c>
      <c r="K31" s="103" t="s">
        <v>1512</v>
      </c>
      <c r="L31" s="103"/>
      <c r="M31" s="105">
        <v>177600</v>
      </c>
      <c r="N31" s="147">
        <v>0</v>
      </c>
      <c r="O31" s="147">
        <v>0</v>
      </c>
      <c r="P31" s="148">
        <v>0</v>
      </c>
      <c r="Q31" s="147">
        <v>0</v>
      </c>
      <c r="R31" s="149">
        <v>177600</v>
      </c>
      <c r="S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" s="150">
        <f ca="1">+IF(PROVEEDORES[[#This Row],[FECHA DE PAGO]]=0,TODAY()-PROVEEDORES[[#This Row],[FECHA DE FACTURACIÓN]]-PROVEEDORES[[#This Row],[PLAZO Días]],0)</f>
        <v>0</v>
      </c>
      <c r="U31" s="150">
        <f>+VLOOKUP(PROVEEDORES[[#This Row],[PROVEEDOR]],Terceros!$A:$E,4,FALSE)</f>
        <v>0</v>
      </c>
      <c r="V31" s="150">
        <f>+YEAR(PROVEEDORES[[#This Row],[FECHA DE FACTURACIÓN]])</f>
        <v>2023</v>
      </c>
      <c r="W31" s="150">
        <f>+MATCH(PROVEEDORES[[#This Row],[año facturado]],Retenciones!$1:$1,0)</f>
        <v>6</v>
      </c>
      <c r="X31" s="151">
        <f>+VLOOKUP(PROVEEDORES[[#This Row],[ID RETENCION]],Retenciones!$A$1:$O$25,PROVEEDORES[[#This Row],[indicador de columna]],FALSE)</f>
        <v>0</v>
      </c>
      <c r="Y31" s="152">
        <f>+VLOOKUP(PROVEEDORES[[#This Row],[ID RETENCION]],Retenciones!$A$1:$O$25,2,FALSE)</f>
        <v>0</v>
      </c>
      <c r="Z31" s="153" t="b">
        <f>+OR(COUNTIF(PROVEEDORES[[#This Row],[PROVEEDOR]],"*"&amp;'Palabra que no opera y Listas d'!$A$2&amp;"*"))</f>
        <v>0</v>
      </c>
    </row>
    <row r="32" spans="1:26" ht="27.75" customHeight="1" x14ac:dyDescent="0.3">
      <c r="A32" s="144" t="str">
        <f>+IF(PROVEEDORES[[#This Row],[FECHA DE PAGO]]=PROVEEDORES[[#This Row],[FECHA DE FACTURACIÓN]],"DE CONTADO","CRÉDITO")</f>
        <v>DE CONTADO</v>
      </c>
      <c r="B32" s="144" t="b">
        <f>+IF((PROVEEDORES[[#This Row],[FECHA DE PAGO]]-PROVEEDORES[[#This Row],[FECHA DE FACTURACIÓN]])&gt;PROVEEDORES[[#This Row],[PLAZO Días]],"PAGO VENCIDO")</f>
        <v>0</v>
      </c>
      <c r="C32" s="144">
        <f>+VLOOKUP(PROVEEDORES[[#This Row],[PROVEEDOR]],TERCEROS_INFO[#All],2,FALSE)</f>
        <v>0</v>
      </c>
      <c r="D32" s="145">
        <f>+SUMIFS(PROVEEDORES[Total],PROVEEDORES[PROVEEDOR],PROVEEDORES[[#This Row],[PROVEEDOR]],PROVEEDORES[FECHA DE PAGO],"")</f>
        <v>0</v>
      </c>
      <c r="E32" s="146"/>
      <c r="F32" s="144">
        <f>+VLOOKUP(PROVEEDORES[[#This Row],[PROVEEDOR]],
                       Terceros!$A:$G,
                       5,
                       FALSE)</f>
        <v>0</v>
      </c>
      <c r="G32" s="122">
        <v>44957</v>
      </c>
      <c r="H32" s="102" t="s">
        <v>537</v>
      </c>
      <c r="I32" s="122">
        <v>44957</v>
      </c>
      <c r="J32" s="103" t="s">
        <v>491</v>
      </c>
      <c r="K32" s="103" t="s">
        <v>1512</v>
      </c>
      <c r="L32" s="103"/>
      <c r="M32" s="105">
        <v>586500</v>
      </c>
      <c r="N32" s="147">
        <v>0</v>
      </c>
      <c r="O32" s="147">
        <v>0</v>
      </c>
      <c r="P32" s="148">
        <v>0</v>
      </c>
      <c r="Q32" s="147">
        <v>0</v>
      </c>
      <c r="R32" s="149">
        <v>586500</v>
      </c>
      <c r="S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" s="150">
        <f ca="1">+IF(PROVEEDORES[[#This Row],[FECHA DE PAGO]]=0,TODAY()-PROVEEDORES[[#This Row],[FECHA DE FACTURACIÓN]]-PROVEEDORES[[#This Row],[PLAZO Días]],0)</f>
        <v>0</v>
      </c>
      <c r="U32" s="150">
        <f>+VLOOKUP(PROVEEDORES[[#This Row],[PROVEEDOR]],Terceros!$A:$E,4,FALSE)</f>
        <v>0</v>
      </c>
      <c r="V32" s="150">
        <f>+YEAR(PROVEEDORES[[#This Row],[FECHA DE FACTURACIÓN]])</f>
        <v>2023</v>
      </c>
      <c r="W32" s="150">
        <f>+MATCH(PROVEEDORES[[#This Row],[año facturado]],Retenciones!$1:$1,0)</f>
        <v>6</v>
      </c>
      <c r="X32" s="151">
        <f>+VLOOKUP(PROVEEDORES[[#This Row],[ID RETENCION]],Retenciones!$A$1:$O$25,PROVEEDORES[[#This Row],[indicador de columna]],FALSE)</f>
        <v>0</v>
      </c>
      <c r="Y32" s="152">
        <f>+VLOOKUP(PROVEEDORES[[#This Row],[ID RETENCION]],Retenciones!$A$1:$O$25,2,FALSE)</f>
        <v>0</v>
      </c>
      <c r="Z32" s="153" t="b">
        <f>+OR(COUNTIF(PROVEEDORES[[#This Row],[PROVEEDOR]],"*"&amp;'Palabra que no opera y Listas d'!$A$2&amp;"*"))</f>
        <v>0</v>
      </c>
    </row>
    <row r="33" spans="1:26" ht="27.75" customHeight="1" x14ac:dyDescent="0.3">
      <c r="A33" s="144" t="str">
        <f>+IF(PROVEEDORES[[#This Row],[FECHA DE PAGO]]=PROVEEDORES[[#This Row],[FECHA DE FACTURACIÓN]],"DE CONTADO","CRÉDITO")</f>
        <v>DE CONTADO</v>
      </c>
      <c r="B33" s="144" t="b">
        <f>+IF((PROVEEDORES[[#This Row],[FECHA DE PAGO]]-PROVEEDORES[[#This Row],[FECHA DE FACTURACIÓN]])&gt;PROVEEDORES[[#This Row],[PLAZO Días]],"PAGO VENCIDO")</f>
        <v>0</v>
      </c>
      <c r="C33" s="144">
        <f>+VLOOKUP(PROVEEDORES[[#This Row],[PROVEEDOR]],TERCEROS_INFO[#All],2,FALSE)</f>
        <v>0</v>
      </c>
      <c r="D33" s="145">
        <f>+SUMIFS(PROVEEDORES[Total],PROVEEDORES[PROVEEDOR],PROVEEDORES[[#This Row],[PROVEEDOR]],PROVEEDORES[FECHA DE PAGO],"")</f>
        <v>0</v>
      </c>
      <c r="E33" s="146"/>
      <c r="F33" s="144">
        <f>+VLOOKUP(PROVEEDORES[[#This Row],[PROVEEDOR]],
                       Terceros!$A:$G,
                       5,
                       FALSE)</f>
        <v>0</v>
      </c>
      <c r="G33" s="122">
        <v>44957</v>
      </c>
      <c r="H33" s="102" t="s">
        <v>537</v>
      </c>
      <c r="I33" s="122">
        <v>44957</v>
      </c>
      <c r="J33" s="103" t="s">
        <v>492</v>
      </c>
      <c r="K33" s="103" t="s">
        <v>1512</v>
      </c>
      <c r="L33" s="103"/>
      <c r="M33" s="105">
        <v>1979300</v>
      </c>
      <c r="N33" s="147">
        <v>0</v>
      </c>
      <c r="O33" s="147">
        <v>0</v>
      </c>
      <c r="P33" s="148">
        <v>0</v>
      </c>
      <c r="Q33" s="147">
        <v>0</v>
      </c>
      <c r="R33" s="149">
        <v>1979300</v>
      </c>
      <c r="S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" s="150">
        <f ca="1">+IF(PROVEEDORES[[#This Row],[FECHA DE PAGO]]=0,TODAY()-PROVEEDORES[[#This Row],[FECHA DE FACTURACIÓN]]-PROVEEDORES[[#This Row],[PLAZO Días]],0)</f>
        <v>0</v>
      </c>
      <c r="U33" s="150">
        <f>+VLOOKUP(PROVEEDORES[[#This Row],[PROVEEDOR]],Terceros!$A:$E,4,FALSE)</f>
        <v>0</v>
      </c>
      <c r="V33" s="150">
        <f>+YEAR(PROVEEDORES[[#This Row],[FECHA DE FACTURACIÓN]])</f>
        <v>2023</v>
      </c>
      <c r="W33" s="150">
        <f>+MATCH(PROVEEDORES[[#This Row],[año facturado]],Retenciones!$1:$1,0)</f>
        <v>6</v>
      </c>
      <c r="X33" s="151">
        <f>+VLOOKUP(PROVEEDORES[[#This Row],[ID RETENCION]],Retenciones!$A$1:$O$25,PROVEEDORES[[#This Row],[indicador de columna]],FALSE)</f>
        <v>0</v>
      </c>
      <c r="Y33" s="152">
        <f>+VLOOKUP(PROVEEDORES[[#This Row],[ID RETENCION]],Retenciones!$A$1:$O$25,2,FALSE)</f>
        <v>0</v>
      </c>
      <c r="Z33" s="153" t="b">
        <f>+OR(COUNTIF(PROVEEDORES[[#This Row],[PROVEEDOR]],"*"&amp;'Palabra que no opera y Listas d'!$A$2&amp;"*"))</f>
        <v>0</v>
      </c>
    </row>
    <row r="34" spans="1:26" ht="27.75" customHeight="1" x14ac:dyDescent="0.3">
      <c r="A34" s="144" t="str">
        <f>+IF(PROVEEDORES[[#This Row],[FECHA DE PAGO]]=PROVEEDORES[[#This Row],[FECHA DE FACTURACIÓN]],"DE CONTADO","CRÉDITO")</f>
        <v>CRÉDITO</v>
      </c>
      <c r="B34" s="144" t="str">
        <f>+IF((PROVEEDORES[[#This Row],[FECHA DE PAGO]]-PROVEEDORES[[#This Row],[FECHA DE FACTURACIÓN]])&gt;PROVEEDORES[[#This Row],[PLAZO Días]],"PAGO VENCIDO")</f>
        <v>PAGO VENCIDO</v>
      </c>
      <c r="C34" s="144">
        <f>+VLOOKUP(PROVEEDORES[[#This Row],[PROVEEDOR]],TERCEROS_INFO[#All],2,FALSE)</f>
        <v>0</v>
      </c>
      <c r="D34" s="145">
        <f>+SUMIFS(PROVEEDORES[Total],PROVEEDORES[PROVEEDOR],PROVEEDORES[[#This Row],[PROVEEDOR]],PROVEEDORES[FECHA DE PAGO],"")</f>
        <v>0</v>
      </c>
      <c r="E34" s="146"/>
      <c r="F34" s="144">
        <f>+VLOOKUP(PROVEEDORES[[#This Row],[PROVEEDOR]],
                       Terceros!$A:$G,
                       5,
                       FALSE)</f>
        <v>0</v>
      </c>
      <c r="G34" s="122">
        <v>44958</v>
      </c>
      <c r="H34" s="102" t="s">
        <v>403</v>
      </c>
      <c r="I34" s="122">
        <v>44931</v>
      </c>
      <c r="J34" s="103" t="s">
        <v>528</v>
      </c>
      <c r="K34" s="103" t="s">
        <v>1512</v>
      </c>
      <c r="L34" s="103"/>
      <c r="M34" s="105">
        <v>398800</v>
      </c>
      <c r="N34" s="147">
        <v>75772</v>
      </c>
      <c r="O34" s="147">
        <v>0</v>
      </c>
      <c r="P34" s="148">
        <v>0</v>
      </c>
      <c r="Q34" s="147">
        <v>0</v>
      </c>
      <c r="R34" s="149">
        <v>474572</v>
      </c>
      <c r="S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" s="150">
        <f ca="1">+IF(PROVEEDORES[[#This Row],[FECHA DE PAGO]]=0,TODAY()-PROVEEDORES[[#This Row],[FECHA DE FACTURACIÓN]]-PROVEEDORES[[#This Row],[PLAZO Días]],0)</f>
        <v>0</v>
      </c>
      <c r="U34" s="150">
        <f>+VLOOKUP(PROVEEDORES[[#This Row],[PROVEEDOR]],Terceros!$A:$E,4,FALSE)</f>
        <v>0.19</v>
      </c>
      <c r="V34" s="150">
        <f>+YEAR(PROVEEDORES[[#This Row],[FECHA DE FACTURACIÓN]])</f>
        <v>2023</v>
      </c>
      <c r="W34" s="150">
        <f>+MATCH(PROVEEDORES[[#This Row],[año facturado]],Retenciones!$1:$1,0)</f>
        <v>6</v>
      </c>
      <c r="X34" s="151" t="e">
        <f>+VLOOKUP(PROVEEDORES[[#This Row],[ID RETENCION]],Retenciones!$A$1:$O$25,PROVEEDORES[[#This Row],[indicador de columna]],FALSE)</f>
        <v>#N/A</v>
      </c>
      <c r="Y34" s="152" t="e">
        <f>+VLOOKUP(PROVEEDORES[[#This Row],[ID RETENCION]],Retenciones!$A$1:$O$25,2,FALSE)</f>
        <v>#N/A</v>
      </c>
      <c r="Z34" s="153" t="b">
        <f>+OR(COUNTIF(PROVEEDORES[[#This Row],[PROVEEDOR]],"*"&amp;'Palabra que no opera y Listas d'!$A$2&amp;"*"))</f>
        <v>1</v>
      </c>
    </row>
    <row r="35" spans="1:26" ht="27.75" customHeight="1" x14ac:dyDescent="0.3">
      <c r="A35" s="144" t="str">
        <f>+IF(PROVEEDORES[[#This Row],[FECHA DE PAGO]]=PROVEEDORES[[#This Row],[FECHA DE FACTURACIÓN]],"DE CONTADO","CRÉDITO")</f>
        <v>CRÉDITO</v>
      </c>
      <c r="B35" s="144" t="str">
        <f>+IF((PROVEEDORES[[#This Row],[FECHA DE PAGO]]-PROVEEDORES[[#This Row],[FECHA DE FACTURACIÓN]])&gt;PROVEEDORES[[#This Row],[PLAZO Días]],"PAGO VENCIDO")</f>
        <v>PAGO VENCIDO</v>
      </c>
      <c r="C35" s="144">
        <f>+VLOOKUP(PROVEEDORES[[#This Row],[PROVEEDOR]],TERCEROS_INFO[#All],2,FALSE)</f>
        <v>0</v>
      </c>
      <c r="D35" s="145">
        <f>+SUMIFS(PROVEEDORES[Total],PROVEEDORES[PROVEEDOR],PROVEEDORES[[#This Row],[PROVEEDOR]],PROVEEDORES[FECHA DE PAGO],"")</f>
        <v>0</v>
      </c>
      <c r="E35" s="146"/>
      <c r="F35" s="144">
        <f>+VLOOKUP(PROVEEDORES[[#This Row],[PROVEEDOR]],
                       Terceros!$A:$G,
                       5,
                       FALSE)</f>
        <v>0</v>
      </c>
      <c r="G35" s="122">
        <v>44960</v>
      </c>
      <c r="H35" s="102" t="s">
        <v>496</v>
      </c>
      <c r="I35" s="122">
        <v>44959</v>
      </c>
      <c r="J35" s="103">
        <v>2785</v>
      </c>
      <c r="K35" s="103" t="s">
        <v>1512</v>
      </c>
      <c r="L35" s="103"/>
      <c r="M35" s="105">
        <v>1814000</v>
      </c>
      <c r="N35" s="147">
        <v>0</v>
      </c>
      <c r="O35" s="147">
        <v>0</v>
      </c>
      <c r="P35" s="148">
        <v>0</v>
      </c>
      <c r="Q35" s="147">
        <v>0</v>
      </c>
      <c r="R35" s="149">
        <v>1814000</v>
      </c>
      <c r="S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" s="150">
        <f ca="1">+IF(PROVEEDORES[[#This Row],[FECHA DE PAGO]]=0,TODAY()-PROVEEDORES[[#This Row],[FECHA DE FACTURACIÓN]]-PROVEEDORES[[#This Row],[PLAZO Días]],0)</f>
        <v>0</v>
      </c>
      <c r="U35" s="150">
        <f>+VLOOKUP(PROVEEDORES[[#This Row],[PROVEEDOR]],Terceros!$A:$E,4,FALSE)</f>
        <v>0</v>
      </c>
      <c r="V35" s="150">
        <f>+YEAR(PROVEEDORES[[#This Row],[FECHA DE FACTURACIÓN]])</f>
        <v>2023</v>
      </c>
      <c r="W35" s="150">
        <f>+MATCH(PROVEEDORES[[#This Row],[año facturado]],Retenciones!$1:$1,0)</f>
        <v>6</v>
      </c>
      <c r="X35" s="151">
        <f>+VLOOKUP(PROVEEDORES[[#This Row],[ID RETENCION]],Retenciones!$A$1:$O$25,PROVEEDORES[[#This Row],[indicador de columna]],FALSE)</f>
        <v>0</v>
      </c>
      <c r="Y35" s="152">
        <f>+VLOOKUP(PROVEEDORES[[#This Row],[ID RETENCION]],Retenciones!$A$1:$O$25,2,FALSE)</f>
        <v>0</v>
      </c>
      <c r="Z35" s="153" t="b">
        <f>+OR(COUNTIF(PROVEEDORES[[#This Row],[PROVEEDOR]],"*"&amp;'Palabra que no opera y Listas d'!$A$2&amp;"*"))</f>
        <v>0</v>
      </c>
    </row>
    <row r="36" spans="1:26" ht="27.75" customHeight="1" x14ac:dyDescent="0.3">
      <c r="A36" s="144" t="str">
        <f>+IF(PROVEEDORES[[#This Row],[FECHA DE PAGO]]=PROVEEDORES[[#This Row],[FECHA DE FACTURACIÓN]],"DE CONTADO","CRÉDITO")</f>
        <v>CRÉDITO</v>
      </c>
      <c r="B36" s="144" t="str">
        <f>+IF((PROVEEDORES[[#This Row],[FECHA DE PAGO]]-PROVEEDORES[[#This Row],[FECHA DE FACTURACIÓN]])&gt;PROVEEDORES[[#This Row],[PLAZO Días]],"PAGO VENCIDO")</f>
        <v>PAGO VENCIDO</v>
      </c>
      <c r="C36" s="144">
        <f>+VLOOKUP(PROVEEDORES[[#This Row],[PROVEEDOR]],TERCEROS_INFO[#All],2,FALSE)</f>
        <v>0</v>
      </c>
      <c r="D36" s="145">
        <f>+SUMIFS(PROVEEDORES[Total],PROVEEDORES[PROVEEDOR],PROVEEDORES[[#This Row],[PROVEEDOR]],PROVEEDORES[FECHA DE PAGO],"")</f>
        <v>0</v>
      </c>
      <c r="E36" s="146"/>
      <c r="F36" s="144">
        <f>+VLOOKUP(PROVEEDORES[[#This Row],[PROVEEDOR]],
                       Terceros!$A:$G,
                       5,
                       FALSE)</f>
        <v>0</v>
      </c>
      <c r="G36" s="122">
        <v>44964</v>
      </c>
      <c r="H36" s="102" t="s">
        <v>496</v>
      </c>
      <c r="I36" s="122">
        <v>44963</v>
      </c>
      <c r="J36" s="103">
        <v>2791</v>
      </c>
      <c r="K36" s="103" t="s">
        <v>1512</v>
      </c>
      <c r="L36" s="103"/>
      <c r="M36" s="105">
        <v>2470000</v>
      </c>
      <c r="N36" s="147">
        <v>0</v>
      </c>
      <c r="O36" s="147">
        <v>0</v>
      </c>
      <c r="P36" s="148">
        <v>0</v>
      </c>
      <c r="Q36" s="147">
        <v>0</v>
      </c>
      <c r="R36" s="149">
        <v>2470000</v>
      </c>
      <c r="S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" s="150">
        <f ca="1">+IF(PROVEEDORES[[#This Row],[FECHA DE PAGO]]=0,TODAY()-PROVEEDORES[[#This Row],[FECHA DE FACTURACIÓN]]-PROVEEDORES[[#This Row],[PLAZO Días]],0)</f>
        <v>0</v>
      </c>
      <c r="U36" s="150">
        <f>+VLOOKUP(PROVEEDORES[[#This Row],[PROVEEDOR]],Terceros!$A:$E,4,FALSE)</f>
        <v>0</v>
      </c>
      <c r="V36" s="150">
        <f>+YEAR(PROVEEDORES[[#This Row],[FECHA DE FACTURACIÓN]])</f>
        <v>2023</v>
      </c>
      <c r="W36" s="150">
        <f>+MATCH(PROVEEDORES[[#This Row],[año facturado]],Retenciones!$1:$1,0)</f>
        <v>6</v>
      </c>
      <c r="X36" s="151">
        <f>+VLOOKUP(PROVEEDORES[[#This Row],[ID RETENCION]],Retenciones!$A$1:$O$25,PROVEEDORES[[#This Row],[indicador de columna]],FALSE)</f>
        <v>0</v>
      </c>
      <c r="Y36" s="152">
        <f>+VLOOKUP(PROVEEDORES[[#This Row],[ID RETENCION]],Retenciones!$A$1:$O$25,2,FALSE)</f>
        <v>0</v>
      </c>
      <c r="Z36" s="153" t="b">
        <f>+OR(COUNTIF(PROVEEDORES[[#This Row],[PROVEEDOR]],"*"&amp;'Palabra que no opera y Listas d'!$A$2&amp;"*"))</f>
        <v>0</v>
      </c>
    </row>
    <row r="37" spans="1:26" ht="27.75" customHeight="1" x14ac:dyDescent="0.3">
      <c r="A37" s="144" t="str">
        <f>+IF(PROVEEDORES[[#This Row],[FECHA DE PAGO]]=PROVEEDORES[[#This Row],[FECHA DE FACTURACIÓN]],"DE CONTADO","CRÉDITO")</f>
        <v>CRÉDITO</v>
      </c>
      <c r="B37" s="144" t="str">
        <f>+IF((PROVEEDORES[[#This Row],[FECHA DE PAGO]]-PROVEEDORES[[#This Row],[FECHA DE FACTURACIÓN]])&gt;PROVEEDORES[[#This Row],[PLAZO Días]],"PAGO VENCIDO")</f>
        <v>PAGO VENCIDO</v>
      </c>
      <c r="C37" s="144">
        <f>+VLOOKUP(PROVEEDORES[[#This Row],[PROVEEDOR]],TERCEROS_INFO[#All],2,FALSE)</f>
        <v>0</v>
      </c>
      <c r="D37" s="145">
        <f>+SUMIFS(PROVEEDORES[Total],PROVEEDORES[PROVEEDOR],PROVEEDORES[[#This Row],[PROVEEDOR]],PROVEEDORES[FECHA DE PAGO],"")</f>
        <v>0</v>
      </c>
      <c r="E37" s="146"/>
      <c r="F37" s="144">
        <f>+VLOOKUP(PROVEEDORES[[#This Row],[PROVEEDOR]],
                       Terceros!$A:$G,
                       5,
                       FALSE)</f>
        <v>0</v>
      </c>
      <c r="G37" s="122">
        <v>44966</v>
      </c>
      <c r="H37" s="102" t="s">
        <v>572</v>
      </c>
      <c r="I37" s="122">
        <v>44958</v>
      </c>
      <c r="J37" s="103">
        <v>1536</v>
      </c>
      <c r="K37" s="103" t="s">
        <v>1512</v>
      </c>
      <c r="L37" s="103"/>
      <c r="M37" s="105">
        <v>600000</v>
      </c>
      <c r="N37" s="147">
        <v>0</v>
      </c>
      <c r="O37" s="147">
        <v>0</v>
      </c>
      <c r="P37" s="148">
        <v>0</v>
      </c>
      <c r="Q37" s="147">
        <v>0</v>
      </c>
      <c r="R37" s="149">
        <v>600000</v>
      </c>
      <c r="S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" s="150">
        <f ca="1">+IF(PROVEEDORES[[#This Row],[FECHA DE PAGO]]=0,TODAY()-PROVEEDORES[[#This Row],[FECHA DE FACTURACIÓN]]-PROVEEDORES[[#This Row],[PLAZO Días]],0)</f>
        <v>0</v>
      </c>
      <c r="U37" s="150">
        <f>+VLOOKUP(PROVEEDORES[[#This Row],[PROVEEDOR]],Terceros!$A:$E,4,FALSE)</f>
        <v>0</v>
      </c>
      <c r="V37" s="150">
        <f>+YEAR(PROVEEDORES[[#This Row],[FECHA DE FACTURACIÓN]])</f>
        <v>2023</v>
      </c>
      <c r="W37" s="150">
        <f>+MATCH(PROVEEDORES[[#This Row],[año facturado]],Retenciones!$1:$1,0)</f>
        <v>6</v>
      </c>
      <c r="X37" s="151">
        <f>+VLOOKUP(PROVEEDORES[[#This Row],[ID RETENCION]],Retenciones!$A$1:$O$25,PROVEEDORES[[#This Row],[indicador de columna]],FALSE)</f>
        <v>0</v>
      </c>
      <c r="Y37" s="152">
        <f>+VLOOKUP(PROVEEDORES[[#This Row],[ID RETENCION]],Retenciones!$A$1:$O$25,2,FALSE)</f>
        <v>0</v>
      </c>
      <c r="Z37" s="153" t="b">
        <f>+OR(COUNTIF(PROVEEDORES[[#This Row],[PROVEEDOR]],"*"&amp;'Palabra que no opera y Listas d'!$A$2&amp;"*"))</f>
        <v>1</v>
      </c>
    </row>
    <row r="38" spans="1:26" ht="27.75" customHeight="1" x14ac:dyDescent="0.3">
      <c r="A38" s="144" t="str">
        <f>+IF(PROVEEDORES[[#This Row],[FECHA DE PAGO]]=PROVEEDORES[[#This Row],[FECHA DE FACTURACIÓN]],"DE CONTADO","CRÉDITO")</f>
        <v>CRÉDITO</v>
      </c>
      <c r="B38" s="144" t="str">
        <f>+IF((PROVEEDORES[[#This Row],[FECHA DE PAGO]]-PROVEEDORES[[#This Row],[FECHA DE FACTURACIÓN]])&gt;PROVEEDORES[[#This Row],[PLAZO Días]],"PAGO VENCIDO")</f>
        <v>PAGO VENCIDO</v>
      </c>
      <c r="C38" s="144">
        <f>+VLOOKUP(PROVEEDORES[[#This Row],[PROVEEDOR]],TERCEROS_INFO[#All],2,FALSE)</f>
        <v>0</v>
      </c>
      <c r="D38" s="145">
        <f>+SUMIFS(PROVEEDORES[Total],PROVEEDORES[PROVEEDOR],PROVEEDORES[[#This Row],[PROVEEDOR]],PROVEEDORES[FECHA DE PAGO],"")</f>
        <v>0</v>
      </c>
      <c r="E38" s="146"/>
      <c r="F38" s="144">
        <f>+VLOOKUP(PROVEEDORES[[#This Row],[PROVEEDOR]],
                       Terceros!$A:$G,
                       5,
                       FALSE)</f>
        <v>0</v>
      </c>
      <c r="G38" s="122">
        <v>44966</v>
      </c>
      <c r="H38" s="102" t="s">
        <v>496</v>
      </c>
      <c r="I38" s="122">
        <v>44965</v>
      </c>
      <c r="J38" s="103" t="s">
        <v>607</v>
      </c>
      <c r="K38" s="103" t="s">
        <v>1512</v>
      </c>
      <c r="L38" s="103"/>
      <c r="M38" s="105">
        <v>2710000</v>
      </c>
      <c r="N38" s="147">
        <v>0</v>
      </c>
      <c r="O38" s="147">
        <v>0</v>
      </c>
      <c r="P38" s="148">
        <v>0</v>
      </c>
      <c r="Q38" s="147">
        <v>0</v>
      </c>
      <c r="R38" s="149">
        <v>2710000</v>
      </c>
      <c r="S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" s="150">
        <f ca="1">+IF(PROVEEDORES[[#This Row],[FECHA DE PAGO]]=0,TODAY()-PROVEEDORES[[#This Row],[FECHA DE FACTURACIÓN]]-PROVEEDORES[[#This Row],[PLAZO Días]],0)</f>
        <v>0</v>
      </c>
      <c r="U38" s="150">
        <f>+VLOOKUP(PROVEEDORES[[#This Row],[PROVEEDOR]],Terceros!$A:$E,4,FALSE)</f>
        <v>0</v>
      </c>
      <c r="V38" s="150">
        <f>+YEAR(PROVEEDORES[[#This Row],[FECHA DE FACTURACIÓN]])</f>
        <v>2023</v>
      </c>
      <c r="W38" s="150">
        <f>+MATCH(PROVEEDORES[[#This Row],[año facturado]],Retenciones!$1:$1,0)</f>
        <v>6</v>
      </c>
      <c r="X38" s="151">
        <f>+VLOOKUP(PROVEEDORES[[#This Row],[ID RETENCION]],Retenciones!$A$1:$O$25,PROVEEDORES[[#This Row],[indicador de columna]],FALSE)</f>
        <v>0</v>
      </c>
      <c r="Y38" s="152">
        <f>+VLOOKUP(PROVEEDORES[[#This Row],[ID RETENCION]],Retenciones!$A$1:$O$25,2,FALSE)</f>
        <v>0</v>
      </c>
      <c r="Z38" s="153" t="b">
        <f>+OR(COUNTIF(PROVEEDORES[[#This Row],[PROVEEDOR]],"*"&amp;'Palabra que no opera y Listas d'!$A$2&amp;"*"))</f>
        <v>0</v>
      </c>
    </row>
    <row r="39" spans="1:26" ht="27.75" customHeight="1" x14ac:dyDescent="0.3">
      <c r="A39" s="144" t="str">
        <f>+IF(PROVEEDORES[[#This Row],[FECHA DE PAGO]]=PROVEEDORES[[#This Row],[FECHA DE FACTURACIÓN]],"DE CONTADO","CRÉDITO")</f>
        <v>DE CONTADO</v>
      </c>
      <c r="B39" s="144" t="b">
        <f>+IF((PROVEEDORES[[#This Row],[FECHA DE PAGO]]-PROVEEDORES[[#This Row],[FECHA DE FACTURACIÓN]])&gt;PROVEEDORES[[#This Row],[PLAZO Días]],"PAGO VENCIDO")</f>
        <v>0</v>
      </c>
      <c r="C39" s="144">
        <f>+VLOOKUP(PROVEEDORES[[#This Row],[PROVEEDOR]],TERCEROS_INFO[#All],2,FALSE)</f>
        <v>0</v>
      </c>
      <c r="D39" s="145">
        <f>+SUMIFS(PROVEEDORES[Total],PROVEEDORES[PROVEEDOR],PROVEEDORES[[#This Row],[PROVEEDOR]],PROVEEDORES[FECHA DE PAGO],"")</f>
        <v>0</v>
      </c>
      <c r="E39" s="146"/>
      <c r="F39" s="144">
        <f>+VLOOKUP(PROVEEDORES[[#This Row],[PROVEEDOR]],
                       Terceros!$A:$G,
                       5,
                       FALSE)</f>
        <v>0</v>
      </c>
      <c r="G39" s="122">
        <v>44967</v>
      </c>
      <c r="H39" s="102" t="s">
        <v>537</v>
      </c>
      <c r="I39" s="122">
        <v>44967</v>
      </c>
      <c r="J39" s="103" t="s">
        <v>613</v>
      </c>
      <c r="K39" s="103" t="s">
        <v>1512</v>
      </c>
      <c r="L39" s="103"/>
      <c r="M39" s="105">
        <v>578000</v>
      </c>
      <c r="N39" s="147">
        <v>0</v>
      </c>
      <c r="O39" s="147">
        <v>0</v>
      </c>
      <c r="P39" s="148">
        <v>0</v>
      </c>
      <c r="Q39" s="147">
        <v>0</v>
      </c>
      <c r="R39" s="149">
        <v>578000</v>
      </c>
      <c r="S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" s="150">
        <f ca="1">+IF(PROVEEDORES[[#This Row],[FECHA DE PAGO]]=0,TODAY()-PROVEEDORES[[#This Row],[FECHA DE FACTURACIÓN]]-PROVEEDORES[[#This Row],[PLAZO Días]],0)</f>
        <v>0</v>
      </c>
      <c r="U39" s="150">
        <f>+VLOOKUP(PROVEEDORES[[#This Row],[PROVEEDOR]],Terceros!$A:$E,4,FALSE)</f>
        <v>0</v>
      </c>
      <c r="V39" s="150">
        <f>+YEAR(PROVEEDORES[[#This Row],[FECHA DE FACTURACIÓN]])</f>
        <v>2023</v>
      </c>
      <c r="W39" s="150">
        <f>+MATCH(PROVEEDORES[[#This Row],[año facturado]],Retenciones!$1:$1,0)</f>
        <v>6</v>
      </c>
      <c r="X39" s="151">
        <f>+VLOOKUP(PROVEEDORES[[#This Row],[ID RETENCION]],Retenciones!$A$1:$O$25,PROVEEDORES[[#This Row],[indicador de columna]],FALSE)</f>
        <v>0</v>
      </c>
      <c r="Y39" s="152">
        <f>+VLOOKUP(PROVEEDORES[[#This Row],[ID RETENCION]],Retenciones!$A$1:$O$25,2,FALSE)</f>
        <v>0</v>
      </c>
      <c r="Z39" s="153" t="b">
        <f>+OR(COUNTIF(PROVEEDORES[[#This Row],[PROVEEDOR]],"*"&amp;'Palabra que no opera y Listas d'!$A$2&amp;"*"))</f>
        <v>0</v>
      </c>
    </row>
    <row r="40" spans="1:26" ht="27.75" customHeight="1" x14ac:dyDescent="0.3">
      <c r="A40" s="144" t="str">
        <f>+IF(PROVEEDORES[[#This Row],[FECHA DE PAGO]]=PROVEEDORES[[#This Row],[FECHA DE FACTURACIÓN]],"DE CONTADO","CRÉDITO")</f>
        <v>CRÉDITO</v>
      </c>
      <c r="B40" s="144" t="str">
        <f>+IF((PROVEEDORES[[#This Row],[FECHA DE PAGO]]-PROVEEDORES[[#This Row],[FECHA DE FACTURACIÓN]])&gt;PROVEEDORES[[#This Row],[PLAZO Días]],"PAGO VENCIDO")</f>
        <v>PAGO VENCIDO</v>
      </c>
      <c r="C40" s="144">
        <f>+VLOOKUP(PROVEEDORES[[#This Row],[PROVEEDOR]],TERCEROS_INFO[#All],2,FALSE)</f>
        <v>0</v>
      </c>
      <c r="D40" s="145">
        <f>+SUMIFS(PROVEEDORES[Total],PROVEEDORES[PROVEEDOR],PROVEEDORES[[#This Row],[PROVEEDOR]],PROVEEDORES[FECHA DE PAGO],"")</f>
        <v>0</v>
      </c>
      <c r="E40" s="146"/>
      <c r="F40" s="144">
        <f>+VLOOKUP(PROVEEDORES[[#This Row],[PROVEEDOR]],
                       Terceros!$A:$G,
                       5,
                       FALSE)</f>
        <v>0</v>
      </c>
      <c r="G40" s="122">
        <v>44969</v>
      </c>
      <c r="H40" s="102" t="s">
        <v>1782</v>
      </c>
      <c r="I40" s="122">
        <v>44938</v>
      </c>
      <c r="J40" s="103">
        <v>348</v>
      </c>
      <c r="K40" s="103" t="s">
        <v>1512</v>
      </c>
      <c r="L40" s="103"/>
      <c r="M40" s="105">
        <v>1044000</v>
      </c>
      <c r="N40" s="147">
        <v>0</v>
      </c>
      <c r="O40" s="147">
        <v>0</v>
      </c>
      <c r="P40" s="148">
        <v>0</v>
      </c>
      <c r="Q40" s="147">
        <v>0</v>
      </c>
      <c r="R40" s="149">
        <v>1044000</v>
      </c>
      <c r="S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" s="150">
        <f ca="1">+IF(PROVEEDORES[[#This Row],[FECHA DE PAGO]]=0,TODAY()-PROVEEDORES[[#This Row],[FECHA DE FACTURACIÓN]]-PROVEEDORES[[#This Row],[PLAZO Días]],0)</f>
        <v>0</v>
      </c>
      <c r="U40" s="150">
        <f>+VLOOKUP(PROVEEDORES[[#This Row],[PROVEEDOR]],Terceros!$A:$E,4,FALSE)</f>
        <v>0</v>
      </c>
      <c r="V40" s="150">
        <f>+YEAR(PROVEEDORES[[#This Row],[FECHA DE FACTURACIÓN]])</f>
        <v>2023</v>
      </c>
      <c r="W40" s="150">
        <f>+MATCH(PROVEEDORES[[#This Row],[año facturado]],Retenciones!$1:$1,0)</f>
        <v>6</v>
      </c>
      <c r="X40" s="151">
        <f>+VLOOKUP(PROVEEDORES[[#This Row],[ID RETENCION]],Retenciones!$A$1:$O$25,PROVEEDORES[[#This Row],[indicador de columna]],FALSE)</f>
        <v>0</v>
      </c>
      <c r="Y40" s="152">
        <f>+VLOOKUP(PROVEEDORES[[#This Row],[ID RETENCION]],Retenciones!$A$1:$O$25,2,FALSE)</f>
        <v>0</v>
      </c>
      <c r="Z40" s="153" t="b">
        <f>+OR(COUNTIF(PROVEEDORES[[#This Row],[PROVEEDOR]],"*"&amp;'Palabra que no opera y Listas d'!$A$2&amp;"*"))</f>
        <v>0</v>
      </c>
    </row>
    <row r="41" spans="1:26" ht="27.75" customHeight="1" x14ac:dyDescent="0.3">
      <c r="A41" s="144" t="str">
        <f>+IF(PROVEEDORES[[#This Row],[FECHA DE PAGO]]=PROVEEDORES[[#This Row],[FECHA DE FACTURACIÓN]],"DE CONTADO","CRÉDITO")</f>
        <v>DE CONTADO</v>
      </c>
      <c r="B41" s="144" t="b">
        <f>+IF((PROVEEDORES[[#This Row],[FECHA DE PAGO]]-PROVEEDORES[[#This Row],[FECHA DE FACTURACIÓN]])&gt;PROVEEDORES[[#This Row],[PLAZO Días]],"PAGO VENCIDO")</f>
        <v>0</v>
      </c>
      <c r="C41" s="144">
        <f>+VLOOKUP(PROVEEDORES[[#This Row],[PROVEEDOR]],TERCEROS_INFO[#All],2,FALSE)</f>
        <v>0</v>
      </c>
      <c r="D41" s="145">
        <f>+SUMIFS(PROVEEDORES[Total],PROVEEDORES[PROVEEDOR],PROVEEDORES[[#This Row],[PROVEEDOR]],PROVEEDORES[FECHA DE PAGO],"")</f>
        <v>5813868.5099999998</v>
      </c>
      <c r="E41" s="146"/>
      <c r="F41" s="144" t="str">
        <f>+VLOOKUP(PROVEEDORES[[#This Row],[PROVEEDOR]],
                       Terceros!$A:$G,
                       5,
                       FALSE)</f>
        <v>2,5% con base</v>
      </c>
      <c r="G41" s="122">
        <v>44972</v>
      </c>
      <c r="H41" s="102" t="s">
        <v>23</v>
      </c>
      <c r="I41" s="122">
        <v>44972</v>
      </c>
      <c r="J41" s="103" t="s">
        <v>593</v>
      </c>
      <c r="K41" s="103" t="s">
        <v>516</v>
      </c>
      <c r="L41" s="103"/>
      <c r="M41" s="105">
        <v>2122650</v>
      </c>
      <c r="N41" s="147">
        <v>403303.5</v>
      </c>
      <c r="O41" s="147">
        <v>0</v>
      </c>
      <c r="P41" s="148">
        <v>2.5000000000000001E-2</v>
      </c>
      <c r="Q41" s="147">
        <v>53066.25</v>
      </c>
      <c r="R41" s="149">
        <v>2472887.25</v>
      </c>
      <c r="S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" s="150">
        <f ca="1">+IF(PROVEEDORES[[#This Row],[FECHA DE PAGO]]=0,TODAY()-PROVEEDORES[[#This Row],[FECHA DE FACTURACIÓN]]-PROVEEDORES[[#This Row],[PLAZO Días]],0)</f>
        <v>0</v>
      </c>
      <c r="U41" s="150">
        <f>+VLOOKUP(PROVEEDORES[[#This Row],[PROVEEDOR]],Terceros!$A:$E,4,FALSE)</f>
        <v>0.19</v>
      </c>
      <c r="V41" s="150">
        <f>+YEAR(PROVEEDORES[[#This Row],[FECHA DE FACTURACIÓN]])</f>
        <v>2023</v>
      </c>
      <c r="W41" s="150">
        <f>+MATCH(PROVEEDORES[[#This Row],[año facturado]],Retenciones!$1:$1,0)</f>
        <v>6</v>
      </c>
      <c r="X41" s="151" t="e">
        <f>+VLOOKUP(PROVEEDORES[[#This Row],[ID RETENCION]],Retenciones!$A$1:$O$25,PROVEEDORES[[#This Row],[indicador de columna]],FALSE)</f>
        <v>#N/A</v>
      </c>
      <c r="Y41" s="152" t="e">
        <f>+VLOOKUP(PROVEEDORES[[#This Row],[ID RETENCION]],Retenciones!$A$1:$O$25,2,FALSE)</f>
        <v>#N/A</v>
      </c>
      <c r="Z41" s="153" t="b">
        <f>+OR(COUNTIF(PROVEEDORES[[#This Row],[PROVEEDOR]],"*"&amp;'Palabra que no opera y Listas d'!$A$2&amp;"*"))</f>
        <v>0</v>
      </c>
    </row>
    <row r="42" spans="1:26" ht="27.75" customHeight="1" x14ac:dyDescent="0.3">
      <c r="A42" s="144" t="str">
        <f>+IF(PROVEEDORES[[#This Row],[FECHA DE PAGO]]=PROVEEDORES[[#This Row],[FECHA DE FACTURACIÓN]],"DE CONTADO","CRÉDITO")</f>
        <v>DE CONTADO</v>
      </c>
      <c r="B42" s="144" t="b">
        <f>+IF((PROVEEDORES[[#This Row],[FECHA DE PAGO]]-PROVEEDORES[[#This Row],[FECHA DE FACTURACIÓN]])&gt;PROVEEDORES[[#This Row],[PLAZO Días]],"PAGO VENCIDO")</f>
        <v>0</v>
      </c>
      <c r="C42" s="144">
        <f>+VLOOKUP(PROVEEDORES[[#This Row],[PROVEEDOR]],TERCEROS_INFO[#All],2,FALSE)</f>
        <v>0</v>
      </c>
      <c r="D42" s="145">
        <f>+SUMIFS(PROVEEDORES[Total],PROVEEDORES[PROVEEDOR],PROVEEDORES[[#This Row],[PROVEEDOR]],PROVEEDORES[FECHA DE PAGO],"")</f>
        <v>0</v>
      </c>
      <c r="E42" s="146"/>
      <c r="F42" s="144" t="str">
        <f>+VLOOKUP(PROVEEDORES[[#This Row],[PROVEEDOR]],
                       Terceros!$A:$G,
                       5,
                       FALSE)</f>
        <v>2,5% con base</v>
      </c>
      <c r="G42" s="122">
        <v>44972</v>
      </c>
      <c r="H42" s="102" t="s">
        <v>443</v>
      </c>
      <c r="I42" s="122">
        <v>44972</v>
      </c>
      <c r="J42" s="103">
        <v>32185</v>
      </c>
      <c r="K42" s="103" t="s">
        <v>1512</v>
      </c>
      <c r="L42" s="103"/>
      <c r="M42" s="105">
        <v>1605723</v>
      </c>
      <c r="N42" s="147">
        <v>305087.37</v>
      </c>
      <c r="O42" s="147">
        <v>0</v>
      </c>
      <c r="P42" s="148">
        <v>2.5000000000000001E-2</v>
      </c>
      <c r="Q42" s="147">
        <v>40143.075000000004</v>
      </c>
      <c r="R42" s="149">
        <v>1870667.2950000002</v>
      </c>
      <c r="S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" s="150">
        <f ca="1">+IF(PROVEEDORES[[#This Row],[FECHA DE PAGO]]=0,TODAY()-PROVEEDORES[[#This Row],[FECHA DE FACTURACIÓN]]-PROVEEDORES[[#This Row],[PLAZO Días]],0)</f>
        <v>0</v>
      </c>
      <c r="U42" s="150">
        <f>+VLOOKUP(PROVEEDORES[[#This Row],[PROVEEDOR]],Terceros!$A:$E,4,FALSE)</f>
        <v>0.19</v>
      </c>
      <c r="V42" s="150">
        <f>+YEAR(PROVEEDORES[[#This Row],[FECHA DE FACTURACIÓN]])</f>
        <v>2023</v>
      </c>
      <c r="W42" s="150">
        <f>+MATCH(PROVEEDORES[[#This Row],[año facturado]],Retenciones!$1:$1,0)</f>
        <v>6</v>
      </c>
      <c r="X42" s="151" t="e">
        <f>+VLOOKUP(PROVEEDORES[[#This Row],[ID RETENCION]],Retenciones!$A$1:$O$25,PROVEEDORES[[#This Row],[indicador de columna]],FALSE)</f>
        <v>#N/A</v>
      </c>
      <c r="Y42" s="152" t="e">
        <f>+VLOOKUP(PROVEEDORES[[#This Row],[ID RETENCION]],Retenciones!$A$1:$O$25,2,FALSE)</f>
        <v>#N/A</v>
      </c>
      <c r="Z42" s="153" t="b">
        <f>+OR(COUNTIF(PROVEEDORES[[#This Row],[PROVEEDOR]],"*"&amp;'Palabra que no opera y Listas d'!$A$2&amp;"*"))</f>
        <v>1</v>
      </c>
    </row>
    <row r="43" spans="1:26" ht="27.75" customHeight="1" x14ac:dyDescent="0.3">
      <c r="A43" s="144" t="str">
        <f>+IF(PROVEEDORES[[#This Row],[FECHA DE PAGO]]=PROVEEDORES[[#This Row],[FECHA DE FACTURACIÓN]],"DE CONTADO","CRÉDITO")</f>
        <v>DE CONTADO</v>
      </c>
      <c r="B43" s="144" t="b">
        <f>+IF((PROVEEDORES[[#This Row],[FECHA DE PAGO]]-PROVEEDORES[[#This Row],[FECHA DE FACTURACIÓN]])&gt;PROVEEDORES[[#This Row],[PLAZO Días]],"PAGO VENCIDO")</f>
        <v>0</v>
      </c>
      <c r="C43" s="144">
        <f>+VLOOKUP(PROVEEDORES[[#This Row],[PROVEEDOR]],TERCEROS_INFO[#All],2,FALSE)</f>
        <v>0</v>
      </c>
      <c r="D43" s="145">
        <f>+SUMIFS(PROVEEDORES[Total],PROVEEDORES[PROVEEDOR],PROVEEDORES[[#This Row],[PROVEEDOR]],PROVEEDORES[FECHA DE PAGO],"")</f>
        <v>0</v>
      </c>
      <c r="E43" s="146"/>
      <c r="F43" s="144">
        <f>+VLOOKUP(PROVEEDORES[[#This Row],[PROVEEDOR]],
                       Terceros!$A:$G,
                       5,
                       FALSE)</f>
        <v>0</v>
      </c>
      <c r="G43" s="122">
        <v>44973</v>
      </c>
      <c r="H43" s="102" t="s">
        <v>509</v>
      </c>
      <c r="I43" s="122">
        <v>44973</v>
      </c>
      <c r="J43" s="103">
        <v>1378</v>
      </c>
      <c r="K43" s="103" t="s">
        <v>1512</v>
      </c>
      <c r="L43" s="103"/>
      <c r="M43" s="105">
        <v>361345</v>
      </c>
      <c r="N43" s="147">
        <v>68655.55</v>
      </c>
      <c r="O43" s="147">
        <v>0</v>
      </c>
      <c r="P43" s="148">
        <v>0</v>
      </c>
      <c r="Q43" s="147">
        <v>0</v>
      </c>
      <c r="R43" s="149">
        <v>430000.55</v>
      </c>
      <c r="S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" s="150">
        <f ca="1">+IF(PROVEEDORES[[#This Row],[FECHA DE PAGO]]=0,TODAY()-PROVEEDORES[[#This Row],[FECHA DE FACTURACIÓN]]-PROVEEDORES[[#This Row],[PLAZO Días]],0)</f>
        <v>0</v>
      </c>
      <c r="U43" s="150">
        <f>+VLOOKUP(PROVEEDORES[[#This Row],[PROVEEDOR]],Terceros!$A:$E,4,FALSE)</f>
        <v>0.19</v>
      </c>
      <c r="V43" s="150">
        <f>+YEAR(PROVEEDORES[[#This Row],[FECHA DE FACTURACIÓN]])</f>
        <v>2023</v>
      </c>
      <c r="W43" s="150">
        <f>+MATCH(PROVEEDORES[[#This Row],[año facturado]],Retenciones!$1:$1,0)</f>
        <v>6</v>
      </c>
      <c r="X43" s="151" t="e">
        <f>+VLOOKUP(PROVEEDORES[[#This Row],[ID RETENCION]],Retenciones!$A$1:$O$25,PROVEEDORES[[#This Row],[indicador de columna]],FALSE)</f>
        <v>#N/A</v>
      </c>
      <c r="Y43" s="152" t="e">
        <f>+VLOOKUP(PROVEEDORES[[#This Row],[ID RETENCION]],Retenciones!$A$1:$O$25,2,FALSE)</f>
        <v>#N/A</v>
      </c>
      <c r="Z43" s="153" t="b">
        <f>+OR(COUNTIF(PROVEEDORES[[#This Row],[PROVEEDOR]],"*"&amp;'Palabra que no opera y Listas d'!$A$2&amp;"*"))</f>
        <v>0</v>
      </c>
    </row>
    <row r="44" spans="1:26" ht="27.75" customHeight="1" x14ac:dyDescent="0.3">
      <c r="A44" s="144" t="str">
        <f>+IF(PROVEEDORES[[#This Row],[FECHA DE PAGO]]=PROVEEDORES[[#This Row],[FECHA DE FACTURACIÓN]],"DE CONTADO","CRÉDITO")</f>
        <v>CRÉDITO</v>
      </c>
      <c r="B44" s="144" t="str">
        <f>+IF((PROVEEDORES[[#This Row],[FECHA DE PAGO]]-PROVEEDORES[[#This Row],[FECHA DE FACTURACIÓN]])&gt;PROVEEDORES[[#This Row],[PLAZO Días]],"PAGO VENCIDO")</f>
        <v>PAGO VENCIDO</v>
      </c>
      <c r="C44" s="144">
        <f>+VLOOKUP(PROVEEDORES[[#This Row],[PROVEEDOR]],TERCEROS_INFO[#All],2,FALSE)</f>
        <v>0</v>
      </c>
      <c r="D44" s="145">
        <f>+SUMIFS(PROVEEDORES[Total],PROVEEDORES[PROVEEDOR],PROVEEDORES[[#This Row],[PROVEEDOR]],PROVEEDORES[FECHA DE PAGO],"")</f>
        <v>0</v>
      </c>
      <c r="E44" s="146"/>
      <c r="F44" s="144">
        <f>+VLOOKUP(PROVEEDORES[[#This Row],[PROVEEDOR]],
                       Terceros!$A:$G,
                       5,
                       FALSE)</f>
        <v>0</v>
      </c>
      <c r="G44" s="122">
        <v>44974</v>
      </c>
      <c r="H44" s="102" t="s">
        <v>496</v>
      </c>
      <c r="I44" s="122">
        <v>44972</v>
      </c>
      <c r="J44" s="103" t="s">
        <v>639</v>
      </c>
      <c r="K44" s="103" t="s">
        <v>1512</v>
      </c>
      <c r="L44" s="103"/>
      <c r="M44" s="105">
        <v>4760000</v>
      </c>
      <c r="N44" s="147">
        <v>0</v>
      </c>
      <c r="O44" s="147">
        <v>0</v>
      </c>
      <c r="P44" s="148">
        <v>0</v>
      </c>
      <c r="Q44" s="147">
        <v>0</v>
      </c>
      <c r="R44" s="149">
        <v>4760000</v>
      </c>
      <c r="S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" s="150">
        <f ca="1">+IF(PROVEEDORES[[#This Row],[FECHA DE PAGO]]=0,TODAY()-PROVEEDORES[[#This Row],[FECHA DE FACTURACIÓN]]-PROVEEDORES[[#This Row],[PLAZO Días]],0)</f>
        <v>0</v>
      </c>
      <c r="U44" s="150">
        <f>+VLOOKUP(PROVEEDORES[[#This Row],[PROVEEDOR]],Terceros!$A:$E,4,FALSE)</f>
        <v>0</v>
      </c>
      <c r="V44" s="150">
        <f>+YEAR(PROVEEDORES[[#This Row],[FECHA DE FACTURACIÓN]])</f>
        <v>2023</v>
      </c>
      <c r="W44" s="150">
        <f>+MATCH(PROVEEDORES[[#This Row],[año facturado]],Retenciones!$1:$1,0)</f>
        <v>6</v>
      </c>
      <c r="X44" s="151">
        <f>+VLOOKUP(PROVEEDORES[[#This Row],[ID RETENCION]],Retenciones!$A$1:$O$25,PROVEEDORES[[#This Row],[indicador de columna]],FALSE)</f>
        <v>0</v>
      </c>
      <c r="Y44" s="152">
        <f>+VLOOKUP(PROVEEDORES[[#This Row],[ID RETENCION]],Retenciones!$A$1:$O$25,2,FALSE)</f>
        <v>0</v>
      </c>
      <c r="Z44" s="153" t="b">
        <f>+OR(COUNTIF(PROVEEDORES[[#This Row],[PROVEEDOR]],"*"&amp;'Palabra que no opera y Listas d'!$A$2&amp;"*"))</f>
        <v>0</v>
      </c>
    </row>
    <row r="45" spans="1:26" ht="27.75" customHeight="1" x14ac:dyDescent="0.3">
      <c r="A45" s="144" t="str">
        <f>+IF(PROVEEDORES[[#This Row],[FECHA DE PAGO]]=PROVEEDORES[[#This Row],[FECHA DE FACTURACIÓN]],"DE CONTADO","CRÉDITO")</f>
        <v>CRÉDITO</v>
      </c>
      <c r="B45" s="144" t="str">
        <f>+IF((PROVEEDORES[[#This Row],[FECHA DE PAGO]]-PROVEEDORES[[#This Row],[FECHA DE FACTURACIÓN]])&gt;PROVEEDORES[[#This Row],[PLAZO Días]],"PAGO VENCIDO")</f>
        <v>PAGO VENCIDO</v>
      </c>
      <c r="C45" s="144">
        <f>+VLOOKUP(PROVEEDORES[[#This Row],[PROVEEDOR]],TERCEROS_INFO[#All],2,FALSE)</f>
        <v>0</v>
      </c>
      <c r="D45" s="145">
        <f>+SUMIFS(PROVEEDORES[Total],PROVEEDORES[PROVEEDOR],PROVEEDORES[[#This Row],[PROVEEDOR]],PROVEEDORES[FECHA DE PAGO],"")</f>
        <v>2095000</v>
      </c>
      <c r="E45" s="146"/>
      <c r="F45" s="144">
        <f>+VLOOKUP(PROVEEDORES[[#This Row],[PROVEEDOR]],
                       Terceros!$A:$G,
                       5,
                       FALSE)</f>
        <v>0</v>
      </c>
      <c r="G45" s="122">
        <v>44977</v>
      </c>
      <c r="H45" s="102" t="s">
        <v>1781</v>
      </c>
      <c r="I45" s="122">
        <v>44932</v>
      </c>
      <c r="J45" s="103" t="s">
        <v>545</v>
      </c>
      <c r="K45" s="103" t="s">
        <v>1512</v>
      </c>
      <c r="L45" s="103"/>
      <c r="M45" s="105">
        <v>2300000</v>
      </c>
      <c r="N45" s="147">
        <v>0</v>
      </c>
      <c r="O45" s="147">
        <v>0</v>
      </c>
      <c r="P45" s="148">
        <v>0</v>
      </c>
      <c r="Q45" s="147">
        <v>0</v>
      </c>
      <c r="R45" s="149">
        <v>2300000</v>
      </c>
      <c r="S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" s="150">
        <f ca="1">+IF(PROVEEDORES[[#This Row],[FECHA DE PAGO]]=0,TODAY()-PROVEEDORES[[#This Row],[FECHA DE FACTURACIÓN]]-PROVEEDORES[[#This Row],[PLAZO Días]],0)</f>
        <v>0</v>
      </c>
      <c r="U45" s="150">
        <f>+VLOOKUP(PROVEEDORES[[#This Row],[PROVEEDOR]],Terceros!$A:$E,4,FALSE)</f>
        <v>0</v>
      </c>
      <c r="V45" s="150">
        <f>+YEAR(PROVEEDORES[[#This Row],[FECHA DE FACTURACIÓN]])</f>
        <v>2023</v>
      </c>
      <c r="W45" s="150">
        <f>+MATCH(PROVEEDORES[[#This Row],[año facturado]],Retenciones!$1:$1,0)</f>
        <v>6</v>
      </c>
      <c r="X45" s="151">
        <f>+VLOOKUP(PROVEEDORES[[#This Row],[ID RETENCION]],Retenciones!$A$1:$O$25,PROVEEDORES[[#This Row],[indicador de columna]],FALSE)</f>
        <v>0</v>
      </c>
      <c r="Y45" s="152">
        <f>+VLOOKUP(PROVEEDORES[[#This Row],[ID RETENCION]],Retenciones!$A$1:$O$25,2,FALSE)</f>
        <v>0</v>
      </c>
      <c r="Z45" s="153" t="b">
        <f>+OR(COUNTIF(PROVEEDORES[[#This Row],[PROVEEDOR]],"*"&amp;'Palabra que no opera y Listas d'!$A$2&amp;"*"))</f>
        <v>0</v>
      </c>
    </row>
    <row r="46" spans="1:26" ht="27.75" customHeight="1" x14ac:dyDescent="0.3">
      <c r="A46" s="144" t="str">
        <f>+IF(PROVEEDORES[[#This Row],[FECHA DE PAGO]]=PROVEEDORES[[#This Row],[FECHA DE FACTURACIÓN]],"DE CONTADO","CRÉDITO")</f>
        <v>CRÉDITO</v>
      </c>
      <c r="B46" s="144" t="str">
        <f>+IF((PROVEEDORES[[#This Row],[FECHA DE PAGO]]-PROVEEDORES[[#This Row],[FECHA DE FACTURACIÓN]])&gt;PROVEEDORES[[#This Row],[PLAZO Días]],"PAGO VENCIDO")</f>
        <v>PAGO VENCIDO</v>
      </c>
      <c r="C46" s="144">
        <f>+VLOOKUP(PROVEEDORES[[#This Row],[PROVEEDOR]],TERCEROS_INFO[#All],2,FALSE)</f>
        <v>0</v>
      </c>
      <c r="D46" s="145">
        <f>+SUMIFS(PROVEEDORES[Total],PROVEEDORES[PROVEEDOR],PROVEEDORES[[#This Row],[PROVEEDOR]],PROVEEDORES[FECHA DE PAGO],"")</f>
        <v>224000</v>
      </c>
      <c r="E46" s="146"/>
      <c r="F46" s="144">
        <f>+VLOOKUP(PROVEEDORES[[#This Row],[PROVEEDOR]],
                       Terceros!$A:$G,
                       5,
                       FALSE)</f>
        <v>0</v>
      </c>
      <c r="G46" s="122">
        <v>44977</v>
      </c>
      <c r="H46" s="102" t="s">
        <v>539</v>
      </c>
      <c r="I46" s="122">
        <v>44958</v>
      </c>
      <c r="J46" s="103">
        <v>32</v>
      </c>
      <c r="K46" s="103" t="s">
        <v>1512</v>
      </c>
      <c r="L46" s="103"/>
      <c r="M46" s="105">
        <v>70000</v>
      </c>
      <c r="N46" s="147">
        <v>0</v>
      </c>
      <c r="O46" s="147">
        <v>0</v>
      </c>
      <c r="P46" s="148">
        <v>0</v>
      </c>
      <c r="Q46" s="147">
        <v>0</v>
      </c>
      <c r="R46" s="149">
        <v>70000</v>
      </c>
      <c r="S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" s="150">
        <f ca="1">+IF(PROVEEDORES[[#This Row],[FECHA DE PAGO]]=0,TODAY()-PROVEEDORES[[#This Row],[FECHA DE FACTURACIÓN]]-PROVEEDORES[[#This Row],[PLAZO Días]],0)</f>
        <v>0</v>
      </c>
      <c r="U46" s="150">
        <f>+VLOOKUP(PROVEEDORES[[#This Row],[PROVEEDOR]],Terceros!$A:$E,4,FALSE)</f>
        <v>0</v>
      </c>
      <c r="V46" s="150">
        <f>+YEAR(PROVEEDORES[[#This Row],[FECHA DE FACTURACIÓN]])</f>
        <v>2023</v>
      </c>
      <c r="W46" s="150">
        <f>+MATCH(PROVEEDORES[[#This Row],[año facturado]],Retenciones!$1:$1,0)</f>
        <v>6</v>
      </c>
      <c r="X46" s="151">
        <f>+VLOOKUP(PROVEEDORES[[#This Row],[ID RETENCION]],Retenciones!$A$1:$O$25,PROVEEDORES[[#This Row],[indicador de columna]],FALSE)</f>
        <v>0</v>
      </c>
      <c r="Y46" s="152">
        <f>+VLOOKUP(PROVEEDORES[[#This Row],[ID RETENCION]],Retenciones!$A$1:$O$25,2,FALSE)</f>
        <v>0</v>
      </c>
      <c r="Z46" s="153" t="b">
        <f>+OR(COUNTIF(PROVEEDORES[[#This Row],[PROVEEDOR]],"*"&amp;'Palabra que no opera y Listas d'!$A$2&amp;"*"))</f>
        <v>0</v>
      </c>
    </row>
    <row r="47" spans="1:26" ht="27.75" customHeight="1" x14ac:dyDescent="0.3">
      <c r="A47" s="144" t="str">
        <f>+IF(PROVEEDORES[[#This Row],[FECHA DE PAGO]]=PROVEEDORES[[#This Row],[FECHA DE FACTURACIÓN]],"DE CONTADO","CRÉDITO")</f>
        <v>CRÉDITO</v>
      </c>
      <c r="B47" s="144" t="str">
        <f>+IF((PROVEEDORES[[#This Row],[FECHA DE PAGO]]-PROVEEDORES[[#This Row],[FECHA DE FACTURACIÓN]])&gt;PROVEEDORES[[#This Row],[PLAZO Días]],"PAGO VENCIDO")</f>
        <v>PAGO VENCIDO</v>
      </c>
      <c r="C47" s="144">
        <f>+VLOOKUP(PROVEEDORES[[#This Row],[PROVEEDOR]],TERCEROS_INFO[#All],2,FALSE)</f>
        <v>0</v>
      </c>
      <c r="D47" s="145">
        <f>+SUMIFS(PROVEEDORES[Total],PROVEEDORES[PROVEEDOR],PROVEEDORES[[#This Row],[PROVEEDOR]],PROVEEDORES[FECHA DE PAGO],"")</f>
        <v>224000</v>
      </c>
      <c r="E47" s="146"/>
      <c r="F47" s="144">
        <f>+VLOOKUP(PROVEEDORES[[#This Row],[PROVEEDOR]],
                       Terceros!$A:$G,
                       5,
                       FALSE)</f>
        <v>0</v>
      </c>
      <c r="G47" s="122">
        <v>44977</v>
      </c>
      <c r="H47" s="102" t="s">
        <v>539</v>
      </c>
      <c r="I47" s="122">
        <v>44958</v>
      </c>
      <c r="J47" s="103">
        <v>31</v>
      </c>
      <c r="K47" s="103" t="s">
        <v>1512</v>
      </c>
      <c r="L47" s="103"/>
      <c r="M47" s="105">
        <v>251000</v>
      </c>
      <c r="N47" s="147">
        <v>0</v>
      </c>
      <c r="O47" s="147">
        <v>0</v>
      </c>
      <c r="P47" s="148">
        <v>0</v>
      </c>
      <c r="Q47" s="147">
        <v>0</v>
      </c>
      <c r="R47" s="149">
        <v>251000</v>
      </c>
      <c r="S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" s="150">
        <f ca="1">+IF(PROVEEDORES[[#This Row],[FECHA DE PAGO]]=0,TODAY()-PROVEEDORES[[#This Row],[FECHA DE FACTURACIÓN]]-PROVEEDORES[[#This Row],[PLAZO Días]],0)</f>
        <v>0</v>
      </c>
      <c r="U47" s="150">
        <f>+VLOOKUP(PROVEEDORES[[#This Row],[PROVEEDOR]],Terceros!$A:$E,4,FALSE)</f>
        <v>0</v>
      </c>
      <c r="V47" s="150">
        <f>+YEAR(PROVEEDORES[[#This Row],[FECHA DE FACTURACIÓN]])</f>
        <v>2023</v>
      </c>
      <c r="W47" s="150">
        <f>+MATCH(PROVEEDORES[[#This Row],[año facturado]],Retenciones!$1:$1,0)</f>
        <v>6</v>
      </c>
      <c r="X47" s="151">
        <f>+VLOOKUP(PROVEEDORES[[#This Row],[ID RETENCION]],Retenciones!$A$1:$O$25,PROVEEDORES[[#This Row],[indicador de columna]],FALSE)</f>
        <v>0</v>
      </c>
      <c r="Y47" s="152">
        <f>+VLOOKUP(PROVEEDORES[[#This Row],[ID RETENCION]],Retenciones!$A$1:$O$25,2,FALSE)</f>
        <v>0</v>
      </c>
      <c r="Z47" s="153" t="b">
        <f>+OR(COUNTIF(PROVEEDORES[[#This Row],[PROVEEDOR]],"*"&amp;'Palabra que no opera y Listas d'!$A$2&amp;"*"))</f>
        <v>0</v>
      </c>
    </row>
    <row r="48" spans="1:26" ht="27.75" customHeight="1" x14ac:dyDescent="0.3">
      <c r="A48" s="144" t="str">
        <f>+IF(PROVEEDORES[[#This Row],[FECHA DE PAGO]]=PROVEEDORES[[#This Row],[FECHA DE FACTURACIÓN]],"DE CONTADO","CRÉDITO")</f>
        <v>CRÉDITO</v>
      </c>
      <c r="B48" s="144" t="str">
        <f>+IF((PROVEEDORES[[#This Row],[FECHA DE PAGO]]-PROVEEDORES[[#This Row],[FECHA DE FACTURACIÓN]])&gt;PROVEEDORES[[#This Row],[PLAZO Días]],"PAGO VENCIDO")</f>
        <v>PAGO VENCIDO</v>
      </c>
      <c r="C48" s="144">
        <f>+VLOOKUP(PROVEEDORES[[#This Row],[PROVEEDOR]],TERCEROS_INFO[#All],2,FALSE)</f>
        <v>0</v>
      </c>
      <c r="D48" s="145">
        <f>+SUMIFS(PROVEEDORES[Total],PROVEEDORES[PROVEEDOR],PROVEEDORES[[#This Row],[PROVEEDOR]],PROVEEDORES[FECHA DE PAGO],"")</f>
        <v>224000</v>
      </c>
      <c r="E48" s="146"/>
      <c r="F48" s="144">
        <f>+VLOOKUP(PROVEEDORES[[#This Row],[PROVEEDOR]],
                       Terceros!$A:$G,
                       5,
                       FALSE)</f>
        <v>0</v>
      </c>
      <c r="G48" s="122">
        <v>44977</v>
      </c>
      <c r="H48" s="102" t="s">
        <v>539</v>
      </c>
      <c r="I48" s="122">
        <v>44958</v>
      </c>
      <c r="J48" s="103">
        <v>33</v>
      </c>
      <c r="K48" s="103" t="s">
        <v>1512</v>
      </c>
      <c r="L48" s="103"/>
      <c r="M48" s="105">
        <v>339400</v>
      </c>
      <c r="N48" s="147">
        <v>0</v>
      </c>
      <c r="O48" s="147">
        <v>0</v>
      </c>
      <c r="P48" s="148">
        <v>0</v>
      </c>
      <c r="Q48" s="147">
        <v>0</v>
      </c>
      <c r="R48" s="149">
        <v>339400</v>
      </c>
      <c r="S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" s="150">
        <f ca="1">+IF(PROVEEDORES[[#This Row],[FECHA DE PAGO]]=0,TODAY()-PROVEEDORES[[#This Row],[FECHA DE FACTURACIÓN]]-PROVEEDORES[[#This Row],[PLAZO Días]],0)</f>
        <v>0</v>
      </c>
      <c r="U48" s="150">
        <f>+VLOOKUP(PROVEEDORES[[#This Row],[PROVEEDOR]],Terceros!$A:$E,4,FALSE)</f>
        <v>0</v>
      </c>
      <c r="V48" s="150">
        <f>+YEAR(PROVEEDORES[[#This Row],[FECHA DE FACTURACIÓN]])</f>
        <v>2023</v>
      </c>
      <c r="W48" s="150">
        <f>+MATCH(PROVEEDORES[[#This Row],[año facturado]],Retenciones!$1:$1,0)</f>
        <v>6</v>
      </c>
      <c r="X48" s="151">
        <f>+VLOOKUP(PROVEEDORES[[#This Row],[ID RETENCION]],Retenciones!$A$1:$O$25,PROVEEDORES[[#This Row],[indicador de columna]],FALSE)</f>
        <v>0</v>
      </c>
      <c r="Y48" s="152">
        <f>+VLOOKUP(PROVEEDORES[[#This Row],[ID RETENCION]],Retenciones!$A$1:$O$25,2,FALSE)</f>
        <v>0</v>
      </c>
      <c r="Z48" s="153" t="b">
        <f>+OR(COUNTIF(PROVEEDORES[[#This Row],[PROVEEDOR]],"*"&amp;'Palabra que no opera y Listas d'!$A$2&amp;"*"))</f>
        <v>0</v>
      </c>
    </row>
    <row r="49" spans="1:26" ht="27.75" customHeight="1" x14ac:dyDescent="0.3">
      <c r="A49" s="144" t="str">
        <f>+IF(PROVEEDORES[[#This Row],[FECHA DE PAGO]]=PROVEEDORES[[#This Row],[FECHA DE FACTURACIÓN]],"DE CONTADO","CRÉDITO")</f>
        <v>CRÉDITO</v>
      </c>
      <c r="B49" s="144" t="str">
        <f>+IF((PROVEEDORES[[#This Row],[FECHA DE PAGO]]-PROVEEDORES[[#This Row],[FECHA DE FACTURACIÓN]])&gt;PROVEEDORES[[#This Row],[PLAZO Días]],"PAGO VENCIDO")</f>
        <v>PAGO VENCIDO</v>
      </c>
      <c r="C49" s="144">
        <f>+VLOOKUP(PROVEEDORES[[#This Row],[PROVEEDOR]],TERCEROS_INFO[#All],2,FALSE)</f>
        <v>0</v>
      </c>
      <c r="D49" s="145">
        <f>+SUMIFS(PROVEEDORES[Total],PROVEEDORES[PROVEEDOR],PROVEEDORES[[#This Row],[PROVEEDOR]],PROVEEDORES[FECHA DE PAGO],"")</f>
        <v>0</v>
      </c>
      <c r="E49" s="146"/>
      <c r="F49" s="144">
        <f>+VLOOKUP(PROVEEDORES[[#This Row],[PROVEEDOR]],
                       Terceros!$A:$G,
                       5,
                       FALSE)</f>
        <v>0</v>
      </c>
      <c r="G49" s="122">
        <v>44977</v>
      </c>
      <c r="H49" s="102" t="s">
        <v>391</v>
      </c>
      <c r="I49" s="122">
        <v>44958</v>
      </c>
      <c r="J49" s="103" t="s">
        <v>583</v>
      </c>
      <c r="K49" s="103" t="s">
        <v>1512</v>
      </c>
      <c r="L49" s="103"/>
      <c r="M49" s="105">
        <v>329981</v>
      </c>
      <c r="N49" s="147">
        <v>0</v>
      </c>
      <c r="O49" s="147">
        <v>0</v>
      </c>
      <c r="P49" s="148">
        <v>0</v>
      </c>
      <c r="Q49" s="147">
        <v>0</v>
      </c>
      <c r="R49" s="149">
        <v>329981</v>
      </c>
      <c r="S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" s="150">
        <f ca="1">+IF(PROVEEDORES[[#This Row],[FECHA DE PAGO]]=0,TODAY()-PROVEEDORES[[#This Row],[FECHA DE FACTURACIÓN]]-PROVEEDORES[[#This Row],[PLAZO Días]],0)</f>
        <v>0</v>
      </c>
      <c r="U49" s="150">
        <f>+VLOOKUP(PROVEEDORES[[#This Row],[PROVEEDOR]],Terceros!$A:$E,4,FALSE)</f>
        <v>0</v>
      </c>
      <c r="V49" s="150">
        <f>+YEAR(PROVEEDORES[[#This Row],[FECHA DE FACTURACIÓN]])</f>
        <v>2023</v>
      </c>
      <c r="W49" s="150">
        <f>+MATCH(PROVEEDORES[[#This Row],[año facturado]],Retenciones!$1:$1,0)</f>
        <v>6</v>
      </c>
      <c r="X49" s="151">
        <f>+VLOOKUP(PROVEEDORES[[#This Row],[ID RETENCION]],Retenciones!$A$1:$O$25,PROVEEDORES[[#This Row],[indicador de columna]],FALSE)</f>
        <v>0</v>
      </c>
      <c r="Y49" s="152">
        <f>+VLOOKUP(PROVEEDORES[[#This Row],[ID RETENCION]],Retenciones!$A$1:$O$25,2,FALSE)</f>
        <v>0</v>
      </c>
      <c r="Z49" s="153" t="b">
        <f>+OR(COUNTIF(PROVEEDORES[[#This Row],[PROVEEDOR]],"*"&amp;'Palabra que no opera y Listas d'!$A$2&amp;"*"))</f>
        <v>1</v>
      </c>
    </row>
    <row r="50" spans="1:26" ht="27.75" customHeight="1" x14ac:dyDescent="0.3">
      <c r="A50" s="144" t="str">
        <f>+IF(PROVEEDORES[[#This Row],[FECHA DE PAGO]]=PROVEEDORES[[#This Row],[FECHA DE FACTURACIÓN]],"DE CONTADO","CRÉDITO")</f>
        <v>CRÉDITO</v>
      </c>
      <c r="B50" s="144" t="str">
        <f>+IF((PROVEEDORES[[#This Row],[FECHA DE PAGO]]-PROVEEDORES[[#This Row],[FECHA DE FACTURACIÓN]])&gt;PROVEEDORES[[#This Row],[PLAZO Días]],"PAGO VENCIDO")</f>
        <v>PAGO VENCIDO</v>
      </c>
      <c r="C50" s="144">
        <f>+VLOOKUP(PROVEEDORES[[#This Row],[PROVEEDOR]],TERCEROS_INFO[#All],2,FALSE)</f>
        <v>0</v>
      </c>
      <c r="D50" s="145">
        <f>+SUMIFS(PROVEEDORES[Total],PROVEEDORES[PROVEEDOR],PROVEEDORES[[#This Row],[PROVEEDOR]],PROVEEDORES[FECHA DE PAGO],"")</f>
        <v>0</v>
      </c>
      <c r="E50" s="146"/>
      <c r="F50" s="144">
        <f>+VLOOKUP(PROVEEDORES[[#This Row],[PROVEEDOR]],
                       Terceros!$A:$G,
                       5,
                       FALSE)</f>
        <v>0</v>
      </c>
      <c r="G50" s="122">
        <v>44977</v>
      </c>
      <c r="H50" s="102" t="s">
        <v>397</v>
      </c>
      <c r="I50" s="122">
        <v>44958</v>
      </c>
      <c r="J50" s="103" t="s">
        <v>584</v>
      </c>
      <c r="K50" s="103" t="s">
        <v>1512</v>
      </c>
      <c r="L50" s="103"/>
      <c r="M50" s="105">
        <v>928304</v>
      </c>
      <c r="N50" s="147">
        <v>0</v>
      </c>
      <c r="O50" s="147">
        <v>0</v>
      </c>
      <c r="P50" s="148">
        <v>0</v>
      </c>
      <c r="Q50" s="147">
        <v>0</v>
      </c>
      <c r="R50" s="149">
        <v>928304</v>
      </c>
      <c r="S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" s="150">
        <f ca="1">+IF(PROVEEDORES[[#This Row],[FECHA DE PAGO]]=0,TODAY()-PROVEEDORES[[#This Row],[FECHA DE FACTURACIÓN]]-PROVEEDORES[[#This Row],[PLAZO Días]],0)</f>
        <v>0</v>
      </c>
      <c r="U50" s="150">
        <f>+VLOOKUP(PROVEEDORES[[#This Row],[PROVEEDOR]],Terceros!$A:$E,4,FALSE)</f>
        <v>0</v>
      </c>
      <c r="V50" s="150">
        <f>+YEAR(PROVEEDORES[[#This Row],[FECHA DE FACTURACIÓN]])</f>
        <v>2023</v>
      </c>
      <c r="W50" s="150">
        <f>+MATCH(PROVEEDORES[[#This Row],[año facturado]],Retenciones!$1:$1,0)</f>
        <v>6</v>
      </c>
      <c r="X50" s="151">
        <f>+VLOOKUP(PROVEEDORES[[#This Row],[ID RETENCION]],Retenciones!$A$1:$O$25,PROVEEDORES[[#This Row],[indicador de columna]],FALSE)</f>
        <v>0</v>
      </c>
      <c r="Y50" s="152">
        <f>+VLOOKUP(PROVEEDORES[[#This Row],[ID RETENCION]],Retenciones!$A$1:$O$25,2,FALSE)</f>
        <v>0</v>
      </c>
      <c r="Z50" s="153" t="b">
        <f>+OR(COUNTIF(PROVEEDORES[[#This Row],[PROVEEDOR]],"*"&amp;'Palabra que no opera y Listas d'!$A$2&amp;"*"))</f>
        <v>1</v>
      </c>
    </row>
    <row r="51" spans="1:26" ht="27.75" customHeight="1" x14ac:dyDescent="0.3">
      <c r="A51" s="144" t="str">
        <f>+IF(PROVEEDORES[[#This Row],[FECHA DE PAGO]]=PROVEEDORES[[#This Row],[FECHA DE FACTURACIÓN]],"DE CONTADO","CRÉDITO")</f>
        <v>CRÉDITO</v>
      </c>
      <c r="B51" s="144" t="str">
        <f>+IF((PROVEEDORES[[#This Row],[FECHA DE PAGO]]-PROVEEDORES[[#This Row],[FECHA DE FACTURACIÓN]])&gt;PROVEEDORES[[#This Row],[PLAZO Días]],"PAGO VENCIDO")</f>
        <v>PAGO VENCIDO</v>
      </c>
      <c r="C51" s="144">
        <f>+VLOOKUP(PROVEEDORES[[#This Row],[PROVEEDOR]],TERCEROS_INFO[#All],2,FALSE)</f>
        <v>0</v>
      </c>
      <c r="D51" s="145">
        <f>+SUMIFS(PROVEEDORES[Total],PROVEEDORES[PROVEEDOR],PROVEEDORES[[#This Row],[PROVEEDOR]],PROVEEDORES[FECHA DE PAGO],"")</f>
        <v>0</v>
      </c>
      <c r="E51" s="146"/>
      <c r="F51" s="144">
        <f>+VLOOKUP(PROVEEDORES[[#This Row],[PROVEEDOR]],
                       Terceros!$A:$G,
                       5,
                       FALSE)</f>
        <v>0</v>
      </c>
      <c r="G51" s="122">
        <v>44977</v>
      </c>
      <c r="H51" s="102" t="s">
        <v>397</v>
      </c>
      <c r="I51" s="122">
        <v>44958</v>
      </c>
      <c r="J51" s="103" t="s">
        <v>585</v>
      </c>
      <c r="K51" s="103" t="s">
        <v>1512</v>
      </c>
      <c r="L51" s="103"/>
      <c r="M51" s="105">
        <v>949891</v>
      </c>
      <c r="N51" s="147">
        <v>0</v>
      </c>
      <c r="O51" s="147">
        <v>0</v>
      </c>
      <c r="P51" s="148">
        <v>0</v>
      </c>
      <c r="Q51" s="147">
        <v>0</v>
      </c>
      <c r="R51" s="149">
        <v>949891</v>
      </c>
      <c r="S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" s="150">
        <f ca="1">+IF(PROVEEDORES[[#This Row],[FECHA DE PAGO]]=0,TODAY()-PROVEEDORES[[#This Row],[FECHA DE FACTURACIÓN]]-PROVEEDORES[[#This Row],[PLAZO Días]],0)</f>
        <v>0</v>
      </c>
      <c r="U51" s="150">
        <f>+VLOOKUP(PROVEEDORES[[#This Row],[PROVEEDOR]],Terceros!$A:$E,4,FALSE)</f>
        <v>0</v>
      </c>
      <c r="V51" s="150">
        <f>+YEAR(PROVEEDORES[[#This Row],[FECHA DE FACTURACIÓN]])</f>
        <v>2023</v>
      </c>
      <c r="W51" s="150">
        <f>+MATCH(PROVEEDORES[[#This Row],[año facturado]],Retenciones!$1:$1,0)</f>
        <v>6</v>
      </c>
      <c r="X51" s="151">
        <f>+VLOOKUP(PROVEEDORES[[#This Row],[ID RETENCION]],Retenciones!$A$1:$O$25,PROVEEDORES[[#This Row],[indicador de columna]],FALSE)</f>
        <v>0</v>
      </c>
      <c r="Y51" s="152">
        <f>+VLOOKUP(PROVEEDORES[[#This Row],[ID RETENCION]],Retenciones!$A$1:$O$25,2,FALSE)</f>
        <v>0</v>
      </c>
      <c r="Z51" s="153" t="b">
        <f>+OR(COUNTIF(PROVEEDORES[[#This Row],[PROVEEDOR]],"*"&amp;'Palabra que no opera y Listas d'!$A$2&amp;"*"))</f>
        <v>1</v>
      </c>
    </row>
    <row r="52" spans="1:26" ht="27.75" customHeight="1" x14ac:dyDescent="0.3">
      <c r="A52" s="144" t="str">
        <f>+IF(PROVEEDORES[[#This Row],[FECHA DE PAGO]]=PROVEEDORES[[#This Row],[FECHA DE FACTURACIÓN]],"DE CONTADO","CRÉDITO")</f>
        <v>CRÉDITO</v>
      </c>
      <c r="B52" s="144" t="str">
        <f>+IF((PROVEEDORES[[#This Row],[FECHA DE PAGO]]-PROVEEDORES[[#This Row],[FECHA DE FACTURACIÓN]])&gt;PROVEEDORES[[#This Row],[PLAZO Días]],"PAGO VENCIDO")</f>
        <v>PAGO VENCIDO</v>
      </c>
      <c r="C52" s="144">
        <f>+VLOOKUP(PROVEEDORES[[#This Row],[PROVEEDOR]],TERCEROS_INFO[#All],2,FALSE)</f>
        <v>0</v>
      </c>
      <c r="D52" s="145">
        <f>+SUMIFS(PROVEEDORES[Total],PROVEEDORES[PROVEEDOR],PROVEEDORES[[#This Row],[PROVEEDOR]],PROVEEDORES[FECHA DE PAGO],"")</f>
        <v>0</v>
      </c>
      <c r="E52" s="146"/>
      <c r="F52" s="144">
        <f>+VLOOKUP(PROVEEDORES[[#This Row],[PROVEEDOR]],
                       Terceros!$A:$G,
                       5,
                       FALSE)</f>
        <v>0</v>
      </c>
      <c r="G52" s="122">
        <v>44977</v>
      </c>
      <c r="H52" s="102" t="s">
        <v>397</v>
      </c>
      <c r="I52" s="122">
        <v>44958</v>
      </c>
      <c r="J52" s="103" t="s">
        <v>586</v>
      </c>
      <c r="K52" s="103" t="s">
        <v>1512</v>
      </c>
      <c r="L52" s="103"/>
      <c r="M52" s="105">
        <v>59583</v>
      </c>
      <c r="N52" s="147">
        <v>0</v>
      </c>
      <c r="O52" s="147">
        <v>0</v>
      </c>
      <c r="P52" s="148">
        <v>0</v>
      </c>
      <c r="Q52" s="147">
        <v>0</v>
      </c>
      <c r="R52" s="149">
        <v>59583</v>
      </c>
      <c r="S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" s="150">
        <f ca="1">+IF(PROVEEDORES[[#This Row],[FECHA DE PAGO]]=0,TODAY()-PROVEEDORES[[#This Row],[FECHA DE FACTURACIÓN]]-PROVEEDORES[[#This Row],[PLAZO Días]],0)</f>
        <v>0</v>
      </c>
      <c r="U52" s="150">
        <f>+VLOOKUP(PROVEEDORES[[#This Row],[PROVEEDOR]],Terceros!$A:$E,4,FALSE)</f>
        <v>0</v>
      </c>
      <c r="V52" s="150">
        <f>+YEAR(PROVEEDORES[[#This Row],[FECHA DE FACTURACIÓN]])</f>
        <v>2023</v>
      </c>
      <c r="W52" s="150">
        <f>+MATCH(PROVEEDORES[[#This Row],[año facturado]],Retenciones!$1:$1,0)</f>
        <v>6</v>
      </c>
      <c r="X52" s="151">
        <f>+VLOOKUP(PROVEEDORES[[#This Row],[ID RETENCION]],Retenciones!$A$1:$O$25,PROVEEDORES[[#This Row],[indicador de columna]],FALSE)</f>
        <v>0</v>
      </c>
      <c r="Y52" s="152">
        <f>+VLOOKUP(PROVEEDORES[[#This Row],[ID RETENCION]],Retenciones!$A$1:$O$25,2,FALSE)</f>
        <v>0</v>
      </c>
      <c r="Z52" s="153" t="b">
        <f>+OR(COUNTIF(PROVEEDORES[[#This Row],[PROVEEDOR]],"*"&amp;'Palabra que no opera y Listas d'!$A$2&amp;"*"))</f>
        <v>1</v>
      </c>
    </row>
    <row r="53" spans="1:26" ht="27.75" customHeight="1" x14ac:dyDescent="0.3">
      <c r="A53" s="144" t="str">
        <f>+IF(PROVEEDORES[[#This Row],[FECHA DE PAGO]]=PROVEEDORES[[#This Row],[FECHA DE FACTURACIÓN]],"DE CONTADO","CRÉDITO")</f>
        <v>CRÉDITO</v>
      </c>
      <c r="B53" s="144" t="str">
        <f>+IF((PROVEEDORES[[#This Row],[FECHA DE PAGO]]-PROVEEDORES[[#This Row],[FECHA DE FACTURACIÓN]])&gt;PROVEEDORES[[#This Row],[PLAZO Días]],"PAGO VENCIDO")</f>
        <v>PAGO VENCIDO</v>
      </c>
      <c r="C53" s="144">
        <f>+VLOOKUP(PROVEEDORES[[#This Row],[PROVEEDOR]],TERCEROS_INFO[#All],2,FALSE)</f>
        <v>0</v>
      </c>
      <c r="D53" s="145">
        <f>+SUMIFS(PROVEEDORES[Total],PROVEEDORES[PROVEEDOR],PROVEEDORES[[#This Row],[PROVEEDOR]],PROVEEDORES[FECHA DE PAGO],"")</f>
        <v>0</v>
      </c>
      <c r="E53" s="146"/>
      <c r="F53" s="144">
        <f>+VLOOKUP(PROVEEDORES[[#This Row],[PROVEEDOR]],
                       Terceros!$A:$G,
                       5,
                       FALSE)</f>
        <v>0</v>
      </c>
      <c r="G53" s="122">
        <v>44977</v>
      </c>
      <c r="H53" s="102" t="s">
        <v>397</v>
      </c>
      <c r="I53" s="122">
        <v>44958</v>
      </c>
      <c r="J53" s="103" t="s">
        <v>587</v>
      </c>
      <c r="K53" s="103" t="s">
        <v>1512</v>
      </c>
      <c r="L53" s="103"/>
      <c r="M53" s="105">
        <v>68166</v>
      </c>
      <c r="N53" s="147">
        <v>0</v>
      </c>
      <c r="O53" s="147">
        <v>0</v>
      </c>
      <c r="P53" s="148">
        <v>0</v>
      </c>
      <c r="Q53" s="147">
        <v>0</v>
      </c>
      <c r="R53" s="149">
        <v>68166</v>
      </c>
      <c r="S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" s="150">
        <f ca="1">+IF(PROVEEDORES[[#This Row],[FECHA DE PAGO]]=0,TODAY()-PROVEEDORES[[#This Row],[FECHA DE FACTURACIÓN]]-PROVEEDORES[[#This Row],[PLAZO Días]],0)</f>
        <v>0</v>
      </c>
      <c r="U53" s="150">
        <f>+VLOOKUP(PROVEEDORES[[#This Row],[PROVEEDOR]],Terceros!$A:$E,4,FALSE)</f>
        <v>0</v>
      </c>
      <c r="V53" s="150">
        <f>+YEAR(PROVEEDORES[[#This Row],[FECHA DE FACTURACIÓN]])</f>
        <v>2023</v>
      </c>
      <c r="W53" s="150">
        <f>+MATCH(PROVEEDORES[[#This Row],[año facturado]],Retenciones!$1:$1,0)</f>
        <v>6</v>
      </c>
      <c r="X53" s="151">
        <f>+VLOOKUP(PROVEEDORES[[#This Row],[ID RETENCION]],Retenciones!$A$1:$O$25,PROVEEDORES[[#This Row],[indicador de columna]],FALSE)</f>
        <v>0</v>
      </c>
      <c r="Y53" s="152">
        <f>+VLOOKUP(PROVEEDORES[[#This Row],[ID RETENCION]],Retenciones!$A$1:$O$25,2,FALSE)</f>
        <v>0</v>
      </c>
      <c r="Z53" s="153" t="b">
        <f>+OR(COUNTIF(PROVEEDORES[[#This Row],[PROVEEDOR]],"*"&amp;'Palabra que no opera y Listas d'!$A$2&amp;"*"))</f>
        <v>1</v>
      </c>
    </row>
    <row r="54" spans="1:26" ht="27.75" customHeight="1" x14ac:dyDescent="0.3">
      <c r="A54" s="144" t="str">
        <f>+IF(PROVEEDORES[[#This Row],[FECHA DE PAGO]]=PROVEEDORES[[#This Row],[FECHA DE FACTURACIÓN]],"DE CONTADO","CRÉDITO")</f>
        <v>CRÉDITO</v>
      </c>
      <c r="B54" s="144" t="str">
        <f>+IF((PROVEEDORES[[#This Row],[FECHA DE PAGO]]-PROVEEDORES[[#This Row],[FECHA DE FACTURACIÓN]])&gt;PROVEEDORES[[#This Row],[PLAZO Días]],"PAGO VENCIDO")</f>
        <v>PAGO VENCIDO</v>
      </c>
      <c r="C54" s="144">
        <f>+VLOOKUP(PROVEEDORES[[#This Row],[PROVEEDOR]],TERCEROS_INFO[#All],2,FALSE)</f>
        <v>0</v>
      </c>
      <c r="D54" s="145">
        <f>+SUMIFS(PROVEEDORES[Total],PROVEEDORES[PROVEEDOR],PROVEEDORES[[#This Row],[PROVEEDOR]],PROVEEDORES[FECHA DE PAGO],"")</f>
        <v>181631</v>
      </c>
      <c r="E54" s="146"/>
      <c r="F54" s="144">
        <f>+VLOOKUP(PROVEEDORES[[#This Row],[PROVEEDOR]],
                       Terceros!$A:$G,
                       5,
                       FALSE)</f>
        <v>0</v>
      </c>
      <c r="G54" s="122">
        <v>44977</v>
      </c>
      <c r="H54" s="102" t="s">
        <v>383</v>
      </c>
      <c r="I54" s="122">
        <v>44958</v>
      </c>
      <c r="J54" s="103" t="s">
        <v>590</v>
      </c>
      <c r="K54" s="103" t="s">
        <v>1512</v>
      </c>
      <c r="L54" s="103"/>
      <c r="M54" s="105">
        <v>527</v>
      </c>
      <c r="N54" s="147">
        <v>100.13</v>
      </c>
      <c r="O54" s="147">
        <v>0</v>
      </c>
      <c r="P54" s="148">
        <v>0</v>
      </c>
      <c r="Q54" s="147">
        <v>0</v>
      </c>
      <c r="R54" s="149">
        <v>627.13</v>
      </c>
      <c r="S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" s="150">
        <f ca="1">+IF(PROVEEDORES[[#This Row],[FECHA DE PAGO]]=0,TODAY()-PROVEEDORES[[#This Row],[FECHA DE FACTURACIÓN]]-PROVEEDORES[[#This Row],[PLAZO Días]],0)</f>
        <v>0</v>
      </c>
      <c r="U54" s="150">
        <f>+VLOOKUP(PROVEEDORES[[#This Row],[PROVEEDOR]],Terceros!$A:$E,4,FALSE)</f>
        <v>0.19</v>
      </c>
      <c r="V54" s="150">
        <f>+YEAR(PROVEEDORES[[#This Row],[FECHA DE FACTURACIÓN]])</f>
        <v>2023</v>
      </c>
      <c r="W54" s="150">
        <f>+MATCH(PROVEEDORES[[#This Row],[año facturado]],Retenciones!$1:$1,0)</f>
        <v>6</v>
      </c>
      <c r="X54" s="151" t="e">
        <f>+VLOOKUP(PROVEEDORES[[#This Row],[ID RETENCION]],Retenciones!$A$1:$O$25,PROVEEDORES[[#This Row],[indicador de columna]],FALSE)</f>
        <v>#N/A</v>
      </c>
      <c r="Y54" s="152" t="e">
        <f>+VLOOKUP(PROVEEDORES[[#This Row],[ID RETENCION]],Retenciones!$A$1:$O$25,2,FALSE)</f>
        <v>#N/A</v>
      </c>
      <c r="Z54" s="153" t="b">
        <f>+OR(COUNTIF(PROVEEDORES[[#This Row],[PROVEEDOR]],"*"&amp;'Palabra que no opera y Listas d'!$A$2&amp;"*"))</f>
        <v>1</v>
      </c>
    </row>
    <row r="55" spans="1:26" ht="27.75" customHeight="1" x14ac:dyDescent="0.3">
      <c r="A55" s="144" t="str">
        <f>+IF(PROVEEDORES[[#This Row],[FECHA DE PAGO]]=PROVEEDORES[[#This Row],[FECHA DE FACTURACIÓN]],"DE CONTADO","CRÉDITO")</f>
        <v>CRÉDITO</v>
      </c>
      <c r="B55" s="144" t="str">
        <f>+IF((PROVEEDORES[[#This Row],[FECHA DE PAGO]]-PROVEEDORES[[#This Row],[FECHA DE FACTURACIÓN]])&gt;PROVEEDORES[[#This Row],[PLAZO Días]],"PAGO VENCIDO")</f>
        <v>PAGO VENCIDO</v>
      </c>
      <c r="C55" s="144">
        <f>+VLOOKUP(PROVEEDORES[[#This Row],[PROVEEDOR]],TERCEROS_INFO[#All],2,FALSE)</f>
        <v>0</v>
      </c>
      <c r="D55" s="145">
        <f>+SUMIFS(PROVEEDORES[Total],PROVEEDORES[PROVEEDOR],PROVEEDORES[[#This Row],[PROVEEDOR]],PROVEEDORES[FECHA DE PAGO],"")</f>
        <v>181631</v>
      </c>
      <c r="E55" s="146"/>
      <c r="F55" s="144">
        <f>+VLOOKUP(PROVEEDORES[[#This Row],[PROVEEDOR]],
                       Terceros!$A:$G,
                       5,
                       FALSE)</f>
        <v>0</v>
      </c>
      <c r="G55" s="122">
        <v>44977</v>
      </c>
      <c r="H55" s="102" t="s">
        <v>383</v>
      </c>
      <c r="I55" s="122">
        <v>44958</v>
      </c>
      <c r="J55" s="103" t="s">
        <v>589</v>
      </c>
      <c r="K55" s="103" t="s">
        <v>1512</v>
      </c>
      <c r="L55" s="103"/>
      <c r="M55" s="105">
        <v>2196</v>
      </c>
      <c r="N55" s="147">
        <v>417.24</v>
      </c>
      <c r="O55" s="147">
        <v>0</v>
      </c>
      <c r="P55" s="148">
        <v>0</v>
      </c>
      <c r="Q55" s="147">
        <v>0</v>
      </c>
      <c r="R55" s="149">
        <v>2613.2399999999998</v>
      </c>
      <c r="S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" s="150">
        <f ca="1">+IF(PROVEEDORES[[#This Row],[FECHA DE PAGO]]=0,TODAY()-PROVEEDORES[[#This Row],[FECHA DE FACTURACIÓN]]-PROVEEDORES[[#This Row],[PLAZO Días]],0)</f>
        <v>0</v>
      </c>
      <c r="U55" s="150">
        <f>+VLOOKUP(PROVEEDORES[[#This Row],[PROVEEDOR]],Terceros!$A:$E,4,FALSE)</f>
        <v>0.19</v>
      </c>
      <c r="V55" s="150">
        <f>+YEAR(PROVEEDORES[[#This Row],[FECHA DE FACTURACIÓN]])</f>
        <v>2023</v>
      </c>
      <c r="W55" s="150">
        <f>+MATCH(PROVEEDORES[[#This Row],[año facturado]],Retenciones!$1:$1,0)</f>
        <v>6</v>
      </c>
      <c r="X55" s="151" t="e">
        <f>+VLOOKUP(PROVEEDORES[[#This Row],[ID RETENCION]],Retenciones!$A$1:$O$25,PROVEEDORES[[#This Row],[indicador de columna]],FALSE)</f>
        <v>#N/A</v>
      </c>
      <c r="Y55" s="152" t="e">
        <f>+VLOOKUP(PROVEEDORES[[#This Row],[ID RETENCION]],Retenciones!$A$1:$O$25,2,FALSE)</f>
        <v>#N/A</v>
      </c>
      <c r="Z55" s="153" t="b">
        <f>+OR(COUNTIF(PROVEEDORES[[#This Row],[PROVEEDOR]],"*"&amp;'Palabra que no opera y Listas d'!$A$2&amp;"*"))</f>
        <v>1</v>
      </c>
    </row>
    <row r="56" spans="1:26" ht="27.75" customHeight="1" x14ac:dyDescent="0.3">
      <c r="A56" s="144" t="str">
        <f>+IF(PROVEEDORES[[#This Row],[FECHA DE PAGO]]=PROVEEDORES[[#This Row],[FECHA DE FACTURACIÓN]],"DE CONTADO","CRÉDITO")</f>
        <v>CRÉDITO</v>
      </c>
      <c r="B56" s="144" t="str">
        <f>+IF((PROVEEDORES[[#This Row],[FECHA DE PAGO]]-PROVEEDORES[[#This Row],[FECHA DE FACTURACIÓN]])&gt;PROVEEDORES[[#This Row],[PLAZO Días]],"PAGO VENCIDO")</f>
        <v>PAGO VENCIDO</v>
      </c>
      <c r="C56" s="144">
        <f>+VLOOKUP(PROVEEDORES[[#This Row],[PROVEEDOR]],TERCEROS_INFO[#All],2,FALSE)</f>
        <v>0</v>
      </c>
      <c r="D56" s="145">
        <f>+SUMIFS(PROVEEDORES[Total],PROVEEDORES[PROVEEDOR],PROVEEDORES[[#This Row],[PROVEEDOR]],PROVEEDORES[FECHA DE PAGO],"")</f>
        <v>181631</v>
      </c>
      <c r="E56" s="146"/>
      <c r="F56" s="144">
        <f>+VLOOKUP(PROVEEDORES[[#This Row],[PROVEEDOR]],
                       Terceros!$A:$G,
                       5,
                       FALSE)</f>
        <v>0</v>
      </c>
      <c r="G56" s="122">
        <v>44977</v>
      </c>
      <c r="H56" s="102" t="s">
        <v>383</v>
      </c>
      <c r="I56" s="122">
        <v>44958</v>
      </c>
      <c r="J56" s="103" t="s">
        <v>591</v>
      </c>
      <c r="K56" s="103" t="s">
        <v>1512</v>
      </c>
      <c r="L56" s="103"/>
      <c r="M56" s="105">
        <v>37336</v>
      </c>
      <c r="N56" s="147">
        <v>7093.84</v>
      </c>
      <c r="O56" s="147">
        <v>0</v>
      </c>
      <c r="P56" s="148">
        <v>0</v>
      </c>
      <c r="Q56" s="147">
        <v>0</v>
      </c>
      <c r="R56" s="149">
        <v>44429.84</v>
      </c>
      <c r="S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" s="150">
        <f ca="1">+IF(PROVEEDORES[[#This Row],[FECHA DE PAGO]]=0,TODAY()-PROVEEDORES[[#This Row],[FECHA DE FACTURACIÓN]]-PROVEEDORES[[#This Row],[PLAZO Días]],0)</f>
        <v>0</v>
      </c>
      <c r="U56" s="150">
        <f>+VLOOKUP(PROVEEDORES[[#This Row],[PROVEEDOR]],Terceros!$A:$E,4,FALSE)</f>
        <v>0.19</v>
      </c>
      <c r="V56" s="150">
        <f>+YEAR(PROVEEDORES[[#This Row],[FECHA DE FACTURACIÓN]])</f>
        <v>2023</v>
      </c>
      <c r="W56" s="150">
        <f>+MATCH(PROVEEDORES[[#This Row],[año facturado]],Retenciones!$1:$1,0)</f>
        <v>6</v>
      </c>
      <c r="X56" s="151" t="e">
        <f>+VLOOKUP(PROVEEDORES[[#This Row],[ID RETENCION]],Retenciones!$A$1:$O$25,PROVEEDORES[[#This Row],[indicador de columna]],FALSE)</f>
        <v>#N/A</v>
      </c>
      <c r="Y56" s="152" t="e">
        <f>+VLOOKUP(PROVEEDORES[[#This Row],[ID RETENCION]],Retenciones!$A$1:$O$25,2,FALSE)</f>
        <v>#N/A</v>
      </c>
      <c r="Z56" s="153" t="b">
        <f>+OR(COUNTIF(PROVEEDORES[[#This Row],[PROVEEDOR]],"*"&amp;'Palabra que no opera y Listas d'!$A$2&amp;"*"))</f>
        <v>1</v>
      </c>
    </row>
    <row r="57" spans="1:26" ht="27.75" customHeight="1" x14ac:dyDescent="0.3">
      <c r="A57" s="144" t="str">
        <f>+IF(PROVEEDORES[[#This Row],[FECHA DE PAGO]]=PROVEEDORES[[#This Row],[FECHA DE FACTURACIÓN]],"DE CONTADO","CRÉDITO")</f>
        <v>CRÉDITO</v>
      </c>
      <c r="B57" s="144" t="str">
        <f>+IF((PROVEEDORES[[#This Row],[FECHA DE PAGO]]-PROVEEDORES[[#This Row],[FECHA DE FACTURACIÓN]])&gt;PROVEEDORES[[#This Row],[PLAZO Días]],"PAGO VENCIDO")</f>
        <v>PAGO VENCIDO</v>
      </c>
      <c r="C57" s="144">
        <f>+VLOOKUP(PROVEEDORES[[#This Row],[PROVEEDOR]],TERCEROS_INFO[#All],2,FALSE)</f>
        <v>0</v>
      </c>
      <c r="D57" s="145">
        <f>+SUMIFS(PROVEEDORES[Total],PROVEEDORES[PROVEEDOR],PROVEEDORES[[#This Row],[PROVEEDOR]],PROVEEDORES[FECHA DE PAGO],"")</f>
        <v>181631</v>
      </c>
      <c r="E57" s="146"/>
      <c r="F57" s="144">
        <f>+VLOOKUP(PROVEEDORES[[#This Row],[PROVEEDOR]],
                       Terceros!$A:$G,
                       5,
                       FALSE)</f>
        <v>0</v>
      </c>
      <c r="G57" s="122">
        <v>44977</v>
      </c>
      <c r="H57" s="102" t="s">
        <v>383</v>
      </c>
      <c r="I57" s="122">
        <v>44958</v>
      </c>
      <c r="J57" s="103" t="s">
        <v>588</v>
      </c>
      <c r="K57" s="103" t="s">
        <v>1512</v>
      </c>
      <c r="L57" s="103"/>
      <c r="M57" s="105">
        <v>895662</v>
      </c>
      <c r="N57" s="147">
        <v>170175.78</v>
      </c>
      <c r="O57" s="147">
        <v>0</v>
      </c>
      <c r="P57" s="148">
        <v>0</v>
      </c>
      <c r="Q57" s="147">
        <v>0</v>
      </c>
      <c r="R57" s="149">
        <v>1065837.78</v>
      </c>
      <c r="S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" s="150">
        <f ca="1">+IF(PROVEEDORES[[#This Row],[FECHA DE PAGO]]=0,TODAY()-PROVEEDORES[[#This Row],[FECHA DE FACTURACIÓN]]-PROVEEDORES[[#This Row],[PLAZO Días]],0)</f>
        <v>0</v>
      </c>
      <c r="U57" s="150">
        <f>+VLOOKUP(PROVEEDORES[[#This Row],[PROVEEDOR]],Terceros!$A:$E,4,FALSE)</f>
        <v>0.19</v>
      </c>
      <c r="V57" s="150">
        <f>+YEAR(PROVEEDORES[[#This Row],[FECHA DE FACTURACIÓN]])</f>
        <v>2023</v>
      </c>
      <c r="W57" s="150">
        <f>+MATCH(PROVEEDORES[[#This Row],[año facturado]],Retenciones!$1:$1,0)</f>
        <v>6</v>
      </c>
      <c r="X57" s="151" t="e">
        <f>+VLOOKUP(PROVEEDORES[[#This Row],[ID RETENCION]],Retenciones!$A$1:$O$25,PROVEEDORES[[#This Row],[indicador de columna]],FALSE)</f>
        <v>#N/A</v>
      </c>
      <c r="Y57" s="152" t="e">
        <f>+VLOOKUP(PROVEEDORES[[#This Row],[ID RETENCION]],Retenciones!$A$1:$O$25,2,FALSE)</f>
        <v>#N/A</v>
      </c>
      <c r="Z57" s="153" t="b">
        <f>+OR(COUNTIF(PROVEEDORES[[#This Row],[PROVEEDOR]],"*"&amp;'Palabra que no opera y Listas d'!$A$2&amp;"*"))</f>
        <v>1</v>
      </c>
    </row>
    <row r="58" spans="1:26" ht="27.75" customHeight="1" x14ac:dyDescent="0.3">
      <c r="A58" s="144" t="str">
        <f>+IF(PROVEEDORES[[#This Row],[FECHA DE PAGO]]=PROVEEDORES[[#This Row],[FECHA DE FACTURACIÓN]],"DE CONTADO","CRÉDITO")</f>
        <v>CRÉDITO</v>
      </c>
      <c r="B58" s="144" t="str">
        <f>+IF((PROVEEDORES[[#This Row],[FECHA DE PAGO]]-PROVEEDORES[[#This Row],[FECHA DE FACTURACIÓN]])&gt;PROVEEDORES[[#This Row],[PLAZO Días]],"PAGO VENCIDO")</f>
        <v>PAGO VENCIDO</v>
      </c>
      <c r="C58" s="144">
        <f>+VLOOKUP(PROVEEDORES[[#This Row],[PROVEEDOR]],TERCEROS_INFO[#All],2,FALSE)</f>
        <v>0</v>
      </c>
      <c r="D58" s="145">
        <f>+SUMIFS(PROVEEDORES[Total],PROVEEDORES[PROVEEDOR],PROVEEDORES[[#This Row],[PROVEEDOR]],PROVEEDORES[FECHA DE PAGO],"")</f>
        <v>224000</v>
      </c>
      <c r="E58" s="146"/>
      <c r="F58" s="144">
        <f>+VLOOKUP(PROVEEDORES[[#This Row],[PROVEEDOR]],
                       Terceros!$A:$G,
                       5,
                       FALSE)</f>
        <v>0</v>
      </c>
      <c r="G58" s="122">
        <v>44977</v>
      </c>
      <c r="H58" s="102" t="s">
        <v>539</v>
      </c>
      <c r="I58" s="122">
        <v>44959</v>
      </c>
      <c r="J58" s="103">
        <v>29</v>
      </c>
      <c r="K58" s="103" t="s">
        <v>1512</v>
      </c>
      <c r="L58" s="103"/>
      <c r="M58" s="105">
        <v>33000</v>
      </c>
      <c r="N58" s="147">
        <v>0</v>
      </c>
      <c r="O58" s="147">
        <v>0</v>
      </c>
      <c r="P58" s="148">
        <v>0</v>
      </c>
      <c r="Q58" s="147">
        <v>0</v>
      </c>
      <c r="R58" s="149">
        <v>33000</v>
      </c>
      <c r="S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" s="150">
        <f ca="1">+IF(PROVEEDORES[[#This Row],[FECHA DE PAGO]]=0,TODAY()-PROVEEDORES[[#This Row],[FECHA DE FACTURACIÓN]]-PROVEEDORES[[#This Row],[PLAZO Días]],0)</f>
        <v>0</v>
      </c>
      <c r="U58" s="150">
        <f>+VLOOKUP(PROVEEDORES[[#This Row],[PROVEEDOR]],Terceros!$A:$E,4,FALSE)</f>
        <v>0</v>
      </c>
      <c r="V58" s="150">
        <f>+YEAR(PROVEEDORES[[#This Row],[FECHA DE FACTURACIÓN]])</f>
        <v>2023</v>
      </c>
      <c r="W58" s="150">
        <f>+MATCH(PROVEEDORES[[#This Row],[año facturado]],Retenciones!$1:$1,0)</f>
        <v>6</v>
      </c>
      <c r="X58" s="151">
        <f>+VLOOKUP(PROVEEDORES[[#This Row],[ID RETENCION]],Retenciones!$A$1:$O$25,PROVEEDORES[[#This Row],[indicador de columna]],FALSE)</f>
        <v>0</v>
      </c>
      <c r="Y58" s="152">
        <f>+VLOOKUP(PROVEEDORES[[#This Row],[ID RETENCION]],Retenciones!$A$1:$O$25,2,FALSE)</f>
        <v>0</v>
      </c>
      <c r="Z58" s="153" t="b">
        <f>+OR(COUNTIF(PROVEEDORES[[#This Row],[PROVEEDOR]],"*"&amp;'Palabra que no opera y Listas d'!$A$2&amp;"*"))</f>
        <v>0</v>
      </c>
    </row>
    <row r="59" spans="1:26" ht="27.75" customHeight="1" x14ac:dyDescent="0.3">
      <c r="A59" s="144" t="str">
        <f>+IF(PROVEEDORES[[#This Row],[FECHA DE PAGO]]=PROVEEDORES[[#This Row],[FECHA DE FACTURACIÓN]],"DE CONTADO","CRÉDITO")</f>
        <v>CRÉDITO</v>
      </c>
      <c r="B59" s="144" t="str">
        <f>+IF((PROVEEDORES[[#This Row],[FECHA DE PAGO]]-PROVEEDORES[[#This Row],[FECHA DE FACTURACIÓN]])&gt;PROVEEDORES[[#This Row],[PLAZO Días]],"PAGO VENCIDO")</f>
        <v>PAGO VENCIDO</v>
      </c>
      <c r="C59" s="144">
        <f>+VLOOKUP(PROVEEDORES[[#This Row],[PROVEEDOR]],TERCEROS_INFO[#All],2,FALSE)</f>
        <v>0</v>
      </c>
      <c r="D59" s="145">
        <f>+SUMIFS(PROVEEDORES[Total],PROVEEDORES[PROVEEDOR],PROVEEDORES[[#This Row],[PROVEEDOR]],PROVEEDORES[FECHA DE PAGO],"")</f>
        <v>224000</v>
      </c>
      <c r="E59" s="146"/>
      <c r="F59" s="144">
        <f>+VLOOKUP(PROVEEDORES[[#This Row],[PROVEEDOR]],
                       Terceros!$A:$G,
                       5,
                       FALSE)</f>
        <v>0</v>
      </c>
      <c r="G59" s="122">
        <v>44977</v>
      </c>
      <c r="H59" s="102" t="s">
        <v>539</v>
      </c>
      <c r="I59" s="122">
        <v>44959</v>
      </c>
      <c r="J59" s="103">
        <v>30</v>
      </c>
      <c r="K59" s="103" t="s">
        <v>1512</v>
      </c>
      <c r="L59" s="103"/>
      <c r="M59" s="105">
        <v>64500</v>
      </c>
      <c r="N59" s="147">
        <v>0</v>
      </c>
      <c r="O59" s="147">
        <v>0</v>
      </c>
      <c r="P59" s="148">
        <v>0</v>
      </c>
      <c r="Q59" s="147">
        <v>0</v>
      </c>
      <c r="R59" s="149">
        <v>64500</v>
      </c>
      <c r="S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" s="150">
        <f ca="1">+IF(PROVEEDORES[[#This Row],[FECHA DE PAGO]]=0,TODAY()-PROVEEDORES[[#This Row],[FECHA DE FACTURACIÓN]]-PROVEEDORES[[#This Row],[PLAZO Días]],0)</f>
        <v>0</v>
      </c>
      <c r="U59" s="150">
        <f>+VLOOKUP(PROVEEDORES[[#This Row],[PROVEEDOR]],Terceros!$A:$E,4,FALSE)</f>
        <v>0</v>
      </c>
      <c r="V59" s="150">
        <f>+YEAR(PROVEEDORES[[#This Row],[FECHA DE FACTURACIÓN]])</f>
        <v>2023</v>
      </c>
      <c r="W59" s="150">
        <f>+MATCH(PROVEEDORES[[#This Row],[año facturado]],Retenciones!$1:$1,0)</f>
        <v>6</v>
      </c>
      <c r="X59" s="151">
        <f>+VLOOKUP(PROVEEDORES[[#This Row],[ID RETENCION]],Retenciones!$A$1:$O$25,PROVEEDORES[[#This Row],[indicador de columna]],FALSE)</f>
        <v>0</v>
      </c>
      <c r="Y59" s="152">
        <f>+VLOOKUP(PROVEEDORES[[#This Row],[ID RETENCION]],Retenciones!$A$1:$O$25,2,FALSE)</f>
        <v>0</v>
      </c>
      <c r="Z59" s="153" t="b">
        <f>+OR(COUNTIF(PROVEEDORES[[#This Row],[PROVEEDOR]],"*"&amp;'Palabra que no opera y Listas d'!$A$2&amp;"*"))</f>
        <v>0</v>
      </c>
    </row>
    <row r="60" spans="1:26" ht="27.75" customHeight="1" x14ac:dyDescent="0.3">
      <c r="A60" s="144" t="str">
        <f>+IF(PROVEEDORES[[#This Row],[FECHA DE PAGO]]=PROVEEDORES[[#This Row],[FECHA DE FACTURACIÓN]],"DE CONTADO","CRÉDITO")</f>
        <v>CRÉDITO</v>
      </c>
      <c r="B60" s="144" t="str">
        <f>+IF((PROVEEDORES[[#This Row],[FECHA DE PAGO]]-PROVEEDORES[[#This Row],[FECHA DE FACTURACIÓN]])&gt;PROVEEDORES[[#This Row],[PLAZO Días]],"PAGO VENCIDO")</f>
        <v>PAGO VENCIDO</v>
      </c>
      <c r="C60" s="144">
        <f>+VLOOKUP(PROVEEDORES[[#This Row],[PROVEEDOR]],TERCEROS_INFO[#All],2,FALSE)</f>
        <v>0</v>
      </c>
      <c r="D60" s="145">
        <f>+SUMIFS(PROVEEDORES[Total],PROVEEDORES[PROVEEDOR],PROVEEDORES[[#This Row],[PROVEEDOR]],PROVEEDORES[FECHA DE PAGO],"")</f>
        <v>224000</v>
      </c>
      <c r="E60" s="146"/>
      <c r="F60" s="144">
        <f>+VLOOKUP(PROVEEDORES[[#This Row],[PROVEEDOR]],
                       Terceros!$A:$G,
                       5,
                       FALSE)</f>
        <v>0</v>
      </c>
      <c r="G60" s="122">
        <v>44977</v>
      </c>
      <c r="H60" s="102" t="s">
        <v>539</v>
      </c>
      <c r="I60" s="122">
        <v>44959</v>
      </c>
      <c r="J60" s="103">
        <v>25</v>
      </c>
      <c r="K60" s="103" t="s">
        <v>1512</v>
      </c>
      <c r="L60" s="103"/>
      <c r="M60" s="105">
        <v>87000</v>
      </c>
      <c r="N60" s="147">
        <v>0</v>
      </c>
      <c r="O60" s="147">
        <v>0</v>
      </c>
      <c r="P60" s="148">
        <v>0</v>
      </c>
      <c r="Q60" s="147">
        <v>0</v>
      </c>
      <c r="R60" s="149">
        <v>87000</v>
      </c>
      <c r="S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" s="150">
        <f ca="1">+IF(PROVEEDORES[[#This Row],[FECHA DE PAGO]]=0,TODAY()-PROVEEDORES[[#This Row],[FECHA DE FACTURACIÓN]]-PROVEEDORES[[#This Row],[PLAZO Días]],0)</f>
        <v>0</v>
      </c>
      <c r="U60" s="150">
        <f>+VLOOKUP(PROVEEDORES[[#This Row],[PROVEEDOR]],Terceros!$A:$E,4,FALSE)</f>
        <v>0</v>
      </c>
      <c r="V60" s="150">
        <f>+YEAR(PROVEEDORES[[#This Row],[FECHA DE FACTURACIÓN]])</f>
        <v>2023</v>
      </c>
      <c r="W60" s="150">
        <f>+MATCH(PROVEEDORES[[#This Row],[año facturado]],Retenciones!$1:$1,0)</f>
        <v>6</v>
      </c>
      <c r="X60" s="151">
        <f>+VLOOKUP(PROVEEDORES[[#This Row],[ID RETENCION]],Retenciones!$A$1:$O$25,PROVEEDORES[[#This Row],[indicador de columna]],FALSE)</f>
        <v>0</v>
      </c>
      <c r="Y60" s="152">
        <f>+VLOOKUP(PROVEEDORES[[#This Row],[ID RETENCION]],Retenciones!$A$1:$O$25,2,FALSE)</f>
        <v>0</v>
      </c>
      <c r="Z60" s="153" t="b">
        <f>+OR(COUNTIF(PROVEEDORES[[#This Row],[PROVEEDOR]],"*"&amp;'Palabra que no opera y Listas d'!$A$2&amp;"*"))</f>
        <v>0</v>
      </c>
    </row>
    <row r="61" spans="1:26" ht="27.75" customHeight="1" x14ac:dyDescent="0.3">
      <c r="A61" s="144" t="str">
        <f>+IF(PROVEEDORES[[#This Row],[FECHA DE PAGO]]=PROVEEDORES[[#This Row],[FECHA DE FACTURACIÓN]],"DE CONTADO","CRÉDITO")</f>
        <v>CRÉDITO</v>
      </c>
      <c r="B61" s="144" t="str">
        <f>+IF((PROVEEDORES[[#This Row],[FECHA DE PAGO]]-PROVEEDORES[[#This Row],[FECHA DE FACTURACIÓN]])&gt;PROVEEDORES[[#This Row],[PLAZO Días]],"PAGO VENCIDO")</f>
        <v>PAGO VENCIDO</v>
      </c>
      <c r="C61" s="144">
        <f>+VLOOKUP(PROVEEDORES[[#This Row],[PROVEEDOR]],TERCEROS_INFO[#All],2,FALSE)</f>
        <v>0</v>
      </c>
      <c r="D61" s="145">
        <f>+SUMIFS(PROVEEDORES[Total],PROVEEDORES[PROVEEDOR],PROVEEDORES[[#This Row],[PROVEEDOR]],PROVEEDORES[FECHA DE PAGO],"")</f>
        <v>224000</v>
      </c>
      <c r="E61" s="146"/>
      <c r="F61" s="144">
        <f>+VLOOKUP(PROVEEDORES[[#This Row],[PROVEEDOR]],
                       Terceros!$A:$G,
                       5,
                       FALSE)</f>
        <v>0</v>
      </c>
      <c r="G61" s="122">
        <v>44977</v>
      </c>
      <c r="H61" s="102" t="s">
        <v>539</v>
      </c>
      <c r="I61" s="122">
        <v>44959</v>
      </c>
      <c r="J61" s="103">
        <v>28</v>
      </c>
      <c r="K61" s="103" t="s">
        <v>1512</v>
      </c>
      <c r="L61" s="103"/>
      <c r="M61" s="105">
        <v>196500</v>
      </c>
      <c r="N61" s="147">
        <v>0</v>
      </c>
      <c r="O61" s="147">
        <v>0</v>
      </c>
      <c r="P61" s="148">
        <v>0</v>
      </c>
      <c r="Q61" s="147">
        <v>0</v>
      </c>
      <c r="R61" s="149">
        <v>196500</v>
      </c>
      <c r="S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" s="150">
        <f ca="1">+IF(PROVEEDORES[[#This Row],[FECHA DE PAGO]]=0,TODAY()-PROVEEDORES[[#This Row],[FECHA DE FACTURACIÓN]]-PROVEEDORES[[#This Row],[PLAZO Días]],0)</f>
        <v>0</v>
      </c>
      <c r="U61" s="150">
        <f>+VLOOKUP(PROVEEDORES[[#This Row],[PROVEEDOR]],Terceros!$A:$E,4,FALSE)</f>
        <v>0</v>
      </c>
      <c r="V61" s="150">
        <f>+YEAR(PROVEEDORES[[#This Row],[FECHA DE FACTURACIÓN]])</f>
        <v>2023</v>
      </c>
      <c r="W61" s="150">
        <f>+MATCH(PROVEEDORES[[#This Row],[año facturado]],Retenciones!$1:$1,0)</f>
        <v>6</v>
      </c>
      <c r="X61" s="151">
        <f>+VLOOKUP(PROVEEDORES[[#This Row],[ID RETENCION]],Retenciones!$A$1:$O$25,PROVEEDORES[[#This Row],[indicador de columna]],FALSE)</f>
        <v>0</v>
      </c>
      <c r="Y61" s="152">
        <f>+VLOOKUP(PROVEEDORES[[#This Row],[ID RETENCION]],Retenciones!$A$1:$O$25,2,FALSE)</f>
        <v>0</v>
      </c>
      <c r="Z61" s="153" t="b">
        <f>+OR(COUNTIF(PROVEEDORES[[#This Row],[PROVEEDOR]],"*"&amp;'Palabra que no opera y Listas d'!$A$2&amp;"*"))</f>
        <v>0</v>
      </c>
    </row>
    <row r="62" spans="1:26" ht="27.75" customHeight="1" x14ac:dyDescent="0.3">
      <c r="A62" s="144" t="str">
        <f>+IF(PROVEEDORES[[#This Row],[FECHA DE PAGO]]=PROVEEDORES[[#This Row],[FECHA DE FACTURACIÓN]],"DE CONTADO","CRÉDITO")</f>
        <v>CRÉDITO</v>
      </c>
      <c r="B62" s="144" t="str">
        <f>+IF((PROVEEDORES[[#This Row],[FECHA DE PAGO]]-PROVEEDORES[[#This Row],[FECHA DE FACTURACIÓN]])&gt;PROVEEDORES[[#This Row],[PLAZO Días]],"PAGO VENCIDO")</f>
        <v>PAGO VENCIDO</v>
      </c>
      <c r="C62" s="144">
        <f>+VLOOKUP(PROVEEDORES[[#This Row],[PROVEEDOR]],TERCEROS_INFO[#All],2,FALSE)</f>
        <v>0</v>
      </c>
      <c r="D62" s="145">
        <f>+SUMIFS(PROVEEDORES[Total],PROVEEDORES[PROVEEDOR],PROVEEDORES[[#This Row],[PROVEEDOR]],PROVEEDORES[FECHA DE PAGO],"")</f>
        <v>224000</v>
      </c>
      <c r="E62" s="146"/>
      <c r="F62" s="144">
        <f>+VLOOKUP(PROVEEDORES[[#This Row],[PROVEEDOR]],
                       Terceros!$A:$G,
                       5,
                       FALSE)</f>
        <v>0</v>
      </c>
      <c r="G62" s="122">
        <v>44977</v>
      </c>
      <c r="H62" s="102" t="s">
        <v>539</v>
      </c>
      <c r="I62" s="122">
        <v>44959</v>
      </c>
      <c r="J62" s="103">
        <v>35</v>
      </c>
      <c r="K62" s="103" t="s">
        <v>1512</v>
      </c>
      <c r="L62" s="103"/>
      <c r="M62" s="105">
        <v>207000</v>
      </c>
      <c r="N62" s="147">
        <v>0</v>
      </c>
      <c r="O62" s="147">
        <v>0</v>
      </c>
      <c r="P62" s="148">
        <v>0</v>
      </c>
      <c r="Q62" s="147">
        <v>0</v>
      </c>
      <c r="R62" s="149">
        <v>207000</v>
      </c>
      <c r="S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" s="150">
        <f ca="1">+IF(PROVEEDORES[[#This Row],[FECHA DE PAGO]]=0,TODAY()-PROVEEDORES[[#This Row],[FECHA DE FACTURACIÓN]]-PROVEEDORES[[#This Row],[PLAZO Días]],0)</f>
        <v>0</v>
      </c>
      <c r="U62" s="150">
        <f>+VLOOKUP(PROVEEDORES[[#This Row],[PROVEEDOR]],Terceros!$A:$E,4,FALSE)</f>
        <v>0</v>
      </c>
      <c r="V62" s="150">
        <f>+YEAR(PROVEEDORES[[#This Row],[FECHA DE FACTURACIÓN]])</f>
        <v>2023</v>
      </c>
      <c r="W62" s="150">
        <f>+MATCH(PROVEEDORES[[#This Row],[año facturado]],Retenciones!$1:$1,0)</f>
        <v>6</v>
      </c>
      <c r="X62" s="151">
        <f>+VLOOKUP(PROVEEDORES[[#This Row],[ID RETENCION]],Retenciones!$A$1:$O$25,PROVEEDORES[[#This Row],[indicador de columna]],FALSE)</f>
        <v>0</v>
      </c>
      <c r="Y62" s="152">
        <f>+VLOOKUP(PROVEEDORES[[#This Row],[ID RETENCION]],Retenciones!$A$1:$O$25,2,FALSE)</f>
        <v>0</v>
      </c>
      <c r="Z62" s="153" t="b">
        <f>+OR(COUNTIF(PROVEEDORES[[#This Row],[PROVEEDOR]],"*"&amp;'Palabra que no opera y Listas d'!$A$2&amp;"*"))</f>
        <v>0</v>
      </c>
    </row>
    <row r="63" spans="1:26" ht="27.75" customHeight="1" x14ac:dyDescent="0.3">
      <c r="A63" s="144" t="str">
        <f>+IF(PROVEEDORES[[#This Row],[FECHA DE PAGO]]=PROVEEDORES[[#This Row],[FECHA DE FACTURACIÓN]],"DE CONTADO","CRÉDITO")</f>
        <v>CRÉDITO</v>
      </c>
      <c r="B63" s="144" t="str">
        <f>+IF((PROVEEDORES[[#This Row],[FECHA DE PAGO]]-PROVEEDORES[[#This Row],[FECHA DE FACTURACIÓN]])&gt;PROVEEDORES[[#This Row],[PLAZO Días]],"PAGO VENCIDO")</f>
        <v>PAGO VENCIDO</v>
      </c>
      <c r="C63" s="144">
        <f>+VLOOKUP(PROVEEDORES[[#This Row],[PROVEEDOR]],TERCEROS_INFO[#All],2,FALSE)</f>
        <v>0</v>
      </c>
      <c r="D63" s="145">
        <f>+SUMIFS(PROVEEDORES[Total],PROVEEDORES[PROVEEDOR],PROVEEDORES[[#This Row],[PROVEEDOR]],PROVEEDORES[FECHA DE PAGO],"")</f>
        <v>224000</v>
      </c>
      <c r="E63" s="146"/>
      <c r="F63" s="144">
        <f>+VLOOKUP(PROVEEDORES[[#This Row],[PROVEEDOR]],
                       Terceros!$A:$G,
                       5,
                       FALSE)</f>
        <v>0</v>
      </c>
      <c r="G63" s="122">
        <v>44977</v>
      </c>
      <c r="H63" s="102" t="s">
        <v>539</v>
      </c>
      <c r="I63" s="122">
        <v>44959</v>
      </c>
      <c r="J63" s="103">
        <v>34</v>
      </c>
      <c r="K63" s="103" t="s">
        <v>1512</v>
      </c>
      <c r="L63" s="103"/>
      <c r="M63" s="105">
        <v>411500</v>
      </c>
      <c r="N63" s="147">
        <v>0</v>
      </c>
      <c r="O63" s="147">
        <v>0</v>
      </c>
      <c r="P63" s="148">
        <v>0</v>
      </c>
      <c r="Q63" s="147">
        <v>0</v>
      </c>
      <c r="R63" s="149">
        <v>411500</v>
      </c>
      <c r="S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" s="150">
        <f ca="1">+IF(PROVEEDORES[[#This Row],[FECHA DE PAGO]]=0,TODAY()-PROVEEDORES[[#This Row],[FECHA DE FACTURACIÓN]]-PROVEEDORES[[#This Row],[PLAZO Días]],0)</f>
        <v>0</v>
      </c>
      <c r="U63" s="150">
        <f>+VLOOKUP(PROVEEDORES[[#This Row],[PROVEEDOR]],Terceros!$A:$E,4,FALSE)</f>
        <v>0</v>
      </c>
      <c r="V63" s="150">
        <f>+YEAR(PROVEEDORES[[#This Row],[FECHA DE FACTURACIÓN]])</f>
        <v>2023</v>
      </c>
      <c r="W63" s="150">
        <f>+MATCH(PROVEEDORES[[#This Row],[año facturado]],Retenciones!$1:$1,0)</f>
        <v>6</v>
      </c>
      <c r="X63" s="151">
        <f>+VLOOKUP(PROVEEDORES[[#This Row],[ID RETENCION]],Retenciones!$A$1:$O$25,PROVEEDORES[[#This Row],[indicador de columna]],FALSE)</f>
        <v>0</v>
      </c>
      <c r="Y63" s="152">
        <f>+VLOOKUP(PROVEEDORES[[#This Row],[ID RETENCION]],Retenciones!$A$1:$O$25,2,FALSE)</f>
        <v>0</v>
      </c>
      <c r="Z63" s="153" t="b">
        <f>+OR(COUNTIF(PROVEEDORES[[#This Row],[PROVEEDOR]],"*"&amp;'Palabra que no opera y Listas d'!$A$2&amp;"*"))</f>
        <v>0</v>
      </c>
    </row>
    <row r="64" spans="1:26" ht="27.75" customHeight="1" x14ac:dyDescent="0.3">
      <c r="A64" s="144" t="str">
        <f>+IF(PROVEEDORES[[#This Row],[FECHA DE PAGO]]=PROVEEDORES[[#This Row],[FECHA DE FACTURACIÓN]],"DE CONTADO","CRÉDITO")</f>
        <v>CRÉDITO</v>
      </c>
      <c r="B64" s="144" t="str">
        <f>+IF((PROVEEDORES[[#This Row],[FECHA DE PAGO]]-PROVEEDORES[[#This Row],[FECHA DE FACTURACIÓN]])&gt;PROVEEDORES[[#This Row],[PLAZO Días]],"PAGO VENCIDO")</f>
        <v>PAGO VENCIDO</v>
      </c>
      <c r="C64" s="144">
        <f>+VLOOKUP(PROVEEDORES[[#This Row],[PROVEEDOR]],TERCEROS_INFO[#All],2,FALSE)</f>
        <v>0</v>
      </c>
      <c r="D64" s="145">
        <f>+SUMIFS(PROVEEDORES[Total],PROVEEDORES[PROVEEDOR],PROVEEDORES[[#This Row],[PROVEEDOR]],PROVEEDORES[FECHA DE PAGO],"")</f>
        <v>0</v>
      </c>
      <c r="E64" s="146"/>
      <c r="F64" s="144">
        <f>+VLOOKUP(PROVEEDORES[[#This Row],[PROVEEDOR]],
                       Terceros!$A:$G,
                       5,
                       FALSE)</f>
        <v>0</v>
      </c>
      <c r="G64" s="122">
        <v>44977</v>
      </c>
      <c r="H64" s="102" t="s">
        <v>388</v>
      </c>
      <c r="I64" s="122">
        <v>44963</v>
      </c>
      <c r="J64" s="103" t="s">
        <v>582</v>
      </c>
      <c r="K64" s="103" t="s">
        <v>1512</v>
      </c>
      <c r="L64" s="103"/>
      <c r="M64" s="105">
        <v>1866320</v>
      </c>
      <c r="N64" s="147">
        <v>0</v>
      </c>
      <c r="O64" s="147">
        <v>0</v>
      </c>
      <c r="P64" s="148">
        <v>0</v>
      </c>
      <c r="Q64" s="147">
        <v>0</v>
      </c>
      <c r="R64" s="149">
        <v>1866320</v>
      </c>
      <c r="S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" s="150">
        <f ca="1">+IF(PROVEEDORES[[#This Row],[FECHA DE PAGO]]=0,TODAY()-PROVEEDORES[[#This Row],[FECHA DE FACTURACIÓN]]-PROVEEDORES[[#This Row],[PLAZO Días]],0)</f>
        <v>0</v>
      </c>
      <c r="U64" s="150">
        <f>+VLOOKUP(PROVEEDORES[[#This Row],[PROVEEDOR]],Terceros!$A:$E,4,FALSE)</f>
        <v>0</v>
      </c>
      <c r="V64" s="150">
        <f>+YEAR(PROVEEDORES[[#This Row],[FECHA DE FACTURACIÓN]])</f>
        <v>2023</v>
      </c>
      <c r="W64" s="150">
        <f>+MATCH(PROVEEDORES[[#This Row],[año facturado]],Retenciones!$1:$1,0)</f>
        <v>6</v>
      </c>
      <c r="X64" s="151">
        <f>+VLOOKUP(PROVEEDORES[[#This Row],[ID RETENCION]],Retenciones!$A$1:$O$25,PROVEEDORES[[#This Row],[indicador de columna]],FALSE)</f>
        <v>0</v>
      </c>
      <c r="Y64" s="152">
        <f>+VLOOKUP(PROVEEDORES[[#This Row],[ID RETENCION]],Retenciones!$A$1:$O$25,2,FALSE)</f>
        <v>0</v>
      </c>
      <c r="Z64" s="153" t="b">
        <f>+OR(COUNTIF(PROVEEDORES[[#This Row],[PROVEEDOR]],"*"&amp;'Palabra que no opera y Listas d'!$A$2&amp;"*"))</f>
        <v>1</v>
      </c>
    </row>
    <row r="65" spans="1:26" ht="27.75" customHeight="1" x14ac:dyDescent="0.3">
      <c r="A65" s="144" t="str">
        <f>+IF(PROVEEDORES[[#This Row],[FECHA DE PAGO]]=PROVEEDORES[[#This Row],[FECHA DE FACTURACIÓN]],"DE CONTADO","CRÉDITO")</f>
        <v>CRÉDITO</v>
      </c>
      <c r="B65" s="144" t="str">
        <f>+IF((PROVEEDORES[[#This Row],[FECHA DE PAGO]]-PROVEEDORES[[#This Row],[FECHA DE FACTURACIÓN]])&gt;PROVEEDORES[[#This Row],[PLAZO Días]],"PAGO VENCIDO")</f>
        <v>PAGO VENCIDO</v>
      </c>
      <c r="C65" s="144">
        <f>+VLOOKUP(PROVEEDORES[[#This Row],[PROVEEDOR]],TERCEROS_INFO[#All],2,FALSE)</f>
        <v>0</v>
      </c>
      <c r="D65" s="145">
        <f>+SUMIFS(PROVEEDORES[Total],PROVEEDORES[PROVEEDOR],PROVEEDORES[[#This Row],[PROVEEDOR]],PROVEEDORES[FECHA DE PAGO],"")</f>
        <v>0</v>
      </c>
      <c r="E65" s="146"/>
      <c r="F65" s="144">
        <f>+VLOOKUP(PROVEEDORES[[#This Row],[PROVEEDOR]],
                       Terceros!$A:$G,
                       5,
                       FALSE)</f>
        <v>0</v>
      </c>
      <c r="G65" s="122">
        <v>44983</v>
      </c>
      <c r="H65" s="102" t="s">
        <v>441</v>
      </c>
      <c r="I65" s="122">
        <v>44965</v>
      </c>
      <c r="J65" s="103" t="s">
        <v>578</v>
      </c>
      <c r="K65" s="103" t="s">
        <v>1512</v>
      </c>
      <c r="L65" s="103"/>
      <c r="M65" s="105">
        <v>579832</v>
      </c>
      <c r="N65" s="147">
        <v>110168.08</v>
      </c>
      <c r="O65" s="147">
        <v>0</v>
      </c>
      <c r="P65" s="148">
        <v>0</v>
      </c>
      <c r="Q65" s="147">
        <v>0</v>
      </c>
      <c r="R65" s="149">
        <v>690000.08</v>
      </c>
      <c r="S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" s="150">
        <f ca="1">+IF(PROVEEDORES[[#This Row],[FECHA DE PAGO]]=0,TODAY()-PROVEEDORES[[#This Row],[FECHA DE FACTURACIÓN]]-PROVEEDORES[[#This Row],[PLAZO Días]],0)</f>
        <v>0</v>
      </c>
      <c r="U65" s="150">
        <f>+VLOOKUP(PROVEEDORES[[#This Row],[PROVEEDOR]],Terceros!$A:$E,4,FALSE)</f>
        <v>0.19</v>
      </c>
      <c r="V65" s="150">
        <f>+YEAR(PROVEEDORES[[#This Row],[FECHA DE FACTURACIÓN]])</f>
        <v>2023</v>
      </c>
      <c r="W65" s="150">
        <f>+MATCH(PROVEEDORES[[#This Row],[año facturado]],Retenciones!$1:$1,0)</f>
        <v>6</v>
      </c>
      <c r="X65" s="151" t="e">
        <f>+VLOOKUP(PROVEEDORES[[#This Row],[ID RETENCION]],Retenciones!$A$1:$O$25,PROVEEDORES[[#This Row],[indicador de columna]],FALSE)</f>
        <v>#N/A</v>
      </c>
      <c r="Y65" s="152" t="e">
        <f>+VLOOKUP(PROVEEDORES[[#This Row],[ID RETENCION]],Retenciones!$A$1:$O$25,2,FALSE)</f>
        <v>#N/A</v>
      </c>
      <c r="Z65" s="153" t="b">
        <f>+OR(COUNTIF(PROVEEDORES[[#This Row],[PROVEEDOR]],"*"&amp;'Palabra que no opera y Listas d'!$A$2&amp;"*"))</f>
        <v>0</v>
      </c>
    </row>
    <row r="66" spans="1:26" ht="27.75" customHeight="1" x14ac:dyDescent="0.3">
      <c r="A66" s="144" t="str">
        <f>+IF(PROVEEDORES[[#This Row],[FECHA DE PAGO]]=PROVEEDORES[[#This Row],[FECHA DE FACTURACIÓN]],"DE CONTADO","CRÉDITO")</f>
        <v>CRÉDITO</v>
      </c>
      <c r="B66" s="144" t="str">
        <f>+IF((PROVEEDORES[[#This Row],[FECHA DE PAGO]]-PROVEEDORES[[#This Row],[FECHA DE FACTURACIÓN]])&gt;PROVEEDORES[[#This Row],[PLAZO Días]],"PAGO VENCIDO")</f>
        <v>PAGO VENCIDO</v>
      </c>
      <c r="C66" s="144">
        <f>+VLOOKUP(PROVEEDORES[[#This Row],[PROVEEDOR]],TERCEROS_INFO[#All],2,FALSE)</f>
        <v>0</v>
      </c>
      <c r="D66" s="145">
        <f>+SUMIFS(PROVEEDORES[Total],PROVEEDORES[PROVEEDOR],PROVEEDORES[[#This Row],[PROVEEDOR]],PROVEEDORES[FECHA DE PAGO],"")</f>
        <v>0</v>
      </c>
      <c r="E66" s="146"/>
      <c r="F66" s="144">
        <f>+VLOOKUP(PROVEEDORES[[#This Row],[PROVEEDOR]],
                       Terceros!$A:$G,
                       5,
                       FALSE)</f>
        <v>0</v>
      </c>
      <c r="G66" s="122">
        <v>44983</v>
      </c>
      <c r="H66" s="102" t="s">
        <v>441</v>
      </c>
      <c r="I66" s="122">
        <v>44967</v>
      </c>
      <c r="J66" s="103" t="s">
        <v>579</v>
      </c>
      <c r="K66" s="103" t="s">
        <v>1512</v>
      </c>
      <c r="L66" s="103"/>
      <c r="M66" s="105">
        <v>425210</v>
      </c>
      <c r="N66" s="147">
        <v>80789.899999999994</v>
      </c>
      <c r="O66" s="147">
        <v>0</v>
      </c>
      <c r="P66" s="148">
        <v>0</v>
      </c>
      <c r="Q66" s="147">
        <v>0</v>
      </c>
      <c r="R66" s="149">
        <v>505999.9</v>
      </c>
      <c r="S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" s="150">
        <f ca="1">+IF(PROVEEDORES[[#This Row],[FECHA DE PAGO]]=0,TODAY()-PROVEEDORES[[#This Row],[FECHA DE FACTURACIÓN]]-PROVEEDORES[[#This Row],[PLAZO Días]],0)</f>
        <v>0</v>
      </c>
      <c r="U66" s="150">
        <f>+VLOOKUP(PROVEEDORES[[#This Row],[PROVEEDOR]],Terceros!$A:$E,4,FALSE)</f>
        <v>0.19</v>
      </c>
      <c r="V66" s="150">
        <f>+YEAR(PROVEEDORES[[#This Row],[FECHA DE FACTURACIÓN]])</f>
        <v>2023</v>
      </c>
      <c r="W66" s="150">
        <f>+MATCH(PROVEEDORES[[#This Row],[año facturado]],Retenciones!$1:$1,0)</f>
        <v>6</v>
      </c>
      <c r="X66" s="151" t="e">
        <f>+VLOOKUP(PROVEEDORES[[#This Row],[ID RETENCION]],Retenciones!$A$1:$O$25,PROVEEDORES[[#This Row],[indicador de columna]],FALSE)</f>
        <v>#N/A</v>
      </c>
      <c r="Y66" s="152" t="e">
        <f>+VLOOKUP(PROVEEDORES[[#This Row],[ID RETENCION]],Retenciones!$A$1:$O$25,2,FALSE)</f>
        <v>#N/A</v>
      </c>
      <c r="Z66" s="153" t="b">
        <f>+OR(COUNTIF(PROVEEDORES[[#This Row],[PROVEEDOR]],"*"&amp;'Palabra que no opera y Listas d'!$A$2&amp;"*"))</f>
        <v>0</v>
      </c>
    </row>
    <row r="67" spans="1:26" ht="27.75" customHeight="1" x14ac:dyDescent="0.3">
      <c r="A67" s="144" t="str">
        <f>+IF(PROVEEDORES[[#This Row],[FECHA DE PAGO]]=PROVEEDORES[[#This Row],[FECHA DE FACTURACIÓN]],"DE CONTADO","CRÉDITO")</f>
        <v>CRÉDITO</v>
      </c>
      <c r="B67" s="144" t="str">
        <f>+IF((PROVEEDORES[[#This Row],[FECHA DE PAGO]]-PROVEEDORES[[#This Row],[FECHA DE FACTURACIÓN]])&gt;PROVEEDORES[[#This Row],[PLAZO Días]],"PAGO VENCIDO")</f>
        <v>PAGO VENCIDO</v>
      </c>
      <c r="C67" s="144">
        <f>+VLOOKUP(PROVEEDORES[[#This Row],[PROVEEDOR]],TERCEROS_INFO[#All],2,FALSE)</f>
        <v>0</v>
      </c>
      <c r="D67" s="145">
        <f>+SUMIFS(PROVEEDORES[Total],PROVEEDORES[PROVEEDOR],PROVEEDORES[[#This Row],[PROVEEDOR]],PROVEEDORES[FECHA DE PAGO],"")</f>
        <v>0</v>
      </c>
      <c r="E67" s="146"/>
      <c r="F67" s="144" t="str">
        <f>+VLOOKUP(PROVEEDORES[[#This Row],[PROVEEDOR]],
                       Terceros!$A:$G,
                       5,
                       FALSE)</f>
        <v>3,5% sin base</v>
      </c>
      <c r="G67" s="122">
        <v>44984</v>
      </c>
      <c r="H67" s="102" t="s">
        <v>409</v>
      </c>
      <c r="I67" s="122">
        <v>44958</v>
      </c>
      <c r="J67" s="103" t="s">
        <v>598</v>
      </c>
      <c r="K67" s="103" t="s">
        <v>1512</v>
      </c>
      <c r="L67" s="103"/>
      <c r="M67" s="105">
        <v>243611</v>
      </c>
      <c r="N67" s="147">
        <v>46286.090000000004</v>
      </c>
      <c r="O67" s="147">
        <v>0</v>
      </c>
      <c r="P67" s="148">
        <v>3.5000000000000003E-2</v>
      </c>
      <c r="Q67" s="147">
        <v>8526.3850000000002</v>
      </c>
      <c r="R67" s="149">
        <v>281370.70500000002</v>
      </c>
      <c r="S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" s="150">
        <f ca="1">+IF(PROVEEDORES[[#This Row],[FECHA DE PAGO]]=0,TODAY()-PROVEEDORES[[#This Row],[FECHA DE FACTURACIÓN]]-PROVEEDORES[[#This Row],[PLAZO Días]],0)</f>
        <v>0</v>
      </c>
      <c r="U67" s="150">
        <f>+VLOOKUP(PROVEEDORES[[#This Row],[PROVEEDOR]],Terceros!$A:$E,4,FALSE)</f>
        <v>0.19</v>
      </c>
      <c r="V67" s="150">
        <f>+YEAR(PROVEEDORES[[#This Row],[FECHA DE FACTURACIÓN]])</f>
        <v>2023</v>
      </c>
      <c r="W67" s="150">
        <f>+MATCH(PROVEEDORES[[#This Row],[año facturado]],Retenciones!$1:$1,0)</f>
        <v>6</v>
      </c>
      <c r="X67" s="151" t="e">
        <f>+VLOOKUP(PROVEEDORES[[#This Row],[ID RETENCION]],Retenciones!$A$1:$O$25,PROVEEDORES[[#This Row],[indicador de columna]],FALSE)</f>
        <v>#N/A</v>
      </c>
      <c r="Y67" s="152" t="e">
        <f>+VLOOKUP(PROVEEDORES[[#This Row],[ID RETENCION]],Retenciones!$A$1:$O$25,2,FALSE)</f>
        <v>#N/A</v>
      </c>
      <c r="Z67" s="153" t="b">
        <f>+OR(COUNTIF(PROVEEDORES[[#This Row],[PROVEEDOR]],"*"&amp;'Palabra que no opera y Listas d'!$A$2&amp;"*"))</f>
        <v>1</v>
      </c>
    </row>
    <row r="68" spans="1:26" ht="27.75" customHeight="1" x14ac:dyDescent="0.3">
      <c r="A68" s="144" t="str">
        <f>+IF(PROVEEDORES[[#This Row],[FECHA DE PAGO]]=PROVEEDORES[[#This Row],[FECHA DE FACTURACIÓN]],"DE CONTADO","CRÉDITO")</f>
        <v>CRÉDITO</v>
      </c>
      <c r="B68" s="144" t="str">
        <f>+IF((PROVEEDORES[[#This Row],[FECHA DE PAGO]]-PROVEEDORES[[#This Row],[FECHA DE FACTURACIÓN]])&gt;PROVEEDORES[[#This Row],[PLAZO Días]],"PAGO VENCIDO")</f>
        <v>PAGO VENCIDO</v>
      </c>
      <c r="C68" s="144">
        <f>+VLOOKUP(PROVEEDORES[[#This Row],[PROVEEDOR]],TERCEROS_INFO[#All],2,FALSE)</f>
        <v>0</v>
      </c>
      <c r="D68" s="145">
        <f>+SUMIFS(PROVEEDORES[Total],PROVEEDORES[PROVEEDOR],PROVEEDORES[[#This Row],[PROVEEDOR]],PROVEEDORES[FECHA DE PAGO],"")</f>
        <v>0</v>
      </c>
      <c r="E68" s="146"/>
      <c r="F68" s="144" t="str">
        <f>+VLOOKUP(PROVEEDORES[[#This Row],[PROVEEDOR]],
                       Terceros!$A:$G,
                       5,
                       FALSE)</f>
        <v>2,5% con base</v>
      </c>
      <c r="G68" s="122">
        <v>44984</v>
      </c>
      <c r="H68" s="102" t="s">
        <v>562</v>
      </c>
      <c r="I68" s="122">
        <v>44965</v>
      </c>
      <c r="J68" s="103" t="s">
        <v>571</v>
      </c>
      <c r="K68" s="103" t="s">
        <v>1512</v>
      </c>
      <c r="L68" s="103"/>
      <c r="M68" s="105">
        <v>200000</v>
      </c>
      <c r="N68" s="147">
        <v>38000</v>
      </c>
      <c r="O68" s="147">
        <v>0</v>
      </c>
      <c r="P68" s="148">
        <v>0</v>
      </c>
      <c r="Q68" s="147">
        <v>0</v>
      </c>
      <c r="R68" s="149">
        <v>238000</v>
      </c>
      <c r="S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" s="150">
        <f ca="1">+IF(PROVEEDORES[[#This Row],[FECHA DE PAGO]]=0,TODAY()-PROVEEDORES[[#This Row],[FECHA DE FACTURACIÓN]]-PROVEEDORES[[#This Row],[PLAZO Días]],0)</f>
        <v>0</v>
      </c>
      <c r="U68" s="150">
        <f>+VLOOKUP(PROVEEDORES[[#This Row],[PROVEEDOR]],Terceros!$A:$E,4,FALSE)</f>
        <v>0.19</v>
      </c>
      <c r="V68" s="150">
        <f>+YEAR(PROVEEDORES[[#This Row],[FECHA DE FACTURACIÓN]])</f>
        <v>2023</v>
      </c>
      <c r="W68" s="150">
        <f>+MATCH(PROVEEDORES[[#This Row],[año facturado]],Retenciones!$1:$1,0)</f>
        <v>6</v>
      </c>
      <c r="X68" s="151" t="e">
        <f>+VLOOKUP(PROVEEDORES[[#This Row],[ID RETENCION]],Retenciones!$A$1:$O$25,PROVEEDORES[[#This Row],[indicador de columna]],FALSE)</f>
        <v>#N/A</v>
      </c>
      <c r="Y68" s="152" t="e">
        <f>+VLOOKUP(PROVEEDORES[[#This Row],[ID RETENCION]],Retenciones!$A$1:$O$25,2,FALSE)</f>
        <v>#N/A</v>
      </c>
      <c r="Z68" s="153" t="b">
        <f>+OR(COUNTIF(PROVEEDORES[[#This Row],[PROVEEDOR]],"*"&amp;'Palabra que no opera y Listas d'!$A$2&amp;"*"))</f>
        <v>1</v>
      </c>
    </row>
    <row r="69" spans="1:26" ht="27.75" customHeight="1" x14ac:dyDescent="0.3">
      <c r="A69" s="144" t="str">
        <f>+IF(PROVEEDORES[[#This Row],[FECHA DE PAGO]]=PROVEEDORES[[#This Row],[FECHA DE FACTURACIÓN]],"DE CONTADO","CRÉDITO")</f>
        <v>DE CONTADO</v>
      </c>
      <c r="B69" s="144" t="b">
        <f>+IF((PROVEEDORES[[#This Row],[FECHA DE PAGO]]-PROVEEDORES[[#This Row],[FECHA DE FACTURACIÓN]])&gt;PROVEEDORES[[#This Row],[PLAZO Días]],"PAGO VENCIDO")</f>
        <v>0</v>
      </c>
      <c r="C69" s="144">
        <f>+VLOOKUP(PROVEEDORES[[#This Row],[PROVEEDOR]],TERCEROS_INFO[#All],2,FALSE)</f>
        <v>0</v>
      </c>
      <c r="D69" s="145">
        <f>+SUMIFS(PROVEEDORES[Total],PROVEEDORES[PROVEEDOR],PROVEEDORES[[#This Row],[PROVEEDOR]],PROVEEDORES[FECHA DE PAGO],"")</f>
        <v>0</v>
      </c>
      <c r="E69" s="146"/>
      <c r="F69" s="144">
        <f>+VLOOKUP(PROVEEDORES[[#This Row],[PROVEEDOR]],
                       Terceros!$A:$G,
                       5,
                       FALSE)</f>
        <v>0</v>
      </c>
      <c r="G69" s="122">
        <v>44985</v>
      </c>
      <c r="H69" s="102" t="s">
        <v>537</v>
      </c>
      <c r="I69" s="122">
        <v>44985</v>
      </c>
      <c r="J69" s="103" t="s">
        <v>514</v>
      </c>
      <c r="K69" s="103" t="s">
        <v>1512</v>
      </c>
      <c r="L69" s="103"/>
      <c r="M69" s="105">
        <v>0</v>
      </c>
      <c r="N69" s="147">
        <v>0</v>
      </c>
      <c r="O69" s="147">
        <v>0</v>
      </c>
      <c r="P69" s="148">
        <v>0</v>
      </c>
      <c r="Q69" s="147">
        <v>0</v>
      </c>
      <c r="R69" s="149">
        <v>0</v>
      </c>
      <c r="S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" s="150">
        <f ca="1">+IF(PROVEEDORES[[#This Row],[FECHA DE PAGO]]=0,TODAY()-PROVEEDORES[[#This Row],[FECHA DE FACTURACIÓN]]-PROVEEDORES[[#This Row],[PLAZO Días]],0)</f>
        <v>0</v>
      </c>
      <c r="U69" s="150">
        <f>+VLOOKUP(PROVEEDORES[[#This Row],[PROVEEDOR]],Terceros!$A:$E,4,FALSE)</f>
        <v>0</v>
      </c>
      <c r="V69" s="150">
        <f>+YEAR(PROVEEDORES[[#This Row],[FECHA DE FACTURACIÓN]])</f>
        <v>2023</v>
      </c>
      <c r="W69" s="150">
        <f>+MATCH(PROVEEDORES[[#This Row],[año facturado]],Retenciones!$1:$1,0)</f>
        <v>6</v>
      </c>
      <c r="X69" s="151">
        <f>+VLOOKUP(PROVEEDORES[[#This Row],[ID RETENCION]],Retenciones!$A$1:$O$25,PROVEEDORES[[#This Row],[indicador de columna]],FALSE)</f>
        <v>0</v>
      </c>
      <c r="Y69" s="152">
        <f>+VLOOKUP(PROVEEDORES[[#This Row],[ID RETENCION]],Retenciones!$A$1:$O$25,2,FALSE)</f>
        <v>0</v>
      </c>
      <c r="Z69" s="153" t="b">
        <f>+OR(COUNTIF(PROVEEDORES[[#This Row],[PROVEEDOR]],"*"&amp;'Palabra que no opera y Listas d'!$A$2&amp;"*"))</f>
        <v>0</v>
      </c>
    </row>
    <row r="70" spans="1:26" ht="27.75" customHeight="1" x14ac:dyDescent="0.3">
      <c r="A70" s="144" t="str">
        <f>+IF(PROVEEDORES[[#This Row],[FECHA DE PAGO]]=PROVEEDORES[[#This Row],[FECHA DE FACTURACIÓN]],"DE CONTADO","CRÉDITO")</f>
        <v>DE CONTADO</v>
      </c>
      <c r="B70" s="144" t="b">
        <f>+IF((PROVEEDORES[[#This Row],[FECHA DE PAGO]]-PROVEEDORES[[#This Row],[FECHA DE FACTURACIÓN]])&gt;PROVEEDORES[[#This Row],[PLAZO Días]],"PAGO VENCIDO")</f>
        <v>0</v>
      </c>
      <c r="C70" s="144">
        <f>+VLOOKUP(PROVEEDORES[[#This Row],[PROVEEDOR]],TERCEROS_INFO[#All],2,FALSE)</f>
        <v>0</v>
      </c>
      <c r="D70" s="145">
        <f>+SUMIFS(PROVEEDORES[Total],PROVEEDORES[PROVEEDOR],PROVEEDORES[[#This Row],[PROVEEDOR]],PROVEEDORES[FECHA DE PAGO],"")</f>
        <v>0</v>
      </c>
      <c r="E70" s="146"/>
      <c r="F70" s="144">
        <f>+VLOOKUP(PROVEEDORES[[#This Row],[PROVEEDOR]],
                       Terceros!$A:$G,
                       5,
                       FALSE)</f>
        <v>0</v>
      </c>
      <c r="G70" s="122">
        <v>44985</v>
      </c>
      <c r="H70" s="102" t="s">
        <v>537</v>
      </c>
      <c r="I70" s="122">
        <v>44985</v>
      </c>
      <c r="J70" s="103" t="s">
        <v>1513</v>
      </c>
      <c r="K70" s="103" t="s">
        <v>1512</v>
      </c>
      <c r="L70" s="103"/>
      <c r="M70" s="105">
        <v>0</v>
      </c>
      <c r="N70" s="147">
        <v>0</v>
      </c>
      <c r="O70" s="147">
        <v>0</v>
      </c>
      <c r="P70" s="148">
        <v>0</v>
      </c>
      <c r="Q70" s="147">
        <v>0</v>
      </c>
      <c r="R70" s="149">
        <v>0</v>
      </c>
      <c r="S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" s="150">
        <f ca="1">+IF(PROVEEDORES[[#This Row],[FECHA DE PAGO]]=0,TODAY()-PROVEEDORES[[#This Row],[FECHA DE FACTURACIÓN]]-PROVEEDORES[[#This Row],[PLAZO Días]],0)</f>
        <v>0</v>
      </c>
      <c r="U70" s="150">
        <f>+VLOOKUP(PROVEEDORES[[#This Row],[PROVEEDOR]],Terceros!$A:$E,4,FALSE)</f>
        <v>0</v>
      </c>
      <c r="V70" s="150">
        <f>+YEAR(PROVEEDORES[[#This Row],[FECHA DE FACTURACIÓN]])</f>
        <v>2023</v>
      </c>
      <c r="W70" s="150">
        <f>+MATCH(PROVEEDORES[[#This Row],[año facturado]],Retenciones!$1:$1,0)</f>
        <v>6</v>
      </c>
      <c r="X70" s="151">
        <f>+VLOOKUP(PROVEEDORES[[#This Row],[ID RETENCION]],Retenciones!$A$1:$O$25,PROVEEDORES[[#This Row],[indicador de columna]],FALSE)</f>
        <v>0</v>
      </c>
      <c r="Y70" s="152">
        <f>+VLOOKUP(PROVEEDORES[[#This Row],[ID RETENCION]],Retenciones!$A$1:$O$25,2,FALSE)</f>
        <v>0</v>
      </c>
      <c r="Z70" s="153" t="b">
        <f>+OR(COUNTIF(PROVEEDORES[[#This Row],[PROVEEDOR]],"*"&amp;'Palabra que no opera y Listas d'!$A$2&amp;"*"))</f>
        <v>0</v>
      </c>
    </row>
    <row r="71" spans="1:26" ht="27.75" customHeight="1" x14ac:dyDescent="0.3">
      <c r="A71" s="144" t="str">
        <f>+IF(PROVEEDORES[[#This Row],[FECHA DE PAGO]]=PROVEEDORES[[#This Row],[FECHA DE FACTURACIÓN]],"DE CONTADO","CRÉDITO")</f>
        <v>DE CONTADO</v>
      </c>
      <c r="B71" s="144" t="b">
        <f>+IF((PROVEEDORES[[#This Row],[FECHA DE PAGO]]-PROVEEDORES[[#This Row],[FECHA DE FACTURACIÓN]])&gt;PROVEEDORES[[#This Row],[PLAZO Días]],"PAGO VENCIDO")</f>
        <v>0</v>
      </c>
      <c r="C71" s="144">
        <f>+VLOOKUP(PROVEEDORES[[#This Row],[PROVEEDOR]],TERCEROS_INFO[#All],2,FALSE)</f>
        <v>0</v>
      </c>
      <c r="D71" s="145">
        <f>+SUMIFS(PROVEEDORES[Total],PROVEEDORES[PROVEEDOR],PROVEEDORES[[#This Row],[PROVEEDOR]],PROVEEDORES[FECHA DE PAGO],"")</f>
        <v>0</v>
      </c>
      <c r="E71" s="146"/>
      <c r="F71" s="144">
        <f>+VLOOKUP(PROVEEDORES[[#This Row],[PROVEEDOR]],
                       Terceros!$A:$G,
                       5,
                       FALSE)</f>
        <v>0</v>
      </c>
      <c r="G71" s="122">
        <v>44985</v>
      </c>
      <c r="H71" s="102" t="s">
        <v>537</v>
      </c>
      <c r="I71" s="122">
        <v>44985</v>
      </c>
      <c r="J71" s="103" t="s">
        <v>493</v>
      </c>
      <c r="K71" s="103" t="s">
        <v>1512</v>
      </c>
      <c r="L71" s="103"/>
      <c r="M71" s="105">
        <v>203500</v>
      </c>
      <c r="N71" s="147">
        <v>0</v>
      </c>
      <c r="O71" s="147">
        <v>0</v>
      </c>
      <c r="P71" s="148">
        <v>0</v>
      </c>
      <c r="Q71" s="147">
        <v>0</v>
      </c>
      <c r="R71" s="149">
        <v>203500</v>
      </c>
      <c r="S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" s="150">
        <f ca="1">+IF(PROVEEDORES[[#This Row],[FECHA DE PAGO]]=0,TODAY()-PROVEEDORES[[#This Row],[FECHA DE FACTURACIÓN]]-PROVEEDORES[[#This Row],[PLAZO Días]],0)</f>
        <v>0</v>
      </c>
      <c r="U71" s="150">
        <f>+VLOOKUP(PROVEEDORES[[#This Row],[PROVEEDOR]],Terceros!$A:$E,4,FALSE)</f>
        <v>0</v>
      </c>
      <c r="V71" s="150">
        <f>+YEAR(PROVEEDORES[[#This Row],[FECHA DE FACTURACIÓN]])</f>
        <v>2023</v>
      </c>
      <c r="W71" s="150">
        <f>+MATCH(PROVEEDORES[[#This Row],[año facturado]],Retenciones!$1:$1,0)</f>
        <v>6</v>
      </c>
      <c r="X71" s="151">
        <f>+VLOOKUP(PROVEEDORES[[#This Row],[ID RETENCION]],Retenciones!$A$1:$O$25,PROVEEDORES[[#This Row],[indicador de columna]],FALSE)</f>
        <v>0</v>
      </c>
      <c r="Y71" s="152">
        <f>+VLOOKUP(PROVEEDORES[[#This Row],[ID RETENCION]],Retenciones!$A$1:$O$25,2,FALSE)</f>
        <v>0</v>
      </c>
      <c r="Z71" s="153" t="b">
        <f>+OR(COUNTIF(PROVEEDORES[[#This Row],[PROVEEDOR]],"*"&amp;'Palabra que no opera y Listas d'!$A$2&amp;"*"))</f>
        <v>0</v>
      </c>
    </row>
    <row r="72" spans="1:26" ht="27.75" customHeight="1" x14ac:dyDescent="0.3">
      <c r="A72" s="144" t="str">
        <f>+IF(PROVEEDORES[[#This Row],[FECHA DE PAGO]]=PROVEEDORES[[#This Row],[FECHA DE FACTURACIÓN]],"DE CONTADO","CRÉDITO")</f>
        <v>DE CONTADO</v>
      </c>
      <c r="B72" s="144" t="b">
        <f>+IF((PROVEEDORES[[#This Row],[FECHA DE PAGO]]-PROVEEDORES[[#This Row],[FECHA DE FACTURACIÓN]])&gt;PROVEEDORES[[#This Row],[PLAZO Días]],"PAGO VENCIDO")</f>
        <v>0</v>
      </c>
      <c r="C72" s="144">
        <f>+VLOOKUP(PROVEEDORES[[#This Row],[PROVEEDOR]],TERCEROS_INFO[#All],2,FALSE)</f>
        <v>0</v>
      </c>
      <c r="D72" s="145">
        <f>+SUMIFS(PROVEEDORES[Total],PROVEEDORES[PROVEEDOR],PROVEEDORES[[#This Row],[PROVEEDOR]],PROVEEDORES[FECHA DE PAGO],"")</f>
        <v>0</v>
      </c>
      <c r="E72" s="146"/>
      <c r="F72" s="144">
        <f>+VLOOKUP(PROVEEDORES[[#This Row],[PROVEEDOR]],
                       Terceros!$A:$G,
                       5,
                       FALSE)</f>
        <v>0</v>
      </c>
      <c r="G72" s="122">
        <v>44985</v>
      </c>
      <c r="H72" s="102" t="s">
        <v>537</v>
      </c>
      <c r="I72" s="122">
        <v>44985</v>
      </c>
      <c r="J72" s="103" t="s">
        <v>491</v>
      </c>
      <c r="K72" s="103" t="s">
        <v>1512</v>
      </c>
      <c r="L72" s="103"/>
      <c r="M72" s="105">
        <v>385700</v>
      </c>
      <c r="N72" s="147">
        <v>0</v>
      </c>
      <c r="O72" s="147">
        <v>0</v>
      </c>
      <c r="P72" s="148">
        <v>0</v>
      </c>
      <c r="Q72" s="147">
        <v>0</v>
      </c>
      <c r="R72" s="149">
        <v>385700</v>
      </c>
      <c r="S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" s="150">
        <f ca="1">+IF(PROVEEDORES[[#This Row],[FECHA DE PAGO]]=0,TODAY()-PROVEEDORES[[#This Row],[FECHA DE FACTURACIÓN]]-PROVEEDORES[[#This Row],[PLAZO Días]],0)</f>
        <v>0</v>
      </c>
      <c r="U72" s="150">
        <f>+VLOOKUP(PROVEEDORES[[#This Row],[PROVEEDOR]],Terceros!$A:$E,4,FALSE)</f>
        <v>0</v>
      </c>
      <c r="V72" s="150">
        <f>+YEAR(PROVEEDORES[[#This Row],[FECHA DE FACTURACIÓN]])</f>
        <v>2023</v>
      </c>
      <c r="W72" s="150">
        <f>+MATCH(PROVEEDORES[[#This Row],[año facturado]],Retenciones!$1:$1,0)</f>
        <v>6</v>
      </c>
      <c r="X72" s="151">
        <f>+VLOOKUP(PROVEEDORES[[#This Row],[ID RETENCION]],Retenciones!$A$1:$O$25,PROVEEDORES[[#This Row],[indicador de columna]],FALSE)</f>
        <v>0</v>
      </c>
      <c r="Y72" s="152">
        <f>+VLOOKUP(PROVEEDORES[[#This Row],[ID RETENCION]],Retenciones!$A$1:$O$25,2,FALSE)</f>
        <v>0</v>
      </c>
      <c r="Z72" s="153" t="b">
        <f>+OR(COUNTIF(PROVEEDORES[[#This Row],[PROVEEDOR]],"*"&amp;'Palabra que no opera y Listas d'!$A$2&amp;"*"))</f>
        <v>0</v>
      </c>
    </row>
    <row r="73" spans="1:26" ht="27.75" customHeight="1" x14ac:dyDescent="0.3">
      <c r="A73" s="144" t="str">
        <f>+IF(PROVEEDORES[[#This Row],[FECHA DE PAGO]]=PROVEEDORES[[#This Row],[FECHA DE FACTURACIÓN]],"DE CONTADO","CRÉDITO")</f>
        <v>DE CONTADO</v>
      </c>
      <c r="B73" s="144" t="b">
        <f>+IF((PROVEEDORES[[#This Row],[FECHA DE PAGO]]-PROVEEDORES[[#This Row],[FECHA DE FACTURACIÓN]])&gt;PROVEEDORES[[#This Row],[PLAZO Días]],"PAGO VENCIDO")</f>
        <v>0</v>
      </c>
      <c r="C73" s="144">
        <f>+VLOOKUP(PROVEEDORES[[#This Row],[PROVEEDOR]],TERCEROS_INFO[#All],2,FALSE)</f>
        <v>0</v>
      </c>
      <c r="D73" s="145">
        <f>+SUMIFS(PROVEEDORES[Total],PROVEEDORES[PROVEEDOR],PROVEEDORES[[#This Row],[PROVEEDOR]],PROVEEDORES[FECHA DE PAGO],"")</f>
        <v>0</v>
      </c>
      <c r="E73" s="146"/>
      <c r="F73" s="144">
        <f>+VLOOKUP(PROVEEDORES[[#This Row],[PROVEEDOR]],
                       Terceros!$A:$G,
                       5,
                       FALSE)</f>
        <v>0</v>
      </c>
      <c r="G73" s="122">
        <v>44985</v>
      </c>
      <c r="H73" s="102" t="s">
        <v>537</v>
      </c>
      <c r="I73" s="122">
        <v>44985</v>
      </c>
      <c r="J73" s="103" t="s">
        <v>515</v>
      </c>
      <c r="K73" s="103" t="s">
        <v>1512</v>
      </c>
      <c r="L73" s="103"/>
      <c r="M73" s="105">
        <v>976000</v>
      </c>
      <c r="N73" s="147">
        <v>0</v>
      </c>
      <c r="O73" s="147">
        <v>0</v>
      </c>
      <c r="P73" s="148">
        <v>0</v>
      </c>
      <c r="Q73" s="147">
        <v>0</v>
      </c>
      <c r="R73" s="149">
        <v>976000</v>
      </c>
      <c r="S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" s="150">
        <f ca="1">+IF(PROVEEDORES[[#This Row],[FECHA DE PAGO]]=0,TODAY()-PROVEEDORES[[#This Row],[FECHA DE FACTURACIÓN]]-PROVEEDORES[[#This Row],[PLAZO Días]],0)</f>
        <v>0</v>
      </c>
      <c r="U73" s="150">
        <f>+VLOOKUP(PROVEEDORES[[#This Row],[PROVEEDOR]],Terceros!$A:$E,4,FALSE)</f>
        <v>0</v>
      </c>
      <c r="V73" s="150">
        <f>+YEAR(PROVEEDORES[[#This Row],[FECHA DE FACTURACIÓN]])</f>
        <v>2023</v>
      </c>
      <c r="W73" s="150">
        <f>+MATCH(PROVEEDORES[[#This Row],[año facturado]],Retenciones!$1:$1,0)</f>
        <v>6</v>
      </c>
      <c r="X73" s="151">
        <f>+VLOOKUP(PROVEEDORES[[#This Row],[ID RETENCION]],Retenciones!$A$1:$O$25,PROVEEDORES[[#This Row],[indicador de columna]],FALSE)</f>
        <v>0</v>
      </c>
      <c r="Y73" s="152">
        <f>+VLOOKUP(PROVEEDORES[[#This Row],[ID RETENCION]],Retenciones!$A$1:$O$25,2,FALSE)</f>
        <v>0</v>
      </c>
      <c r="Z73" s="153" t="b">
        <f>+OR(COUNTIF(PROVEEDORES[[#This Row],[PROVEEDOR]],"*"&amp;'Palabra que no opera y Listas d'!$A$2&amp;"*"))</f>
        <v>0</v>
      </c>
    </row>
    <row r="74" spans="1:26" ht="27.75" customHeight="1" x14ac:dyDescent="0.3">
      <c r="A74" s="144" t="str">
        <f>+IF(PROVEEDORES[[#This Row],[FECHA DE PAGO]]=PROVEEDORES[[#This Row],[FECHA DE FACTURACIÓN]],"DE CONTADO","CRÉDITO")</f>
        <v>DE CONTADO</v>
      </c>
      <c r="B74" s="144" t="b">
        <f>+IF((PROVEEDORES[[#This Row],[FECHA DE PAGO]]-PROVEEDORES[[#This Row],[FECHA DE FACTURACIÓN]])&gt;PROVEEDORES[[#This Row],[PLAZO Días]],"PAGO VENCIDO")</f>
        <v>0</v>
      </c>
      <c r="C74" s="144">
        <f>+VLOOKUP(PROVEEDORES[[#This Row],[PROVEEDOR]],TERCEROS_INFO[#All],2,FALSE)</f>
        <v>0</v>
      </c>
      <c r="D74" s="145">
        <f>+SUMIFS(PROVEEDORES[Total],PROVEEDORES[PROVEEDOR],PROVEEDORES[[#This Row],[PROVEEDOR]],PROVEEDORES[FECHA DE PAGO],"")</f>
        <v>0</v>
      </c>
      <c r="E74" s="146"/>
      <c r="F74" s="144">
        <f>+VLOOKUP(PROVEEDORES[[#This Row],[PROVEEDOR]],
                       Terceros!$A:$G,
                       5,
                       FALSE)</f>
        <v>0</v>
      </c>
      <c r="G74" s="122">
        <v>44985</v>
      </c>
      <c r="H74" s="102" t="s">
        <v>537</v>
      </c>
      <c r="I74" s="122">
        <v>44985</v>
      </c>
      <c r="J74" s="103" t="s">
        <v>492</v>
      </c>
      <c r="K74" s="103" t="s">
        <v>1512</v>
      </c>
      <c r="L74" s="103"/>
      <c r="M74" s="105">
        <v>1657000</v>
      </c>
      <c r="N74" s="147">
        <v>0</v>
      </c>
      <c r="O74" s="147">
        <v>0</v>
      </c>
      <c r="P74" s="148">
        <v>0</v>
      </c>
      <c r="Q74" s="147">
        <v>0</v>
      </c>
      <c r="R74" s="149">
        <v>1657000</v>
      </c>
      <c r="S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" s="150">
        <f ca="1">+IF(PROVEEDORES[[#This Row],[FECHA DE PAGO]]=0,TODAY()-PROVEEDORES[[#This Row],[FECHA DE FACTURACIÓN]]-PROVEEDORES[[#This Row],[PLAZO Días]],0)</f>
        <v>0</v>
      </c>
      <c r="U74" s="150">
        <f>+VLOOKUP(PROVEEDORES[[#This Row],[PROVEEDOR]],Terceros!$A:$E,4,FALSE)</f>
        <v>0</v>
      </c>
      <c r="V74" s="150">
        <f>+YEAR(PROVEEDORES[[#This Row],[FECHA DE FACTURACIÓN]])</f>
        <v>2023</v>
      </c>
      <c r="W74" s="150">
        <f>+MATCH(PROVEEDORES[[#This Row],[año facturado]],Retenciones!$1:$1,0)</f>
        <v>6</v>
      </c>
      <c r="X74" s="151">
        <f>+VLOOKUP(PROVEEDORES[[#This Row],[ID RETENCION]],Retenciones!$A$1:$O$25,PROVEEDORES[[#This Row],[indicador de columna]],FALSE)</f>
        <v>0</v>
      </c>
      <c r="Y74" s="152">
        <f>+VLOOKUP(PROVEEDORES[[#This Row],[ID RETENCION]],Retenciones!$A$1:$O$25,2,FALSE)</f>
        <v>0</v>
      </c>
      <c r="Z74" s="153" t="b">
        <f>+OR(COUNTIF(PROVEEDORES[[#This Row],[PROVEEDOR]],"*"&amp;'Palabra que no opera y Listas d'!$A$2&amp;"*"))</f>
        <v>0</v>
      </c>
    </row>
    <row r="75" spans="1:26" ht="27.75" customHeight="1" x14ac:dyDescent="0.3">
      <c r="A75" s="144" t="str">
        <f>+IF(PROVEEDORES[[#This Row],[FECHA DE PAGO]]=PROVEEDORES[[#This Row],[FECHA DE FACTURACIÓN]],"DE CONTADO","CRÉDITO")</f>
        <v>CRÉDITO</v>
      </c>
      <c r="B75" s="144" t="str">
        <f>+IF((PROVEEDORES[[#This Row],[FECHA DE PAGO]]-PROVEEDORES[[#This Row],[FECHA DE FACTURACIÓN]])&gt;PROVEEDORES[[#This Row],[PLAZO Días]],"PAGO VENCIDO")</f>
        <v>PAGO VENCIDO</v>
      </c>
      <c r="C75" s="144">
        <f>+VLOOKUP(PROVEEDORES[[#This Row],[PROVEEDOR]],TERCEROS_INFO[#All],2,FALSE)</f>
        <v>0</v>
      </c>
      <c r="D75" s="145">
        <f>+SUMIFS(PROVEEDORES[Total],PROVEEDORES[PROVEEDOR],PROVEEDORES[[#This Row],[PROVEEDOR]],PROVEEDORES[FECHA DE PAGO],"")</f>
        <v>0</v>
      </c>
      <c r="E75" s="146"/>
      <c r="F75" s="144">
        <f>+VLOOKUP(PROVEEDORES[[#This Row],[PROVEEDOR]],
                       Terceros!$A:$G,
                       5,
                       FALSE)</f>
        <v>0</v>
      </c>
      <c r="G75" s="122">
        <v>44986</v>
      </c>
      <c r="H75" s="102" t="s">
        <v>1785</v>
      </c>
      <c r="I75" s="122">
        <v>44972</v>
      </c>
      <c r="J75" s="103" t="s">
        <v>604</v>
      </c>
      <c r="K75" s="103" t="s">
        <v>1512</v>
      </c>
      <c r="L75" s="103"/>
      <c r="M75" s="105">
        <v>101500</v>
      </c>
      <c r="N75" s="147">
        <v>0</v>
      </c>
      <c r="O75" s="147">
        <v>0</v>
      </c>
      <c r="P75" s="148">
        <v>0</v>
      </c>
      <c r="Q75" s="147">
        <v>0</v>
      </c>
      <c r="R75" s="149">
        <v>101500</v>
      </c>
      <c r="S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" s="150">
        <f ca="1">+IF(PROVEEDORES[[#This Row],[FECHA DE PAGO]]=0,TODAY()-PROVEEDORES[[#This Row],[FECHA DE FACTURACIÓN]]-PROVEEDORES[[#This Row],[PLAZO Días]],0)</f>
        <v>0</v>
      </c>
      <c r="U75" s="150">
        <f>+VLOOKUP(PROVEEDORES[[#This Row],[PROVEEDOR]],Terceros!$A:$E,4,FALSE)</f>
        <v>0</v>
      </c>
      <c r="V75" s="150">
        <f>+YEAR(PROVEEDORES[[#This Row],[FECHA DE FACTURACIÓN]])</f>
        <v>2023</v>
      </c>
      <c r="W75" s="150">
        <f>+MATCH(PROVEEDORES[[#This Row],[año facturado]],Retenciones!$1:$1,0)</f>
        <v>6</v>
      </c>
      <c r="X75" s="151">
        <f>+VLOOKUP(PROVEEDORES[[#This Row],[ID RETENCION]],Retenciones!$A$1:$O$25,PROVEEDORES[[#This Row],[indicador de columna]],FALSE)</f>
        <v>0</v>
      </c>
      <c r="Y75" s="152">
        <f>+VLOOKUP(PROVEEDORES[[#This Row],[ID RETENCION]],Retenciones!$A$1:$O$25,2,FALSE)</f>
        <v>0</v>
      </c>
      <c r="Z75" s="153" t="b">
        <f>+OR(COUNTIF(PROVEEDORES[[#This Row],[PROVEEDOR]],"*"&amp;'Palabra que no opera y Listas d'!$A$2&amp;"*"))</f>
        <v>0</v>
      </c>
    </row>
    <row r="76" spans="1:26" ht="27.75" customHeight="1" x14ac:dyDescent="0.3">
      <c r="A76" s="144" t="str">
        <f>+IF(PROVEEDORES[[#This Row],[FECHA DE PAGO]]=PROVEEDORES[[#This Row],[FECHA DE FACTURACIÓN]],"DE CONTADO","CRÉDITO")</f>
        <v>CRÉDITO</v>
      </c>
      <c r="B76" s="144" t="str">
        <f>+IF((PROVEEDORES[[#This Row],[FECHA DE PAGO]]-PROVEEDORES[[#This Row],[FECHA DE FACTURACIÓN]])&gt;PROVEEDORES[[#This Row],[PLAZO Días]],"PAGO VENCIDO")</f>
        <v>PAGO VENCIDO</v>
      </c>
      <c r="C76" s="144">
        <f>+VLOOKUP(PROVEEDORES[[#This Row],[PROVEEDOR]],TERCEROS_INFO[#All],2,FALSE)</f>
        <v>0</v>
      </c>
      <c r="D76" s="145">
        <f>+SUMIFS(PROVEEDORES[Total],PROVEEDORES[PROVEEDOR],PROVEEDORES[[#This Row],[PROVEEDOR]],PROVEEDORES[FECHA DE PAGO],"")</f>
        <v>3130000</v>
      </c>
      <c r="E76" s="146"/>
      <c r="F76" s="144">
        <f>+VLOOKUP(PROVEEDORES[[#This Row],[PROVEEDOR]],
                       Terceros!$A:$G,
                       5,
                       FALSE)</f>
        <v>0</v>
      </c>
      <c r="G76" s="122">
        <v>44986</v>
      </c>
      <c r="H76" s="102" t="s">
        <v>487</v>
      </c>
      <c r="I76" s="122">
        <v>44958</v>
      </c>
      <c r="J76" s="103" t="s">
        <v>569</v>
      </c>
      <c r="K76" s="103" t="s">
        <v>1512</v>
      </c>
      <c r="L76" s="103"/>
      <c r="M76" s="105">
        <v>1075000</v>
      </c>
      <c r="N76" s="147">
        <v>0</v>
      </c>
      <c r="O76" s="147">
        <v>0</v>
      </c>
      <c r="P76" s="148">
        <v>0</v>
      </c>
      <c r="Q76" s="147">
        <v>0</v>
      </c>
      <c r="R76" s="149">
        <v>1075000</v>
      </c>
      <c r="S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" s="150">
        <f ca="1">+IF(PROVEEDORES[[#This Row],[FECHA DE PAGO]]=0,TODAY()-PROVEEDORES[[#This Row],[FECHA DE FACTURACIÓN]]-PROVEEDORES[[#This Row],[PLAZO Días]],0)</f>
        <v>0</v>
      </c>
      <c r="U76" s="150">
        <f>+VLOOKUP(PROVEEDORES[[#This Row],[PROVEEDOR]],Terceros!$A:$E,4,FALSE)</f>
        <v>0</v>
      </c>
      <c r="V76" s="150">
        <f>+YEAR(PROVEEDORES[[#This Row],[FECHA DE FACTURACIÓN]])</f>
        <v>2023</v>
      </c>
      <c r="W76" s="150">
        <f>+MATCH(PROVEEDORES[[#This Row],[año facturado]],Retenciones!$1:$1,0)</f>
        <v>6</v>
      </c>
      <c r="X76" s="151">
        <f>+VLOOKUP(PROVEEDORES[[#This Row],[ID RETENCION]],Retenciones!$A$1:$O$25,PROVEEDORES[[#This Row],[indicador de columna]],FALSE)</f>
        <v>0</v>
      </c>
      <c r="Y76" s="152">
        <f>+VLOOKUP(PROVEEDORES[[#This Row],[ID RETENCION]],Retenciones!$A$1:$O$25,2,FALSE)</f>
        <v>0</v>
      </c>
      <c r="Z76" s="153" t="b">
        <f>+OR(COUNTIF(PROVEEDORES[[#This Row],[PROVEEDOR]],"*"&amp;'Palabra que no opera y Listas d'!$A$2&amp;"*"))</f>
        <v>0</v>
      </c>
    </row>
    <row r="77" spans="1:26" ht="27.75" customHeight="1" x14ac:dyDescent="0.3">
      <c r="A77" s="144" t="str">
        <f>+IF(PROVEEDORES[[#This Row],[FECHA DE PAGO]]=PROVEEDORES[[#This Row],[FECHA DE FACTURACIÓN]],"DE CONTADO","CRÉDITO")</f>
        <v>CRÉDITO</v>
      </c>
      <c r="B77" s="144" t="str">
        <f>+IF((PROVEEDORES[[#This Row],[FECHA DE PAGO]]-PROVEEDORES[[#This Row],[FECHA DE FACTURACIÓN]])&gt;PROVEEDORES[[#This Row],[PLAZO Días]],"PAGO VENCIDO")</f>
        <v>PAGO VENCIDO</v>
      </c>
      <c r="C77" s="144">
        <f>+VLOOKUP(PROVEEDORES[[#This Row],[PROVEEDOR]],TERCEROS_INFO[#All],2,FALSE)</f>
        <v>0</v>
      </c>
      <c r="D77" s="145">
        <f>+SUMIFS(PROVEEDORES[Total],PROVEEDORES[PROVEEDOR],PROVEEDORES[[#This Row],[PROVEEDOR]],PROVEEDORES[FECHA DE PAGO],"")</f>
        <v>31839627.134999998</v>
      </c>
      <c r="E77" s="146"/>
      <c r="F77" s="144" t="str">
        <f>+VLOOKUP(PROVEEDORES[[#This Row],[PROVEEDOR]],
                       Terceros!$A:$G,
                       5,
                       FALSE)</f>
        <v>2,5% con base</v>
      </c>
      <c r="G77" s="122">
        <v>44988</v>
      </c>
      <c r="H77" s="102" t="s">
        <v>17</v>
      </c>
      <c r="I77" s="122">
        <v>44936</v>
      </c>
      <c r="J77" s="103" t="s">
        <v>549</v>
      </c>
      <c r="K77" s="103" t="s">
        <v>1512</v>
      </c>
      <c r="L77" s="103"/>
      <c r="M77" s="105">
        <v>2030628</v>
      </c>
      <c r="N77" s="147">
        <v>385819.32</v>
      </c>
      <c r="O77" s="147">
        <v>0</v>
      </c>
      <c r="P77" s="148">
        <v>2.5000000000000001E-2</v>
      </c>
      <c r="Q77" s="147">
        <v>50765.700000000004</v>
      </c>
      <c r="R77" s="149">
        <v>2365681.6199999996</v>
      </c>
      <c r="S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" s="150">
        <f ca="1">+IF(PROVEEDORES[[#This Row],[FECHA DE PAGO]]=0,TODAY()-PROVEEDORES[[#This Row],[FECHA DE FACTURACIÓN]]-PROVEEDORES[[#This Row],[PLAZO Días]],0)</f>
        <v>0</v>
      </c>
      <c r="U77" s="150">
        <f>+VLOOKUP(PROVEEDORES[[#This Row],[PROVEEDOR]],Terceros!$A:$E,4,FALSE)</f>
        <v>0.19</v>
      </c>
      <c r="V77" s="150">
        <f>+YEAR(PROVEEDORES[[#This Row],[FECHA DE FACTURACIÓN]])</f>
        <v>2023</v>
      </c>
      <c r="W77" s="150">
        <f>+MATCH(PROVEEDORES[[#This Row],[año facturado]],Retenciones!$1:$1,0)</f>
        <v>6</v>
      </c>
      <c r="X77" s="151" t="e">
        <f>+VLOOKUP(PROVEEDORES[[#This Row],[ID RETENCION]],Retenciones!$A$1:$O$25,PROVEEDORES[[#This Row],[indicador de columna]],FALSE)</f>
        <v>#N/A</v>
      </c>
      <c r="Y77" s="152" t="e">
        <f>+VLOOKUP(PROVEEDORES[[#This Row],[ID RETENCION]],Retenciones!$A$1:$O$25,2,FALSE)</f>
        <v>#N/A</v>
      </c>
      <c r="Z77" s="153" t="b">
        <f>+OR(COUNTIF(PROVEEDORES[[#This Row],[PROVEEDOR]],"*"&amp;'Palabra que no opera y Listas d'!$A$2&amp;"*"))</f>
        <v>0</v>
      </c>
    </row>
    <row r="78" spans="1:26" ht="27.75" customHeight="1" x14ac:dyDescent="0.3">
      <c r="A78" s="144" t="str">
        <f>+IF(PROVEEDORES[[#This Row],[FECHA DE PAGO]]=PROVEEDORES[[#This Row],[FECHA DE FACTURACIÓN]],"DE CONTADO","CRÉDITO")</f>
        <v>CRÉDITO</v>
      </c>
      <c r="B78" s="144" t="str">
        <f>+IF((PROVEEDORES[[#This Row],[FECHA DE PAGO]]-PROVEEDORES[[#This Row],[FECHA DE FACTURACIÓN]])&gt;PROVEEDORES[[#This Row],[PLAZO Días]],"PAGO VENCIDO")</f>
        <v>PAGO VENCIDO</v>
      </c>
      <c r="C78" s="144">
        <f>+VLOOKUP(PROVEEDORES[[#This Row],[PROVEEDOR]],TERCEROS_INFO[#All],2,FALSE)</f>
        <v>0</v>
      </c>
      <c r="D78" s="145">
        <f>+SUMIFS(PROVEEDORES[Total],PROVEEDORES[PROVEEDOR],PROVEEDORES[[#This Row],[PROVEEDOR]],PROVEEDORES[FECHA DE PAGO],"")</f>
        <v>119844463.84</v>
      </c>
      <c r="E78" s="146"/>
      <c r="F78" s="144" t="str">
        <f>+VLOOKUP(PROVEEDORES[[#This Row],[PROVEEDOR]],
                       Terceros!$A:$G,
                       5,
                       FALSE)</f>
        <v>2,5% con base</v>
      </c>
      <c r="G78" s="122">
        <v>44988</v>
      </c>
      <c r="H78" s="102" t="s">
        <v>8</v>
      </c>
      <c r="I78" s="122">
        <v>44937</v>
      </c>
      <c r="J78" s="103" t="s">
        <v>553</v>
      </c>
      <c r="K78" s="103" t="s">
        <v>1512</v>
      </c>
      <c r="L78" s="103"/>
      <c r="M78" s="105">
        <v>612179</v>
      </c>
      <c r="N78" s="147">
        <v>116314.01</v>
      </c>
      <c r="O78" s="147">
        <v>0</v>
      </c>
      <c r="P78" s="148">
        <v>0</v>
      </c>
      <c r="Q78" s="147">
        <v>0</v>
      </c>
      <c r="R78" s="149">
        <v>728493.01</v>
      </c>
      <c r="S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" s="150">
        <f ca="1">+IF(PROVEEDORES[[#This Row],[FECHA DE PAGO]]=0,TODAY()-PROVEEDORES[[#This Row],[FECHA DE FACTURACIÓN]]-PROVEEDORES[[#This Row],[PLAZO Días]],0)</f>
        <v>0</v>
      </c>
      <c r="U78" s="150">
        <f>+VLOOKUP(PROVEEDORES[[#This Row],[PROVEEDOR]],Terceros!$A:$E,4,FALSE)</f>
        <v>0.19</v>
      </c>
      <c r="V78" s="150">
        <f>+YEAR(PROVEEDORES[[#This Row],[FECHA DE FACTURACIÓN]])</f>
        <v>2023</v>
      </c>
      <c r="W78" s="150">
        <f>+MATCH(PROVEEDORES[[#This Row],[año facturado]],Retenciones!$1:$1,0)</f>
        <v>6</v>
      </c>
      <c r="X78" s="151" t="e">
        <f>+VLOOKUP(PROVEEDORES[[#This Row],[ID RETENCION]],Retenciones!$A$1:$O$25,PROVEEDORES[[#This Row],[indicador de columna]],FALSE)</f>
        <v>#N/A</v>
      </c>
      <c r="Y78" s="152" t="e">
        <f>+VLOOKUP(PROVEEDORES[[#This Row],[ID RETENCION]],Retenciones!$A$1:$O$25,2,FALSE)</f>
        <v>#N/A</v>
      </c>
      <c r="Z78" s="153" t="b">
        <f>+OR(COUNTIF(PROVEEDORES[[#This Row],[PROVEEDOR]],"*"&amp;'Palabra que no opera y Listas d'!$A$2&amp;"*"))</f>
        <v>0</v>
      </c>
    </row>
    <row r="79" spans="1:26" ht="27.75" customHeight="1" x14ac:dyDescent="0.3">
      <c r="A79" s="144" t="str">
        <f>+IF(PROVEEDORES[[#This Row],[FECHA DE PAGO]]=PROVEEDORES[[#This Row],[FECHA DE FACTURACIÓN]],"DE CONTADO","CRÉDITO")</f>
        <v>CRÉDITO</v>
      </c>
      <c r="B79" s="144" t="str">
        <f>+IF((PROVEEDORES[[#This Row],[FECHA DE PAGO]]-PROVEEDORES[[#This Row],[FECHA DE FACTURACIÓN]])&gt;PROVEEDORES[[#This Row],[PLAZO Días]],"PAGO VENCIDO")</f>
        <v>PAGO VENCIDO</v>
      </c>
      <c r="C79" s="144">
        <f>+VLOOKUP(PROVEEDORES[[#This Row],[PROVEEDOR]],TERCEROS_INFO[#All],2,FALSE)</f>
        <v>0</v>
      </c>
      <c r="D79" s="145">
        <f>+SUMIFS(PROVEEDORES[Total],PROVEEDORES[PROVEEDOR],PROVEEDORES[[#This Row],[PROVEEDOR]],PROVEEDORES[FECHA DE PAGO],"")</f>
        <v>31839627.134999998</v>
      </c>
      <c r="E79" s="146"/>
      <c r="F79" s="144" t="str">
        <f>+VLOOKUP(PROVEEDORES[[#This Row],[PROVEEDOR]],
                       Terceros!$A:$G,
                       5,
                       FALSE)</f>
        <v>2,5% con base</v>
      </c>
      <c r="G79" s="122">
        <v>44988</v>
      </c>
      <c r="H79" s="102" t="s">
        <v>17</v>
      </c>
      <c r="I79" s="122">
        <v>44937</v>
      </c>
      <c r="J79" s="103" t="s">
        <v>550</v>
      </c>
      <c r="K79" s="103" t="s">
        <v>1512</v>
      </c>
      <c r="L79" s="103"/>
      <c r="M79" s="105">
        <v>703990</v>
      </c>
      <c r="N79" s="147">
        <v>133758.1</v>
      </c>
      <c r="O79" s="147">
        <v>0</v>
      </c>
      <c r="P79" s="148">
        <v>0</v>
      </c>
      <c r="Q79" s="147">
        <v>0</v>
      </c>
      <c r="R79" s="149">
        <v>837748.1</v>
      </c>
      <c r="S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" s="150">
        <f ca="1">+IF(PROVEEDORES[[#This Row],[FECHA DE PAGO]]=0,TODAY()-PROVEEDORES[[#This Row],[FECHA DE FACTURACIÓN]]-PROVEEDORES[[#This Row],[PLAZO Días]],0)</f>
        <v>0</v>
      </c>
      <c r="U79" s="150">
        <f>+VLOOKUP(PROVEEDORES[[#This Row],[PROVEEDOR]],Terceros!$A:$E,4,FALSE)</f>
        <v>0.19</v>
      </c>
      <c r="V79" s="150">
        <f>+YEAR(PROVEEDORES[[#This Row],[FECHA DE FACTURACIÓN]])</f>
        <v>2023</v>
      </c>
      <c r="W79" s="150">
        <f>+MATCH(PROVEEDORES[[#This Row],[año facturado]],Retenciones!$1:$1,0)</f>
        <v>6</v>
      </c>
      <c r="X79" s="151" t="e">
        <f>+VLOOKUP(PROVEEDORES[[#This Row],[ID RETENCION]],Retenciones!$A$1:$O$25,PROVEEDORES[[#This Row],[indicador de columna]],FALSE)</f>
        <v>#N/A</v>
      </c>
      <c r="Y79" s="152" t="e">
        <f>+VLOOKUP(PROVEEDORES[[#This Row],[ID RETENCION]],Retenciones!$A$1:$O$25,2,FALSE)</f>
        <v>#N/A</v>
      </c>
      <c r="Z79" s="153" t="b">
        <f>+OR(COUNTIF(PROVEEDORES[[#This Row],[PROVEEDOR]],"*"&amp;'Palabra que no opera y Listas d'!$A$2&amp;"*"))</f>
        <v>0</v>
      </c>
    </row>
    <row r="80" spans="1:26" ht="27.75" customHeight="1" x14ac:dyDescent="0.3">
      <c r="A80" s="144" t="str">
        <f>+IF(PROVEEDORES[[#This Row],[FECHA DE PAGO]]=PROVEEDORES[[#This Row],[FECHA DE FACTURACIÓN]],"DE CONTADO","CRÉDITO")</f>
        <v>CRÉDITO</v>
      </c>
      <c r="B80" s="144" t="str">
        <f>+IF((PROVEEDORES[[#This Row],[FECHA DE PAGO]]-PROVEEDORES[[#This Row],[FECHA DE FACTURACIÓN]])&gt;PROVEEDORES[[#This Row],[PLAZO Días]],"PAGO VENCIDO")</f>
        <v>PAGO VENCIDO</v>
      </c>
      <c r="C80" s="144">
        <f>+VLOOKUP(PROVEEDORES[[#This Row],[PROVEEDOR]],TERCEROS_INFO[#All],2,FALSE)</f>
        <v>0</v>
      </c>
      <c r="D80" s="145">
        <f>+SUMIFS(PROVEEDORES[Total],PROVEEDORES[PROVEEDOR],PROVEEDORES[[#This Row],[PROVEEDOR]],PROVEEDORES[FECHA DE PAGO],"")</f>
        <v>31839627.134999998</v>
      </c>
      <c r="E80" s="146"/>
      <c r="F80" s="144" t="str">
        <f>+VLOOKUP(PROVEEDORES[[#This Row],[PROVEEDOR]],
                       Terceros!$A:$G,
                       5,
                       FALSE)</f>
        <v>2,5% con base</v>
      </c>
      <c r="G80" s="122">
        <v>44988</v>
      </c>
      <c r="H80" s="102" t="s">
        <v>17</v>
      </c>
      <c r="I80" s="122">
        <v>44938</v>
      </c>
      <c r="J80" s="103" t="s">
        <v>548</v>
      </c>
      <c r="K80" s="103" t="s">
        <v>1512</v>
      </c>
      <c r="L80" s="103"/>
      <c r="M80" s="105">
        <v>12580881</v>
      </c>
      <c r="N80" s="147">
        <v>2390367.39</v>
      </c>
      <c r="O80" s="147">
        <v>0</v>
      </c>
      <c r="P80" s="148">
        <v>2.5000000000000001E-2</v>
      </c>
      <c r="Q80" s="147">
        <v>314522.02500000002</v>
      </c>
      <c r="R80" s="149">
        <v>14656726.365</v>
      </c>
      <c r="S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" s="150">
        <f ca="1">+IF(PROVEEDORES[[#This Row],[FECHA DE PAGO]]=0,TODAY()-PROVEEDORES[[#This Row],[FECHA DE FACTURACIÓN]]-PROVEEDORES[[#This Row],[PLAZO Días]],0)</f>
        <v>0</v>
      </c>
      <c r="U80" s="150">
        <f>+VLOOKUP(PROVEEDORES[[#This Row],[PROVEEDOR]],Terceros!$A:$E,4,FALSE)</f>
        <v>0.19</v>
      </c>
      <c r="V80" s="150">
        <f>+YEAR(PROVEEDORES[[#This Row],[FECHA DE FACTURACIÓN]])</f>
        <v>2023</v>
      </c>
      <c r="W80" s="150">
        <f>+MATCH(PROVEEDORES[[#This Row],[año facturado]],Retenciones!$1:$1,0)</f>
        <v>6</v>
      </c>
      <c r="X80" s="151" t="e">
        <f>+VLOOKUP(PROVEEDORES[[#This Row],[ID RETENCION]],Retenciones!$A$1:$O$25,PROVEEDORES[[#This Row],[indicador de columna]],FALSE)</f>
        <v>#N/A</v>
      </c>
      <c r="Y80" s="152" t="e">
        <f>+VLOOKUP(PROVEEDORES[[#This Row],[ID RETENCION]],Retenciones!$A$1:$O$25,2,FALSE)</f>
        <v>#N/A</v>
      </c>
      <c r="Z80" s="153" t="b">
        <f>+OR(COUNTIF(PROVEEDORES[[#This Row],[PROVEEDOR]],"*"&amp;'Palabra que no opera y Listas d'!$A$2&amp;"*"))</f>
        <v>0</v>
      </c>
    </row>
    <row r="81" spans="1:26" ht="27.75" customHeight="1" x14ac:dyDescent="0.3">
      <c r="A81" s="144" t="str">
        <f>+IF(PROVEEDORES[[#This Row],[FECHA DE PAGO]]=PROVEEDORES[[#This Row],[FECHA DE FACTURACIÓN]],"DE CONTADO","CRÉDITO")</f>
        <v>CRÉDITO</v>
      </c>
      <c r="B81" s="144" t="str">
        <f>+IF((PROVEEDORES[[#This Row],[FECHA DE PAGO]]-PROVEEDORES[[#This Row],[FECHA DE FACTURACIÓN]])&gt;PROVEEDORES[[#This Row],[PLAZO Días]],"PAGO VENCIDO")</f>
        <v>PAGO VENCIDO</v>
      </c>
      <c r="C81" s="144">
        <f>+VLOOKUP(PROVEEDORES[[#This Row],[PROVEEDOR]],TERCEROS_INFO[#All],2,FALSE)</f>
        <v>0</v>
      </c>
      <c r="D81" s="145">
        <f>+SUMIFS(PROVEEDORES[Total],PROVEEDORES[PROVEEDOR],PROVEEDORES[[#This Row],[PROVEEDOR]],PROVEEDORES[FECHA DE PAGO],"")</f>
        <v>9349257.8100000005</v>
      </c>
      <c r="E81" s="146"/>
      <c r="F81" s="144" t="str">
        <f>+VLOOKUP(PROVEEDORES[[#This Row],[PROVEEDOR]],
                       Terceros!$A:$G,
                       5,
                       FALSE)</f>
        <v>2,5% con base</v>
      </c>
      <c r="G81" s="122">
        <v>44988</v>
      </c>
      <c r="H81" s="102" t="s">
        <v>242</v>
      </c>
      <c r="I81" s="122">
        <v>44949</v>
      </c>
      <c r="J81" s="103" t="s">
        <v>551</v>
      </c>
      <c r="K81" s="103" t="s">
        <v>1512</v>
      </c>
      <c r="L81" s="103"/>
      <c r="M81" s="105">
        <v>732750</v>
      </c>
      <c r="N81" s="147">
        <v>139222.5</v>
      </c>
      <c r="O81" s="147">
        <v>0</v>
      </c>
      <c r="P81" s="148">
        <v>0</v>
      </c>
      <c r="Q81" s="147">
        <v>0</v>
      </c>
      <c r="R81" s="149">
        <v>871972.5</v>
      </c>
      <c r="S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" s="150">
        <f ca="1">+IF(PROVEEDORES[[#This Row],[FECHA DE PAGO]]=0,TODAY()-PROVEEDORES[[#This Row],[FECHA DE FACTURACIÓN]]-PROVEEDORES[[#This Row],[PLAZO Días]],0)</f>
        <v>0</v>
      </c>
      <c r="U81" s="150">
        <f>+VLOOKUP(PROVEEDORES[[#This Row],[PROVEEDOR]],Terceros!$A:$E,4,FALSE)</f>
        <v>0.19</v>
      </c>
      <c r="V81" s="150">
        <f>+YEAR(PROVEEDORES[[#This Row],[FECHA DE FACTURACIÓN]])</f>
        <v>2023</v>
      </c>
      <c r="W81" s="150">
        <f>+MATCH(PROVEEDORES[[#This Row],[año facturado]],Retenciones!$1:$1,0)</f>
        <v>6</v>
      </c>
      <c r="X81" s="151" t="e">
        <f>+VLOOKUP(PROVEEDORES[[#This Row],[ID RETENCION]],Retenciones!$A$1:$O$25,PROVEEDORES[[#This Row],[indicador de columna]],FALSE)</f>
        <v>#N/A</v>
      </c>
      <c r="Y81" s="152" t="e">
        <f>+VLOOKUP(PROVEEDORES[[#This Row],[ID RETENCION]],Retenciones!$A$1:$O$25,2,FALSE)</f>
        <v>#N/A</v>
      </c>
      <c r="Z81" s="153" t="b">
        <f>+OR(COUNTIF(PROVEEDORES[[#This Row],[PROVEEDOR]],"*"&amp;'Palabra que no opera y Listas d'!$A$2&amp;"*"))</f>
        <v>0</v>
      </c>
    </row>
    <row r="82" spans="1:26" ht="27.75" customHeight="1" x14ac:dyDescent="0.3">
      <c r="A82" s="144" t="str">
        <f>+IF(PROVEEDORES[[#This Row],[FECHA DE PAGO]]=PROVEEDORES[[#This Row],[FECHA DE FACTURACIÓN]],"DE CONTADO","CRÉDITO")</f>
        <v>CRÉDITO</v>
      </c>
      <c r="B82" s="144" t="str">
        <f>+IF((PROVEEDORES[[#This Row],[FECHA DE PAGO]]-PROVEEDORES[[#This Row],[FECHA DE FACTURACIÓN]])&gt;PROVEEDORES[[#This Row],[PLAZO Días]],"PAGO VENCIDO")</f>
        <v>PAGO VENCIDO</v>
      </c>
      <c r="C82" s="144">
        <f>+VLOOKUP(PROVEEDORES[[#This Row],[PROVEEDOR]],TERCEROS_INFO[#All],2,FALSE)</f>
        <v>0</v>
      </c>
      <c r="D82" s="145">
        <f>+SUMIFS(PROVEEDORES[Total],PROVEEDORES[PROVEEDOR],PROVEEDORES[[#This Row],[PROVEEDOR]],PROVEEDORES[FECHA DE PAGO],"")</f>
        <v>3533418.74</v>
      </c>
      <c r="E82" s="146"/>
      <c r="F82" s="144">
        <f>+VLOOKUP(PROVEEDORES[[#This Row],[PROVEEDOR]],
                       Terceros!$A:$G,
                       5,
                       FALSE)</f>
        <v>0</v>
      </c>
      <c r="G82" s="122">
        <v>44988</v>
      </c>
      <c r="H82" s="102" t="s">
        <v>236</v>
      </c>
      <c r="I82" s="122">
        <v>44950</v>
      </c>
      <c r="J82" s="103" t="s">
        <v>546</v>
      </c>
      <c r="K82" s="103" t="s">
        <v>1512</v>
      </c>
      <c r="L82" s="103"/>
      <c r="M82" s="105">
        <v>2040000</v>
      </c>
      <c r="N82" s="147">
        <v>387600</v>
      </c>
      <c r="O82" s="147">
        <v>0</v>
      </c>
      <c r="P82" s="148">
        <v>0</v>
      </c>
      <c r="Q82" s="147">
        <v>0</v>
      </c>
      <c r="R82" s="149">
        <v>2427600</v>
      </c>
      <c r="S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" s="150">
        <f ca="1">+IF(PROVEEDORES[[#This Row],[FECHA DE PAGO]]=0,TODAY()-PROVEEDORES[[#This Row],[FECHA DE FACTURACIÓN]]-PROVEEDORES[[#This Row],[PLAZO Días]],0)</f>
        <v>0</v>
      </c>
      <c r="U82" s="150">
        <f>+VLOOKUP(PROVEEDORES[[#This Row],[PROVEEDOR]],Terceros!$A:$E,4,FALSE)</f>
        <v>0.19</v>
      </c>
      <c r="V82" s="150">
        <f>+YEAR(PROVEEDORES[[#This Row],[FECHA DE FACTURACIÓN]])</f>
        <v>2023</v>
      </c>
      <c r="W82" s="150">
        <f>+MATCH(PROVEEDORES[[#This Row],[año facturado]],Retenciones!$1:$1,0)</f>
        <v>6</v>
      </c>
      <c r="X82" s="151" t="e">
        <f>+VLOOKUP(PROVEEDORES[[#This Row],[ID RETENCION]],Retenciones!$A$1:$O$25,PROVEEDORES[[#This Row],[indicador de columna]],FALSE)</f>
        <v>#N/A</v>
      </c>
      <c r="Y82" s="152" t="e">
        <f>+VLOOKUP(PROVEEDORES[[#This Row],[ID RETENCION]],Retenciones!$A$1:$O$25,2,FALSE)</f>
        <v>#N/A</v>
      </c>
      <c r="Z82" s="153" t="b">
        <f>+OR(COUNTIF(PROVEEDORES[[#This Row],[PROVEEDOR]],"*"&amp;'Palabra que no opera y Listas d'!$A$2&amp;"*"))</f>
        <v>0</v>
      </c>
    </row>
    <row r="83" spans="1:26" ht="27.75" customHeight="1" x14ac:dyDescent="0.3">
      <c r="A83" s="144" t="str">
        <f>+IF(PROVEEDORES[[#This Row],[FECHA DE PAGO]]=PROVEEDORES[[#This Row],[FECHA DE FACTURACIÓN]],"DE CONTADO","CRÉDITO")</f>
        <v>CRÉDITO</v>
      </c>
      <c r="B83" s="144" t="str">
        <f>+IF((PROVEEDORES[[#This Row],[FECHA DE PAGO]]-PROVEEDORES[[#This Row],[FECHA DE FACTURACIÓN]])&gt;PROVEEDORES[[#This Row],[PLAZO Días]],"PAGO VENCIDO")</f>
        <v>PAGO VENCIDO</v>
      </c>
      <c r="C83" s="144">
        <f>+VLOOKUP(PROVEEDORES[[#This Row],[PROVEEDOR]],TERCEROS_INFO[#All],2,FALSE)</f>
        <v>0</v>
      </c>
      <c r="D83" s="145">
        <f>+SUMIFS(PROVEEDORES[Total],PROVEEDORES[PROVEEDOR],PROVEEDORES[[#This Row],[PROVEEDOR]],PROVEEDORES[FECHA DE PAGO],"")</f>
        <v>0</v>
      </c>
      <c r="E83" s="146"/>
      <c r="F83" s="144" t="str">
        <f>+VLOOKUP(PROVEEDORES[[#This Row],[PROVEEDOR]],
                       Terceros!$A:$G,
                       5,
                       FALSE)</f>
        <v>2,5% con base</v>
      </c>
      <c r="G83" s="122">
        <v>44988</v>
      </c>
      <c r="H83" s="102" t="s">
        <v>1574</v>
      </c>
      <c r="I83" s="122">
        <v>44951</v>
      </c>
      <c r="J83" s="103" t="s">
        <v>555</v>
      </c>
      <c r="K83" s="103" t="s">
        <v>1512</v>
      </c>
      <c r="L83" s="103"/>
      <c r="M83" s="105">
        <v>3088000</v>
      </c>
      <c r="N83" s="147">
        <v>586720</v>
      </c>
      <c r="O83" s="147">
        <v>0</v>
      </c>
      <c r="P83" s="148">
        <v>2.5000000000000001E-2</v>
      </c>
      <c r="Q83" s="147">
        <v>77200</v>
      </c>
      <c r="R83" s="149">
        <v>3597520</v>
      </c>
      <c r="S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" s="150">
        <f ca="1">+IF(PROVEEDORES[[#This Row],[FECHA DE PAGO]]=0,TODAY()-PROVEEDORES[[#This Row],[FECHA DE FACTURACIÓN]]-PROVEEDORES[[#This Row],[PLAZO Días]],0)</f>
        <v>0</v>
      </c>
      <c r="U83" s="150">
        <f>+VLOOKUP(PROVEEDORES[[#This Row],[PROVEEDOR]],Terceros!$A:$E,4,FALSE)</f>
        <v>0.19</v>
      </c>
      <c r="V83" s="150">
        <f>+YEAR(PROVEEDORES[[#This Row],[FECHA DE FACTURACIÓN]])</f>
        <v>2023</v>
      </c>
      <c r="W83" s="150">
        <f>+MATCH(PROVEEDORES[[#This Row],[año facturado]],Retenciones!$1:$1,0)</f>
        <v>6</v>
      </c>
      <c r="X83" s="151" t="e">
        <f>+VLOOKUP(PROVEEDORES[[#This Row],[ID RETENCION]],Retenciones!$A$1:$O$25,PROVEEDORES[[#This Row],[indicador de columna]],FALSE)</f>
        <v>#N/A</v>
      </c>
      <c r="Y83" s="152" t="e">
        <f>+VLOOKUP(PROVEEDORES[[#This Row],[ID RETENCION]],Retenciones!$A$1:$O$25,2,FALSE)</f>
        <v>#N/A</v>
      </c>
      <c r="Z83" s="153" t="b">
        <f>+OR(COUNTIF(PROVEEDORES[[#This Row],[PROVEEDOR]],"*"&amp;'Palabra que no opera y Listas d'!$A$2&amp;"*"))</f>
        <v>0</v>
      </c>
    </row>
    <row r="84" spans="1:26" ht="27.75" customHeight="1" x14ac:dyDescent="0.3">
      <c r="A84" s="144" t="str">
        <f>+IF(PROVEEDORES[[#This Row],[FECHA DE PAGO]]=PROVEEDORES[[#This Row],[FECHA DE FACTURACIÓN]],"DE CONTADO","CRÉDITO")</f>
        <v>CRÉDITO</v>
      </c>
      <c r="B84" s="144" t="str">
        <f>+IF((PROVEEDORES[[#This Row],[FECHA DE PAGO]]-PROVEEDORES[[#This Row],[FECHA DE FACTURACIÓN]])&gt;PROVEEDORES[[#This Row],[PLAZO Días]],"PAGO VENCIDO")</f>
        <v>PAGO VENCIDO</v>
      </c>
      <c r="C84" s="144">
        <f>+VLOOKUP(PROVEEDORES[[#This Row],[PROVEEDOR]],TERCEROS_INFO[#All],2,FALSE)</f>
        <v>0</v>
      </c>
      <c r="D84" s="145">
        <f>+SUMIFS(PROVEEDORES[Total],PROVEEDORES[PROVEEDOR],PROVEEDORES[[#This Row],[PROVEEDOR]],PROVEEDORES[FECHA DE PAGO],"")</f>
        <v>1460000.29</v>
      </c>
      <c r="E84" s="146"/>
      <c r="F84" s="144" t="str">
        <f>+VLOOKUP(PROVEEDORES[[#This Row],[PROVEEDOR]],
                       Terceros!$A:$G,
                       5,
                       FALSE)</f>
        <v>2,5% con base</v>
      </c>
      <c r="G84" s="122">
        <v>44988</v>
      </c>
      <c r="H84" s="102" t="s">
        <v>142</v>
      </c>
      <c r="I84" s="122">
        <v>44951</v>
      </c>
      <c r="J84" s="103" t="s">
        <v>552</v>
      </c>
      <c r="K84" s="103" t="s">
        <v>1512</v>
      </c>
      <c r="L84" s="103"/>
      <c r="M84" s="105">
        <v>1216808</v>
      </c>
      <c r="N84" s="147">
        <v>231193.52</v>
      </c>
      <c r="O84" s="147">
        <v>0</v>
      </c>
      <c r="P84" s="148">
        <v>2.5000000000000001E-2</v>
      </c>
      <c r="Q84" s="147">
        <v>30420.2</v>
      </c>
      <c r="R84" s="149">
        <v>1417581.32</v>
      </c>
      <c r="S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" s="150">
        <f ca="1">+IF(PROVEEDORES[[#This Row],[FECHA DE PAGO]]=0,TODAY()-PROVEEDORES[[#This Row],[FECHA DE FACTURACIÓN]]-PROVEEDORES[[#This Row],[PLAZO Días]],0)</f>
        <v>0</v>
      </c>
      <c r="U84" s="150">
        <f>+VLOOKUP(PROVEEDORES[[#This Row],[PROVEEDOR]],Terceros!$A:$E,4,FALSE)</f>
        <v>0.19</v>
      </c>
      <c r="V84" s="150">
        <f>+YEAR(PROVEEDORES[[#This Row],[FECHA DE FACTURACIÓN]])</f>
        <v>2023</v>
      </c>
      <c r="W84" s="150">
        <f>+MATCH(PROVEEDORES[[#This Row],[año facturado]],Retenciones!$1:$1,0)</f>
        <v>6</v>
      </c>
      <c r="X84" s="151" t="e">
        <f>+VLOOKUP(PROVEEDORES[[#This Row],[ID RETENCION]],Retenciones!$A$1:$O$25,PROVEEDORES[[#This Row],[indicador de columna]],FALSE)</f>
        <v>#N/A</v>
      </c>
      <c r="Y84" s="152" t="e">
        <f>+VLOOKUP(PROVEEDORES[[#This Row],[ID RETENCION]],Retenciones!$A$1:$O$25,2,FALSE)</f>
        <v>#N/A</v>
      </c>
      <c r="Z84" s="153" t="b">
        <f>+OR(COUNTIF(PROVEEDORES[[#This Row],[PROVEEDOR]],"*"&amp;'Palabra que no opera y Listas d'!$A$2&amp;"*"))</f>
        <v>0</v>
      </c>
    </row>
    <row r="85" spans="1:26" ht="27.75" customHeight="1" x14ac:dyDescent="0.3">
      <c r="A85" s="144" t="str">
        <f>+IF(PROVEEDORES[[#This Row],[FECHA DE PAGO]]=PROVEEDORES[[#This Row],[FECHA DE FACTURACIÓN]],"DE CONTADO","CRÉDITO")</f>
        <v>CRÉDITO</v>
      </c>
      <c r="B85" s="144" t="str">
        <f>+IF((PROVEEDORES[[#This Row],[FECHA DE PAGO]]-PROVEEDORES[[#This Row],[FECHA DE FACTURACIÓN]])&gt;PROVEEDORES[[#This Row],[PLAZO Días]],"PAGO VENCIDO")</f>
        <v>PAGO VENCIDO</v>
      </c>
      <c r="C85" s="144">
        <f>+VLOOKUP(PROVEEDORES[[#This Row],[PROVEEDOR]],TERCEROS_INFO[#All],2,FALSE)</f>
        <v>0</v>
      </c>
      <c r="D85" s="145" t="e">
        <f>+SUMIFS(PROVEEDORES[Total],PROVEEDORES[PROVEEDOR],PROVEEDORES[[#This Row],[PROVEEDOR]],PROVEEDORES[FECHA DE PAGO],"")</f>
        <v>#N/A</v>
      </c>
      <c r="E85" s="146"/>
      <c r="F85" s="144">
        <f>+VLOOKUP(PROVEEDORES[[#This Row],[PROVEEDOR]],
                       Terceros!$A:$G,
                       5,
                       FALSE)</f>
        <v>0</v>
      </c>
      <c r="G85" s="122">
        <v>44988</v>
      </c>
      <c r="H85" s="102" t="s">
        <v>16</v>
      </c>
      <c r="I85" s="122">
        <v>44951</v>
      </c>
      <c r="J85" s="103" t="s">
        <v>599</v>
      </c>
      <c r="K85" s="103" t="s">
        <v>1512</v>
      </c>
      <c r="L85" s="103"/>
      <c r="M85" s="105">
        <v>819316</v>
      </c>
      <c r="N85" s="147">
        <v>155670.04</v>
      </c>
      <c r="O85" s="147">
        <v>0</v>
      </c>
      <c r="P85" s="148">
        <v>0</v>
      </c>
      <c r="Q85" s="147">
        <v>0</v>
      </c>
      <c r="R85" s="149">
        <v>974986.04</v>
      </c>
      <c r="S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" s="150">
        <f ca="1">+IF(PROVEEDORES[[#This Row],[FECHA DE PAGO]]=0,TODAY()-PROVEEDORES[[#This Row],[FECHA DE FACTURACIÓN]]-PROVEEDORES[[#This Row],[PLAZO Días]],0)</f>
        <v>0</v>
      </c>
      <c r="U85" s="150">
        <f>+VLOOKUP(PROVEEDORES[[#This Row],[PROVEEDOR]],Terceros!$A:$E,4,FALSE)</f>
        <v>0.19</v>
      </c>
      <c r="V85" s="150">
        <f>+YEAR(PROVEEDORES[[#This Row],[FECHA DE FACTURACIÓN]])</f>
        <v>2023</v>
      </c>
      <c r="W85" s="150">
        <f>+MATCH(PROVEEDORES[[#This Row],[año facturado]],Retenciones!$1:$1,0)</f>
        <v>6</v>
      </c>
      <c r="X85" s="151" t="e">
        <f>+VLOOKUP(PROVEEDORES[[#This Row],[ID RETENCION]],Retenciones!$A$1:$O$25,PROVEEDORES[[#This Row],[indicador de columna]],FALSE)</f>
        <v>#N/A</v>
      </c>
      <c r="Y85" s="152" t="e">
        <f>+VLOOKUP(PROVEEDORES[[#This Row],[ID RETENCION]],Retenciones!$A$1:$O$25,2,FALSE)</f>
        <v>#N/A</v>
      </c>
      <c r="Z85" s="153" t="b">
        <f>+OR(COUNTIF(PROVEEDORES[[#This Row],[PROVEEDOR]],"*"&amp;'Palabra que no opera y Listas d'!$A$2&amp;"*"))</f>
        <v>0</v>
      </c>
    </row>
    <row r="86" spans="1:26" ht="27.75" customHeight="1" x14ac:dyDescent="0.3">
      <c r="A86" s="144" t="str">
        <f>+IF(PROVEEDORES[[#This Row],[FECHA DE PAGO]]=PROVEEDORES[[#This Row],[FECHA DE FACTURACIÓN]],"DE CONTADO","CRÉDITO")</f>
        <v>CRÉDITO</v>
      </c>
      <c r="B86" s="144" t="str">
        <f>+IF((PROVEEDORES[[#This Row],[FECHA DE PAGO]]-PROVEEDORES[[#This Row],[FECHA DE FACTURACIÓN]])&gt;PROVEEDORES[[#This Row],[PLAZO Días]],"PAGO VENCIDO")</f>
        <v>PAGO VENCIDO</v>
      </c>
      <c r="C86" s="144">
        <f>+VLOOKUP(PROVEEDORES[[#This Row],[PROVEEDOR]],TERCEROS_INFO[#All],2,FALSE)</f>
        <v>0</v>
      </c>
      <c r="D86" s="145">
        <f>+SUMIFS(PROVEEDORES[Total],PROVEEDORES[PROVEEDOR],PROVEEDORES[[#This Row],[PROVEEDOR]],PROVEEDORES[FECHA DE PAGO],"")</f>
        <v>1000043.22</v>
      </c>
      <c r="E86" s="146"/>
      <c r="F86" s="144" t="str">
        <f>+VLOOKUP(PROVEEDORES[[#This Row],[PROVEEDOR]],
                       Terceros!$A:$G,
                       5,
                       FALSE)</f>
        <v>2,5% con base</v>
      </c>
      <c r="G86" s="122">
        <v>44988</v>
      </c>
      <c r="H86" s="102" t="s">
        <v>237</v>
      </c>
      <c r="I86" s="122">
        <v>44952</v>
      </c>
      <c r="J86" s="103" t="s">
        <v>547</v>
      </c>
      <c r="K86" s="103" t="s">
        <v>1512</v>
      </c>
      <c r="L86" s="103"/>
      <c r="M86" s="105">
        <v>4892185</v>
      </c>
      <c r="N86" s="147">
        <v>929515.15</v>
      </c>
      <c r="O86" s="147">
        <v>0</v>
      </c>
      <c r="P86" s="148">
        <v>2.5000000000000001E-2</v>
      </c>
      <c r="Q86" s="147">
        <v>122304.625</v>
      </c>
      <c r="R86" s="149">
        <v>5699395.5250000004</v>
      </c>
      <c r="S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" s="150">
        <f ca="1">+IF(PROVEEDORES[[#This Row],[FECHA DE PAGO]]=0,TODAY()-PROVEEDORES[[#This Row],[FECHA DE FACTURACIÓN]]-PROVEEDORES[[#This Row],[PLAZO Días]],0)</f>
        <v>0</v>
      </c>
      <c r="U86" s="150">
        <f>+VLOOKUP(PROVEEDORES[[#This Row],[PROVEEDOR]],Terceros!$A:$E,4,FALSE)</f>
        <v>0.19</v>
      </c>
      <c r="V86" s="150">
        <f>+YEAR(PROVEEDORES[[#This Row],[FECHA DE FACTURACIÓN]])</f>
        <v>2023</v>
      </c>
      <c r="W86" s="150">
        <f>+MATCH(PROVEEDORES[[#This Row],[año facturado]],Retenciones!$1:$1,0)</f>
        <v>6</v>
      </c>
      <c r="X86" s="151" t="e">
        <f>+VLOOKUP(PROVEEDORES[[#This Row],[ID RETENCION]],Retenciones!$A$1:$O$25,PROVEEDORES[[#This Row],[indicador de columna]],FALSE)</f>
        <v>#N/A</v>
      </c>
      <c r="Y86" s="152" t="e">
        <f>+VLOOKUP(PROVEEDORES[[#This Row],[ID RETENCION]],Retenciones!$A$1:$O$25,2,FALSE)</f>
        <v>#N/A</v>
      </c>
      <c r="Z86" s="153" t="b">
        <f>+OR(COUNTIF(PROVEEDORES[[#This Row],[PROVEEDOR]],"*"&amp;'Palabra que no opera y Listas d'!$A$2&amp;"*"))</f>
        <v>0</v>
      </c>
    </row>
    <row r="87" spans="1:26" ht="27.75" customHeight="1" x14ac:dyDescent="0.3">
      <c r="A87" s="144" t="str">
        <f>+IF(PROVEEDORES[[#This Row],[FECHA DE PAGO]]=PROVEEDORES[[#This Row],[FECHA DE FACTURACIÓN]],"DE CONTADO","CRÉDITO")</f>
        <v>CRÉDITO</v>
      </c>
      <c r="B87" s="144" t="str">
        <f>+IF((PROVEEDORES[[#This Row],[FECHA DE PAGO]]-PROVEEDORES[[#This Row],[FECHA DE FACTURACIÓN]])&gt;PROVEEDORES[[#This Row],[PLAZO Días]],"PAGO VENCIDO")</f>
        <v>PAGO VENCIDO</v>
      </c>
      <c r="C87" s="144">
        <f>+VLOOKUP(PROVEEDORES[[#This Row],[PROVEEDOR]],TERCEROS_INFO[#All],2,FALSE)</f>
        <v>0</v>
      </c>
      <c r="D87" s="145">
        <f>+SUMIFS(PROVEEDORES[Total],PROVEEDORES[PROVEEDOR],PROVEEDORES[[#This Row],[PROVEEDOR]],PROVEEDORES[FECHA DE PAGO],"")</f>
        <v>0</v>
      </c>
      <c r="E87" s="146"/>
      <c r="F87" s="144" t="str">
        <f>+VLOOKUP(PROVEEDORES[[#This Row],[PROVEEDOR]],
                       Terceros!$A:$G,
                       5,
                       FALSE)</f>
        <v>2,5% con base</v>
      </c>
      <c r="G87" s="122">
        <v>44988</v>
      </c>
      <c r="H87" s="102" t="s">
        <v>467</v>
      </c>
      <c r="I87" s="122">
        <v>44952</v>
      </c>
      <c r="J87" s="103" t="s">
        <v>557</v>
      </c>
      <c r="K87" s="103" t="s">
        <v>1512</v>
      </c>
      <c r="L87" s="103"/>
      <c r="M87" s="105">
        <v>1278410</v>
      </c>
      <c r="N87" s="147">
        <v>242897.9</v>
      </c>
      <c r="O87" s="147">
        <v>0</v>
      </c>
      <c r="P87" s="148">
        <v>2.5000000000000001E-2</v>
      </c>
      <c r="Q87" s="147">
        <v>31960.25</v>
      </c>
      <c r="R87" s="149">
        <v>1489347.65</v>
      </c>
      <c r="S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" s="150">
        <f ca="1">+IF(PROVEEDORES[[#This Row],[FECHA DE PAGO]]=0,TODAY()-PROVEEDORES[[#This Row],[FECHA DE FACTURACIÓN]]-PROVEEDORES[[#This Row],[PLAZO Días]],0)</f>
        <v>0</v>
      </c>
      <c r="U87" s="150">
        <f>+VLOOKUP(PROVEEDORES[[#This Row],[PROVEEDOR]],Terceros!$A:$E,4,FALSE)</f>
        <v>0.19</v>
      </c>
      <c r="V87" s="150">
        <f>+YEAR(PROVEEDORES[[#This Row],[FECHA DE FACTURACIÓN]])</f>
        <v>2023</v>
      </c>
      <c r="W87" s="150">
        <f>+MATCH(PROVEEDORES[[#This Row],[año facturado]],Retenciones!$1:$1,0)</f>
        <v>6</v>
      </c>
      <c r="X87" s="151" t="e">
        <f>+VLOOKUP(PROVEEDORES[[#This Row],[ID RETENCION]],Retenciones!$A$1:$O$25,PROVEEDORES[[#This Row],[indicador de columna]],FALSE)</f>
        <v>#N/A</v>
      </c>
      <c r="Y87" s="152" t="e">
        <f>+VLOOKUP(PROVEEDORES[[#This Row],[ID RETENCION]],Retenciones!$A$1:$O$25,2,FALSE)</f>
        <v>#N/A</v>
      </c>
      <c r="Z87" s="153" t="b">
        <f>+OR(COUNTIF(PROVEEDORES[[#This Row],[PROVEEDOR]],"*"&amp;'Palabra que no opera y Listas d'!$A$2&amp;"*"))</f>
        <v>0</v>
      </c>
    </row>
    <row r="88" spans="1:26" ht="27.75" customHeight="1" x14ac:dyDescent="0.3">
      <c r="A88" s="144" t="str">
        <f>+IF(PROVEEDORES[[#This Row],[FECHA DE PAGO]]=PROVEEDORES[[#This Row],[FECHA DE FACTURACIÓN]],"DE CONTADO","CRÉDITO")</f>
        <v>CRÉDITO</v>
      </c>
      <c r="B88" s="144" t="str">
        <f>+IF((PROVEEDORES[[#This Row],[FECHA DE PAGO]]-PROVEEDORES[[#This Row],[FECHA DE FACTURACIÓN]])&gt;PROVEEDORES[[#This Row],[PLAZO Días]],"PAGO VENCIDO")</f>
        <v>PAGO VENCIDO</v>
      </c>
      <c r="C88" s="144">
        <f>+VLOOKUP(PROVEEDORES[[#This Row],[PROVEEDOR]],TERCEROS_INFO[#All],2,FALSE)</f>
        <v>0</v>
      </c>
      <c r="D88" s="145">
        <f>+SUMIFS(PROVEEDORES[Total],PROVEEDORES[PROVEEDOR],PROVEEDORES[[#This Row],[PROVEEDOR]],PROVEEDORES[FECHA DE PAGO],"")</f>
        <v>5820290</v>
      </c>
      <c r="E88" s="146"/>
      <c r="F88" s="144">
        <f>+VLOOKUP(PROVEEDORES[[#This Row],[PROVEEDOR]],
                       Terceros!$A:$G,
                       5,
                       FALSE)</f>
        <v>0</v>
      </c>
      <c r="G88" s="122">
        <v>44988</v>
      </c>
      <c r="H88" s="102" t="s">
        <v>461</v>
      </c>
      <c r="I88" s="122">
        <v>44953</v>
      </c>
      <c r="J88" s="103">
        <v>40466</v>
      </c>
      <c r="K88" s="103" t="s">
        <v>1512</v>
      </c>
      <c r="L88" s="103"/>
      <c r="M88" s="105">
        <v>1636800</v>
      </c>
      <c r="N88" s="147">
        <v>310992</v>
      </c>
      <c r="O88" s="147">
        <v>0</v>
      </c>
      <c r="P88" s="148">
        <v>0</v>
      </c>
      <c r="Q88" s="147">
        <v>0</v>
      </c>
      <c r="R88" s="149">
        <v>1947792</v>
      </c>
      <c r="S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" s="150">
        <f ca="1">+IF(PROVEEDORES[[#This Row],[FECHA DE PAGO]]=0,TODAY()-PROVEEDORES[[#This Row],[FECHA DE FACTURACIÓN]]-PROVEEDORES[[#This Row],[PLAZO Días]],0)</f>
        <v>0</v>
      </c>
      <c r="U88" s="150">
        <f>+VLOOKUP(PROVEEDORES[[#This Row],[PROVEEDOR]],Terceros!$A:$E,4,FALSE)</f>
        <v>0.19</v>
      </c>
      <c r="V88" s="150">
        <f>+YEAR(PROVEEDORES[[#This Row],[FECHA DE FACTURACIÓN]])</f>
        <v>2023</v>
      </c>
      <c r="W88" s="150">
        <f>+MATCH(PROVEEDORES[[#This Row],[año facturado]],Retenciones!$1:$1,0)</f>
        <v>6</v>
      </c>
      <c r="X88" s="151" t="e">
        <f>+VLOOKUP(PROVEEDORES[[#This Row],[ID RETENCION]],Retenciones!$A$1:$O$25,PROVEEDORES[[#This Row],[indicador de columna]],FALSE)</f>
        <v>#N/A</v>
      </c>
      <c r="Y88" s="152" t="e">
        <f>+VLOOKUP(PROVEEDORES[[#This Row],[ID RETENCION]],Retenciones!$A$1:$O$25,2,FALSE)</f>
        <v>#N/A</v>
      </c>
      <c r="Z88" s="153" t="b">
        <f>+OR(COUNTIF(PROVEEDORES[[#This Row],[PROVEEDOR]],"*"&amp;'Palabra que no opera y Listas d'!$A$2&amp;"*"))</f>
        <v>0</v>
      </c>
    </row>
    <row r="89" spans="1:26" ht="27.75" customHeight="1" x14ac:dyDescent="0.3">
      <c r="A89" s="144" t="str">
        <f>+IF(PROVEEDORES[[#This Row],[FECHA DE PAGO]]=PROVEEDORES[[#This Row],[FECHA DE FACTURACIÓN]],"DE CONTADO","CRÉDITO")</f>
        <v>CRÉDITO</v>
      </c>
      <c r="B89" s="144" t="str">
        <f>+IF((PROVEEDORES[[#This Row],[FECHA DE PAGO]]-PROVEEDORES[[#This Row],[FECHA DE FACTURACIÓN]])&gt;PROVEEDORES[[#This Row],[PLAZO Días]],"PAGO VENCIDO")</f>
        <v>PAGO VENCIDO</v>
      </c>
      <c r="C89" s="144">
        <f>+VLOOKUP(PROVEEDORES[[#This Row],[PROVEEDOR]],TERCEROS_INFO[#All],2,FALSE)</f>
        <v>0</v>
      </c>
      <c r="D89" s="145">
        <f>+SUMIFS(PROVEEDORES[Total],PROVEEDORES[PROVEEDOR],PROVEEDORES[[#This Row],[PROVEEDOR]],PROVEEDORES[FECHA DE PAGO],"")</f>
        <v>1460000.29</v>
      </c>
      <c r="E89" s="146"/>
      <c r="F89" s="144" t="str">
        <f>+VLOOKUP(PROVEEDORES[[#This Row],[PROVEEDOR]],
                       Terceros!$A:$G,
                       5,
                       FALSE)</f>
        <v>2,5% con base</v>
      </c>
      <c r="G89" s="122">
        <v>44988</v>
      </c>
      <c r="H89" s="102" t="s">
        <v>142</v>
      </c>
      <c r="I89" s="122">
        <v>44957</v>
      </c>
      <c r="J89" s="103" t="s">
        <v>556</v>
      </c>
      <c r="K89" s="103" t="s">
        <v>1512</v>
      </c>
      <c r="L89" s="103"/>
      <c r="M89" s="105">
        <v>262185</v>
      </c>
      <c r="N89" s="147">
        <v>49815.15</v>
      </c>
      <c r="O89" s="147">
        <v>0</v>
      </c>
      <c r="P89" s="148">
        <v>0</v>
      </c>
      <c r="Q89" s="147">
        <v>0</v>
      </c>
      <c r="R89" s="149">
        <v>312000.15000000002</v>
      </c>
      <c r="S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" s="150">
        <f ca="1">+IF(PROVEEDORES[[#This Row],[FECHA DE PAGO]]=0,TODAY()-PROVEEDORES[[#This Row],[FECHA DE FACTURACIÓN]]-PROVEEDORES[[#This Row],[PLAZO Días]],0)</f>
        <v>0</v>
      </c>
      <c r="U89" s="150">
        <f>+VLOOKUP(PROVEEDORES[[#This Row],[PROVEEDOR]],Terceros!$A:$E,4,FALSE)</f>
        <v>0.19</v>
      </c>
      <c r="V89" s="150">
        <f>+YEAR(PROVEEDORES[[#This Row],[FECHA DE FACTURACIÓN]])</f>
        <v>2023</v>
      </c>
      <c r="W89" s="150">
        <f>+MATCH(PROVEEDORES[[#This Row],[año facturado]],Retenciones!$1:$1,0)</f>
        <v>6</v>
      </c>
      <c r="X89" s="151" t="e">
        <f>+VLOOKUP(PROVEEDORES[[#This Row],[ID RETENCION]],Retenciones!$A$1:$O$25,PROVEEDORES[[#This Row],[indicador de columna]],FALSE)</f>
        <v>#N/A</v>
      </c>
      <c r="Y89" s="152" t="e">
        <f>+VLOOKUP(PROVEEDORES[[#This Row],[ID RETENCION]],Retenciones!$A$1:$O$25,2,FALSE)</f>
        <v>#N/A</v>
      </c>
      <c r="Z89" s="153" t="b">
        <f>+OR(COUNTIF(PROVEEDORES[[#This Row],[PROVEEDOR]],"*"&amp;'Palabra que no opera y Listas d'!$A$2&amp;"*"))</f>
        <v>0</v>
      </c>
    </row>
    <row r="90" spans="1:26" ht="27.75" customHeight="1" x14ac:dyDescent="0.3">
      <c r="A90" s="144" t="str">
        <f>+IF(PROVEEDORES[[#This Row],[FECHA DE PAGO]]=PROVEEDORES[[#This Row],[FECHA DE FACTURACIÓN]],"DE CONTADO","CRÉDITO")</f>
        <v>CRÉDITO</v>
      </c>
      <c r="B90" s="144" t="str">
        <f>+IF((PROVEEDORES[[#This Row],[FECHA DE PAGO]]-PROVEEDORES[[#This Row],[FECHA DE FACTURACIÓN]])&gt;PROVEEDORES[[#This Row],[PLAZO Días]],"PAGO VENCIDO")</f>
        <v>PAGO VENCIDO</v>
      </c>
      <c r="C90" s="144">
        <f>+VLOOKUP(PROVEEDORES[[#This Row],[PROVEEDOR]],TERCEROS_INFO[#All],2,FALSE)</f>
        <v>0</v>
      </c>
      <c r="D90" s="145" t="e">
        <f>+SUMIFS(PROVEEDORES[Total],PROVEEDORES[PROVEEDOR],PROVEEDORES[[#This Row],[PROVEEDOR]],PROVEEDORES[FECHA DE PAGO],"")</f>
        <v>#N/A</v>
      </c>
      <c r="E90" s="146"/>
      <c r="F90" s="144">
        <f>+VLOOKUP(PROVEEDORES[[#This Row],[PROVEEDOR]],
                       Terceros!$A:$G,
                       5,
                       FALSE)</f>
        <v>0</v>
      </c>
      <c r="G90" s="122">
        <v>44988</v>
      </c>
      <c r="H90" s="102" t="s">
        <v>16</v>
      </c>
      <c r="I90" s="122">
        <v>44957</v>
      </c>
      <c r="J90" s="103" t="s">
        <v>573</v>
      </c>
      <c r="K90" s="103" t="s">
        <v>1512</v>
      </c>
      <c r="L90" s="103"/>
      <c r="M90" s="105">
        <v>412700</v>
      </c>
      <c r="N90" s="147">
        <v>78413</v>
      </c>
      <c r="O90" s="147">
        <v>0</v>
      </c>
      <c r="P90" s="148">
        <v>0</v>
      </c>
      <c r="Q90" s="147">
        <v>0</v>
      </c>
      <c r="R90" s="149">
        <v>491113</v>
      </c>
      <c r="S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" s="150">
        <f ca="1">+IF(PROVEEDORES[[#This Row],[FECHA DE PAGO]]=0,TODAY()-PROVEEDORES[[#This Row],[FECHA DE FACTURACIÓN]]-PROVEEDORES[[#This Row],[PLAZO Días]],0)</f>
        <v>0</v>
      </c>
      <c r="U90" s="150">
        <f>+VLOOKUP(PROVEEDORES[[#This Row],[PROVEEDOR]],Terceros!$A:$E,4,FALSE)</f>
        <v>0.19</v>
      </c>
      <c r="V90" s="150">
        <f>+YEAR(PROVEEDORES[[#This Row],[FECHA DE FACTURACIÓN]])</f>
        <v>2023</v>
      </c>
      <c r="W90" s="150">
        <f>+MATCH(PROVEEDORES[[#This Row],[año facturado]],Retenciones!$1:$1,0)</f>
        <v>6</v>
      </c>
      <c r="X90" s="151" t="e">
        <f>+VLOOKUP(PROVEEDORES[[#This Row],[ID RETENCION]],Retenciones!$A$1:$O$25,PROVEEDORES[[#This Row],[indicador de columna]],FALSE)</f>
        <v>#N/A</v>
      </c>
      <c r="Y90" s="152" t="e">
        <f>+VLOOKUP(PROVEEDORES[[#This Row],[ID RETENCION]],Retenciones!$A$1:$O$25,2,FALSE)</f>
        <v>#N/A</v>
      </c>
      <c r="Z90" s="153" t="b">
        <f>+OR(COUNTIF(PROVEEDORES[[#This Row],[PROVEEDOR]],"*"&amp;'Palabra que no opera y Listas d'!$A$2&amp;"*"))</f>
        <v>0</v>
      </c>
    </row>
    <row r="91" spans="1:26" ht="27.75" customHeight="1" x14ac:dyDescent="0.3">
      <c r="A91" s="144" t="str">
        <f>+IF(PROVEEDORES[[#This Row],[FECHA DE PAGO]]=PROVEEDORES[[#This Row],[FECHA DE FACTURACIÓN]],"DE CONTADO","CRÉDITO")</f>
        <v>CRÉDITO</v>
      </c>
      <c r="B91" s="144" t="str">
        <f>+IF((PROVEEDORES[[#This Row],[FECHA DE PAGO]]-PROVEEDORES[[#This Row],[FECHA DE FACTURACIÓN]])&gt;PROVEEDORES[[#This Row],[PLAZO Días]],"PAGO VENCIDO")</f>
        <v>PAGO VENCIDO</v>
      </c>
      <c r="C91" s="144">
        <f>+VLOOKUP(PROVEEDORES[[#This Row],[PROVEEDOR]],TERCEROS_INFO[#All],2,FALSE)</f>
        <v>0</v>
      </c>
      <c r="D91" s="145" t="e">
        <f>+SUMIFS(PROVEEDORES[Total],PROVEEDORES[PROVEEDOR],PROVEEDORES[[#This Row],[PROVEEDOR]],PROVEEDORES[FECHA DE PAGO],"")</f>
        <v>#N/A</v>
      </c>
      <c r="E91" s="146"/>
      <c r="F91" s="144">
        <f>+VLOOKUP(PROVEEDORES[[#This Row],[PROVEEDOR]],
                       Terceros!$A:$G,
                       5,
                       FALSE)</f>
        <v>0</v>
      </c>
      <c r="G91" s="122">
        <v>44988</v>
      </c>
      <c r="H91" s="102" t="s">
        <v>16</v>
      </c>
      <c r="I91" s="122">
        <v>44960</v>
      </c>
      <c r="J91" s="103" t="s">
        <v>564</v>
      </c>
      <c r="K91" s="103" t="s">
        <v>1512</v>
      </c>
      <c r="L91" s="103"/>
      <c r="M91" s="105">
        <v>-14300</v>
      </c>
      <c r="N91" s="147">
        <v>-2717</v>
      </c>
      <c r="O91" s="147">
        <v>0</v>
      </c>
      <c r="P91" s="148">
        <v>0</v>
      </c>
      <c r="Q91" s="147">
        <v>0</v>
      </c>
      <c r="R91" s="149">
        <v>-17017</v>
      </c>
      <c r="S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" s="150">
        <f ca="1">+IF(PROVEEDORES[[#This Row],[FECHA DE PAGO]]=0,TODAY()-PROVEEDORES[[#This Row],[FECHA DE FACTURACIÓN]]-PROVEEDORES[[#This Row],[PLAZO Días]],0)</f>
        <v>0</v>
      </c>
      <c r="U91" s="150">
        <f>+VLOOKUP(PROVEEDORES[[#This Row],[PROVEEDOR]],Terceros!$A:$E,4,FALSE)</f>
        <v>0.19</v>
      </c>
      <c r="V91" s="150">
        <f>+YEAR(PROVEEDORES[[#This Row],[FECHA DE FACTURACIÓN]])</f>
        <v>2023</v>
      </c>
      <c r="W91" s="150">
        <f>+MATCH(PROVEEDORES[[#This Row],[año facturado]],Retenciones!$1:$1,0)</f>
        <v>6</v>
      </c>
      <c r="X91" s="151" t="e">
        <f>+VLOOKUP(PROVEEDORES[[#This Row],[ID RETENCION]],Retenciones!$A$1:$O$25,PROVEEDORES[[#This Row],[indicador de columna]],FALSE)</f>
        <v>#N/A</v>
      </c>
      <c r="Y91" s="152" t="e">
        <f>+VLOOKUP(PROVEEDORES[[#This Row],[ID RETENCION]],Retenciones!$A$1:$O$25,2,FALSE)</f>
        <v>#N/A</v>
      </c>
      <c r="Z91" s="153" t="b">
        <f>+OR(COUNTIF(PROVEEDORES[[#This Row],[PROVEEDOR]],"*"&amp;'Palabra que no opera y Listas d'!$A$2&amp;"*"))</f>
        <v>0</v>
      </c>
    </row>
    <row r="92" spans="1:26" ht="27.75" customHeight="1" x14ac:dyDescent="0.3">
      <c r="A92" s="144" t="str">
        <f>+IF(PROVEEDORES[[#This Row],[FECHA DE PAGO]]=PROVEEDORES[[#This Row],[FECHA DE FACTURACIÓN]],"DE CONTADO","CRÉDITO")</f>
        <v>CRÉDITO</v>
      </c>
      <c r="B92" s="144" t="str">
        <f>+IF((PROVEEDORES[[#This Row],[FECHA DE PAGO]]-PROVEEDORES[[#This Row],[FECHA DE FACTURACIÓN]])&gt;PROVEEDORES[[#This Row],[PLAZO Días]],"PAGO VENCIDO")</f>
        <v>PAGO VENCIDO</v>
      </c>
      <c r="C92" s="144">
        <f>+VLOOKUP(PROVEEDORES[[#This Row],[PROVEEDOR]],TERCEROS_INFO[#All],2,FALSE)</f>
        <v>0</v>
      </c>
      <c r="D92" s="145" t="e">
        <f>+SUMIFS(PROVEEDORES[Total],PROVEEDORES[PROVEEDOR],PROVEEDORES[[#This Row],[PROVEEDOR]],PROVEEDORES[FECHA DE PAGO],"")</f>
        <v>#N/A</v>
      </c>
      <c r="E92" s="146"/>
      <c r="F92" s="144">
        <f>+VLOOKUP(PROVEEDORES[[#This Row],[PROVEEDOR]],
                       Terceros!$A:$G,
                       5,
                       FALSE)</f>
        <v>0</v>
      </c>
      <c r="G92" s="122">
        <v>44988</v>
      </c>
      <c r="H92" s="102" t="s">
        <v>16</v>
      </c>
      <c r="I92" s="122">
        <v>44960</v>
      </c>
      <c r="J92" s="103" t="s">
        <v>574</v>
      </c>
      <c r="K92" s="103" t="s">
        <v>1512</v>
      </c>
      <c r="L92" s="103"/>
      <c r="M92" s="105">
        <v>2018990</v>
      </c>
      <c r="N92" s="147">
        <v>383608.1</v>
      </c>
      <c r="O92" s="147">
        <v>0</v>
      </c>
      <c r="P92" s="148">
        <v>0</v>
      </c>
      <c r="Q92" s="147">
        <v>0</v>
      </c>
      <c r="R92" s="149">
        <v>2402598.1</v>
      </c>
      <c r="S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" s="150">
        <f ca="1">+IF(PROVEEDORES[[#This Row],[FECHA DE PAGO]]=0,TODAY()-PROVEEDORES[[#This Row],[FECHA DE FACTURACIÓN]]-PROVEEDORES[[#This Row],[PLAZO Días]],0)</f>
        <v>0</v>
      </c>
      <c r="U92" s="150">
        <f>+VLOOKUP(PROVEEDORES[[#This Row],[PROVEEDOR]],Terceros!$A:$E,4,FALSE)</f>
        <v>0.19</v>
      </c>
      <c r="V92" s="150">
        <f>+YEAR(PROVEEDORES[[#This Row],[FECHA DE FACTURACIÓN]])</f>
        <v>2023</v>
      </c>
      <c r="W92" s="150">
        <f>+MATCH(PROVEEDORES[[#This Row],[año facturado]],Retenciones!$1:$1,0)</f>
        <v>6</v>
      </c>
      <c r="X92" s="151" t="e">
        <f>+VLOOKUP(PROVEEDORES[[#This Row],[ID RETENCION]],Retenciones!$A$1:$O$25,PROVEEDORES[[#This Row],[indicador de columna]],FALSE)</f>
        <v>#N/A</v>
      </c>
      <c r="Y92" s="152" t="e">
        <f>+VLOOKUP(PROVEEDORES[[#This Row],[ID RETENCION]],Retenciones!$A$1:$O$25,2,FALSE)</f>
        <v>#N/A</v>
      </c>
      <c r="Z92" s="153" t="b">
        <f>+OR(COUNTIF(PROVEEDORES[[#This Row],[PROVEEDOR]],"*"&amp;'Palabra que no opera y Listas d'!$A$2&amp;"*"))</f>
        <v>0</v>
      </c>
    </row>
    <row r="93" spans="1:26" ht="27.75" customHeight="1" x14ac:dyDescent="0.3">
      <c r="A93" s="144" t="str">
        <f>+IF(PROVEEDORES[[#This Row],[FECHA DE PAGO]]=PROVEEDORES[[#This Row],[FECHA DE FACTURACIÓN]],"DE CONTADO","CRÉDITO")</f>
        <v>CRÉDITO</v>
      </c>
      <c r="B93" s="144" t="str">
        <f>+IF((PROVEEDORES[[#This Row],[FECHA DE PAGO]]-PROVEEDORES[[#This Row],[FECHA DE FACTURACIÓN]])&gt;PROVEEDORES[[#This Row],[PLAZO Días]],"PAGO VENCIDO")</f>
        <v>PAGO VENCIDO</v>
      </c>
      <c r="C93" s="144">
        <f>+VLOOKUP(PROVEEDORES[[#This Row],[PROVEEDOR]],TERCEROS_INFO[#All],2,FALSE)</f>
        <v>0</v>
      </c>
      <c r="D93" s="145">
        <f>+SUMIFS(PROVEEDORES[Total],PROVEEDORES[PROVEEDOR],PROVEEDORES[[#This Row],[PROVEEDOR]],PROVEEDORES[FECHA DE PAGO],"")</f>
        <v>28179645.060000002</v>
      </c>
      <c r="E93" s="146"/>
      <c r="F93" s="144">
        <f>+VLOOKUP(PROVEEDORES[[#This Row],[PROVEEDOR]],
                       Terceros!$A:$G,
                       5,
                       FALSE)</f>
        <v>0</v>
      </c>
      <c r="G93" s="122">
        <v>44988</v>
      </c>
      <c r="H93" s="102" t="s">
        <v>18</v>
      </c>
      <c r="I93" s="122">
        <v>44960</v>
      </c>
      <c r="J93" s="103" t="s">
        <v>565</v>
      </c>
      <c r="K93" s="103" t="s">
        <v>1512</v>
      </c>
      <c r="L93" s="103"/>
      <c r="M93" s="105">
        <v>8219280</v>
      </c>
      <c r="N93" s="147">
        <v>1561663.2</v>
      </c>
      <c r="O93" s="147">
        <v>0</v>
      </c>
      <c r="P93" s="148">
        <v>0</v>
      </c>
      <c r="Q93" s="147">
        <v>0</v>
      </c>
      <c r="R93" s="149">
        <v>9780943.1999999993</v>
      </c>
      <c r="S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" s="150">
        <f ca="1">+IF(PROVEEDORES[[#This Row],[FECHA DE PAGO]]=0,TODAY()-PROVEEDORES[[#This Row],[FECHA DE FACTURACIÓN]]-PROVEEDORES[[#This Row],[PLAZO Días]],0)</f>
        <v>0</v>
      </c>
      <c r="U93" s="150">
        <f>+VLOOKUP(PROVEEDORES[[#This Row],[PROVEEDOR]],Terceros!$A:$E,4,FALSE)</f>
        <v>0.19</v>
      </c>
      <c r="V93" s="150">
        <f>+YEAR(PROVEEDORES[[#This Row],[FECHA DE FACTURACIÓN]])</f>
        <v>2023</v>
      </c>
      <c r="W93" s="150">
        <f>+MATCH(PROVEEDORES[[#This Row],[año facturado]],Retenciones!$1:$1,0)</f>
        <v>6</v>
      </c>
      <c r="X93" s="151" t="e">
        <f>+VLOOKUP(PROVEEDORES[[#This Row],[ID RETENCION]],Retenciones!$A$1:$O$25,PROVEEDORES[[#This Row],[indicador de columna]],FALSE)</f>
        <v>#N/A</v>
      </c>
      <c r="Y93" s="152" t="e">
        <f>+VLOOKUP(PROVEEDORES[[#This Row],[ID RETENCION]],Retenciones!$A$1:$O$25,2,FALSE)</f>
        <v>#N/A</v>
      </c>
      <c r="Z93" s="153" t="b">
        <f>+OR(COUNTIF(PROVEEDORES[[#This Row],[PROVEEDOR]],"*"&amp;'Palabra que no opera y Listas d'!$A$2&amp;"*"))</f>
        <v>0</v>
      </c>
    </row>
    <row r="94" spans="1:26" ht="27.75" customHeight="1" x14ac:dyDescent="0.3">
      <c r="A94" s="144" t="str">
        <f>+IF(PROVEEDORES[[#This Row],[FECHA DE PAGO]]=PROVEEDORES[[#This Row],[FECHA DE FACTURACIÓN]],"DE CONTADO","CRÉDITO")</f>
        <v>CRÉDITO</v>
      </c>
      <c r="B94" s="144" t="str">
        <f>+IF((PROVEEDORES[[#This Row],[FECHA DE PAGO]]-PROVEEDORES[[#This Row],[FECHA DE FACTURACIÓN]])&gt;PROVEEDORES[[#This Row],[PLAZO Días]],"PAGO VENCIDO")</f>
        <v>PAGO VENCIDO</v>
      </c>
      <c r="C94" s="144">
        <f>+VLOOKUP(PROVEEDORES[[#This Row],[PROVEEDOR]],TERCEROS_INFO[#All],2,FALSE)</f>
        <v>0</v>
      </c>
      <c r="D94" s="145">
        <f>+SUMIFS(PROVEEDORES[Total],PROVEEDORES[PROVEEDOR],PROVEEDORES[[#This Row],[PROVEEDOR]],PROVEEDORES[FECHA DE PAGO],"")</f>
        <v>0</v>
      </c>
      <c r="E94" s="146"/>
      <c r="F94" s="144">
        <f>+VLOOKUP(PROVEEDORES[[#This Row],[PROVEEDOR]],
                       Terceros!$A:$G,
                       5,
                       FALSE)</f>
        <v>0</v>
      </c>
      <c r="G94" s="122">
        <v>44988</v>
      </c>
      <c r="H94" s="102" t="s">
        <v>1782</v>
      </c>
      <c r="I94" s="122">
        <v>44977</v>
      </c>
      <c r="J94" s="103" t="s">
        <v>603</v>
      </c>
      <c r="K94" s="103" t="s">
        <v>1512</v>
      </c>
      <c r="L94" s="103"/>
      <c r="M94" s="105">
        <v>1008000</v>
      </c>
      <c r="N94" s="147">
        <v>0</v>
      </c>
      <c r="O94" s="147">
        <v>0</v>
      </c>
      <c r="P94" s="148">
        <v>0</v>
      </c>
      <c r="Q94" s="147">
        <v>0</v>
      </c>
      <c r="R94" s="149">
        <v>1008000</v>
      </c>
      <c r="S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" s="150">
        <f ca="1">+IF(PROVEEDORES[[#This Row],[FECHA DE PAGO]]=0,TODAY()-PROVEEDORES[[#This Row],[FECHA DE FACTURACIÓN]]-PROVEEDORES[[#This Row],[PLAZO Días]],0)</f>
        <v>0</v>
      </c>
      <c r="U94" s="150">
        <f>+VLOOKUP(PROVEEDORES[[#This Row],[PROVEEDOR]],Terceros!$A:$E,4,FALSE)</f>
        <v>0</v>
      </c>
      <c r="V94" s="150">
        <f>+YEAR(PROVEEDORES[[#This Row],[FECHA DE FACTURACIÓN]])</f>
        <v>2023</v>
      </c>
      <c r="W94" s="150">
        <f>+MATCH(PROVEEDORES[[#This Row],[año facturado]],Retenciones!$1:$1,0)</f>
        <v>6</v>
      </c>
      <c r="X94" s="151">
        <f>+VLOOKUP(PROVEEDORES[[#This Row],[ID RETENCION]],Retenciones!$A$1:$O$25,PROVEEDORES[[#This Row],[indicador de columna]],FALSE)</f>
        <v>0</v>
      </c>
      <c r="Y94" s="152">
        <f>+VLOOKUP(PROVEEDORES[[#This Row],[ID RETENCION]],Retenciones!$A$1:$O$25,2,FALSE)</f>
        <v>0</v>
      </c>
      <c r="Z94" s="153" t="b">
        <f>+OR(COUNTIF(PROVEEDORES[[#This Row],[PROVEEDOR]],"*"&amp;'Palabra que no opera y Listas d'!$A$2&amp;"*"))</f>
        <v>0</v>
      </c>
    </row>
    <row r="95" spans="1:26" ht="27.75" customHeight="1" x14ac:dyDescent="0.3">
      <c r="A95" s="144" t="str">
        <f>+IF(PROVEEDORES[[#This Row],[FECHA DE PAGO]]=PROVEEDORES[[#This Row],[FECHA DE FACTURACIÓN]],"DE CONTADO","CRÉDITO")</f>
        <v>DE CONTADO</v>
      </c>
      <c r="B95" s="144" t="b">
        <f>+IF((PROVEEDORES[[#This Row],[FECHA DE PAGO]]-PROVEEDORES[[#This Row],[FECHA DE FACTURACIÓN]])&gt;PROVEEDORES[[#This Row],[PLAZO Días]],"PAGO VENCIDO")</f>
        <v>0</v>
      </c>
      <c r="C95" s="144">
        <f>+VLOOKUP(PROVEEDORES[[#This Row],[PROVEEDOR]],TERCEROS_INFO[#All],2,FALSE)</f>
        <v>0</v>
      </c>
      <c r="D95" s="145">
        <f>+SUMIFS(PROVEEDORES[Total],PROVEEDORES[PROVEEDOR],PROVEEDORES[[#This Row],[PROVEEDOR]],PROVEEDORES[FECHA DE PAGO],"")</f>
        <v>0</v>
      </c>
      <c r="E95" s="146"/>
      <c r="F95" s="144">
        <f>+VLOOKUP(PROVEEDORES[[#This Row],[PROVEEDOR]],
                       Terceros!$A:$G,
                       5,
                       FALSE)</f>
        <v>0</v>
      </c>
      <c r="G95" s="122">
        <v>44988</v>
      </c>
      <c r="H95" s="102" t="s">
        <v>1790</v>
      </c>
      <c r="I95" s="122">
        <v>44988</v>
      </c>
      <c r="J95" s="103" t="s">
        <v>636</v>
      </c>
      <c r="K95" s="103" t="s">
        <v>1512</v>
      </c>
      <c r="L95" s="103"/>
      <c r="M95" s="105">
        <v>171400</v>
      </c>
      <c r="N95" s="147">
        <v>0</v>
      </c>
      <c r="O95" s="147">
        <v>0</v>
      </c>
      <c r="P95" s="148">
        <v>0</v>
      </c>
      <c r="Q95" s="147">
        <v>0</v>
      </c>
      <c r="R95" s="149">
        <v>171400</v>
      </c>
      <c r="S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" s="150">
        <f ca="1">+IF(PROVEEDORES[[#This Row],[FECHA DE PAGO]]=0,TODAY()-PROVEEDORES[[#This Row],[FECHA DE FACTURACIÓN]]-PROVEEDORES[[#This Row],[PLAZO Días]],0)</f>
        <v>0</v>
      </c>
      <c r="U95" s="150">
        <f>+VLOOKUP(PROVEEDORES[[#This Row],[PROVEEDOR]],Terceros!$A:$E,4,FALSE)</f>
        <v>0</v>
      </c>
      <c r="V95" s="150">
        <f>+YEAR(PROVEEDORES[[#This Row],[FECHA DE FACTURACIÓN]])</f>
        <v>2023</v>
      </c>
      <c r="W95" s="150">
        <f>+MATCH(PROVEEDORES[[#This Row],[año facturado]],Retenciones!$1:$1,0)</f>
        <v>6</v>
      </c>
      <c r="X95" s="151">
        <f>+VLOOKUP(PROVEEDORES[[#This Row],[ID RETENCION]],Retenciones!$A$1:$O$25,PROVEEDORES[[#This Row],[indicador de columna]],FALSE)</f>
        <v>0</v>
      </c>
      <c r="Y95" s="152">
        <f>+VLOOKUP(PROVEEDORES[[#This Row],[ID RETENCION]],Retenciones!$A$1:$O$25,2,FALSE)</f>
        <v>0</v>
      </c>
      <c r="Z95" s="153" t="b">
        <f>+OR(COUNTIF(PROVEEDORES[[#This Row],[PROVEEDOR]],"*"&amp;'Palabra que no opera y Listas d'!$A$2&amp;"*"))</f>
        <v>1</v>
      </c>
    </row>
    <row r="96" spans="1:26" ht="27.75" customHeight="1" x14ac:dyDescent="0.3">
      <c r="A96" s="144" t="str">
        <f>+IF(PROVEEDORES[[#This Row],[FECHA DE PAGO]]=PROVEEDORES[[#This Row],[FECHA DE FACTURACIÓN]],"DE CONTADO","CRÉDITO")</f>
        <v>CRÉDITO</v>
      </c>
      <c r="B96" s="144" t="str">
        <f>+IF((PROVEEDORES[[#This Row],[FECHA DE PAGO]]-PROVEEDORES[[#This Row],[FECHA DE FACTURACIÓN]])&gt;PROVEEDORES[[#This Row],[PLAZO Días]],"PAGO VENCIDO")</f>
        <v>PAGO VENCIDO</v>
      </c>
      <c r="C96" s="144">
        <f>+VLOOKUP(PROVEEDORES[[#This Row],[PROVEEDOR]],TERCEROS_INFO[#All],2,FALSE)</f>
        <v>0</v>
      </c>
      <c r="D96" s="145">
        <f>+SUMIFS(PROVEEDORES[Total],PROVEEDORES[PROVEEDOR],PROVEEDORES[[#This Row],[PROVEEDOR]],PROVEEDORES[FECHA DE PAGO],"")</f>
        <v>0</v>
      </c>
      <c r="E96" s="146"/>
      <c r="F96" s="144" t="str">
        <f>+VLOOKUP(PROVEEDORES[[#This Row],[PROVEEDOR]],
                       Terceros!$A:$G,
                       5,
                       FALSE)</f>
        <v>2,5% con base</v>
      </c>
      <c r="G96" s="122">
        <v>44991</v>
      </c>
      <c r="H96" s="102" t="s">
        <v>559</v>
      </c>
      <c r="I96" s="122">
        <v>44957</v>
      </c>
      <c r="J96" s="103" t="s">
        <v>560</v>
      </c>
      <c r="K96" s="103" t="s">
        <v>1512</v>
      </c>
      <c r="L96" s="103"/>
      <c r="M96" s="105">
        <v>430000</v>
      </c>
      <c r="N96" s="147">
        <v>81700</v>
      </c>
      <c r="O96" s="147">
        <v>0</v>
      </c>
      <c r="P96" s="148">
        <v>0</v>
      </c>
      <c r="Q96" s="147">
        <v>0</v>
      </c>
      <c r="R96" s="149">
        <v>511700</v>
      </c>
      <c r="S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" s="150">
        <f ca="1">+IF(PROVEEDORES[[#This Row],[FECHA DE PAGO]]=0,TODAY()-PROVEEDORES[[#This Row],[FECHA DE FACTURACIÓN]]-PROVEEDORES[[#This Row],[PLAZO Días]],0)</f>
        <v>0</v>
      </c>
      <c r="U96" s="150">
        <f>+VLOOKUP(PROVEEDORES[[#This Row],[PROVEEDOR]],Terceros!$A:$E,4,FALSE)</f>
        <v>0.19</v>
      </c>
      <c r="V96" s="150">
        <f>+YEAR(PROVEEDORES[[#This Row],[FECHA DE FACTURACIÓN]])</f>
        <v>2023</v>
      </c>
      <c r="W96" s="150">
        <f>+MATCH(PROVEEDORES[[#This Row],[año facturado]],Retenciones!$1:$1,0)</f>
        <v>6</v>
      </c>
      <c r="X96" s="151" t="e">
        <f>+VLOOKUP(PROVEEDORES[[#This Row],[ID RETENCION]],Retenciones!$A$1:$O$25,PROVEEDORES[[#This Row],[indicador de columna]],FALSE)</f>
        <v>#N/A</v>
      </c>
      <c r="Y96" s="152" t="e">
        <f>+VLOOKUP(PROVEEDORES[[#This Row],[ID RETENCION]],Retenciones!$A$1:$O$25,2,FALSE)</f>
        <v>#N/A</v>
      </c>
      <c r="Z96" s="153" t="b">
        <f>+OR(COUNTIF(PROVEEDORES[[#This Row],[PROVEEDOR]],"*"&amp;'Palabra que no opera y Listas d'!$A$2&amp;"*"))</f>
        <v>0</v>
      </c>
    </row>
    <row r="97" spans="1:26" ht="27.75" customHeight="1" x14ac:dyDescent="0.3">
      <c r="A97" s="144" t="str">
        <f>+IF(PROVEEDORES[[#This Row],[FECHA DE PAGO]]=PROVEEDORES[[#This Row],[FECHA DE FACTURACIÓN]],"DE CONTADO","CRÉDITO")</f>
        <v>CRÉDITO</v>
      </c>
      <c r="B97" s="144" t="str">
        <f>+IF((PROVEEDORES[[#This Row],[FECHA DE PAGO]]-PROVEEDORES[[#This Row],[FECHA DE FACTURACIÓN]])&gt;PROVEEDORES[[#This Row],[PLAZO Días]],"PAGO VENCIDO")</f>
        <v>PAGO VENCIDO</v>
      </c>
      <c r="C97" s="144">
        <f>+VLOOKUP(PROVEEDORES[[#This Row],[PROVEEDOR]],TERCEROS_INFO[#All],2,FALSE)</f>
        <v>0</v>
      </c>
      <c r="D97" s="145">
        <f>+SUMIFS(PROVEEDORES[Total],PROVEEDORES[PROVEEDOR],PROVEEDORES[[#This Row],[PROVEEDOR]],PROVEEDORES[FECHA DE PAGO],"")</f>
        <v>0</v>
      </c>
      <c r="E97" s="146"/>
      <c r="F97" s="144" t="str">
        <f>+VLOOKUP(PROVEEDORES[[#This Row],[PROVEEDOR]],
                       Terceros!$A:$G,
                       5,
                       FALSE)</f>
        <v>3,5% sin base</v>
      </c>
      <c r="G97" s="122">
        <v>44991</v>
      </c>
      <c r="H97" s="102" t="s">
        <v>400</v>
      </c>
      <c r="I97" s="122">
        <v>44966</v>
      </c>
      <c r="J97" s="103" t="s">
        <v>561</v>
      </c>
      <c r="K97" s="103" t="s">
        <v>1512</v>
      </c>
      <c r="L97" s="103"/>
      <c r="M97" s="105">
        <v>1520000</v>
      </c>
      <c r="N97" s="147">
        <v>0</v>
      </c>
      <c r="O97" s="147">
        <v>0</v>
      </c>
      <c r="P97" s="148">
        <v>3.5000000000000003E-2</v>
      </c>
      <c r="Q97" s="147">
        <v>53200.000000000007</v>
      </c>
      <c r="R97" s="149">
        <v>1466800</v>
      </c>
      <c r="S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" s="150">
        <f ca="1">+IF(PROVEEDORES[[#This Row],[FECHA DE PAGO]]=0,TODAY()-PROVEEDORES[[#This Row],[FECHA DE FACTURACIÓN]]-PROVEEDORES[[#This Row],[PLAZO Días]],0)</f>
        <v>0</v>
      </c>
      <c r="U97" s="150">
        <f>+VLOOKUP(PROVEEDORES[[#This Row],[PROVEEDOR]],Terceros!$A:$E,4,FALSE)</f>
        <v>0</v>
      </c>
      <c r="V97" s="150">
        <f>+YEAR(PROVEEDORES[[#This Row],[FECHA DE FACTURACIÓN]])</f>
        <v>2023</v>
      </c>
      <c r="W97" s="150">
        <f>+MATCH(PROVEEDORES[[#This Row],[año facturado]],Retenciones!$1:$1,0)</f>
        <v>6</v>
      </c>
      <c r="X97" s="151">
        <f>+VLOOKUP(PROVEEDORES[[#This Row],[ID RETENCION]],Retenciones!$A$1:$O$25,PROVEEDORES[[#This Row],[indicador de columna]],FALSE)</f>
        <v>0</v>
      </c>
      <c r="Y97" s="152">
        <f>+VLOOKUP(PROVEEDORES[[#This Row],[ID RETENCION]],Retenciones!$A$1:$O$25,2,FALSE)</f>
        <v>0</v>
      </c>
      <c r="Z97" s="153" t="b">
        <f>+OR(COUNTIF(PROVEEDORES[[#This Row],[PROVEEDOR]],"*"&amp;'Palabra que no opera y Listas d'!$A$2&amp;"*"))</f>
        <v>1</v>
      </c>
    </row>
    <row r="98" spans="1:26" ht="27.75" customHeight="1" x14ac:dyDescent="0.3">
      <c r="A98" s="144" t="str">
        <f>+IF(PROVEEDORES[[#This Row],[FECHA DE PAGO]]=PROVEEDORES[[#This Row],[FECHA DE FACTURACIÓN]],"DE CONTADO","CRÉDITO")</f>
        <v>DE CONTADO</v>
      </c>
      <c r="B98" s="144" t="b">
        <f>+IF((PROVEEDORES[[#This Row],[FECHA DE PAGO]]-PROVEEDORES[[#This Row],[FECHA DE FACTURACIÓN]])&gt;PROVEEDORES[[#This Row],[PLAZO Días]],"PAGO VENCIDO")</f>
        <v>0</v>
      </c>
      <c r="C98" s="144">
        <f>+VLOOKUP(PROVEEDORES[[#This Row],[PROVEEDOR]],TERCEROS_INFO[#All],2,FALSE)</f>
        <v>0</v>
      </c>
      <c r="D98" s="145">
        <f>+SUMIFS(PROVEEDORES[Total],PROVEEDORES[PROVEEDOR],PROVEEDORES[[#This Row],[PROVEEDOR]],PROVEEDORES[FECHA DE PAGO],"")</f>
        <v>0</v>
      </c>
      <c r="E98" s="146"/>
      <c r="F98" s="144" t="str">
        <f>+VLOOKUP(PROVEEDORES[[#This Row],[PROVEEDOR]],
                       Terceros!$A:$G,
                       5,
                       FALSE)</f>
        <v>2,5% con base</v>
      </c>
      <c r="G98" s="122">
        <v>44991</v>
      </c>
      <c r="H98" s="102" t="s">
        <v>214</v>
      </c>
      <c r="I98" s="122">
        <v>44991</v>
      </c>
      <c r="J98" s="103">
        <v>6922</v>
      </c>
      <c r="K98" s="103" t="s">
        <v>1512</v>
      </c>
      <c r="L98" s="103"/>
      <c r="M98" s="105">
        <v>4100000</v>
      </c>
      <c r="N98" s="147">
        <v>779000</v>
      </c>
      <c r="O98" s="147">
        <v>0</v>
      </c>
      <c r="P98" s="148">
        <v>2.5000000000000001E-2</v>
      </c>
      <c r="Q98" s="147">
        <v>102500</v>
      </c>
      <c r="R98" s="149">
        <v>4776500</v>
      </c>
      <c r="S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" s="150">
        <f ca="1">+IF(PROVEEDORES[[#This Row],[FECHA DE PAGO]]=0,TODAY()-PROVEEDORES[[#This Row],[FECHA DE FACTURACIÓN]]-PROVEEDORES[[#This Row],[PLAZO Días]],0)</f>
        <v>0</v>
      </c>
      <c r="U98" s="150">
        <f>+VLOOKUP(PROVEEDORES[[#This Row],[PROVEEDOR]],Terceros!$A:$E,4,FALSE)</f>
        <v>0.19</v>
      </c>
      <c r="V98" s="150">
        <f>+YEAR(PROVEEDORES[[#This Row],[FECHA DE FACTURACIÓN]])</f>
        <v>2023</v>
      </c>
      <c r="W98" s="150">
        <f>+MATCH(PROVEEDORES[[#This Row],[año facturado]],Retenciones!$1:$1,0)</f>
        <v>6</v>
      </c>
      <c r="X98" s="151" t="e">
        <f>+VLOOKUP(PROVEEDORES[[#This Row],[ID RETENCION]],Retenciones!$A$1:$O$25,PROVEEDORES[[#This Row],[indicador de columna]],FALSE)</f>
        <v>#N/A</v>
      </c>
      <c r="Y98" s="152" t="e">
        <f>+VLOOKUP(PROVEEDORES[[#This Row],[ID RETENCION]],Retenciones!$A$1:$O$25,2,FALSE)</f>
        <v>#N/A</v>
      </c>
      <c r="Z98" s="153" t="b">
        <f>+OR(COUNTIF(PROVEEDORES[[#This Row],[PROVEEDOR]],"*"&amp;'Palabra que no opera y Listas d'!$A$2&amp;"*"))</f>
        <v>0</v>
      </c>
    </row>
    <row r="99" spans="1:26" ht="27.75" customHeight="1" x14ac:dyDescent="0.3">
      <c r="A99" s="144" t="str">
        <f>+IF(PROVEEDORES[[#This Row],[FECHA DE PAGO]]=PROVEEDORES[[#This Row],[FECHA DE FACTURACIÓN]],"DE CONTADO","CRÉDITO")</f>
        <v>DE CONTADO</v>
      </c>
      <c r="B99" s="144" t="b">
        <f>+IF((PROVEEDORES[[#This Row],[FECHA DE PAGO]]-PROVEEDORES[[#This Row],[FECHA DE FACTURACIÓN]])&gt;PROVEEDORES[[#This Row],[PLAZO Días]],"PAGO VENCIDO")</f>
        <v>0</v>
      </c>
      <c r="C99" s="144">
        <f>+VLOOKUP(PROVEEDORES[[#This Row],[PROVEEDOR]],TERCEROS_INFO[#All],2,FALSE)</f>
        <v>0</v>
      </c>
      <c r="D99" s="145">
        <f>+SUMIFS(PROVEEDORES[Total],PROVEEDORES[PROVEEDOR],PROVEEDORES[[#This Row],[PROVEEDOR]],PROVEEDORES[FECHA DE PAGO],"")</f>
        <v>0</v>
      </c>
      <c r="E99" s="146"/>
      <c r="F99" s="144" t="str">
        <f>+VLOOKUP(PROVEEDORES[[#This Row],[PROVEEDOR]],
                       Terceros!$A:$G,
                       5,
                       FALSE)</f>
        <v>2,5% con base</v>
      </c>
      <c r="G99" s="122">
        <v>44991</v>
      </c>
      <c r="H99" s="102" t="s">
        <v>306</v>
      </c>
      <c r="I99" s="122">
        <v>44991</v>
      </c>
      <c r="J99" s="103" t="s">
        <v>614</v>
      </c>
      <c r="K99" s="103" t="s">
        <v>1512</v>
      </c>
      <c r="L99" s="103"/>
      <c r="M99" s="105">
        <v>1682849</v>
      </c>
      <c r="N99" s="147">
        <v>319741.31</v>
      </c>
      <c r="O99" s="147">
        <v>0</v>
      </c>
      <c r="P99" s="148">
        <v>2.5000000000000001E-2</v>
      </c>
      <c r="Q99" s="147">
        <v>42071.225000000006</v>
      </c>
      <c r="R99" s="149">
        <v>1960519.085</v>
      </c>
      <c r="S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" s="150">
        <f ca="1">+IF(PROVEEDORES[[#This Row],[FECHA DE PAGO]]=0,TODAY()-PROVEEDORES[[#This Row],[FECHA DE FACTURACIÓN]]-PROVEEDORES[[#This Row],[PLAZO Días]],0)</f>
        <v>0</v>
      </c>
      <c r="U99" s="150">
        <f>+VLOOKUP(PROVEEDORES[[#This Row],[PROVEEDOR]],Terceros!$A:$E,4,FALSE)</f>
        <v>0.19</v>
      </c>
      <c r="V99" s="150">
        <f>+YEAR(PROVEEDORES[[#This Row],[FECHA DE FACTURACIÓN]])</f>
        <v>2023</v>
      </c>
      <c r="W99" s="150">
        <f>+MATCH(PROVEEDORES[[#This Row],[año facturado]],Retenciones!$1:$1,0)</f>
        <v>6</v>
      </c>
      <c r="X99" s="151" t="e">
        <f>+VLOOKUP(PROVEEDORES[[#This Row],[ID RETENCION]],Retenciones!$A$1:$O$25,PROVEEDORES[[#This Row],[indicador de columna]],FALSE)</f>
        <v>#N/A</v>
      </c>
      <c r="Y99" s="152" t="e">
        <f>+VLOOKUP(PROVEEDORES[[#This Row],[ID RETENCION]],Retenciones!$A$1:$O$25,2,FALSE)</f>
        <v>#N/A</v>
      </c>
      <c r="Z99" s="153" t="b">
        <f>+OR(COUNTIF(PROVEEDORES[[#This Row],[PROVEEDOR]],"*"&amp;'Palabra que no opera y Listas d'!$A$2&amp;"*"))</f>
        <v>0</v>
      </c>
    </row>
    <row r="100" spans="1:26" ht="27.75" customHeight="1" x14ac:dyDescent="0.3">
      <c r="A100" s="144" t="str">
        <f>+IF(PROVEEDORES[[#This Row],[FECHA DE PAGO]]=PROVEEDORES[[#This Row],[FECHA DE FACTURACIÓN]],"DE CONTADO","CRÉDITO")</f>
        <v>DE CONTADO</v>
      </c>
      <c r="B100" s="144" t="b">
        <f>+IF((PROVEEDORES[[#This Row],[FECHA DE PAGO]]-PROVEEDORES[[#This Row],[FECHA DE FACTURACIÓN]])&gt;PROVEEDORES[[#This Row],[PLAZO Días]],"PAGO VENCIDO")</f>
        <v>0</v>
      </c>
      <c r="C100" s="144">
        <f>+VLOOKUP(PROVEEDORES[[#This Row],[PROVEEDOR]],TERCEROS_INFO[#All],2,FALSE)</f>
        <v>0</v>
      </c>
      <c r="D100" s="145">
        <f>+SUMIFS(PROVEEDORES[Total],PROVEEDORES[PROVEEDOR],PROVEEDORES[[#This Row],[PROVEEDOR]],PROVEEDORES[FECHA DE PAGO],"")</f>
        <v>0</v>
      </c>
      <c r="E100" s="146"/>
      <c r="F100" s="144">
        <f>+VLOOKUP(PROVEEDORES[[#This Row],[PROVEEDOR]],
                       Terceros!$A:$G,
                       5,
                       FALSE)</f>
        <v>0</v>
      </c>
      <c r="G100" s="122">
        <v>44991</v>
      </c>
      <c r="H100" s="102" t="s">
        <v>1791</v>
      </c>
      <c r="I100" s="122">
        <v>44991</v>
      </c>
      <c r="J100" s="103" t="s">
        <v>671</v>
      </c>
      <c r="K100" s="103" t="s">
        <v>1512</v>
      </c>
      <c r="L100" s="103"/>
      <c r="M100" s="105">
        <v>430000</v>
      </c>
      <c r="N100" s="147">
        <v>0</v>
      </c>
      <c r="O100" s="147">
        <v>0</v>
      </c>
      <c r="P100" s="148">
        <v>0</v>
      </c>
      <c r="Q100" s="147">
        <v>0</v>
      </c>
      <c r="R100" s="149">
        <v>430000</v>
      </c>
      <c r="S1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" s="150">
        <f ca="1">+IF(PROVEEDORES[[#This Row],[FECHA DE PAGO]]=0,TODAY()-PROVEEDORES[[#This Row],[FECHA DE FACTURACIÓN]]-PROVEEDORES[[#This Row],[PLAZO Días]],0)</f>
        <v>0</v>
      </c>
      <c r="U100" s="150">
        <f>+VLOOKUP(PROVEEDORES[[#This Row],[PROVEEDOR]],Terceros!$A:$E,4,FALSE)</f>
        <v>0</v>
      </c>
      <c r="V100" s="150">
        <f>+YEAR(PROVEEDORES[[#This Row],[FECHA DE FACTURACIÓN]])</f>
        <v>2023</v>
      </c>
      <c r="W100" s="150">
        <f>+MATCH(PROVEEDORES[[#This Row],[año facturado]],Retenciones!$1:$1,0)</f>
        <v>6</v>
      </c>
      <c r="X100" s="151">
        <f>+VLOOKUP(PROVEEDORES[[#This Row],[ID RETENCION]],Retenciones!$A$1:$O$25,PROVEEDORES[[#This Row],[indicador de columna]],FALSE)</f>
        <v>0</v>
      </c>
      <c r="Y100" s="152">
        <f>+VLOOKUP(PROVEEDORES[[#This Row],[ID RETENCION]],Retenciones!$A$1:$O$25,2,FALSE)</f>
        <v>0</v>
      </c>
      <c r="Z100" s="153" t="b">
        <f>+OR(COUNTIF(PROVEEDORES[[#This Row],[PROVEEDOR]],"*"&amp;'Palabra que no opera y Listas d'!$A$2&amp;"*"))</f>
        <v>0</v>
      </c>
    </row>
    <row r="101" spans="1:26" ht="27.75" customHeight="1" x14ac:dyDescent="0.3">
      <c r="A101" s="144" t="str">
        <f>+IF(PROVEEDORES[[#This Row],[FECHA DE PAGO]]=PROVEEDORES[[#This Row],[FECHA DE FACTURACIÓN]],"DE CONTADO","CRÉDITO")</f>
        <v>DE CONTADO</v>
      </c>
      <c r="B101" s="144" t="b">
        <f>+IF((PROVEEDORES[[#This Row],[FECHA DE PAGO]]-PROVEEDORES[[#This Row],[FECHA DE FACTURACIÓN]])&gt;PROVEEDORES[[#This Row],[PLAZO Días]],"PAGO VENCIDO")</f>
        <v>0</v>
      </c>
      <c r="C101" s="144">
        <f>+VLOOKUP(PROVEEDORES[[#This Row],[PROVEEDOR]],TERCEROS_INFO[#All],2,FALSE)</f>
        <v>0</v>
      </c>
      <c r="D101" s="145">
        <f>+SUMIFS(PROVEEDORES[Total],PROVEEDORES[PROVEEDOR],PROVEEDORES[[#This Row],[PROVEEDOR]],PROVEEDORES[FECHA DE PAGO],"")</f>
        <v>0</v>
      </c>
      <c r="E101" s="146"/>
      <c r="F101" s="144">
        <f>+VLOOKUP(PROVEEDORES[[#This Row],[PROVEEDOR]],
                       Terceros!$A:$G,
                       5,
                       FALSE)</f>
        <v>0</v>
      </c>
      <c r="G101" s="122">
        <v>44991</v>
      </c>
      <c r="H101" s="102" t="s">
        <v>85</v>
      </c>
      <c r="I101" s="122">
        <v>44991</v>
      </c>
      <c r="J101" s="103" t="s">
        <v>698</v>
      </c>
      <c r="K101" s="103" t="s">
        <v>1512</v>
      </c>
      <c r="L101" s="103"/>
      <c r="M101" s="105">
        <v>1930000</v>
      </c>
      <c r="N101" s="147">
        <v>0</v>
      </c>
      <c r="O101" s="147">
        <v>0</v>
      </c>
      <c r="P101" s="148">
        <v>0</v>
      </c>
      <c r="Q101" s="147">
        <v>0</v>
      </c>
      <c r="R101" s="149">
        <v>1930000</v>
      </c>
      <c r="S1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" s="150">
        <f ca="1">+IF(PROVEEDORES[[#This Row],[FECHA DE PAGO]]=0,TODAY()-PROVEEDORES[[#This Row],[FECHA DE FACTURACIÓN]]-PROVEEDORES[[#This Row],[PLAZO Días]],0)</f>
        <v>0</v>
      </c>
      <c r="U101" s="150">
        <f>+VLOOKUP(PROVEEDORES[[#This Row],[PROVEEDOR]],Terceros!$A:$E,4,FALSE)</f>
        <v>0</v>
      </c>
      <c r="V101" s="150">
        <f>+YEAR(PROVEEDORES[[#This Row],[FECHA DE FACTURACIÓN]])</f>
        <v>2023</v>
      </c>
      <c r="W101" s="150">
        <f>+MATCH(PROVEEDORES[[#This Row],[año facturado]],Retenciones!$1:$1,0)</f>
        <v>6</v>
      </c>
      <c r="X101" s="151">
        <f>+VLOOKUP(PROVEEDORES[[#This Row],[ID RETENCION]],Retenciones!$A$1:$O$25,PROVEEDORES[[#This Row],[indicador de columna]],FALSE)</f>
        <v>0</v>
      </c>
      <c r="Y101" s="152">
        <f>+VLOOKUP(PROVEEDORES[[#This Row],[ID RETENCION]],Retenciones!$A$1:$O$25,2,FALSE)</f>
        <v>0</v>
      </c>
      <c r="Z101" s="153" t="b">
        <f>+OR(COUNTIF(PROVEEDORES[[#This Row],[PROVEEDOR]],"*"&amp;'Palabra que no opera y Listas d'!$A$2&amp;"*"))</f>
        <v>0</v>
      </c>
    </row>
    <row r="102" spans="1:26" ht="27.75" customHeight="1" x14ac:dyDescent="0.3">
      <c r="A102" s="144" t="str">
        <f>+IF(PROVEEDORES[[#This Row],[FECHA DE PAGO]]=PROVEEDORES[[#This Row],[FECHA DE FACTURACIÓN]],"DE CONTADO","CRÉDITO")</f>
        <v>DE CONTADO</v>
      </c>
      <c r="B102" s="144" t="b">
        <f>+IF((PROVEEDORES[[#This Row],[FECHA DE PAGO]]-PROVEEDORES[[#This Row],[FECHA DE FACTURACIÓN]])&gt;PROVEEDORES[[#This Row],[PLAZO Días]],"PAGO VENCIDO")</f>
        <v>0</v>
      </c>
      <c r="C102" s="144">
        <f>+VLOOKUP(PROVEEDORES[[#This Row],[PROVEEDOR]],TERCEROS_INFO[#All],2,FALSE)</f>
        <v>0</v>
      </c>
      <c r="D102" s="145">
        <f>+SUMIFS(PROVEEDORES[Total],PROVEEDORES[PROVEEDOR],PROVEEDORES[[#This Row],[PROVEEDOR]],PROVEEDORES[FECHA DE PAGO],"")</f>
        <v>8493745.8849999998</v>
      </c>
      <c r="E102" s="146"/>
      <c r="F102" s="144" t="str">
        <f>+VLOOKUP(PROVEEDORES[[#This Row],[PROVEEDOR]],
                       Terceros!$A:$G,
                       5,
                       FALSE)</f>
        <v>2,5% con base</v>
      </c>
      <c r="G102" s="122">
        <v>44991</v>
      </c>
      <c r="H102" s="102" t="s">
        <v>10</v>
      </c>
      <c r="I102" s="122">
        <v>44991</v>
      </c>
      <c r="J102" s="103" t="s">
        <v>627</v>
      </c>
      <c r="K102" s="103" t="s">
        <v>1512</v>
      </c>
      <c r="L102" s="103"/>
      <c r="M102" s="105">
        <v>350379</v>
      </c>
      <c r="N102" s="147">
        <v>66572.009999999995</v>
      </c>
      <c r="O102" s="147">
        <v>0</v>
      </c>
      <c r="P102" s="148">
        <v>0</v>
      </c>
      <c r="Q102" s="147">
        <v>0</v>
      </c>
      <c r="R102" s="149">
        <v>416951.01</v>
      </c>
      <c r="S1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" s="150">
        <f ca="1">+IF(PROVEEDORES[[#This Row],[FECHA DE PAGO]]=0,TODAY()-PROVEEDORES[[#This Row],[FECHA DE FACTURACIÓN]]-PROVEEDORES[[#This Row],[PLAZO Días]],0)</f>
        <v>0</v>
      </c>
      <c r="U102" s="150">
        <f>+VLOOKUP(PROVEEDORES[[#This Row],[PROVEEDOR]],Terceros!$A:$E,4,FALSE)</f>
        <v>0.19</v>
      </c>
      <c r="V102" s="150">
        <f>+YEAR(PROVEEDORES[[#This Row],[FECHA DE FACTURACIÓN]])</f>
        <v>2023</v>
      </c>
      <c r="W102" s="150">
        <f>+MATCH(PROVEEDORES[[#This Row],[año facturado]],Retenciones!$1:$1,0)</f>
        <v>6</v>
      </c>
      <c r="X102" s="151" t="e">
        <f>+VLOOKUP(PROVEEDORES[[#This Row],[ID RETENCION]],Retenciones!$A$1:$O$25,PROVEEDORES[[#This Row],[indicador de columna]],FALSE)</f>
        <v>#N/A</v>
      </c>
      <c r="Y102" s="152" t="e">
        <f>+VLOOKUP(PROVEEDORES[[#This Row],[ID RETENCION]],Retenciones!$A$1:$O$25,2,FALSE)</f>
        <v>#N/A</v>
      </c>
      <c r="Z102" s="153" t="b">
        <f>+OR(COUNTIF(PROVEEDORES[[#This Row],[PROVEEDOR]],"*"&amp;'Palabra que no opera y Listas d'!$A$2&amp;"*"))</f>
        <v>0</v>
      </c>
    </row>
    <row r="103" spans="1:26" ht="27.75" customHeight="1" x14ac:dyDescent="0.3">
      <c r="A103" s="144" t="str">
        <f>+IF(PROVEEDORES[[#This Row],[FECHA DE PAGO]]=PROVEEDORES[[#This Row],[FECHA DE FACTURACIÓN]],"DE CONTADO","CRÉDITO")</f>
        <v>CRÉDITO</v>
      </c>
      <c r="B103" s="144" t="str">
        <f>+IF((PROVEEDORES[[#This Row],[FECHA DE PAGO]]-PROVEEDORES[[#This Row],[FECHA DE FACTURACIÓN]])&gt;PROVEEDORES[[#This Row],[PLAZO Días]],"PAGO VENCIDO")</f>
        <v>PAGO VENCIDO</v>
      </c>
      <c r="C103" s="144">
        <f>+VLOOKUP(PROVEEDORES[[#This Row],[PROVEEDOR]],TERCEROS_INFO[#All],2,FALSE)</f>
        <v>0</v>
      </c>
      <c r="D103" s="145">
        <f>+SUMIFS(PROVEEDORES[Total],PROVEEDORES[PROVEEDOR],PROVEEDORES[[#This Row],[PROVEEDOR]],PROVEEDORES[FECHA DE PAGO],"")</f>
        <v>26134091.5</v>
      </c>
      <c r="E103" s="146"/>
      <c r="F103" s="144">
        <f>+VLOOKUP(PROVEEDORES[[#This Row],[PROVEEDOR]],
                       Terceros!$A:$G,
                       5,
                       FALSE)</f>
        <v>0</v>
      </c>
      <c r="G103" s="122">
        <v>44992</v>
      </c>
      <c r="H103" s="102" t="s">
        <v>238</v>
      </c>
      <c r="I103" s="122">
        <v>44927</v>
      </c>
      <c r="J103" s="103">
        <v>1585</v>
      </c>
      <c r="K103" s="103" t="s">
        <v>1512</v>
      </c>
      <c r="L103" s="103"/>
      <c r="M103" s="105">
        <v>192000</v>
      </c>
      <c r="N103" s="147">
        <v>0</v>
      </c>
      <c r="O103" s="147">
        <v>0</v>
      </c>
      <c r="P103" s="148">
        <v>0</v>
      </c>
      <c r="Q103" s="147">
        <v>0</v>
      </c>
      <c r="R103" s="149">
        <v>192000</v>
      </c>
      <c r="S1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" s="150">
        <f ca="1">+IF(PROVEEDORES[[#This Row],[FECHA DE PAGO]]=0,TODAY()-PROVEEDORES[[#This Row],[FECHA DE FACTURACIÓN]]-PROVEEDORES[[#This Row],[PLAZO Días]],0)</f>
        <v>0</v>
      </c>
      <c r="U103" s="150">
        <f>+VLOOKUP(PROVEEDORES[[#This Row],[PROVEEDOR]],Terceros!$A:$E,4,FALSE)</f>
        <v>0</v>
      </c>
      <c r="V103" s="150">
        <f>+YEAR(PROVEEDORES[[#This Row],[FECHA DE FACTURACIÓN]])</f>
        <v>2023</v>
      </c>
      <c r="W103" s="150">
        <f>+MATCH(PROVEEDORES[[#This Row],[año facturado]],Retenciones!$1:$1,0)</f>
        <v>6</v>
      </c>
      <c r="X103" s="151">
        <f>+VLOOKUP(PROVEEDORES[[#This Row],[ID RETENCION]],Retenciones!$A$1:$O$25,PROVEEDORES[[#This Row],[indicador de columna]],FALSE)</f>
        <v>0</v>
      </c>
      <c r="Y103" s="152">
        <f>+VLOOKUP(PROVEEDORES[[#This Row],[ID RETENCION]],Retenciones!$A$1:$O$25,2,FALSE)</f>
        <v>0</v>
      </c>
      <c r="Z103" s="153" t="b">
        <f>+OR(COUNTIF(PROVEEDORES[[#This Row],[PROVEEDOR]],"*"&amp;'Palabra que no opera y Listas d'!$A$2&amp;"*"))</f>
        <v>0</v>
      </c>
    </row>
    <row r="104" spans="1:26" ht="27.75" customHeight="1" x14ac:dyDescent="0.3">
      <c r="A104" s="144" t="str">
        <f>+IF(PROVEEDORES[[#This Row],[FECHA DE PAGO]]=PROVEEDORES[[#This Row],[FECHA DE FACTURACIÓN]],"DE CONTADO","CRÉDITO")</f>
        <v>CRÉDITO</v>
      </c>
      <c r="B104" s="144" t="str">
        <f>+IF((PROVEEDORES[[#This Row],[FECHA DE PAGO]]-PROVEEDORES[[#This Row],[FECHA DE FACTURACIÓN]])&gt;PROVEEDORES[[#This Row],[PLAZO Días]],"PAGO VENCIDO")</f>
        <v>PAGO VENCIDO</v>
      </c>
      <c r="C104" s="144">
        <f>+VLOOKUP(PROVEEDORES[[#This Row],[PROVEEDOR]],TERCEROS_INFO[#All],2,FALSE)</f>
        <v>0</v>
      </c>
      <c r="D104" s="145">
        <f>+SUMIFS(PROVEEDORES[Total],PROVEEDORES[PROVEEDOR],PROVEEDORES[[#This Row],[PROVEEDOR]],PROVEEDORES[FECHA DE PAGO],"")</f>
        <v>26134091.5</v>
      </c>
      <c r="E104" s="146"/>
      <c r="F104" s="144">
        <f>+VLOOKUP(PROVEEDORES[[#This Row],[PROVEEDOR]],
                       Terceros!$A:$G,
                       5,
                       FALSE)</f>
        <v>0</v>
      </c>
      <c r="G104" s="122">
        <v>44992</v>
      </c>
      <c r="H104" s="102" t="s">
        <v>238</v>
      </c>
      <c r="I104" s="122">
        <v>44927</v>
      </c>
      <c r="J104" s="103">
        <v>1586</v>
      </c>
      <c r="K104" s="103" t="s">
        <v>1512</v>
      </c>
      <c r="L104" s="103"/>
      <c r="M104" s="105">
        <v>192000</v>
      </c>
      <c r="N104" s="147">
        <v>0</v>
      </c>
      <c r="O104" s="147">
        <v>0</v>
      </c>
      <c r="P104" s="148">
        <v>0</v>
      </c>
      <c r="Q104" s="147">
        <v>0</v>
      </c>
      <c r="R104" s="149">
        <v>192000</v>
      </c>
      <c r="S1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" s="150">
        <f ca="1">+IF(PROVEEDORES[[#This Row],[FECHA DE PAGO]]=0,TODAY()-PROVEEDORES[[#This Row],[FECHA DE FACTURACIÓN]]-PROVEEDORES[[#This Row],[PLAZO Días]],0)</f>
        <v>0</v>
      </c>
      <c r="U104" s="150">
        <f>+VLOOKUP(PROVEEDORES[[#This Row],[PROVEEDOR]],Terceros!$A:$E,4,FALSE)</f>
        <v>0</v>
      </c>
      <c r="V104" s="150">
        <f>+YEAR(PROVEEDORES[[#This Row],[FECHA DE FACTURACIÓN]])</f>
        <v>2023</v>
      </c>
      <c r="W104" s="150">
        <f>+MATCH(PROVEEDORES[[#This Row],[año facturado]],Retenciones!$1:$1,0)</f>
        <v>6</v>
      </c>
      <c r="X104" s="151">
        <f>+VLOOKUP(PROVEEDORES[[#This Row],[ID RETENCION]],Retenciones!$A$1:$O$25,PROVEEDORES[[#This Row],[indicador de columna]],FALSE)</f>
        <v>0</v>
      </c>
      <c r="Y104" s="152">
        <f>+VLOOKUP(PROVEEDORES[[#This Row],[ID RETENCION]],Retenciones!$A$1:$O$25,2,FALSE)</f>
        <v>0</v>
      </c>
      <c r="Z104" s="153" t="b">
        <f>+OR(COUNTIF(PROVEEDORES[[#This Row],[PROVEEDOR]],"*"&amp;'Palabra que no opera y Listas d'!$A$2&amp;"*"))</f>
        <v>0</v>
      </c>
    </row>
    <row r="105" spans="1:26" ht="27.75" customHeight="1" x14ac:dyDescent="0.3">
      <c r="A105" s="144" t="str">
        <f>+IF(PROVEEDORES[[#This Row],[FECHA DE PAGO]]=PROVEEDORES[[#This Row],[FECHA DE FACTURACIÓN]],"DE CONTADO","CRÉDITO")</f>
        <v>CRÉDITO</v>
      </c>
      <c r="B105" s="144" t="str">
        <f>+IF((PROVEEDORES[[#This Row],[FECHA DE PAGO]]-PROVEEDORES[[#This Row],[FECHA DE FACTURACIÓN]])&gt;PROVEEDORES[[#This Row],[PLAZO Días]],"PAGO VENCIDO")</f>
        <v>PAGO VENCIDO</v>
      </c>
      <c r="C105" s="144">
        <f>+VLOOKUP(PROVEEDORES[[#This Row],[PROVEEDOR]],TERCEROS_INFO[#All],2,FALSE)</f>
        <v>0</v>
      </c>
      <c r="D105" s="145">
        <f>+SUMIFS(PROVEEDORES[Total],PROVEEDORES[PROVEEDOR],PROVEEDORES[[#This Row],[PROVEEDOR]],PROVEEDORES[FECHA DE PAGO],"")</f>
        <v>26134091.5</v>
      </c>
      <c r="E105" s="146"/>
      <c r="F105" s="144">
        <f>+VLOOKUP(PROVEEDORES[[#This Row],[PROVEEDOR]],
                       Terceros!$A:$G,
                       5,
                       FALSE)</f>
        <v>0</v>
      </c>
      <c r="G105" s="122">
        <v>44992</v>
      </c>
      <c r="H105" s="102" t="s">
        <v>238</v>
      </c>
      <c r="I105" s="122">
        <v>44949</v>
      </c>
      <c r="J105" s="103">
        <v>1591</v>
      </c>
      <c r="K105" s="103" t="s">
        <v>1512</v>
      </c>
      <c r="L105" s="103"/>
      <c r="M105" s="105">
        <v>519340</v>
      </c>
      <c r="N105" s="147">
        <v>0</v>
      </c>
      <c r="O105" s="147">
        <v>0</v>
      </c>
      <c r="P105" s="148">
        <v>0</v>
      </c>
      <c r="Q105" s="147">
        <v>0</v>
      </c>
      <c r="R105" s="149">
        <v>519340</v>
      </c>
      <c r="S1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" s="150">
        <f ca="1">+IF(PROVEEDORES[[#This Row],[FECHA DE PAGO]]=0,TODAY()-PROVEEDORES[[#This Row],[FECHA DE FACTURACIÓN]]-PROVEEDORES[[#This Row],[PLAZO Días]],0)</f>
        <v>0</v>
      </c>
      <c r="U105" s="150">
        <f>+VLOOKUP(PROVEEDORES[[#This Row],[PROVEEDOR]],Terceros!$A:$E,4,FALSE)</f>
        <v>0</v>
      </c>
      <c r="V105" s="150">
        <f>+YEAR(PROVEEDORES[[#This Row],[FECHA DE FACTURACIÓN]])</f>
        <v>2023</v>
      </c>
      <c r="W105" s="150">
        <f>+MATCH(PROVEEDORES[[#This Row],[año facturado]],Retenciones!$1:$1,0)</f>
        <v>6</v>
      </c>
      <c r="X105" s="151">
        <f>+VLOOKUP(PROVEEDORES[[#This Row],[ID RETENCION]],Retenciones!$A$1:$O$25,PROVEEDORES[[#This Row],[indicador de columna]],FALSE)</f>
        <v>0</v>
      </c>
      <c r="Y105" s="152">
        <f>+VLOOKUP(PROVEEDORES[[#This Row],[ID RETENCION]],Retenciones!$A$1:$O$25,2,FALSE)</f>
        <v>0</v>
      </c>
      <c r="Z105" s="153" t="b">
        <f>+OR(COUNTIF(PROVEEDORES[[#This Row],[PROVEEDOR]],"*"&amp;'Palabra que no opera y Listas d'!$A$2&amp;"*"))</f>
        <v>0</v>
      </c>
    </row>
    <row r="106" spans="1:26" ht="27.75" customHeight="1" x14ac:dyDescent="0.3">
      <c r="A106" s="144" t="str">
        <f>+IF(PROVEEDORES[[#This Row],[FECHA DE PAGO]]=PROVEEDORES[[#This Row],[FECHA DE FACTURACIÓN]],"DE CONTADO","CRÉDITO")</f>
        <v>CRÉDITO</v>
      </c>
      <c r="B106" s="144" t="str">
        <f>+IF((PROVEEDORES[[#This Row],[FECHA DE PAGO]]-PROVEEDORES[[#This Row],[FECHA DE FACTURACIÓN]])&gt;PROVEEDORES[[#This Row],[PLAZO Días]],"PAGO VENCIDO")</f>
        <v>PAGO VENCIDO</v>
      </c>
      <c r="C106" s="144">
        <f>+VLOOKUP(PROVEEDORES[[#This Row],[PROVEEDOR]],TERCEROS_INFO[#All],2,FALSE)</f>
        <v>0</v>
      </c>
      <c r="D106" s="145">
        <f>+SUMIFS(PROVEEDORES[Total],PROVEEDORES[PROVEEDOR],PROVEEDORES[[#This Row],[PROVEEDOR]],PROVEEDORES[FECHA DE PAGO],"")</f>
        <v>26134091.5</v>
      </c>
      <c r="E106" s="146"/>
      <c r="F106" s="144">
        <f>+VLOOKUP(PROVEEDORES[[#This Row],[PROVEEDOR]],
                       Terceros!$A:$G,
                       5,
                       FALSE)</f>
        <v>0</v>
      </c>
      <c r="G106" s="122">
        <v>44992</v>
      </c>
      <c r="H106" s="102" t="s">
        <v>238</v>
      </c>
      <c r="I106" s="122">
        <v>44949</v>
      </c>
      <c r="J106" s="103">
        <v>1598</v>
      </c>
      <c r="K106" s="103" t="s">
        <v>1512</v>
      </c>
      <c r="L106" s="103"/>
      <c r="M106" s="105">
        <v>184000</v>
      </c>
      <c r="N106" s="147">
        <v>0</v>
      </c>
      <c r="O106" s="147">
        <v>0</v>
      </c>
      <c r="P106" s="148">
        <v>0</v>
      </c>
      <c r="Q106" s="147">
        <v>0</v>
      </c>
      <c r="R106" s="149">
        <v>184000</v>
      </c>
      <c r="S1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" s="150">
        <f ca="1">+IF(PROVEEDORES[[#This Row],[FECHA DE PAGO]]=0,TODAY()-PROVEEDORES[[#This Row],[FECHA DE FACTURACIÓN]]-PROVEEDORES[[#This Row],[PLAZO Días]],0)</f>
        <v>0</v>
      </c>
      <c r="U106" s="150">
        <f>+VLOOKUP(PROVEEDORES[[#This Row],[PROVEEDOR]],Terceros!$A:$E,4,FALSE)</f>
        <v>0</v>
      </c>
      <c r="V106" s="150">
        <f>+YEAR(PROVEEDORES[[#This Row],[FECHA DE FACTURACIÓN]])</f>
        <v>2023</v>
      </c>
      <c r="W106" s="150">
        <f>+MATCH(PROVEEDORES[[#This Row],[año facturado]],Retenciones!$1:$1,0)</f>
        <v>6</v>
      </c>
      <c r="X106" s="151">
        <f>+VLOOKUP(PROVEEDORES[[#This Row],[ID RETENCION]],Retenciones!$A$1:$O$25,PROVEEDORES[[#This Row],[indicador de columna]],FALSE)</f>
        <v>0</v>
      </c>
      <c r="Y106" s="152">
        <f>+VLOOKUP(PROVEEDORES[[#This Row],[ID RETENCION]],Retenciones!$A$1:$O$25,2,FALSE)</f>
        <v>0</v>
      </c>
      <c r="Z106" s="153" t="b">
        <f>+OR(COUNTIF(PROVEEDORES[[#This Row],[PROVEEDOR]],"*"&amp;'Palabra que no opera y Listas d'!$A$2&amp;"*"))</f>
        <v>0</v>
      </c>
    </row>
    <row r="107" spans="1:26" ht="27.75" customHeight="1" x14ac:dyDescent="0.3">
      <c r="A107" s="144" t="str">
        <f>+IF(PROVEEDORES[[#This Row],[FECHA DE PAGO]]=PROVEEDORES[[#This Row],[FECHA DE FACTURACIÓN]],"DE CONTADO","CRÉDITO")</f>
        <v>CRÉDITO</v>
      </c>
      <c r="B107" s="144" t="str">
        <f>+IF((PROVEEDORES[[#This Row],[FECHA DE PAGO]]-PROVEEDORES[[#This Row],[FECHA DE FACTURACIÓN]])&gt;PROVEEDORES[[#This Row],[PLAZO Días]],"PAGO VENCIDO")</f>
        <v>PAGO VENCIDO</v>
      </c>
      <c r="C107" s="144">
        <f>+VLOOKUP(PROVEEDORES[[#This Row],[PROVEEDOR]],TERCEROS_INFO[#All],2,FALSE)</f>
        <v>0</v>
      </c>
      <c r="D107" s="145">
        <f>+SUMIFS(PROVEEDORES[Total],PROVEEDORES[PROVEEDOR],PROVEEDORES[[#This Row],[PROVEEDOR]],PROVEEDORES[FECHA DE PAGO],"")</f>
        <v>0</v>
      </c>
      <c r="E107" s="146"/>
      <c r="F107" s="144">
        <f>+VLOOKUP(PROVEEDORES[[#This Row],[PROVEEDOR]],
                       Terceros!$A:$G,
                       5,
                       FALSE)</f>
        <v>0</v>
      </c>
      <c r="G107" s="122">
        <v>44992</v>
      </c>
      <c r="H107" s="102" t="s">
        <v>240</v>
      </c>
      <c r="I107" s="122">
        <v>44949</v>
      </c>
      <c r="J107" s="103">
        <v>1589</v>
      </c>
      <c r="K107" s="103" t="s">
        <v>1512</v>
      </c>
      <c r="L107" s="103"/>
      <c r="M107" s="105">
        <v>2299080</v>
      </c>
      <c r="N107" s="147">
        <v>0</v>
      </c>
      <c r="O107" s="147">
        <v>0</v>
      </c>
      <c r="P107" s="148">
        <v>0</v>
      </c>
      <c r="Q107" s="147">
        <v>0</v>
      </c>
      <c r="R107" s="149">
        <v>2299080</v>
      </c>
      <c r="S1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" s="150">
        <f ca="1">+IF(PROVEEDORES[[#This Row],[FECHA DE PAGO]]=0,TODAY()-PROVEEDORES[[#This Row],[FECHA DE FACTURACIÓN]]-PROVEEDORES[[#This Row],[PLAZO Días]],0)</f>
        <v>0</v>
      </c>
      <c r="U107" s="150">
        <f>+VLOOKUP(PROVEEDORES[[#This Row],[PROVEEDOR]],Terceros!$A:$E,4,FALSE)</f>
        <v>0</v>
      </c>
      <c r="V107" s="150">
        <f>+YEAR(PROVEEDORES[[#This Row],[FECHA DE FACTURACIÓN]])</f>
        <v>2023</v>
      </c>
      <c r="W107" s="150">
        <f>+MATCH(PROVEEDORES[[#This Row],[año facturado]],Retenciones!$1:$1,0)</f>
        <v>6</v>
      </c>
      <c r="X107" s="151">
        <f>+VLOOKUP(PROVEEDORES[[#This Row],[ID RETENCION]],Retenciones!$A$1:$O$25,PROVEEDORES[[#This Row],[indicador de columna]],FALSE)</f>
        <v>0</v>
      </c>
      <c r="Y107" s="152">
        <f>+VLOOKUP(PROVEEDORES[[#This Row],[ID RETENCION]],Retenciones!$A$1:$O$25,2,FALSE)</f>
        <v>0</v>
      </c>
      <c r="Z107" s="153" t="b">
        <f>+OR(COUNTIF(PROVEEDORES[[#This Row],[PROVEEDOR]],"*"&amp;'Palabra que no opera y Listas d'!$A$2&amp;"*"))</f>
        <v>0</v>
      </c>
    </row>
    <row r="108" spans="1:26" ht="27.75" customHeight="1" x14ac:dyDescent="0.3">
      <c r="A108" s="144" t="str">
        <f>+IF(PROVEEDORES[[#This Row],[FECHA DE PAGO]]=PROVEEDORES[[#This Row],[FECHA DE FACTURACIÓN]],"DE CONTADO","CRÉDITO")</f>
        <v>CRÉDITO</v>
      </c>
      <c r="B108" s="144" t="str">
        <f>+IF((PROVEEDORES[[#This Row],[FECHA DE PAGO]]-PROVEEDORES[[#This Row],[FECHA DE FACTURACIÓN]])&gt;PROVEEDORES[[#This Row],[PLAZO Días]],"PAGO VENCIDO")</f>
        <v>PAGO VENCIDO</v>
      </c>
      <c r="C108" s="144">
        <f>+VLOOKUP(PROVEEDORES[[#This Row],[PROVEEDOR]],TERCEROS_INFO[#All],2,FALSE)</f>
        <v>0</v>
      </c>
      <c r="D108" s="145">
        <f>+SUMIFS(PROVEEDORES[Total],PROVEEDORES[PROVEEDOR],PROVEEDORES[[#This Row],[PROVEEDOR]],PROVEEDORES[FECHA DE PAGO],"")</f>
        <v>26134091.5</v>
      </c>
      <c r="E108" s="146"/>
      <c r="F108" s="144">
        <f>+VLOOKUP(PROVEEDORES[[#This Row],[PROVEEDOR]],
                       Terceros!$A:$G,
                       5,
                       FALSE)</f>
        <v>0</v>
      </c>
      <c r="G108" s="122">
        <v>44992</v>
      </c>
      <c r="H108" s="102" t="s">
        <v>238</v>
      </c>
      <c r="I108" s="122">
        <v>44963</v>
      </c>
      <c r="J108" s="103">
        <v>1607</v>
      </c>
      <c r="K108" s="103" t="s">
        <v>1512</v>
      </c>
      <c r="L108" s="103"/>
      <c r="M108" s="105">
        <v>191200</v>
      </c>
      <c r="N108" s="147">
        <v>0</v>
      </c>
      <c r="O108" s="147">
        <v>0</v>
      </c>
      <c r="P108" s="148">
        <v>0</v>
      </c>
      <c r="Q108" s="147">
        <v>0</v>
      </c>
      <c r="R108" s="149">
        <v>191200</v>
      </c>
      <c r="S1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" s="150">
        <f ca="1">+IF(PROVEEDORES[[#This Row],[FECHA DE PAGO]]=0,TODAY()-PROVEEDORES[[#This Row],[FECHA DE FACTURACIÓN]]-PROVEEDORES[[#This Row],[PLAZO Días]],0)</f>
        <v>0</v>
      </c>
      <c r="U108" s="150">
        <f>+VLOOKUP(PROVEEDORES[[#This Row],[PROVEEDOR]],Terceros!$A:$E,4,FALSE)</f>
        <v>0</v>
      </c>
      <c r="V108" s="150">
        <f>+YEAR(PROVEEDORES[[#This Row],[FECHA DE FACTURACIÓN]])</f>
        <v>2023</v>
      </c>
      <c r="W108" s="150">
        <f>+MATCH(PROVEEDORES[[#This Row],[año facturado]],Retenciones!$1:$1,0)</f>
        <v>6</v>
      </c>
      <c r="X108" s="151">
        <f>+VLOOKUP(PROVEEDORES[[#This Row],[ID RETENCION]],Retenciones!$A$1:$O$25,PROVEEDORES[[#This Row],[indicador de columna]],FALSE)</f>
        <v>0</v>
      </c>
      <c r="Y108" s="152">
        <f>+VLOOKUP(PROVEEDORES[[#This Row],[ID RETENCION]],Retenciones!$A$1:$O$25,2,FALSE)</f>
        <v>0</v>
      </c>
      <c r="Z108" s="153" t="b">
        <f>+OR(COUNTIF(PROVEEDORES[[#This Row],[PROVEEDOR]],"*"&amp;'Palabra que no opera y Listas d'!$A$2&amp;"*"))</f>
        <v>0</v>
      </c>
    </row>
    <row r="109" spans="1:26" ht="27.75" customHeight="1" x14ac:dyDescent="0.3">
      <c r="A109" s="144" t="str">
        <f>+IF(PROVEEDORES[[#This Row],[FECHA DE PAGO]]=PROVEEDORES[[#This Row],[FECHA DE FACTURACIÓN]],"DE CONTADO","CRÉDITO")</f>
        <v>CRÉDITO</v>
      </c>
      <c r="B109" s="144" t="str">
        <f>+IF((PROVEEDORES[[#This Row],[FECHA DE PAGO]]-PROVEEDORES[[#This Row],[FECHA DE FACTURACIÓN]])&gt;PROVEEDORES[[#This Row],[PLAZO Días]],"PAGO VENCIDO")</f>
        <v>PAGO VENCIDO</v>
      </c>
      <c r="C109" s="144">
        <f>+VLOOKUP(PROVEEDORES[[#This Row],[PROVEEDOR]],TERCEROS_INFO[#All],2,FALSE)</f>
        <v>0</v>
      </c>
      <c r="D109" s="145">
        <f>+SUMIFS(PROVEEDORES[Total],PROVEEDORES[PROVEEDOR],PROVEEDORES[[#This Row],[PROVEEDOR]],PROVEEDORES[FECHA DE PAGO],"")</f>
        <v>26134091.5</v>
      </c>
      <c r="E109" s="146"/>
      <c r="F109" s="144">
        <f>+VLOOKUP(PROVEEDORES[[#This Row],[PROVEEDOR]],
                       Terceros!$A:$G,
                       5,
                       FALSE)</f>
        <v>0</v>
      </c>
      <c r="G109" s="122">
        <v>44992</v>
      </c>
      <c r="H109" s="102" t="s">
        <v>238</v>
      </c>
      <c r="I109" s="122">
        <v>44963</v>
      </c>
      <c r="J109" s="103">
        <v>1608</v>
      </c>
      <c r="K109" s="103" t="s">
        <v>1512</v>
      </c>
      <c r="L109" s="103"/>
      <c r="M109" s="105">
        <v>191200</v>
      </c>
      <c r="N109" s="147">
        <v>0</v>
      </c>
      <c r="O109" s="147">
        <v>0</v>
      </c>
      <c r="P109" s="148">
        <v>0</v>
      </c>
      <c r="Q109" s="147">
        <v>0</v>
      </c>
      <c r="R109" s="149">
        <v>191200</v>
      </c>
      <c r="S1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" s="150">
        <f ca="1">+IF(PROVEEDORES[[#This Row],[FECHA DE PAGO]]=0,TODAY()-PROVEEDORES[[#This Row],[FECHA DE FACTURACIÓN]]-PROVEEDORES[[#This Row],[PLAZO Días]],0)</f>
        <v>0</v>
      </c>
      <c r="U109" s="150">
        <f>+VLOOKUP(PROVEEDORES[[#This Row],[PROVEEDOR]],Terceros!$A:$E,4,FALSE)</f>
        <v>0</v>
      </c>
      <c r="V109" s="150">
        <f>+YEAR(PROVEEDORES[[#This Row],[FECHA DE FACTURACIÓN]])</f>
        <v>2023</v>
      </c>
      <c r="W109" s="150">
        <f>+MATCH(PROVEEDORES[[#This Row],[año facturado]],Retenciones!$1:$1,0)</f>
        <v>6</v>
      </c>
      <c r="X109" s="151">
        <f>+VLOOKUP(PROVEEDORES[[#This Row],[ID RETENCION]],Retenciones!$A$1:$O$25,PROVEEDORES[[#This Row],[indicador de columna]],FALSE)</f>
        <v>0</v>
      </c>
      <c r="Y109" s="152">
        <f>+VLOOKUP(PROVEEDORES[[#This Row],[ID RETENCION]],Retenciones!$A$1:$O$25,2,FALSE)</f>
        <v>0</v>
      </c>
      <c r="Z109" s="153" t="b">
        <f>+OR(COUNTIF(PROVEEDORES[[#This Row],[PROVEEDOR]],"*"&amp;'Palabra que no opera y Listas d'!$A$2&amp;"*"))</f>
        <v>0</v>
      </c>
    </row>
    <row r="110" spans="1:26" ht="27.75" customHeight="1" x14ac:dyDescent="0.3">
      <c r="A110" s="144" t="str">
        <f>+IF(PROVEEDORES[[#This Row],[FECHA DE PAGO]]=PROVEEDORES[[#This Row],[FECHA DE FACTURACIÓN]],"DE CONTADO","CRÉDITO")</f>
        <v>CRÉDITO</v>
      </c>
      <c r="B110" s="144" t="str">
        <f>+IF((PROVEEDORES[[#This Row],[FECHA DE PAGO]]-PROVEEDORES[[#This Row],[FECHA DE FACTURACIÓN]])&gt;PROVEEDORES[[#This Row],[PLAZO Días]],"PAGO VENCIDO")</f>
        <v>PAGO VENCIDO</v>
      </c>
      <c r="C110" s="144">
        <f>+VLOOKUP(PROVEEDORES[[#This Row],[PROVEEDOR]],TERCEROS_INFO[#All],2,FALSE)</f>
        <v>0</v>
      </c>
      <c r="D110" s="145">
        <f>+SUMIFS(PROVEEDORES[Total],PROVEEDORES[PROVEEDOR],PROVEEDORES[[#This Row],[PROVEEDOR]],PROVEEDORES[FECHA DE PAGO],"")</f>
        <v>26134091.5</v>
      </c>
      <c r="E110" s="146"/>
      <c r="F110" s="144">
        <f>+VLOOKUP(PROVEEDORES[[#This Row],[PROVEEDOR]],
                       Terceros!$A:$G,
                       5,
                       FALSE)</f>
        <v>0</v>
      </c>
      <c r="G110" s="122">
        <v>44992</v>
      </c>
      <c r="H110" s="102" t="s">
        <v>238</v>
      </c>
      <c r="I110" s="122">
        <v>44963</v>
      </c>
      <c r="J110" s="103">
        <v>1624</v>
      </c>
      <c r="K110" s="103" t="s">
        <v>1512</v>
      </c>
      <c r="L110" s="103"/>
      <c r="M110" s="105">
        <v>1178064</v>
      </c>
      <c r="N110" s="147">
        <v>0</v>
      </c>
      <c r="O110" s="147">
        <v>0</v>
      </c>
      <c r="P110" s="148">
        <v>0</v>
      </c>
      <c r="Q110" s="147">
        <v>0</v>
      </c>
      <c r="R110" s="149">
        <v>1178064</v>
      </c>
      <c r="S1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" s="150">
        <f ca="1">+IF(PROVEEDORES[[#This Row],[FECHA DE PAGO]]=0,TODAY()-PROVEEDORES[[#This Row],[FECHA DE FACTURACIÓN]]-PROVEEDORES[[#This Row],[PLAZO Días]],0)</f>
        <v>0</v>
      </c>
      <c r="U110" s="150">
        <f>+VLOOKUP(PROVEEDORES[[#This Row],[PROVEEDOR]],Terceros!$A:$E,4,FALSE)</f>
        <v>0</v>
      </c>
      <c r="V110" s="150">
        <f>+YEAR(PROVEEDORES[[#This Row],[FECHA DE FACTURACIÓN]])</f>
        <v>2023</v>
      </c>
      <c r="W110" s="150">
        <f>+MATCH(PROVEEDORES[[#This Row],[año facturado]],Retenciones!$1:$1,0)</f>
        <v>6</v>
      </c>
      <c r="X110" s="151">
        <f>+VLOOKUP(PROVEEDORES[[#This Row],[ID RETENCION]],Retenciones!$A$1:$O$25,PROVEEDORES[[#This Row],[indicador de columna]],FALSE)</f>
        <v>0</v>
      </c>
      <c r="Y110" s="152">
        <f>+VLOOKUP(PROVEEDORES[[#This Row],[ID RETENCION]],Retenciones!$A$1:$O$25,2,FALSE)</f>
        <v>0</v>
      </c>
      <c r="Z110" s="153" t="b">
        <f>+OR(COUNTIF(PROVEEDORES[[#This Row],[PROVEEDOR]],"*"&amp;'Palabra que no opera y Listas d'!$A$2&amp;"*"))</f>
        <v>0</v>
      </c>
    </row>
    <row r="111" spans="1:26" ht="27.75" customHeight="1" x14ac:dyDescent="0.3">
      <c r="A111" s="144" t="str">
        <f>+IF(PROVEEDORES[[#This Row],[FECHA DE PAGO]]=PROVEEDORES[[#This Row],[FECHA DE FACTURACIÓN]],"DE CONTADO","CRÉDITO")</f>
        <v>CRÉDITO</v>
      </c>
      <c r="B111" s="144" t="str">
        <f>+IF((PROVEEDORES[[#This Row],[FECHA DE PAGO]]-PROVEEDORES[[#This Row],[FECHA DE FACTURACIÓN]])&gt;PROVEEDORES[[#This Row],[PLAZO Días]],"PAGO VENCIDO")</f>
        <v>PAGO VENCIDO</v>
      </c>
      <c r="C111" s="144">
        <f>+VLOOKUP(PROVEEDORES[[#This Row],[PROVEEDOR]],TERCEROS_INFO[#All],2,FALSE)</f>
        <v>0</v>
      </c>
      <c r="D111" s="145">
        <f>+SUMIFS(PROVEEDORES[Total],PROVEEDORES[PROVEEDOR],PROVEEDORES[[#This Row],[PROVEEDOR]],PROVEEDORES[FECHA DE PAGO],"")</f>
        <v>26134091.5</v>
      </c>
      <c r="E111" s="146"/>
      <c r="F111" s="144">
        <f>+VLOOKUP(PROVEEDORES[[#This Row],[PROVEEDOR]],
                       Terceros!$A:$G,
                       5,
                       FALSE)</f>
        <v>0</v>
      </c>
      <c r="G111" s="122">
        <v>44992</v>
      </c>
      <c r="H111" s="102" t="s">
        <v>238</v>
      </c>
      <c r="I111" s="122">
        <v>44963</v>
      </c>
      <c r="J111" s="103">
        <v>1623</v>
      </c>
      <c r="K111" s="103" t="s">
        <v>1512</v>
      </c>
      <c r="L111" s="103"/>
      <c r="M111" s="105">
        <v>349920</v>
      </c>
      <c r="N111" s="147">
        <v>0</v>
      </c>
      <c r="O111" s="147">
        <v>0</v>
      </c>
      <c r="P111" s="148">
        <v>0</v>
      </c>
      <c r="Q111" s="147">
        <v>0</v>
      </c>
      <c r="R111" s="149">
        <v>349920</v>
      </c>
      <c r="S1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" s="150">
        <f ca="1">+IF(PROVEEDORES[[#This Row],[FECHA DE PAGO]]=0,TODAY()-PROVEEDORES[[#This Row],[FECHA DE FACTURACIÓN]]-PROVEEDORES[[#This Row],[PLAZO Días]],0)</f>
        <v>0</v>
      </c>
      <c r="U111" s="150">
        <f>+VLOOKUP(PROVEEDORES[[#This Row],[PROVEEDOR]],Terceros!$A:$E,4,FALSE)</f>
        <v>0</v>
      </c>
      <c r="V111" s="150">
        <f>+YEAR(PROVEEDORES[[#This Row],[FECHA DE FACTURACIÓN]])</f>
        <v>2023</v>
      </c>
      <c r="W111" s="150">
        <f>+MATCH(PROVEEDORES[[#This Row],[año facturado]],Retenciones!$1:$1,0)</f>
        <v>6</v>
      </c>
      <c r="X111" s="151">
        <f>+VLOOKUP(PROVEEDORES[[#This Row],[ID RETENCION]],Retenciones!$A$1:$O$25,PROVEEDORES[[#This Row],[indicador de columna]],FALSE)</f>
        <v>0</v>
      </c>
      <c r="Y111" s="152">
        <f>+VLOOKUP(PROVEEDORES[[#This Row],[ID RETENCION]],Retenciones!$A$1:$O$25,2,FALSE)</f>
        <v>0</v>
      </c>
      <c r="Z111" s="153" t="b">
        <f>+OR(COUNTIF(PROVEEDORES[[#This Row],[PROVEEDOR]],"*"&amp;'Palabra que no opera y Listas d'!$A$2&amp;"*"))</f>
        <v>0</v>
      </c>
    </row>
    <row r="112" spans="1:26" ht="27.75" customHeight="1" x14ac:dyDescent="0.3">
      <c r="A112" s="144" t="str">
        <f>+IF(PROVEEDORES[[#This Row],[FECHA DE PAGO]]=PROVEEDORES[[#This Row],[FECHA DE FACTURACIÓN]],"DE CONTADO","CRÉDITO")</f>
        <v>DE CONTADO</v>
      </c>
      <c r="B112" s="144" t="b">
        <f>+IF((PROVEEDORES[[#This Row],[FECHA DE PAGO]]-PROVEEDORES[[#This Row],[FECHA DE FACTURACIÓN]])&gt;PROVEEDORES[[#This Row],[PLAZO Días]],"PAGO VENCIDO")</f>
        <v>0</v>
      </c>
      <c r="C112" s="144">
        <f>+VLOOKUP(PROVEEDORES[[#This Row],[PROVEEDOR]],TERCEROS_INFO[#All],2,FALSE)</f>
        <v>0</v>
      </c>
      <c r="D112" s="145">
        <f>+SUMIFS(PROVEEDORES[Total],PROVEEDORES[PROVEEDOR],PROVEEDORES[[#This Row],[PROVEEDOR]],PROVEEDORES[FECHA DE PAGO],"")</f>
        <v>0</v>
      </c>
      <c r="E112" s="146"/>
      <c r="F112" s="144">
        <f>+VLOOKUP(PROVEEDORES[[#This Row],[PROVEEDOR]],
                       Terceros!$A:$G,
                       5,
                       FALSE)</f>
        <v>0</v>
      </c>
      <c r="G112" s="122">
        <v>44993</v>
      </c>
      <c r="H112" s="102" t="s">
        <v>496</v>
      </c>
      <c r="I112" s="122">
        <v>44993</v>
      </c>
      <c r="J112" s="103" t="s">
        <v>637</v>
      </c>
      <c r="K112" s="103" t="s">
        <v>1512</v>
      </c>
      <c r="L112" s="103"/>
      <c r="M112" s="105">
        <v>5386000</v>
      </c>
      <c r="N112" s="147">
        <v>0</v>
      </c>
      <c r="O112" s="147">
        <v>0</v>
      </c>
      <c r="P112" s="148">
        <v>0</v>
      </c>
      <c r="Q112" s="147">
        <v>0</v>
      </c>
      <c r="R112" s="149">
        <v>5386000</v>
      </c>
      <c r="S1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" s="150">
        <f ca="1">+IF(PROVEEDORES[[#This Row],[FECHA DE PAGO]]=0,TODAY()-PROVEEDORES[[#This Row],[FECHA DE FACTURACIÓN]]-PROVEEDORES[[#This Row],[PLAZO Días]],0)</f>
        <v>0</v>
      </c>
      <c r="U112" s="150">
        <f>+VLOOKUP(PROVEEDORES[[#This Row],[PROVEEDOR]],Terceros!$A:$E,4,FALSE)</f>
        <v>0</v>
      </c>
      <c r="V112" s="150">
        <f>+YEAR(PROVEEDORES[[#This Row],[FECHA DE FACTURACIÓN]])</f>
        <v>2023</v>
      </c>
      <c r="W112" s="150">
        <f>+MATCH(PROVEEDORES[[#This Row],[año facturado]],Retenciones!$1:$1,0)</f>
        <v>6</v>
      </c>
      <c r="X112" s="151">
        <f>+VLOOKUP(PROVEEDORES[[#This Row],[ID RETENCION]],Retenciones!$A$1:$O$25,PROVEEDORES[[#This Row],[indicador de columna]],FALSE)</f>
        <v>0</v>
      </c>
      <c r="Y112" s="152">
        <f>+VLOOKUP(PROVEEDORES[[#This Row],[ID RETENCION]],Retenciones!$A$1:$O$25,2,FALSE)</f>
        <v>0</v>
      </c>
      <c r="Z112" s="153" t="b">
        <f>+OR(COUNTIF(PROVEEDORES[[#This Row],[PROVEEDOR]],"*"&amp;'Palabra que no opera y Listas d'!$A$2&amp;"*"))</f>
        <v>0</v>
      </c>
    </row>
    <row r="113" spans="1:26" ht="27.75" customHeight="1" x14ac:dyDescent="0.3">
      <c r="A113" s="144" t="str">
        <f>+IF(PROVEEDORES[[#This Row],[FECHA DE PAGO]]=PROVEEDORES[[#This Row],[FECHA DE FACTURACIÓN]],"DE CONTADO","CRÉDITO")</f>
        <v>DE CONTADO</v>
      </c>
      <c r="B113" s="144" t="b">
        <f>+IF((PROVEEDORES[[#This Row],[FECHA DE PAGO]]-PROVEEDORES[[#This Row],[FECHA DE FACTURACIÓN]])&gt;PROVEEDORES[[#This Row],[PLAZO Días]],"PAGO VENCIDO")</f>
        <v>0</v>
      </c>
      <c r="C113" s="144">
        <f>+VLOOKUP(PROVEEDORES[[#This Row],[PROVEEDOR]],TERCEROS_INFO[#All],2,FALSE)</f>
        <v>0</v>
      </c>
      <c r="D113" s="145">
        <f>+SUMIFS(PROVEEDORES[Total],PROVEEDORES[PROVEEDOR],PROVEEDORES[[#This Row],[PROVEEDOR]],PROVEEDORES[FECHA DE PAGO],"")</f>
        <v>0</v>
      </c>
      <c r="E113" s="146"/>
      <c r="F113" s="144">
        <f>+VLOOKUP(PROVEEDORES[[#This Row],[PROVEEDOR]],
                       Terceros!$A:$G,
                       5,
                       FALSE)</f>
        <v>0</v>
      </c>
      <c r="G113" s="122">
        <v>44993</v>
      </c>
      <c r="H113" s="102" t="s">
        <v>481</v>
      </c>
      <c r="I113" s="122">
        <v>44993</v>
      </c>
      <c r="J113" s="103" t="s">
        <v>672</v>
      </c>
      <c r="K113" s="103" t="s">
        <v>1512</v>
      </c>
      <c r="L113" s="103"/>
      <c r="M113" s="105">
        <v>330000</v>
      </c>
      <c r="N113" s="147">
        <v>0</v>
      </c>
      <c r="O113" s="147">
        <v>0</v>
      </c>
      <c r="P113" s="148">
        <v>0</v>
      </c>
      <c r="Q113" s="147">
        <v>0</v>
      </c>
      <c r="R113" s="149">
        <v>330000</v>
      </c>
      <c r="S1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" s="150">
        <f ca="1">+IF(PROVEEDORES[[#This Row],[FECHA DE PAGO]]=0,TODAY()-PROVEEDORES[[#This Row],[FECHA DE FACTURACIÓN]]-PROVEEDORES[[#This Row],[PLAZO Días]],0)</f>
        <v>0</v>
      </c>
      <c r="U113" s="150">
        <f>+VLOOKUP(PROVEEDORES[[#This Row],[PROVEEDOR]],Terceros!$A:$E,4,FALSE)</f>
        <v>0</v>
      </c>
      <c r="V113" s="150">
        <f>+YEAR(PROVEEDORES[[#This Row],[FECHA DE FACTURACIÓN]])</f>
        <v>2023</v>
      </c>
      <c r="W113" s="150">
        <f>+MATCH(PROVEEDORES[[#This Row],[año facturado]],Retenciones!$1:$1,0)</f>
        <v>6</v>
      </c>
      <c r="X113" s="151">
        <f>+VLOOKUP(PROVEEDORES[[#This Row],[ID RETENCION]],Retenciones!$A$1:$O$25,PROVEEDORES[[#This Row],[indicador de columna]],FALSE)</f>
        <v>0</v>
      </c>
      <c r="Y113" s="152">
        <f>+VLOOKUP(PROVEEDORES[[#This Row],[ID RETENCION]],Retenciones!$A$1:$O$25,2,FALSE)</f>
        <v>0</v>
      </c>
      <c r="Z113" s="153" t="b">
        <f>+OR(COUNTIF(PROVEEDORES[[#This Row],[PROVEEDOR]],"*"&amp;'Palabra que no opera y Listas d'!$A$2&amp;"*"))</f>
        <v>0</v>
      </c>
    </row>
    <row r="114" spans="1:26" ht="27.75" customHeight="1" x14ac:dyDescent="0.3">
      <c r="A114" s="144" t="str">
        <f>+IF(PROVEEDORES[[#This Row],[FECHA DE PAGO]]=PROVEEDORES[[#This Row],[FECHA DE FACTURACIÓN]],"DE CONTADO","CRÉDITO")</f>
        <v>CRÉDITO</v>
      </c>
      <c r="B114" s="144" t="str">
        <f>+IF((PROVEEDORES[[#This Row],[FECHA DE PAGO]]-PROVEEDORES[[#This Row],[FECHA DE FACTURACIÓN]])&gt;PROVEEDORES[[#This Row],[PLAZO Días]],"PAGO VENCIDO")</f>
        <v>PAGO VENCIDO</v>
      </c>
      <c r="C114" s="144">
        <f>+VLOOKUP(PROVEEDORES[[#This Row],[PROVEEDOR]],TERCEROS_INFO[#All],2,FALSE)</f>
        <v>0</v>
      </c>
      <c r="D114" s="145">
        <f>+SUMIFS(PROVEEDORES[Total],PROVEEDORES[PROVEEDOR],PROVEEDORES[[#This Row],[PROVEEDOR]],PROVEEDORES[FECHA DE PAGO],"")</f>
        <v>0</v>
      </c>
      <c r="E114" s="146"/>
      <c r="F114" s="144" t="str">
        <f>+VLOOKUP(PROVEEDORES[[#This Row],[PROVEEDOR]],
                       Terceros!$A:$G,
                       5,
                       FALSE)</f>
        <v>3,5% sin base</v>
      </c>
      <c r="G114" s="122">
        <v>44995</v>
      </c>
      <c r="H114" s="102" t="s">
        <v>395</v>
      </c>
      <c r="I114" s="122">
        <v>44958</v>
      </c>
      <c r="J114" s="103" t="s">
        <v>622</v>
      </c>
      <c r="K114" s="103" t="s">
        <v>1512</v>
      </c>
      <c r="L114" s="103"/>
      <c r="M114" s="105">
        <v>3002200</v>
      </c>
      <c r="N114" s="147">
        <v>0</v>
      </c>
      <c r="O114" s="147">
        <v>0</v>
      </c>
      <c r="P114" s="148">
        <v>3.5000000000000003E-2</v>
      </c>
      <c r="Q114" s="147">
        <v>105077.00000000001</v>
      </c>
      <c r="R114" s="149">
        <v>2897123</v>
      </c>
      <c r="S1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" s="150">
        <f ca="1">+IF(PROVEEDORES[[#This Row],[FECHA DE PAGO]]=0,TODAY()-PROVEEDORES[[#This Row],[FECHA DE FACTURACIÓN]]-PROVEEDORES[[#This Row],[PLAZO Días]],0)</f>
        <v>0</v>
      </c>
      <c r="U114" s="150">
        <f>+VLOOKUP(PROVEEDORES[[#This Row],[PROVEEDOR]],Terceros!$A:$E,4,FALSE)</f>
        <v>0</v>
      </c>
      <c r="V114" s="150">
        <f>+YEAR(PROVEEDORES[[#This Row],[FECHA DE FACTURACIÓN]])</f>
        <v>2023</v>
      </c>
      <c r="W114" s="150">
        <f>+MATCH(PROVEEDORES[[#This Row],[año facturado]],Retenciones!$1:$1,0)</f>
        <v>6</v>
      </c>
      <c r="X114" s="151">
        <f>+VLOOKUP(PROVEEDORES[[#This Row],[ID RETENCION]],Retenciones!$A$1:$O$25,PROVEEDORES[[#This Row],[indicador de columna]],FALSE)</f>
        <v>0</v>
      </c>
      <c r="Y114" s="152">
        <f>+VLOOKUP(PROVEEDORES[[#This Row],[ID RETENCION]],Retenciones!$A$1:$O$25,2,FALSE)</f>
        <v>0</v>
      </c>
      <c r="Z114" s="153" t="b">
        <f>+OR(COUNTIF(PROVEEDORES[[#This Row],[PROVEEDOR]],"*"&amp;'Palabra que no opera y Listas d'!$A$2&amp;"*"))</f>
        <v>1</v>
      </c>
    </row>
    <row r="115" spans="1:26" ht="27.75" customHeight="1" x14ac:dyDescent="0.3">
      <c r="A115" s="144" t="str">
        <f>+IF(PROVEEDORES[[#This Row],[FECHA DE PAGO]]=PROVEEDORES[[#This Row],[FECHA DE FACTURACIÓN]],"DE CONTADO","CRÉDITO")</f>
        <v>CRÉDITO</v>
      </c>
      <c r="B115" s="144" t="str">
        <f>+IF((PROVEEDORES[[#This Row],[FECHA DE PAGO]]-PROVEEDORES[[#This Row],[FECHA DE FACTURACIÓN]])&gt;PROVEEDORES[[#This Row],[PLAZO Días]],"PAGO VENCIDO")</f>
        <v>PAGO VENCIDO</v>
      </c>
      <c r="C115" s="144">
        <f>+VLOOKUP(PROVEEDORES[[#This Row],[PROVEEDOR]],TERCEROS_INFO[#All],2,FALSE)</f>
        <v>0</v>
      </c>
      <c r="D115" s="145">
        <f>+SUMIFS(PROVEEDORES[Total],PROVEEDORES[PROVEEDOR],PROVEEDORES[[#This Row],[PROVEEDOR]],PROVEEDORES[FECHA DE PAGO],"")</f>
        <v>181631</v>
      </c>
      <c r="E115" s="146"/>
      <c r="F115" s="144">
        <f>+VLOOKUP(PROVEEDORES[[#This Row],[PROVEEDOR]],
                       Terceros!$A:$G,
                       5,
                       FALSE)</f>
        <v>0</v>
      </c>
      <c r="G115" s="122">
        <v>44995</v>
      </c>
      <c r="H115" s="102" t="s">
        <v>383</v>
      </c>
      <c r="I115" s="122">
        <v>44958</v>
      </c>
      <c r="J115" s="103" t="s">
        <v>621</v>
      </c>
      <c r="K115" s="103" t="s">
        <v>1512</v>
      </c>
      <c r="L115" s="103"/>
      <c r="M115" s="105">
        <v>3294426</v>
      </c>
      <c r="N115" s="147">
        <v>625940.94000000006</v>
      </c>
      <c r="O115" s="147">
        <v>0</v>
      </c>
      <c r="P115" s="148">
        <v>0</v>
      </c>
      <c r="Q115" s="147">
        <v>0</v>
      </c>
      <c r="R115" s="149">
        <v>3920366.94</v>
      </c>
      <c r="S1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" s="150">
        <f ca="1">+IF(PROVEEDORES[[#This Row],[FECHA DE PAGO]]=0,TODAY()-PROVEEDORES[[#This Row],[FECHA DE FACTURACIÓN]]-PROVEEDORES[[#This Row],[PLAZO Días]],0)</f>
        <v>0</v>
      </c>
      <c r="U115" s="150">
        <f>+VLOOKUP(PROVEEDORES[[#This Row],[PROVEEDOR]],Terceros!$A:$E,4,FALSE)</f>
        <v>0.19</v>
      </c>
      <c r="V115" s="150">
        <f>+YEAR(PROVEEDORES[[#This Row],[FECHA DE FACTURACIÓN]])</f>
        <v>2023</v>
      </c>
      <c r="W115" s="150">
        <f>+MATCH(PROVEEDORES[[#This Row],[año facturado]],Retenciones!$1:$1,0)</f>
        <v>6</v>
      </c>
      <c r="X115" s="151" t="e">
        <f>+VLOOKUP(PROVEEDORES[[#This Row],[ID RETENCION]],Retenciones!$A$1:$O$25,PROVEEDORES[[#This Row],[indicador de columna]],FALSE)</f>
        <v>#N/A</v>
      </c>
      <c r="Y115" s="152" t="e">
        <f>+VLOOKUP(PROVEEDORES[[#This Row],[ID RETENCION]],Retenciones!$A$1:$O$25,2,FALSE)</f>
        <v>#N/A</v>
      </c>
      <c r="Z115" s="153" t="b">
        <f>+OR(COUNTIF(PROVEEDORES[[#This Row],[PROVEEDOR]],"*"&amp;'Palabra que no opera y Listas d'!$A$2&amp;"*"))</f>
        <v>1</v>
      </c>
    </row>
    <row r="116" spans="1:26" ht="27.75" customHeight="1" x14ac:dyDescent="0.3">
      <c r="A116" s="144" t="str">
        <f>+IF(PROVEEDORES[[#This Row],[FECHA DE PAGO]]=PROVEEDORES[[#This Row],[FECHA DE FACTURACIÓN]],"DE CONTADO","CRÉDITO")</f>
        <v>CRÉDITO</v>
      </c>
      <c r="B116" s="144" t="str">
        <f>+IF((PROVEEDORES[[#This Row],[FECHA DE PAGO]]-PROVEEDORES[[#This Row],[FECHA DE FACTURACIÓN]])&gt;PROVEEDORES[[#This Row],[PLAZO Días]],"PAGO VENCIDO")</f>
        <v>PAGO VENCIDO</v>
      </c>
      <c r="C116" s="144">
        <f>+VLOOKUP(PROVEEDORES[[#This Row],[PROVEEDOR]],TERCEROS_INFO[#All],2,FALSE)</f>
        <v>0</v>
      </c>
      <c r="D116" s="145">
        <f>+SUMIFS(PROVEEDORES[Total],PROVEEDORES[PROVEEDOR],PROVEEDORES[[#This Row],[PROVEEDOR]],PROVEEDORES[FECHA DE PAGO],"")</f>
        <v>0</v>
      </c>
      <c r="E116" s="146"/>
      <c r="F116" s="144">
        <f>+VLOOKUP(PROVEEDORES[[#This Row],[PROVEEDOR]],
                       Terceros!$A:$G,
                       5,
                       FALSE)</f>
        <v>0</v>
      </c>
      <c r="G116" s="122">
        <v>44995</v>
      </c>
      <c r="H116" s="102" t="s">
        <v>497</v>
      </c>
      <c r="I116" s="122">
        <v>44959</v>
      </c>
      <c r="J116" s="103" t="s">
        <v>623</v>
      </c>
      <c r="K116" s="103" t="s">
        <v>1512</v>
      </c>
      <c r="L116" s="103"/>
      <c r="M116" s="105">
        <v>4730000</v>
      </c>
      <c r="N116" s="147">
        <v>898700</v>
      </c>
      <c r="O116" s="147">
        <v>0</v>
      </c>
      <c r="P116" s="148">
        <v>0</v>
      </c>
      <c r="Q116" s="147">
        <v>0</v>
      </c>
      <c r="R116" s="149">
        <v>5628700</v>
      </c>
      <c r="S1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" s="150">
        <f ca="1">+IF(PROVEEDORES[[#This Row],[FECHA DE PAGO]]=0,TODAY()-PROVEEDORES[[#This Row],[FECHA DE FACTURACIÓN]]-PROVEEDORES[[#This Row],[PLAZO Días]],0)</f>
        <v>0</v>
      </c>
      <c r="U116" s="150">
        <f>+VLOOKUP(PROVEEDORES[[#This Row],[PROVEEDOR]],Terceros!$A:$E,4,FALSE)</f>
        <v>0.19</v>
      </c>
      <c r="V116" s="150">
        <f>+YEAR(PROVEEDORES[[#This Row],[FECHA DE FACTURACIÓN]])</f>
        <v>2023</v>
      </c>
      <c r="W116" s="150">
        <f>+MATCH(PROVEEDORES[[#This Row],[año facturado]],Retenciones!$1:$1,0)</f>
        <v>6</v>
      </c>
      <c r="X116" s="151" t="e">
        <f>+VLOOKUP(PROVEEDORES[[#This Row],[ID RETENCION]],Retenciones!$A$1:$O$25,PROVEEDORES[[#This Row],[indicador de columna]],FALSE)</f>
        <v>#N/A</v>
      </c>
      <c r="Y116" s="152" t="e">
        <f>+VLOOKUP(PROVEEDORES[[#This Row],[ID RETENCION]],Retenciones!$A$1:$O$25,2,FALSE)</f>
        <v>#N/A</v>
      </c>
      <c r="Z116" s="153" t="b">
        <f>+OR(COUNTIF(PROVEEDORES[[#This Row],[PROVEEDOR]],"*"&amp;'Palabra que no opera y Listas d'!$A$2&amp;"*"))</f>
        <v>1</v>
      </c>
    </row>
    <row r="117" spans="1:26" ht="27.75" customHeight="1" x14ac:dyDescent="0.3">
      <c r="A117" s="144" t="str">
        <f>+IF(PROVEEDORES[[#This Row],[FECHA DE PAGO]]=PROVEEDORES[[#This Row],[FECHA DE FACTURACIÓN]],"DE CONTADO","CRÉDITO")</f>
        <v>CRÉDITO</v>
      </c>
      <c r="B117" s="144" t="str">
        <f>+IF((PROVEEDORES[[#This Row],[FECHA DE PAGO]]-PROVEEDORES[[#This Row],[FECHA DE FACTURACIÓN]])&gt;PROVEEDORES[[#This Row],[PLAZO Días]],"PAGO VENCIDO")</f>
        <v>PAGO VENCIDO</v>
      </c>
      <c r="C117" s="144">
        <f>+VLOOKUP(PROVEEDORES[[#This Row],[PROVEEDOR]],TERCEROS_INFO[#All],2,FALSE)</f>
        <v>0</v>
      </c>
      <c r="D117" s="145">
        <f>+SUMIFS(PROVEEDORES[Total],PROVEEDORES[PROVEEDOR],PROVEEDORES[[#This Row],[PROVEEDOR]],PROVEEDORES[FECHA DE PAGO],"")</f>
        <v>8493745.8849999998</v>
      </c>
      <c r="E117" s="146"/>
      <c r="F117" s="144" t="str">
        <f>+VLOOKUP(PROVEEDORES[[#This Row],[PROVEEDOR]],
                       Terceros!$A:$G,
                       5,
                       FALSE)</f>
        <v>2,5% con base</v>
      </c>
      <c r="G117" s="122">
        <v>44998</v>
      </c>
      <c r="H117" s="102" t="s">
        <v>10</v>
      </c>
      <c r="I117" s="122">
        <v>44937</v>
      </c>
      <c r="J117" s="103" t="s">
        <v>517</v>
      </c>
      <c r="K117" s="103" t="s">
        <v>1512</v>
      </c>
      <c r="L117" s="103"/>
      <c r="M117" s="105">
        <v>-153013</v>
      </c>
      <c r="N117" s="147">
        <v>-29072.47</v>
      </c>
      <c r="O117" s="147">
        <v>0</v>
      </c>
      <c r="P117" s="148">
        <v>0</v>
      </c>
      <c r="Q117" s="147">
        <v>0</v>
      </c>
      <c r="R117" s="149">
        <v>-182085.47</v>
      </c>
      <c r="S1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" s="150">
        <f ca="1">+IF(PROVEEDORES[[#This Row],[FECHA DE PAGO]]=0,TODAY()-PROVEEDORES[[#This Row],[FECHA DE FACTURACIÓN]]-PROVEEDORES[[#This Row],[PLAZO Días]],0)</f>
        <v>0</v>
      </c>
      <c r="U117" s="150">
        <f>+VLOOKUP(PROVEEDORES[[#This Row],[PROVEEDOR]],Terceros!$A:$E,4,FALSE)</f>
        <v>0.19</v>
      </c>
      <c r="V117" s="150">
        <f>+YEAR(PROVEEDORES[[#This Row],[FECHA DE FACTURACIÓN]])</f>
        <v>2023</v>
      </c>
      <c r="W117" s="150">
        <f>+MATCH(PROVEEDORES[[#This Row],[año facturado]],Retenciones!$1:$1,0)</f>
        <v>6</v>
      </c>
      <c r="X117" s="151" t="e">
        <f>+VLOOKUP(PROVEEDORES[[#This Row],[ID RETENCION]],Retenciones!$A$1:$O$25,PROVEEDORES[[#This Row],[indicador de columna]],FALSE)</f>
        <v>#N/A</v>
      </c>
      <c r="Y117" s="152" t="e">
        <f>+VLOOKUP(PROVEEDORES[[#This Row],[ID RETENCION]],Retenciones!$A$1:$O$25,2,FALSE)</f>
        <v>#N/A</v>
      </c>
      <c r="Z117" s="153" t="b">
        <f>+OR(COUNTIF(PROVEEDORES[[#This Row],[PROVEEDOR]],"*"&amp;'Palabra que no opera y Listas d'!$A$2&amp;"*"))</f>
        <v>0</v>
      </c>
    </row>
    <row r="118" spans="1:26" ht="27.75" customHeight="1" x14ac:dyDescent="0.3">
      <c r="A118" s="144" t="str">
        <f>+IF(PROVEEDORES[[#This Row],[FECHA DE PAGO]]=PROVEEDORES[[#This Row],[FECHA DE FACTURACIÓN]],"DE CONTADO","CRÉDITO")</f>
        <v>CRÉDITO</v>
      </c>
      <c r="B118" s="144" t="str">
        <f>+IF((PROVEEDORES[[#This Row],[FECHA DE PAGO]]-PROVEEDORES[[#This Row],[FECHA DE FACTURACIÓN]])&gt;PROVEEDORES[[#This Row],[PLAZO Días]],"PAGO VENCIDO")</f>
        <v>PAGO VENCIDO</v>
      </c>
      <c r="C118" s="144">
        <f>+VLOOKUP(PROVEEDORES[[#This Row],[PROVEEDOR]],TERCEROS_INFO[#All],2,FALSE)</f>
        <v>0</v>
      </c>
      <c r="D118" s="145">
        <f>+SUMIFS(PROVEEDORES[Total],PROVEEDORES[PROVEEDOR],PROVEEDORES[[#This Row],[PROVEEDOR]],PROVEEDORES[FECHA DE PAGO],"")</f>
        <v>8493745.8849999998</v>
      </c>
      <c r="E118" s="146"/>
      <c r="F118" s="144" t="str">
        <f>+VLOOKUP(PROVEEDORES[[#This Row],[PROVEEDOR]],
                       Terceros!$A:$G,
                       5,
                       FALSE)</f>
        <v>2,5% con base</v>
      </c>
      <c r="G118" s="122">
        <v>44998</v>
      </c>
      <c r="H118" s="102" t="s">
        <v>10</v>
      </c>
      <c r="I118" s="122">
        <v>44951</v>
      </c>
      <c r="J118" s="103" t="s">
        <v>554</v>
      </c>
      <c r="K118" s="103" t="s">
        <v>1512</v>
      </c>
      <c r="L118" s="103"/>
      <c r="M118" s="105">
        <v>2803032</v>
      </c>
      <c r="N118" s="147">
        <v>532576.07999999996</v>
      </c>
      <c r="O118" s="147">
        <v>0</v>
      </c>
      <c r="P118" s="148">
        <v>2.5000000000000001E-2</v>
      </c>
      <c r="Q118" s="147">
        <v>70075.8</v>
      </c>
      <c r="R118" s="149">
        <v>3265532.2800000003</v>
      </c>
      <c r="S1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" s="150">
        <f ca="1">+IF(PROVEEDORES[[#This Row],[FECHA DE PAGO]]=0,TODAY()-PROVEEDORES[[#This Row],[FECHA DE FACTURACIÓN]]-PROVEEDORES[[#This Row],[PLAZO Días]],0)</f>
        <v>0</v>
      </c>
      <c r="U118" s="150">
        <f>+VLOOKUP(PROVEEDORES[[#This Row],[PROVEEDOR]],Terceros!$A:$E,4,FALSE)</f>
        <v>0.19</v>
      </c>
      <c r="V118" s="150">
        <f>+YEAR(PROVEEDORES[[#This Row],[FECHA DE FACTURACIÓN]])</f>
        <v>2023</v>
      </c>
      <c r="W118" s="150">
        <f>+MATCH(PROVEEDORES[[#This Row],[año facturado]],Retenciones!$1:$1,0)</f>
        <v>6</v>
      </c>
      <c r="X118" s="151" t="e">
        <f>+VLOOKUP(PROVEEDORES[[#This Row],[ID RETENCION]],Retenciones!$A$1:$O$25,PROVEEDORES[[#This Row],[indicador de columna]],FALSE)</f>
        <v>#N/A</v>
      </c>
      <c r="Y118" s="152" t="e">
        <f>+VLOOKUP(PROVEEDORES[[#This Row],[ID RETENCION]],Retenciones!$A$1:$O$25,2,FALSE)</f>
        <v>#N/A</v>
      </c>
      <c r="Z118" s="153" t="b">
        <f>+OR(COUNTIF(PROVEEDORES[[#This Row],[PROVEEDOR]],"*"&amp;'Palabra que no opera y Listas d'!$A$2&amp;"*"))</f>
        <v>0</v>
      </c>
    </row>
    <row r="119" spans="1:26" ht="27.75" customHeight="1" x14ac:dyDescent="0.3">
      <c r="A119" s="144" t="str">
        <f>+IF(PROVEEDORES[[#This Row],[FECHA DE PAGO]]=PROVEEDORES[[#This Row],[FECHA DE FACTURACIÓN]],"DE CONTADO","CRÉDITO")</f>
        <v>CRÉDITO</v>
      </c>
      <c r="B119" s="144" t="str">
        <f>+IF((PROVEEDORES[[#This Row],[FECHA DE PAGO]]-PROVEEDORES[[#This Row],[FECHA DE FACTURACIÓN]])&gt;PROVEEDORES[[#This Row],[PLAZO Días]],"PAGO VENCIDO")</f>
        <v>PAGO VENCIDO</v>
      </c>
      <c r="C119" s="144">
        <f>+VLOOKUP(PROVEEDORES[[#This Row],[PROVEEDOR]],TERCEROS_INFO[#All],2,FALSE)</f>
        <v>0</v>
      </c>
      <c r="D119" s="145">
        <f>+SUMIFS(PROVEEDORES[Total],PROVEEDORES[PROVEEDOR],PROVEEDORES[[#This Row],[PROVEEDOR]],PROVEEDORES[FECHA DE PAGO],"")</f>
        <v>8493745.8849999998</v>
      </c>
      <c r="E119" s="146"/>
      <c r="F119" s="144" t="str">
        <f>+VLOOKUP(PROVEEDORES[[#This Row],[PROVEEDOR]],
                       Terceros!$A:$G,
                       5,
                       FALSE)</f>
        <v>2,5% con base</v>
      </c>
      <c r="G119" s="122">
        <v>44998</v>
      </c>
      <c r="H119" s="102" t="s">
        <v>10</v>
      </c>
      <c r="I119" s="122">
        <v>44958</v>
      </c>
      <c r="J119" s="103" t="s">
        <v>566</v>
      </c>
      <c r="K119" s="103" t="s">
        <v>1512</v>
      </c>
      <c r="L119" s="103"/>
      <c r="M119" s="105">
        <v>700758</v>
      </c>
      <c r="N119" s="147">
        <v>133144.01999999999</v>
      </c>
      <c r="O119" s="147">
        <v>0</v>
      </c>
      <c r="P119" s="148">
        <v>0</v>
      </c>
      <c r="Q119" s="147">
        <v>0</v>
      </c>
      <c r="R119" s="149">
        <v>833902.02</v>
      </c>
      <c r="S1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" s="150">
        <f ca="1">+IF(PROVEEDORES[[#This Row],[FECHA DE PAGO]]=0,TODAY()-PROVEEDORES[[#This Row],[FECHA DE FACTURACIÓN]]-PROVEEDORES[[#This Row],[PLAZO Días]],0)</f>
        <v>0</v>
      </c>
      <c r="U119" s="150">
        <f>+VLOOKUP(PROVEEDORES[[#This Row],[PROVEEDOR]],Terceros!$A:$E,4,FALSE)</f>
        <v>0.19</v>
      </c>
      <c r="V119" s="150">
        <f>+YEAR(PROVEEDORES[[#This Row],[FECHA DE FACTURACIÓN]])</f>
        <v>2023</v>
      </c>
      <c r="W119" s="150">
        <f>+MATCH(PROVEEDORES[[#This Row],[año facturado]],Retenciones!$1:$1,0)</f>
        <v>6</v>
      </c>
      <c r="X119" s="151" t="e">
        <f>+VLOOKUP(PROVEEDORES[[#This Row],[ID RETENCION]],Retenciones!$A$1:$O$25,PROVEEDORES[[#This Row],[indicador de columna]],FALSE)</f>
        <v>#N/A</v>
      </c>
      <c r="Y119" s="152" t="e">
        <f>+VLOOKUP(PROVEEDORES[[#This Row],[ID RETENCION]],Retenciones!$A$1:$O$25,2,FALSE)</f>
        <v>#N/A</v>
      </c>
      <c r="Z119" s="153" t="b">
        <f>+OR(COUNTIF(PROVEEDORES[[#This Row],[PROVEEDOR]],"*"&amp;'Palabra que no opera y Listas d'!$A$2&amp;"*"))</f>
        <v>0</v>
      </c>
    </row>
    <row r="120" spans="1:26" ht="27.75" customHeight="1" x14ac:dyDescent="0.3">
      <c r="A120" s="144" t="str">
        <f>+IF(PROVEEDORES[[#This Row],[FECHA DE PAGO]]=PROVEEDORES[[#This Row],[FECHA DE FACTURACIÓN]],"DE CONTADO","CRÉDITO")</f>
        <v>CRÉDITO</v>
      </c>
      <c r="B120" s="144" t="str">
        <f>+IF((PROVEEDORES[[#This Row],[FECHA DE PAGO]]-PROVEEDORES[[#This Row],[FECHA DE FACTURACIÓN]])&gt;PROVEEDORES[[#This Row],[PLAZO Días]],"PAGO VENCIDO")</f>
        <v>PAGO VENCIDO</v>
      </c>
      <c r="C120" s="144">
        <f>+VLOOKUP(PROVEEDORES[[#This Row],[PROVEEDOR]],TERCEROS_INFO[#All],2,FALSE)</f>
        <v>0</v>
      </c>
      <c r="D120" s="145">
        <f>+SUMIFS(PROVEEDORES[Total],PROVEEDORES[PROVEEDOR],PROVEEDORES[[#This Row],[PROVEEDOR]],PROVEEDORES[FECHA DE PAGO],"")</f>
        <v>8493745.8849999998</v>
      </c>
      <c r="E120" s="146"/>
      <c r="F120" s="144" t="str">
        <f>+VLOOKUP(PROVEEDORES[[#This Row],[PROVEEDOR]],
                       Terceros!$A:$G,
                       5,
                       FALSE)</f>
        <v>2,5% con base</v>
      </c>
      <c r="G120" s="122">
        <v>44998</v>
      </c>
      <c r="H120" s="102" t="s">
        <v>10</v>
      </c>
      <c r="I120" s="122">
        <v>44960</v>
      </c>
      <c r="J120" s="103" t="s">
        <v>567</v>
      </c>
      <c r="K120" s="103" t="s">
        <v>1512</v>
      </c>
      <c r="L120" s="103"/>
      <c r="M120" s="105">
        <v>2102274</v>
      </c>
      <c r="N120" s="147">
        <v>399432.06</v>
      </c>
      <c r="O120" s="147">
        <v>0</v>
      </c>
      <c r="P120" s="148">
        <v>2.5000000000000001E-2</v>
      </c>
      <c r="Q120" s="147">
        <v>52556.850000000006</v>
      </c>
      <c r="R120" s="149">
        <v>2449149.21</v>
      </c>
      <c r="S1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" s="150">
        <f ca="1">+IF(PROVEEDORES[[#This Row],[FECHA DE PAGO]]=0,TODAY()-PROVEEDORES[[#This Row],[FECHA DE FACTURACIÓN]]-PROVEEDORES[[#This Row],[PLAZO Días]],0)</f>
        <v>0</v>
      </c>
      <c r="U120" s="150">
        <f>+VLOOKUP(PROVEEDORES[[#This Row],[PROVEEDOR]],Terceros!$A:$E,4,FALSE)</f>
        <v>0.19</v>
      </c>
      <c r="V120" s="150">
        <f>+YEAR(PROVEEDORES[[#This Row],[FECHA DE FACTURACIÓN]])</f>
        <v>2023</v>
      </c>
      <c r="W120" s="150">
        <f>+MATCH(PROVEEDORES[[#This Row],[año facturado]],Retenciones!$1:$1,0)</f>
        <v>6</v>
      </c>
      <c r="X120" s="151" t="e">
        <f>+VLOOKUP(PROVEEDORES[[#This Row],[ID RETENCION]],Retenciones!$A$1:$O$25,PROVEEDORES[[#This Row],[indicador de columna]],FALSE)</f>
        <v>#N/A</v>
      </c>
      <c r="Y120" s="152" t="e">
        <f>+VLOOKUP(PROVEEDORES[[#This Row],[ID RETENCION]],Retenciones!$A$1:$O$25,2,FALSE)</f>
        <v>#N/A</v>
      </c>
      <c r="Z120" s="153" t="b">
        <f>+OR(COUNTIF(PROVEEDORES[[#This Row],[PROVEEDOR]],"*"&amp;'Palabra que no opera y Listas d'!$A$2&amp;"*"))</f>
        <v>0</v>
      </c>
    </row>
    <row r="121" spans="1:26" ht="27.75" customHeight="1" x14ac:dyDescent="0.3">
      <c r="A121" s="144" t="str">
        <f>+IF(PROVEEDORES[[#This Row],[FECHA DE PAGO]]=PROVEEDORES[[#This Row],[FECHA DE FACTURACIÓN]],"DE CONTADO","CRÉDITO")</f>
        <v>CRÉDITO</v>
      </c>
      <c r="B121" s="144" t="str">
        <f>+IF((PROVEEDORES[[#This Row],[FECHA DE PAGO]]-PROVEEDORES[[#This Row],[FECHA DE FACTURACIÓN]])&gt;PROVEEDORES[[#This Row],[PLAZO Días]],"PAGO VENCIDO")</f>
        <v>PAGO VENCIDO</v>
      </c>
      <c r="C121" s="144">
        <f>+VLOOKUP(PROVEEDORES[[#This Row],[PROVEEDOR]],TERCEROS_INFO[#All],2,FALSE)</f>
        <v>0</v>
      </c>
      <c r="D121" s="145">
        <f>+SUMIFS(PROVEEDORES[Total],PROVEEDORES[PROVEEDOR],PROVEEDORES[[#This Row],[PROVEEDOR]],PROVEEDORES[FECHA DE PAGO],"")</f>
        <v>5813868.5099999998</v>
      </c>
      <c r="E121" s="146"/>
      <c r="F121" s="144" t="str">
        <f>+VLOOKUP(PROVEEDORES[[#This Row],[PROVEEDOR]],
                       Terceros!$A:$G,
                       5,
                       FALSE)</f>
        <v>2,5% con base</v>
      </c>
      <c r="G121" s="122">
        <v>44998</v>
      </c>
      <c r="H121" s="102" t="s">
        <v>23</v>
      </c>
      <c r="I121" s="122">
        <v>44973</v>
      </c>
      <c r="J121" s="103" t="s">
        <v>592</v>
      </c>
      <c r="K121" s="103" t="s">
        <v>516</v>
      </c>
      <c r="L121" s="103"/>
      <c r="M121" s="105">
        <v>16645788</v>
      </c>
      <c r="N121" s="147">
        <v>3162699.72</v>
      </c>
      <c r="O121" s="147">
        <v>0</v>
      </c>
      <c r="P121" s="148">
        <v>2.5000000000000001E-2</v>
      </c>
      <c r="Q121" s="147">
        <v>416144.7</v>
      </c>
      <c r="R121" s="149">
        <v>19392343.02</v>
      </c>
      <c r="S1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" s="150">
        <f ca="1">+IF(PROVEEDORES[[#This Row],[FECHA DE PAGO]]=0,TODAY()-PROVEEDORES[[#This Row],[FECHA DE FACTURACIÓN]]-PROVEEDORES[[#This Row],[PLAZO Días]],0)</f>
        <v>0</v>
      </c>
      <c r="U121" s="150">
        <f>+VLOOKUP(PROVEEDORES[[#This Row],[PROVEEDOR]],Terceros!$A:$E,4,FALSE)</f>
        <v>0.19</v>
      </c>
      <c r="V121" s="150">
        <f>+YEAR(PROVEEDORES[[#This Row],[FECHA DE FACTURACIÓN]])</f>
        <v>2023</v>
      </c>
      <c r="W121" s="150">
        <f>+MATCH(PROVEEDORES[[#This Row],[año facturado]],Retenciones!$1:$1,0)</f>
        <v>6</v>
      </c>
      <c r="X121" s="151" t="e">
        <f>+VLOOKUP(PROVEEDORES[[#This Row],[ID RETENCION]],Retenciones!$A$1:$O$25,PROVEEDORES[[#This Row],[indicador de columna]],FALSE)</f>
        <v>#N/A</v>
      </c>
      <c r="Y121" s="152" t="e">
        <f>+VLOOKUP(PROVEEDORES[[#This Row],[ID RETENCION]],Retenciones!$A$1:$O$25,2,FALSE)</f>
        <v>#N/A</v>
      </c>
      <c r="Z121" s="153" t="b">
        <f>+OR(COUNTIF(PROVEEDORES[[#This Row],[PROVEEDOR]],"*"&amp;'Palabra que no opera y Listas d'!$A$2&amp;"*"))</f>
        <v>0</v>
      </c>
    </row>
    <row r="122" spans="1:26" ht="27.75" customHeight="1" x14ac:dyDescent="0.3">
      <c r="A122" s="144" t="str">
        <f>+IF(PROVEEDORES[[#This Row],[FECHA DE PAGO]]=PROVEEDORES[[#This Row],[FECHA DE FACTURACIÓN]],"DE CONTADO","CRÉDITO")</f>
        <v>CRÉDITO</v>
      </c>
      <c r="B122" s="144" t="str">
        <f>+IF((PROVEEDORES[[#This Row],[FECHA DE PAGO]]-PROVEEDORES[[#This Row],[FECHA DE FACTURACIÓN]])&gt;PROVEEDORES[[#This Row],[PLAZO Días]],"PAGO VENCIDO")</f>
        <v>PAGO VENCIDO</v>
      </c>
      <c r="C122" s="144">
        <f>+VLOOKUP(PROVEEDORES[[#This Row],[PROVEEDOR]],TERCEROS_INFO[#All],2,FALSE)</f>
        <v>0</v>
      </c>
      <c r="D122" s="145">
        <f>+SUMIFS(PROVEEDORES[Total],PROVEEDORES[PROVEEDOR],PROVEEDORES[[#This Row],[PROVEEDOR]],PROVEEDORES[FECHA DE PAGO],"")</f>
        <v>5813868.5099999998</v>
      </c>
      <c r="E122" s="146"/>
      <c r="F122" s="144" t="str">
        <f>+VLOOKUP(PROVEEDORES[[#This Row],[PROVEEDOR]],
                       Terceros!$A:$G,
                       5,
                       FALSE)</f>
        <v>2,5% con base</v>
      </c>
      <c r="G122" s="122">
        <v>44998</v>
      </c>
      <c r="H122" s="102" t="s">
        <v>23</v>
      </c>
      <c r="I122" s="122">
        <v>44985</v>
      </c>
      <c r="J122" s="103" t="s">
        <v>610</v>
      </c>
      <c r="K122" s="103" t="s">
        <v>516</v>
      </c>
      <c r="L122" s="103"/>
      <c r="M122" s="105">
        <v>-8403361</v>
      </c>
      <c r="N122" s="147">
        <v>-1596638.59</v>
      </c>
      <c r="O122" s="147">
        <v>0</v>
      </c>
      <c r="P122" s="148">
        <v>0</v>
      </c>
      <c r="Q122" s="147">
        <v>0</v>
      </c>
      <c r="R122" s="149">
        <v>-9999999.5899999999</v>
      </c>
      <c r="S1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" s="150">
        <f ca="1">+IF(PROVEEDORES[[#This Row],[FECHA DE PAGO]]=0,TODAY()-PROVEEDORES[[#This Row],[FECHA DE FACTURACIÓN]]-PROVEEDORES[[#This Row],[PLAZO Días]],0)</f>
        <v>0</v>
      </c>
      <c r="U122" s="150">
        <f>+VLOOKUP(PROVEEDORES[[#This Row],[PROVEEDOR]],Terceros!$A:$E,4,FALSE)</f>
        <v>0.19</v>
      </c>
      <c r="V122" s="150">
        <f>+YEAR(PROVEEDORES[[#This Row],[FECHA DE FACTURACIÓN]])</f>
        <v>2023</v>
      </c>
      <c r="W122" s="150">
        <f>+MATCH(PROVEEDORES[[#This Row],[año facturado]],Retenciones!$1:$1,0)</f>
        <v>6</v>
      </c>
      <c r="X122" s="151" t="e">
        <f>+VLOOKUP(PROVEEDORES[[#This Row],[ID RETENCION]],Retenciones!$A$1:$O$25,PROVEEDORES[[#This Row],[indicador de columna]],FALSE)</f>
        <v>#N/A</v>
      </c>
      <c r="Y122" s="152" t="e">
        <f>+VLOOKUP(PROVEEDORES[[#This Row],[ID RETENCION]],Retenciones!$A$1:$O$25,2,FALSE)</f>
        <v>#N/A</v>
      </c>
      <c r="Z122" s="153" t="b">
        <f>+OR(COUNTIF(PROVEEDORES[[#This Row],[PROVEEDOR]],"*"&amp;'Palabra que no opera y Listas d'!$A$2&amp;"*"))</f>
        <v>0</v>
      </c>
    </row>
    <row r="123" spans="1:26" ht="27.75" customHeight="1" x14ac:dyDescent="0.3">
      <c r="A123" s="144" t="str">
        <f>+IF(PROVEEDORES[[#This Row],[FECHA DE PAGO]]=PROVEEDORES[[#This Row],[FECHA DE FACTURACIÓN]],"DE CONTADO","CRÉDITO")</f>
        <v>CRÉDITO</v>
      </c>
      <c r="B123" s="144" t="str">
        <f>+IF((PROVEEDORES[[#This Row],[FECHA DE PAGO]]-PROVEEDORES[[#This Row],[FECHA DE FACTURACIÓN]])&gt;PROVEEDORES[[#This Row],[PLAZO Días]],"PAGO VENCIDO")</f>
        <v>PAGO VENCIDO</v>
      </c>
      <c r="C123" s="144">
        <f>+VLOOKUP(PROVEEDORES[[#This Row],[PROVEEDOR]],TERCEROS_INFO[#All],2,FALSE)</f>
        <v>0</v>
      </c>
      <c r="D123" s="145">
        <f>+SUMIFS(PROVEEDORES[Total],PROVEEDORES[PROVEEDOR],PROVEEDORES[[#This Row],[PROVEEDOR]],PROVEEDORES[FECHA DE PAGO],"")</f>
        <v>9343197</v>
      </c>
      <c r="E123" s="146"/>
      <c r="F123" s="144" t="str">
        <f>+VLOOKUP(PROVEEDORES[[#This Row],[PROVEEDOR]],
                       Terceros!$A:$G,
                       5,
                       FALSE)</f>
        <v>2,5% con base</v>
      </c>
      <c r="G123" s="122">
        <v>44998</v>
      </c>
      <c r="H123" s="102" t="s">
        <v>466</v>
      </c>
      <c r="I123" s="122">
        <v>44993</v>
      </c>
      <c r="J123" s="103">
        <v>29650</v>
      </c>
      <c r="K123" s="103" t="s">
        <v>1512</v>
      </c>
      <c r="L123" s="103"/>
      <c r="M123" s="105">
        <v>740000</v>
      </c>
      <c r="N123" s="147">
        <v>140600</v>
      </c>
      <c r="O123" s="147">
        <v>0</v>
      </c>
      <c r="P123" s="148">
        <v>0</v>
      </c>
      <c r="Q123" s="147">
        <v>0</v>
      </c>
      <c r="R123" s="149">
        <v>880600</v>
      </c>
      <c r="S1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" s="150">
        <f ca="1">+IF(PROVEEDORES[[#This Row],[FECHA DE PAGO]]=0,TODAY()-PROVEEDORES[[#This Row],[FECHA DE FACTURACIÓN]]-PROVEEDORES[[#This Row],[PLAZO Días]],0)</f>
        <v>0</v>
      </c>
      <c r="U123" s="150">
        <f>+VLOOKUP(PROVEEDORES[[#This Row],[PROVEEDOR]],Terceros!$A:$E,4,FALSE)</f>
        <v>0.19</v>
      </c>
      <c r="V123" s="150">
        <f>+YEAR(PROVEEDORES[[#This Row],[FECHA DE FACTURACIÓN]])</f>
        <v>2023</v>
      </c>
      <c r="W123" s="150">
        <f>+MATCH(PROVEEDORES[[#This Row],[año facturado]],Retenciones!$1:$1,0)</f>
        <v>6</v>
      </c>
      <c r="X123" s="151" t="e">
        <f>+VLOOKUP(PROVEEDORES[[#This Row],[ID RETENCION]],Retenciones!$A$1:$O$25,PROVEEDORES[[#This Row],[indicador de columna]],FALSE)</f>
        <v>#N/A</v>
      </c>
      <c r="Y123" s="152" t="e">
        <f>+VLOOKUP(PROVEEDORES[[#This Row],[ID RETENCION]],Retenciones!$A$1:$O$25,2,FALSE)</f>
        <v>#N/A</v>
      </c>
      <c r="Z123" s="153" t="b">
        <f>+OR(COUNTIF(PROVEEDORES[[#This Row],[PROVEEDOR]],"*"&amp;'Palabra que no opera y Listas d'!$A$2&amp;"*"))</f>
        <v>0</v>
      </c>
    </row>
    <row r="124" spans="1:26" ht="27.75" customHeight="1" x14ac:dyDescent="0.3">
      <c r="A124" s="144" t="str">
        <f>+IF(PROVEEDORES[[#This Row],[FECHA DE PAGO]]=PROVEEDORES[[#This Row],[FECHA DE FACTURACIÓN]],"DE CONTADO","CRÉDITO")</f>
        <v>DE CONTADO</v>
      </c>
      <c r="B124" s="144" t="b">
        <f>+IF((PROVEEDORES[[#This Row],[FECHA DE PAGO]]-PROVEEDORES[[#This Row],[FECHA DE FACTURACIÓN]])&gt;PROVEEDORES[[#This Row],[PLAZO Días]],"PAGO VENCIDO")</f>
        <v>0</v>
      </c>
      <c r="C124" s="144">
        <f>+VLOOKUP(PROVEEDORES[[#This Row],[PROVEEDOR]],TERCEROS_INFO[#All],2,FALSE)</f>
        <v>0</v>
      </c>
      <c r="D124" s="145">
        <f>+SUMIFS(PROVEEDORES[Total],PROVEEDORES[PROVEEDOR],PROVEEDORES[[#This Row],[PROVEEDOR]],PROVEEDORES[FECHA DE PAGO],"")</f>
        <v>0</v>
      </c>
      <c r="E124" s="146"/>
      <c r="F124" s="144">
        <f>+VLOOKUP(PROVEEDORES[[#This Row],[PROVEEDOR]],
                       Terceros!$A:$G,
                       5,
                       FALSE)</f>
        <v>0</v>
      </c>
      <c r="G124" s="122">
        <v>44998</v>
      </c>
      <c r="H124" s="102" t="s">
        <v>496</v>
      </c>
      <c r="I124" s="122">
        <v>44998</v>
      </c>
      <c r="J124" s="103" t="s">
        <v>638</v>
      </c>
      <c r="K124" s="103" t="s">
        <v>1512</v>
      </c>
      <c r="L124" s="103"/>
      <c r="M124" s="105">
        <v>2077000</v>
      </c>
      <c r="N124" s="147">
        <v>0</v>
      </c>
      <c r="O124" s="147">
        <v>0</v>
      </c>
      <c r="P124" s="148">
        <v>0</v>
      </c>
      <c r="Q124" s="147">
        <v>0</v>
      </c>
      <c r="R124" s="149">
        <v>2077000</v>
      </c>
      <c r="S1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" s="150">
        <f ca="1">+IF(PROVEEDORES[[#This Row],[FECHA DE PAGO]]=0,TODAY()-PROVEEDORES[[#This Row],[FECHA DE FACTURACIÓN]]-PROVEEDORES[[#This Row],[PLAZO Días]],0)</f>
        <v>0</v>
      </c>
      <c r="U124" s="150">
        <f>+VLOOKUP(PROVEEDORES[[#This Row],[PROVEEDOR]],Terceros!$A:$E,4,FALSE)</f>
        <v>0</v>
      </c>
      <c r="V124" s="150">
        <f>+YEAR(PROVEEDORES[[#This Row],[FECHA DE FACTURACIÓN]])</f>
        <v>2023</v>
      </c>
      <c r="W124" s="150">
        <f>+MATCH(PROVEEDORES[[#This Row],[año facturado]],Retenciones!$1:$1,0)</f>
        <v>6</v>
      </c>
      <c r="X124" s="151">
        <f>+VLOOKUP(PROVEEDORES[[#This Row],[ID RETENCION]],Retenciones!$A$1:$O$25,PROVEEDORES[[#This Row],[indicador de columna]],FALSE)</f>
        <v>0</v>
      </c>
      <c r="Y124" s="152">
        <f>+VLOOKUP(PROVEEDORES[[#This Row],[ID RETENCION]],Retenciones!$A$1:$O$25,2,FALSE)</f>
        <v>0</v>
      </c>
      <c r="Z124" s="153" t="b">
        <f>+OR(COUNTIF(PROVEEDORES[[#This Row],[PROVEEDOR]],"*"&amp;'Palabra que no opera y Listas d'!$A$2&amp;"*"))</f>
        <v>0</v>
      </c>
    </row>
    <row r="125" spans="1:26" ht="27.75" customHeight="1" x14ac:dyDescent="0.3">
      <c r="A125" s="144" t="str">
        <f>+IF(PROVEEDORES[[#This Row],[FECHA DE PAGO]]=PROVEEDORES[[#This Row],[FECHA DE FACTURACIÓN]],"DE CONTADO","CRÉDITO")</f>
        <v>CRÉDITO</v>
      </c>
      <c r="B125" s="144" t="str">
        <f>+IF((PROVEEDORES[[#This Row],[FECHA DE PAGO]]-PROVEEDORES[[#This Row],[FECHA DE FACTURACIÓN]])&gt;PROVEEDORES[[#This Row],[PLAZO Días]],"PAGO VENCIDO")</f>
        <v>PAGO VENCIDO</v>
      </c>
      <c r="C125" s="144">
        <f>+VLOOKUP(PROVEEDORES[[#This Row],[PROVEEDOR]],TERCEROS_INFO[#All],2,FALSE)</f>
        <v>0</v>
      </c>
      <c r="D125" s="145">
        <f>+SUMIFS(PROVEEDORES[Total],PROVEEDORES[PROVEEDOR],PROVEEDORES[[#This Row],[PROVEEDOR]],PROVEEDORES[FECHA DE PAGO],"")</f>
        <v>0</v>
      </c>
      <c r="E125" s="146"/>
      <c r="F125" s="144" t="str">
        <f>+VLOOKUP(PROVEEDORES[[#This Row],[PROVEEDOR]],
                       Terceros!$A:$G,
                       5,
                       FALSE)</f>
        <v>2,5% con base</v>
      </c>
      <c r="G125" s="122">
        <v>44999</v>
      </c>
      <c r="H125" s="102" t="s">
        <v>19</v>
      </c>
      <c r="I125" s="122">
        <v>44958</v>
      </c>
      <c r="J125" s="103" t="s">
        <v>568</v>
      </c>
      <c r="K125" s="103" t="s">
        <v>1512</v>
      </c>
      <c r="L125" s="103"/>
      <c r="M125" s="105">
        <v>1955960</v>
      </c>
      <c r="N125" s="147">
        <v>371632.4</v>
      </c>
      <c r="O125" s="147">
        <v>0</v>
      </c>
      <c r="P125" s="148">
        <v>2.5000000000000001E-2</v>
      </c>
      <c r="Q125" s="147">
        <v>48899</v>
      </c>
      <c r="R125" s="149">
        <v>2278693.4</v>
      </c>
      <c r="S1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" s="150">
        <f ca="1">+IF(PROVEEDORES[[#This Row],[FECHA DE PAGO]]=0,TODAY()-PROVEEDORES[[#This Row],[FECHA DE FACTURACIÓN]]-PROVEEDORES[[#This Row],[PLAZO Días]],0)</f>
        <v>0</v>
      </c>
      <c r="U125" s="150">
        <f>+VLOOKUP(PROVEEDORES[[#This Row],[PROVEEDOR]],Terceros!$A:$E,4,FALSE)</f>
        <v>0.19</v>
      </c>
      <c r="V125" s="150">
        <f>+YEAR(PROVEEDORES[[#This Row],[FECHA DE FACTURACIÓN]])</f>
        <v>2023</v>
      </c>
      <c r="W125" s="150">
        <f>+MATCH(PROVEEDORES[[#This Row],[año facturado]],Retenciones!$1:$1,0)</f>
        <v>6</v>
      </c>
      <c r="X125" s="151" t="e">
        <f>+VLOOKUP(PROVEEDORES[[#This Row],[ID RETENCION]],Retenciones!$A$1:$O$25,PROVEEDORES[[#This Row],[indicador de columna]],FALSE)</f>
        <v>#N/A</v>
      </c>
      <c r="Y125" s="152" t="e">
        <f>+VLOOKUP(PROVEEDORES[[#This Row],[ID RETENCION]],Retenciones!$A$1:$O$25,2,FALSE)</f>
        <v>#N/A</v>
      </c>
      <c r="Z125" s="153" t="b">
        <f>+OR(COUNTIF(PROVEEDORES[[#This Row],[PROVEEDOR]],"*"&amp;'Palabra que no opera y Listas d'!$A$2&amp;"*"))</f>
        <v>0</v>
      </c>
    </row>
    <row r="126" spans="1:26" ht="27.75" customHeight="1" x14ac:dyDescent="0.3">
      <c r="A126" s="144" t="str">
        <f>+IF(PROVEEDORES[[#This Row],[FECHA DE PAGO]]=PROVEEDORES[[#This Row],[FECHA DE FACTURACIÓN]],"DE CONTADO","CRÉDITO")</f>
        <v>CRÉDITO</v>
      </c>
      <c r="B126" s="144" t="str">
        <f>+IF((PROVEEDORES[[#This Row],[FECHA DE PAGO]]-PROVEEDORES[[#This Row],[FECHA DE FACTURACIÓN]])&gt;PROVEEDORES[[#This Row],[PLAZO Días]],"PAGO VENCIDO")</f>
        <v>PAGO VENCIDO</v>
      </c>
      <c r="C126" s="144">
        <f>+VLOOKUP(PROVEEDORES[[#This Row],[PROVEEDOR]],TERCEROS_INFO[#All],2,FALSE)</f>
        <v>0</v>
      </c>
      <c r="D126" s="145" t="e">
        <f>+SUMIFS(PROVEEDORES[Total],PROVEEDORES[PROVEEDOR],PROVEEDORES[[#This Row],[PROVEEDOR]],PROVEEDORES[FECHA DE PAGO],"")</f>
        <v>#N/A</v>
      </c>
      <c r="E126" s="146"/>
      <c r="F126" s="144">
        <f>+VLOOKUP(PROVEEDORES[[#This Row],[PROVEEDOR]],
                       Terceros!$A:$G,
                       5,
                       FALSE)</f>
        <v>0</v>
      </c>
      <c r="G126" s="122">
        <v>44999</v>
      </c>
      <c r="H126" s="102" t="s">
        <v>16</v>
      </c>
      <c r="I126" s="122">
        <v>44959</v>
      </c>
      <c r="J126" s="103">
        <v>20088404</v>
      </c>
      <c r="K126" s="103" t="s">
        <v>1512</v>
      </c>
      <c r="L126" s="103"/>
      <c r="M126" s="105">
        <v>205800</v>
      </c>
      <c r="N126" s="147">
        <v>39102</v>
      </c>
      <c r="O126" s="147">
        <v>0</v>
      </c>
      <c r="P126" s="148">
        <v>0</v>
      </c>
      <c r="Q126" s="147">
        <v>0</v>
      </c>
      <c r="R126" s="149">
        <v>244902</v>
      </c>
      <c r="S1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" s="150">
        <f ca="1">+IF(PROVEEDORES[[#This Row],[FECHA DE PAGO]]=0,TODAY()-PROVEEDORES[[#This Row],[FECHA DE FACTURACIÓN]]-PROVEEDORES[[#This Row],[PLAZO Días]],0)</f>
        <v>0</v>
      </c>
      <c r="U126" s="150">
        <f>+VLOOKUP(PROVEEDORES[[#This Row],[PROVEEDOR]],Terceros!$A:$E,4,FALSE)</f>
        <v>0.19</v>
      </c>
      <c r="V126" s="150">
        <f>+YEAR(PROVEEDORES[[#This Row],[FECHA DE FACTURACIÓN]])</f>
        <v>2023</v>
      </c>
      <c r="W126" s="150">
        <f>+MATCH(PROVEEDORES[[#This Row],[año facturado]],Retenciones!$1:$1,0)</f>
        <v>6</v>
      </c>
      <c r="X126" s="151" t="e">
        <f>+VLOOKUP(PROVEEDORES[[#This Row],[ID RETENCION]],Retenciones!$A$1:$O$25,PROVEEDORES[[#This Row],[indicador de columna]],FALSE)</f>
        <v>#N/A</v>
      </c>
      <c r="Y126" s="152" t="e">
        <f>+VLOOKUP(PROVEEDORES[[#This Row],[ID RETENCION]],Retenciones!$A$1:$O$25,2,FALSE)</f>
        <v>#N/A</v>
      </c>
      <c r="Z126" s="153" t="b">
        <f>+OR(COUNTIF(PROVEEDORES[[#This Row],[PROVEEDOR]],"*"&amp;'Palabra que no opera y Listas d'!$A$2&amp;"*"))</f>
        <v>0</v>
      </c>
    </row>
    <row r="127" spans="1:26" ht="27.75" customHeight="1" x14ac:dyDescent="0.3">
      <c r="A127" s="144" t="str">
        <f>+IF(PROVEEDORES[[#This Row],[FECHA DE PAGO]]=PROVEEDORES[[#This Row],[FECHA DE FACTURACIÓN]],"DE CONTADO","CRÉDITO")</f>
        <v>CRÉDITO</v>
      </c>
      <c r="B127" s="144" t="str">
        <f>+IF((PROVEEDORES[[#This Row],[FECHA DE PAGO]]-PROVEEDORES[[#This Row],[FECHA DE FACTURACIÓN]])&gt;PROVEEDORES[[#This Row],[PLAZO Días]],"PAGO VENCIDO")</f>
        <v>PAGO VENCIDO</v>
      </c>
      <c r="C127" s="144">
        <f>+VLOOKUP(PROVEEDORES[[#This Row],[PROVEEDOR]],TERCEROS_INFO[#All],2,FALSE)</f>
        <v>0</v>
      </c>
      <c r="D127" s="145">
        <f>+SUMIFS(PROVEEDORES[Total],PROVEEDORES[PROVEEDOR],PROVEEDORES[[#This Row],[PROVEEDOR]],PROVEEDORES[FECHA DE PAGO],"")</f>
        <v>0</v>
      </c>
      <c r="E127" s="146"/>
      <c r="F127" s="144" t="str">
        <f>+VLOOKUP(PROVEEDORES[[#This Row],[PROVEEDOR]],
                       Terceros!$A:$G,
                       5,
                       FALSE)</f>
        <v>2,5% con base</v>
      </c>
      <c r="G127" s="122">
        <v>44999</v>
      </c>
      <c r="H127" s="102" t="s">
        <v>42</v>
      </c>
      <c r="I127" s="122">
        <v>44965</v>
      </c>
      <c r="J127" s="103" t="s">
        <v>576</v>
      </c>
      <c r="K127" s="103" t="s">
        <v>1512</v>
      </c>
      <c r="L127" s="103"/>
      <c r="M127" s="105">
        <v>1123137</v>
      </c>
      <c r="N127" s="147">
        <v>213396.03</v>
      </c>
      <c r="O127" s="147">
        <v>0</v>
      </c>
      <c r="P127" s="148">
        <v>0</v>
      </c>
      <c r="Q127" s="147">
        <v>0</v>
      </c>
      <c r="R127" s="149">
        <v>1336533.03</v>
      </c>
      <c r="S1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" s="150">
        <f ca="1">+IF(PROVEEDORES[[#This Row],[FECHA DE PAGO]]=0,TODAY()-PROVEEDORES[[#This Row],[FECHA DE FACTURACIÓN]]-PROVEEDORES[[#This Row],[PLAZO Días]],0)</f>
        <v>0</v>
      </c>
      <c r="U127" s="150">
        <f>+VLOOKUP(PROVEEDORES[[#This Row],[PROVEEDOR]],Terceros!$A:$E,4,FALSE)</f>
        <v>0.19</v>
      </c>
      <c r="V127" s="150">
        <f>+YEAR(PROVEEDORES[[#This Row],[FECHA DE FACTURACIÓN]])</f>
        <v>2023</v>
      </c>
      <c r="W127" s="150">
        <f>+MATCH(PROVEEDORES[[#This Row],[año facturado]],Retenciones!$1:$1,0)</f>
        <v>6</v>
      </c>
      <c r="X127" s="151" t="e">
        <f>+VLOOKUP(PROVEEDORES[[#This Row],[ID RETENCION]],Retenciones!$A$1:$O$25,PROVEEDORES[[#This Row],[indicador de columna]],FALSE)</f>
        <v>#N/A</v>
      </c>
      <c r="Y127" s="152" t="e">
        <f>+VLOOKUP(PROVEEDORES[[#This Row],[ID RETENCION]],Retenciones!$A$1:$O$25,2,FALSE)</f>
        <v>#N/A</v>
      </c>
      <c r="Z127" s="153" t="b">
        <f>+OR(COUNTIF(PROVEEDORES[[#This Row],[PROVEEDOR]],"*"&amp;'Palabra que no opera y Listas d'!$A$2&amp;"*"))</f>
        <v>0</v>
      </c>
    </row>
    <row r="128" spans="1:26" ht="27.75" customHeight="1" x14ac:dyDescent="0.3">
      <c r="A128" s="144" t="str">
        <f>+IF(PROVEEDORES[[#This Row],[FECHA DE PAGO]]=PROVEEDORES[[#This Row],[FECHA DE FACTURACIÓN]],"DE CONTADO","CRÉDITO")</f>
        <v>DE CONTADO</v>
      </c>
      <c r="B128" s="144" t="b">
        <f>+IF((PROVEEDORES[[#This Row],[FECHA DE PAGO]]-PROVEEDORES[[#This Row],[FECHA DE FACTURACIÓN]])&gt;PROVEEDORES[[#This Row],[PLAZO Días]],"PAGO VENCIDO")</f>
        <v>0</v>
      </c>
      <c r="C128" s="144">
        <f>+VLOOKUP(PROVEEDORES[[#This Row],[PROVEEDOR]],TERCEROS_INFO[#All],2,FALSE)</f>
        <v>0</v>
      </c>
      <c r="D128" s="145">
        <f>+SUMIFS(PROVEEDORES[Total],PROVEEDORES[PROVEEDOR],PROVEEDORES[[#This Row],[PROVEEDOR]],PROVEEDORES[FECHA DE PAGO],"")</f>
        <v>4198834.75</v>
      </c>
      <c r="E128" s="146"/>
      <c r="F128" s="144" t="str">
        <f>+VLOOKUP(PROVEEDORES[[#This Row],[PROVEEDOR]],
                       Terceros!$A:$G,
                       5,
                       FALSE)</f>
        <v>2,5% con base</v>
      </c>
      <c r="G128" s="122">
        <v>44999</v>
      </c>
      <c r="H128" s="102" t="s">
        <v>437</v>
      </c>
      <c r="I128" s="122">
        <v>44999</v>
      </c>
      <c r="J128" s="103">
        <v>2672</v>
      </c>
      <c r="K128" s="103" t="s">
        <v>1512</v>
      </c>
      <c r="L128" s="103"/>
      <c r="M128" s="105">
        <v>858000</v>
      </c>
      <c r="N128" s="147">
        <v>163020</v>
      </c>
      <c r="O128" s="147">
        <v>0</v>
      </c>
      <c r="P128" s="148">
        <v>0</v>
      </c>
      <c r="Q128" s="147">
        <v>0</v>
      </c>
      <c r="R128" s="149">
        <v>1021020</v>
      </c>
      <c r="S1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" s="150">
        <f ca="1">+IF(PROVEEDORES[[#This Row],[FECHA DE PAGO]]=0,TODAY()-PROVEEDORES[[#This Row],[FECHA DE FACTURACIÓN]]-PROVEEDORES[[#This Row],[PLAZO Días]],0)</f>
        <v>0</v>
      </c>
      <c r="U128" s="150">
        <f>+VLOOKUP(PROVEEDORES[[#This Row],[PROVEEDOR]],Terceros!$A:$E,4,FALSE)</f>
        <v>0.19</v>
      </c>
      <c r="V128" s="150">
        <f>+YEAR(PROVEEDORES[[#This Row],[FECHA DE FACTURACIÓN]])</f>
        <v>2023</v>
      </c>
      <c r="W128" s="150">
        <f>+MATCH(PROVEEDORES[[#This Row],[año facturado]],Retenciones!$1:$1,0)</f>
        <v>6</v>
      </c>
      <c r="X128" s="151" t="e">
        <f>+VLOOKUP(PROVEEDORES[[#This Row],[ID RETENCION]],Retenciones!$A$1:$O$25,PROVEEDORES[[#This Row],[indicador de columna]],FALSE)</f>
        <v>#N/A</v>
      </c>
      <c r="Y128" s="152" t="e">
        <f>+VLOOKUP(PROVEEDORES[[#This Row],[ID RETENCION]],Retenciones!$A$1:$O$25,2,FALSE)</f>
        <v>#N/A</v>
      </c>
      <c r="Z128" s="153" t="b">
        <f>+OR(COUNTIF(PROVEEDORES[[#This Row],[PROVEEDOR]],"*"&amp;'Palabra que no opera y Listas d'!$A$2&amp;"*"))</f>
        <v>0</v>
      </c>
    </row>
    <row r="129" spans="1:26" ht="27.75" customHeight="1" x14ac:dyDescent="0.3">
      <c r="A129" s="144" t="str">
        <f>+IF(PROVEEDORES[[#This Row],[FECHA DE PAGO]]=PROVEEDORES[[#This Row],[FECHA DE FACTURACIÓN]],"DE CONTADO","CRÉDITO")</f>
        <v>CRÉDITO</v>
      </c>
      <c r="B129" s="144" t="str">
        <f>+IF((PROVEEDORES[[#This Row],[FECHA DE PAGO]]-PROVEEDORES[[#This Row],[FECHA DE FACTURACIÓN]])&gt;PROVEEDORES[[#This Row],[PLAZO Días]],"PAGO VENCIDO")</f>
        <v>PAGO VENCIDO</v>
      </c>
      <c r="C129" s="144">
        <f>+VLOOKUP(PROVEEDORES[[#This Row],[PROVEEDOR]],TERCEROS_INFO[#All],2,FALSE)</f>
        <v>0</v>
      </c>
      <c r="D129" s="145">
        <f>+SUMIFS(PROVEEDORES[Total],PROVEEDORES[PROVEEDOR],PROVEEDORES[[#This Row],[PROVEEDOR]],PROVEEDORES[FECHA DE PAGO],"")</f>
        <v>0</v>
      </c>
      <c r="E129" s="146"/>
      <c r="F129" s="144" t="str">
        <f>+VLOOKUP(PROVEEDORES[[#This Row],[PROVEEDOR]],
                       Terceros!$A:$G,
                       5,
                       FALSE)</f>
        <v>2,5% con base</v>
      </c>
      <c r="G129" s="122">
        <v>45000</v>
      </c>
      <c r="H129" s="102" t="s">
        <v>594</v>
      </c>
      <c r="I129" s="122">
        <v>44966</v>
      </c>
      <c r="J129" s="103" t="s">
        <v>596</v>
      </c>
      <c r="K129" s="103" t="s">
        <v>1512</v>
      </c>
      <c r="L129" s="103"/>
      <c r="M129" s="105">
        <v>2906000</v>
      </c>
      <c r="N129" s="147">
        <v>552140</v>
      </c>
      <c r="O129" s="147">
        <v>0</v>
      </c>
      <c r="P129" s="148">
        <v>2.5000000000000001E-2</v>
      </c>
      <c r="Q129" s="147">
        <v>72650</v>
      </c>
      <c r="R129" s="149">
        <v>3385490</v>
      </c>
      <c r="S1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" s="150">
        <f ca="1">+IF(PROVEEDORES[[#This Row],[FECHA DE PAGO]]=0,TODAY()-PROVEEDORES[[#This Row],[FECHA DE FACTURACIÓN]]-PROVEEDORES[[#This Row],[PLAZO Días]],0)</f>
        <v>0</v>
      </c>
      <c r="U129" s="150">
        <f>+VLOOKUP(PROVEEDORES[[#This Row],[PROVEEDOR]],Terceros!$A:$E,4,FALSE)</f>
        <v>0.19</v>
      </c>
      <c r="V129" s="150">
        <f>+YEAR(PROVEEDORES[[#This Row],[FECHA DE FACTURACIÓN]])</f>
        <v>2023</v>
      </c>
      <c r="W129" s="150">
        <f>+MATCH(PROVEEDORES[[#This Row],[año facturado]],Retenciones!$1:$1,0)</f>
        <v>6</v>
      </c>
      <c r="X129" s="151" t="e">
        <f>+VLOOKUP(PROVEEDORES[[#This Row],[ID RETENCION]],Retenciones!$A$1:$O$25,PROVEEDORES[[#This Row],[indicador de columna]],FALSE)</f>
        <v>#N/A</v>
      </c>
      <c r="Y129" s="152" t="e">
        <f>+VLOOKUP(PROVEEDORES[[#This Row],[ID RETENCION]],Retenciones!$A$1:$O$25,2,FALSE)</f>
        <v>#N/A</v>
      </c>
      <c r="Z129" s="153" t="b">
        <f>+OR(COUNTIF(PROVEEDORES[[#This Row],[PROVEEDOR]],"*"&amp;'Palabra que no opera y Listas d'!$A$2&amp;"*"))</f>
        <v>0</v>
      </c>
    </row>
    <row r="130" spans="1:26" ht="27.75" customHeight="1" x14ac:dyDescent="0.3">
      <c r="A130" s="144" t="str">
        <f>+IF(PROVEEDORES[[#This Row],[FECHA DE PAGO]]=PROVEEDORES[[#This Row],[FECHA DE FACTURACIÓN]],"DE CONTADO","CRÉDITO")</f>
        <v>DE CONTADO</v>
      </c>
      <c r="B130" s="144" t="b">
        <f>+IF((PROVEEDORES[[#This Row],[FECHA DE PAGO]]-PROVEEDORES[[#This Row],[FECHA DE FACTURACIÓN]])&gt;PROVEEDORES[[#This Row],[PLAZO Días]],"PAGO VENCIDO")</f>
        <v>0</v>
      </c>
      <c r="C130" s="144">
        <f>+VLOOKUP(PROVEEDORES[[#This Row],[PROVEEDOR]],TERCEROS_INFO[#All],2,FALSE)</f>
        <v>0</v>
      </c>
      <c r="D130" s="145">
        <f>+SUMIFS(PROVEEDORES[Total],PROVEEDORES[PROVEEDOR],PROVEEDORES[[#This Row],[PROVEEDOR]],PROVEEDORES[FECHA DE PAGO],"")</f>
        <v>0</v>
      </c>
      <c r="E130" s="146"/>
      <c r="F130" s="144" t="str">
        <f>+VLOOKUP(PROVEEDORES[[#This Row],[PROVEEDOR]],
                       Terceros!$A:$G,
                       5,
                       FALSE)</f>
        <v>3,5% sin base</v>
      </c>
      <c r="G130" s="122">
        <v>45001</v>
      </c>
      <c r="H130" s="102" t="s">
        <v>395</v>
      </c>
      <c r="I130" s="122">
        <v>45001</v>
      </c>
      <c r="J130" s="103" t="s">
        <v>641</v>
      </c>
      <c r="K130" s="103" t="s">
        <v>1512</v>
      </c>
      <c r="L130" s="103"/>
      <c r="M130" s="105">
        <v>3002200</v>
      </c>
      <c r="N130" s="147">
        <v>0</v>
      </c>
      <c r="O130" s="147">
        <v>0</v>
      </c>
      <c r="P130" s="148">
        <v>3.5000000000000003E-2</v>
      </c>
      <c r="Q130" s="147">
        <v>105077.00000000001</v>
      </c>
      <c r="R130" s="149">
        <v>2897123</v>
      </c>
      <c r="S1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" s="150">
        <f ca="1">+IF(PROVEEDORES[[#This Row],[FECHA DE PAGO]]=0,TODAY()-PROVEEDORES[[#This Row],[FECHA DE FACTURACIÓN]]-PROVEEDORES[[#This Row],[PLAZO Días]],0)</f>
        <v>0</v>
      </c>
      <c r="U130" s="150">
        <f>+VLOOKUP(PROVEEDORES[[#This Row],[PROVEEDOR]],Terceros!$A:$E,4,FALSE)</f>
        <v>0</v>
      </c>
      <c r="V130" s="150">
        <f>+YEAR(PROVEEDORES[[#This Row],[FECHA DE FACTURACIÓN]])</f>
        <v>2023</v>
      </c>
      <c r="W130" s="150">
        <f>+MATCH(PROVEEDORES[[#This Row],[año facturado]],Retenciones!$1:$1,0)</f>
        <v>6</v>
      </c>
      <c r="X130" s="151">
        <f>+VLOOKUP(PROVEEDORES[[#This Row],[ID RETENCION]],Retenciones!$A$1:$O$25,PROVEEDORES[[#This Row],[indicador de columna]],FALSE)</f>
        <v>0</v>
      </c>
      <c r="Y130" s="152">
        <f>+VLOOKUP(PROVEEDORES[[#This Row],[ID RETENCION]],Retenciones!$A$1:$O$25,2,FALSE)</f>
        <v>0</v>
      </c>
      <c r="Z130" s="153" t="b">
        <f>+OR(COUNTIF(PROVEEDORES[[#This Row],[PROVEEDOR]],"*"&amp;'Palabra que no opera y Listas d'!$A$2&amp;"*"))</f>
        <v>1</v>
      </c>
    </row>
    <row r="131" spans="1:26" ht="27.75" customHeight="1" x14ac:dyDescent="0.3">
      <c r="A131" s="144" t="str">
        <f>+IF(PROVEEDORES[[#This Row],[FECHA DE PAGO]]=PROVEEDORES[[#This Row],[FECHA DE FACTURACIÓN]],"DE CONTADO","CRÉDITO")</f>
        <v>CRÉDITO</v>
      </c>
      <c r="B131" s="144" t="str">
        <f>+IF((PROVEEDORES[[#This Row],[FECHA DE PAGO]]-PROVEEDORES[[#This Row],[FECHA DE FACTURACIÓN]])&gt;PROVEEDORES[[#This Row],[PLAZO Días]],"PAGO VENCIDO")</f>
        <v>PAGO VENCIDO</v>
      </c>
      <c r="C131" s="144">
        <f>+VLOOKUP(PROVEEDORES[[#This Row],[PROVEEDOR]],TERCEROS_INFO[#All],2,FALSE)</f>
        <v>0</v>
      </c>
      <c r="D131" s="145">
        <f>+SUMIFS(PROVEEDORES[Total],PROVEEDORES[PROVEEDOR],PROVEEDORES[[#This Row],[PROVEEDOR]],PROVEEDORES[FECHA DE PAGO],"")</f>
        <v>0</v>
      </c>
      <c r="E131" s="146"/>
      <c r="F131" s="144">
        <f>+VLOOKUP(PROVEEDORES[[#This Row],[PROVEEDOR]],
                       Terceros!$A:$G,
                       5,
                       FALSE)</f>
        <v>0</v>
      </c>
      <c r="G131" s="122">
        <v>45002</v>
      </c>
      <c r="H131" s="102" t="s">
        <v>1787</v>
      </c>
      <c r="I131" s="122">
        <v>44964</v>
      </c>
      <c r="J131" s="103" t="s">
        <v>606</v>
      </c>
      <c r="K131" s="103" t="s">
        <v>1512</v>
      </c>
      <c r="L131" s="103"/>
      <c r="M131" s="105">
        <v>2417600</v>
      </c>
      <c r="N131" s="147">
        <v>0</v>
      </c>
      <c r="O131" s="147">
        <v>0</v>
      </c>
      <c r="P131" s="148">
        <v>0</v>
      </c>
      <c r="Q131" s="147">
        <v>0</v>
      </c>
      <c r="R131" s="149">
        <v>2417600</v>
      </c>
      <c r="S1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" s="150">
        <f ca="1">+IF(PROVEEDORES[[#This Row],[FECHA DE PAGO]]=0,TODAY()-PROVEEDORES[[#This Row],[FECHA DE FACTURACIÓN]]-PROVEEDORES[[#This Row],[PLAZO Días]],0)</f>
        <v>0</v>
      </c>
      <c r="U131" s="150">
        <f>+VLOOKUP(PROVEEDORES[[#This Row],[PROVEEDOR]],Terceros!$A:$E,4,FALSE)</f>
        <v>0</v>
      </c>
      <c r="V131" s="150">
        <f>+YEAR(PROVEEDORES[[#This Row],[FECHA DE FACTURACIÓN]])</f>
        <v>2023</v>
      </c>
      <c r="W131" s="150">
        <f>+MATCH(PROVEEDORES[[#This Row],[año facturado]],Retenciones!$1:$1,0)</f>
        <v>6</v>
      </c>
      <c r="X131" s="151">
        <f>+VLOOKUP(PROVEEDORES[[#This Row],[ID RETENCION]],Retenciones!$A$1:$O$25,PROVEEDORES[[#This Row],[indicador de columna]],FALSE)</f>
        <v>0</v>
      </c>
      <c r="Y131" s="152">
        <f>+VLOOKUP(PROVEEDORES[[#This Row],[ID RETENCION]],Retenciones!$A$1:$O$25,2,FALSE)</f>
        <v>0</v>
      </c>
      <c r="Z131" s="153" t="b">
        <f>+OR(COUNTIF(PROVEEDORES[[#This Row],[PROVEEDOR]],"*"&amp;'Palabra que no opera y Listas d'!$A$2&amp;"*"))</f>
        <v>0</v>
      </c>
    </row>
    <row r="132" spans="1:26" ht="27.75" customHeight="1" x14ac:dyDescent="0.3">
      <c r="A132" s="144" t="str">
        <f>+IF(PROVEEDORES[[#This Row],[FECHA DE PAGO]]=PROVEEDORES[[#This Row],[FECHA DE FACTURACIÓN]],"DE CONTADO","CRÉDITO")</f>
        <v>CRÉDITO</v>
      </c>
      <c r="B132" s="144" t="str">
        <f>+IF((PROVEEDORES[[#This Row],[FECHA DE PAGO]]-PROVEEDORES[[#This Row],[FECHA DE FACTURACIÓN]])&gt;PROVEEDORES[[#This Row],[PLAZO Días]],"PAGO VENCIDO")</f>
        <v>PAGO VENCIDO</v>
      </c>
      <c r="C132" s="144">
        <f>+VLOOKUP(PROVEEDORES[[#This Row],[PROVEEDOR]],TERCEROS_INFO[#All],2,FALSE)</f>
        <v>0</v>
      </c>
      <c r="D132" s="145">
        <f>+SUMIFS(PROVEEDORES[Total],PROVEEDORES[PROVEEDOR],PROVEEDORES[[#This Row],[PROVEEDOR]],PROVEEDORES[FECHA DE PAGO],"")</f>
        <v>0</v>
      </c>
      <c r="E132" s="146"/>
      <c r="F132" s="144" t="str">
        <f>+VLOOKUP(PROVEEDORES[[#This Row],[PROVEEDOR]],
                       Terceros!$A:$G,
                       5,
                       FALSE)</f>
        <v>2,5% con base</v>
      </c>
      <c r="G132" s="122">
        <v>45002</v>
      </c>
      <c r="H132" s="102" t="s">
        <v>222</v>
      </c>
      <c r="I132" s="122">
        <v>45001</v>
      </c>
      <c r="J132" s="103" t="s">
        <v>665</v>
      </c>
      <c r="K132" s="103" t="s">
        <v>1512</v>
      </c>
      <c r="L132" s="103"/>
      <c r="M132" s="105">
        <v>428572</v>
      </c>
      <c r="N132" s="147">
        <v>81428.680000000008</v>
      </c>
      <c r="O132" s="147">
        <v>0</v>
      </c>
      <c r="P132" s="148">
        <v>0</v>
      </c>
      <c r="Q132" s="147">
        <v>0</v>
      </c>
      <c r="R132" s="149">
        <v>510000.68</v>
      </c>
      <c r="S1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" s="150">
        <f ca="1">+IF(PROVEEDORES[[#This Row],[FECHA DE PAGO]]=0,TODAY()-PROVEEDORES[[#This Row],[FECHA DE FACTURACIÓN]]-PROVEEDORES[[#This Row],[PLAZO Días]],0)</f>
        <v>0</v>
      </c>
      <c r="U132" s="150">
        <f>+VLOOKUP(PROVEEDORES[[#This Row],[PROVEEDOR]],Terceros!$A:$E,4,FALSE)</f>
        <v>0.19</v>
      </c>
      <c r="V132" s="150">
        <f>+YEAR(PROVEEDORES[[#This Row],[FECHA DE FACTURACIÓN]])</f>
        <v>2023</v>
      </c>
      <c r="W132" s="150">
        <f>+MATCH(PROVEEDORES[[#This Row],[año facturado]],Retenciones!$1:$1,0)</f>
        <v>6</v>
      </c>
      <c r="X132" s="151" t="e">
        <f>+VLOOKUP(PROVEEDORES[[#This Row],[ID RETENCION]],Retenciones!$A$1:$O$25,PROVEEDORES[[#This Row],[indicador de columna]],FALSE)</f>
        <v>#N/A</v>
      </c>
      <c r="Y132" s="152" t="e">
        <f>+VLOOKUP(PROVEEDORES[[#This Row],[ID RETENCION]],Retenciones!$A$1:$O$25,2,FALSE)</f>
        <v>#N/A</v>
      </c>
      <c r="Z132" s="153" t="b">
        <f>+OR(COUNTIF(PROVEEDORES[[#This Row],[PROVEEDOR]],"*"&amp;'Palabra que no opera y Listas d'!$A$2&amp;"*"))</f>
        <v>0</v>
      </c>
    </row>
    <row r="133" spans="1:26" ht="27.75" customHeight="1" x14ac:dyDescent="0.3">
      <c r="A133" s="144" t="str">
        <f>+IF(PROVEEDORES[[#This Row],[FECHA DE PAGO]]=PROVEEDORES[[#This Row],[FECHA DE FACTURACIÓN]],"DE CONTADO","CRÉDITO")</f>
        <v>CRÉDITO</v>
      </c>
      <c r="B133" s="144" t="str">
        <f>+IF((PROVEEDORES[[#This Row],[FECHA DE PAGO]]-PROVEEDORES[[#This Row],[FECHA DE FACTURACIÓN]])&gt;PROVEEDORES[[#This Row],[PLAZO Días]],"PAGO VENCIDO")</f>
        <v>PAGO VENCIDO</v>
      </c>
      <c r="C133" s="144">
        <f>+VLOOKUP(PROVEEDORES[[#This Row],[PROVEEDOR]],TERCEROS_INFO[#All],2,FALSE)</f>
        <v>0</v>
      </c>
      <c r="D133" s="145">
        <f>+SUMIFS(PROVEEDORES[Total],PROVEEDORES[PROVEEDOR],PROVEEDORES[[#This Row],[PROVEEDOR]],PROVEEDORES[FECHA DE PAGO],"")</f>
        <v>0</v>
      </c>
      <c r="E133" s="146"/>
      <c r="F133" s="144" t="str">
        <f>+VLOOKUP(PROVEEDORES[[#This Row],[PROVEEDOR]],
                       Terceros!$A:$G,
                       5,
                       FALSE)</f>
        <v>2,5% con base</v>
      </c>
      <c r="G133" s="122">
        <v>45006</v>
      </c>
      <c r="H133" s="102" t="s">
        <v>1562</v>
      </c>
      <c r="I133" s="122">
        <v>44960</v>
      </c>
      <c r="J133" s="103" t="s">
        <v>563</v>
      </c>
      <c r="K133" s="103" t="s">
        <v>1512</v>
      </c>
      <c r="L133" s="103"/>
      <c r="M133" s="105">
        <v>756000</v>
      </c>
      <c r="N133" s="147">
        <v>143640</v>
      </c>
      <c r="O133" s="147">
        <v>0</v>
      </c>
      <c r="P133" s="148">
        <v>0</v>
      </c>
      <c r="Q133" s="147">
        <v>0</v>
      </c>
      <c r="R133" s="149">
        <v>899640</v>
      </c>
      <c r="S1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" s="150">
        <f ca="1">+IF(PROVEEDORES[[#This Row],[FECHA DE PAGO]]=0,TODAY()-PROVEEDORES[[#This Row],[FECHA DE FACTURACIÓN]]-PROVEEDORES[[#This Row],[PLAZO Días]],0)</f>
        <v>0</v>
      </c>
      <c r="U133" s="150">
        <f>+VLOOKUP(PROVEEDORES[[#This Row],[PROVEEDOR]],Terceros!$A:$E,4,FALSE)</f>
        <v>0.19</v>
      </c>
      <c r="V133" s="150">
        <f>+YEAR(PROVEEDORES[[#This Row],[FECHA DE FACTURACIÓN]])</f>
        <v>2023</v>
      </c>
      <c r="W133" s="150">
        <f>+MATCH(PROVEEDORES[[#This Row],[año facturado]],Retenciones!$1:$1,0)</f>
        <v>6</v>
      </c>
      <c r="X133" s="151" t="e">
        <f>+VLOOKUP(PROVEEDORES[[#This Row],[ID RETENCION]],Retenciones!$A$1:$O$25,PROVEEDORES[[#This Row],[indicador de columna]],FALSE)</f>
        <v>#N/A</v>
      </c>
      <c r="Y133" s="152" t="e">
        <f>+VLOOKUP(PROVEEDORES[[#This Row],[ID RETENCION]],Retenciones!$A$1:$O$25,2,FALSE)</f>
        <v>#N/A</v>
      </c>
      <c r="Z133" s="153" t="b">
        <f>+OR(COUNTIF(PROVEEDORES[[#This Row],[PROVEEDOR]],"*"&amp;'Palabra que no opera y Listas d'!$A$2&amp;"*"))</f>
        <v>0</v>
      </c>
    </row>
    <row r="134" spans="1:26" ht="27.75" customHeight="1" x14ac:dyDescent="0.3">
      <c r="A134" s="144" t="str">
        <f>+IF(PROVEEDORES[[#This Row],[FECHA DE PAGO]]=PROVEEDORES[[#This Row],[FECHA DE FACTURACIÓN]],"DE CONTADO","CRÉDITO")</f>
        <v>CRÉDITO</v>
      </c>
      <c r="B134" s="144" t="str">
        <f>+IF((PROVEEDORES[[#This Row],[FECHA DE PAGO]]-PROVEEDORES[[#This Row],[FECHA DE FACTURACIÓN]])&gt;PROVEEDORES[[#This Row],[PLAZO Días]],"PAGO VENCIDO")</f>
        <v>PAGO VENCIDO</v>
      </c>
      <c r="C134" s="144">
        <f>+VLOOKUP(PROVEEDORES[[#This Row],[PROVEEDOR]],TERCEROS_INFO[#All],2,FALSE)</f>
        <v>0</v>
      </c>
      <c r="D134" s="145">
        <f>+SUMIFS(PROVEEDORES[Total],PROVEEDORES[PROVEEDOR],PROVEEDORES[[#This Row],[PROVEEDOR]],PROVEEDORES[FECHA DE PAGO],"")</f>
        <v>7281829.8799999999</v>
      </c>
      <c r="E134" s="146"/>
      <c r="F134" s="144" t="str">
        <f>+VLOOKUP(PROVEEDORES[[#This Row],[PROVEEDOR]],
                       Terceros!$A:$G,
                       5,
                       FALSE)</f>
        <v>2,5% con base</v>
      </c>
      <c r="G134" s="122">
        <v>45006</v>
      </c>
      <c r="H134" s="102" t="s">
        <v>1445</v>
      </c>
      <c r="I134" s="122">
        <v>44964</v>
      </c>
      <c r="J134" s="103" t="s">
        <v>575</v>
      </c>
      <c r="K134" s="103" t="s">
        <v>1512</v>
      </c>
      <c r="L134" s="103"/>
      <c r="M134" s="105">
        <v>3909400</v>
      </c>
      <c r="N134" s="147">
        <v>742786</v>
      </c>
      <c r="O134" s="147">
        <v>0</v>
      </c>
      <c r="P134" s="148">
        <v>2.5000000000000001E-2</v>
      </c>
      <c r="Q134" s="147">
        <v>97735</v>
      </c>
      <c r="R134" s="149">
        <v>4554451</v>
      </c>
      <c r="S1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" s="150">
        <f ca="1">+IF(PROVEEDORES[[#This Row],[FECHA DE PAGO]]=0,TODAY()-PROVEEDORES[[#This Row],[FECHA DE FACTURACIÓN]]-PROVEEDORES[[#This Row],[PLAZO Días]],0)</f>
        <v>0</v>
      </c>
      <c r="U134" s="150">
        <f>+VLOOKUP(PROVEEDORES[[#This Row],[PROVEEDOR]],Terceros!$A:$E,4,FALSE)</f>
        <v>0.19</v>
      </c>
      <c r="V134" s="150">
        <f>+YEAR(PROVEEDORES[[#This Row],[FECHA DE FACTURACIÓN]])</f>
        <v>2023</v>
      </c>
      <c r="W134" s="150">
        <f>+MATCH(PROVEEDORES[[#This Row],[año facturado]],Retenciones!$1:$1,0)</f>
        <v>6</v>
      </c>
      <c r="X134" s="151" t="e">
        <f>+VLOOKUP(PROVEEDORES[[#This Row],[ID RETENCION]],Retenciones!$A$1:$O$25,PROVEEDORES[[#This Row],[indicador de columna]],FALSE)</f>
        <v>#N/A</v>
      </c>
      <c r="Y134" s="152" t="e">
        <f>+VLOOKUP(PROVEEDORES[[#This Row],[ID RETENCION]],Retenciones!$A$1:$O$25,2,FALSE)</f>
        <v>#N/A</v>
      </c>
      <c r="Z134" s="153" t="b">
        <f>+OR(COUNTIF(PROVEEDORES[[#This Row],[PROVEEDOR]],"*"&amp;'Palabra que no opera y Listas d'!$A$2&amp;"*"))</f>
        <v>0</v>
      </c>
    </row>
    <row r="135" spans="1:26" ht="27.75" customHeight="1" x14ac:dyDescent="0.3">
      <c r="A135" s="144" t="str">
        <f>+IF(PROVEEDORES[[#This Row],[FECHA DE PAGO]]=PROVEEDORES[[#This Row],[FECHA DE FACTURACIÓN]],"DE CONTADO","CRÉDITO")</f>
        <v>CRÉDITO</v>
      </c>
      <c r="B135" s="144" t="str">
        <f>+IF((PROVEEDORES[[#This Row],[FECHA DE PAGO]]-PROVEEDORES[[#This Row],[FECHA DE FACTURACIÓN]])&gt;PROVEEDORES[[#This Row],[PLAZO Días]],"PAGO VENCIDO")</f>
        <v>PAGO VENCIDO</v>
      </c>
      <c r="C135" s="144">
        <f>+VLOOKUP(PROVEEDORES[[#This Row],[PROVEEDOR]],TERCEROS_INFO[#All],2,FALSE)</f>
        <v>0</v>
      </c>
      <c r="D135" s="145">
        <f>+SUMIFS(PROVEEDORES[Total],PROVEEDORES[PROVEEDOR],PROVEEDORES[[#This Row],[PROVEEDOR]],PROVEEDORES[FECHA DE PAGO],"")</f>
        <v>7281829.8799999999</v>
      </c>
      <c r="E135" s="146"/>
      <c r="F135" s="144" t="str">
        <f>+VLOOKUP(PROVEEDORES[[#This Row],[PROVEEDOR]],
                       Terceros!$A:$G,
                       5,
                       FALSE)</f>
        <v>2,5% con base</v>
      </c>
      <c r="G135" s="122">
        <v>45006</v>
      </c>
      <c r="H135" s="102" t="s">
        <v>1445</v>
      </c>
      <c r="I135" s="122">
        <v>44978</v>
      </c>
      <c r="J135" s="103" t="s">
        <v>602</v>
      </c>
      <c r="K135" s="103" t="s">
        <v>1512</v>
      </c>
      <c r="L135" s="103"/>
      <c r="M135" s="105">
        <v>346497</v>
      </c>
      <c r="N135" s="147">
        <v>65834.430000000008</v>
      </c>
      <c r="O135" s="147">
        <v>0</v>
      </c>
      <c r="P135" s="148">
        <v>0</v>
      </c>
      <c r="Q135" s="147">
        <v>0</v>
      </c>
      <c r="R135" s="149">
        <v>412331.43</v>
      </c>
      <c r="S1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" s="150">
        <f ca="1">+IF(PROVEEDORES[[#This Row],[FECHA DE PAGO]]=0,TODAY()-PROVEEDORES[[#This Row],[FECHA DE FACTURACIÓN]]-PROVEEDORES[[#This Row],[PLAZO Días]],0)</f>
        <v>0</v>
      </c>
      <c r="U135" s="150">
        <f>+VLOOKUP(PROVEEDORES[[#This Row],[PROVEEDOR]],Terceros!$A:$E,4,FALSE)</f>
        <v>0.19</v>
      </c>
      <c r="V135" s="150">
        <f>+YEAR(PROVEEDORES[[#This Row],[FECHA DE FACTURACIÓN]])</f>
        <v>2023</v>
      </c>
      <c r="W135" s="150">
        <f>+MATCH(PROVEEDORES[[#This Row],[año facturado]],Retenciones!$1:$1,0)</f>
        <v>6</v>
      </c>
      <c r="X135" s="151" t="e">
        <f>+VLOOKUP(PROVEEDORES[[#This Row],[ID RETENCION]],Retenciones!$A$1:$O$25,PROVEEDORES[[#This Row],[indicador de columna]],FALSE)</f>
        <v>#N/A</v>
      </c>
      <c r="Y135" s="152" t="e">
        <f>+VLOOKUP(PROVEEDORES[[#This Row],[ID RETENCION]],Retenciones!$A$1:$O$25,2,FALSE)</f>
        <v>#N/A</v>
      </c>
      <c r="Z135" s="153" t="b">
        <f>+OR(COUNTIF(PROVEEDORES[[#This Row],[PROVEEDOR]],"*"&amp;'Palabra que no opera y Listas d'!$A$2&amp;"*"))</f>
        <v>0</v>
      </c>
    </row>
    <row r="136" spans="1:26" ht="27.75" customHeight="1" x14ac:dyDescent="0.3">
      <c r="A136" s="144" t="str">
        <f>+IF(PROVEEDORES[[#This Row],[FECHA DE PAGO]]=PROVEEDORES[[#This Row],[FECHA DE FACTURACIÓN]],"DE CONTADO","CRÉDITO")</f>
        <v>CRÉDITO</v>
      </c>
      <c r="B136" s="144" t="str">
        <f>+IF((PROVEEDORES[[#This Row],[FECHA DE PAGO]]-PROVEEDORES[[#This Row],[FECHA DE FACTURACIÓN]])&gt;PROVEEDORES[[#This Row],[PLAZO Días]],"PAGO VENCIDO")</f>
        <v>PAGO VENCIDO</v>
      </c>
      <c r="C136" s="144">
        <f>+VLOOKUP(PROVEEDORES[[#This Row],[PROVEEDOR]],TERCEROS_INFO[#All],2,FALSE)</f>
        <v>0</v>
      </c>
      <c r="D136" s="145">
        <f>+SUMIFS(PROVEEDORES[Total],PROVEEDORES[PROVEEDOR],PROVEEDORES[[#This Row],[PROVEEDOR]],PROVEEDORES[FECHA DE PAGO],"")</f>
        <v>9343197</v>
      </c>
      <c r="E136" s="146"/>
      <c r="F136" s="144" t="str">
        <f>+VLOOKUP(PROVEEDORES[[#This Row],[PROVEEDOR]],
                       Terceros!$A:$G,
                       5,
                       FALSE)</f>
        <v>2,5% con base</v>
      </c>
      <c r="G136" s="122">
        <v>45006</v>
      </c>
      <c r="H136" s="102" t="s">
        <v>466</v>
      </c>
      <c r="I136" s="122">
        <v>45002</v>
      </c>
      <c r="J136" s="103">
        <v>29742</v>
      </c>
      <c r="K136" s="103" t="s">
        <v>1512</v>
      </c>
      <c r="L136" s="103"/>
      <c r="M136" s="105">
        <v>188000</v>
      </c>
      <c r="N136" s="147">
        <v>35720</v>
      </c>
      <c r="O136" s="147">
        <v>0</v>
      </c>
      <c r="P136" s="148">
        <v>0</v>
      </c>
      <c r="Q136" s="147">
        <v>0</v>
      </c>
      <c r="R136" s="149">
        <v>223720</v>
      </c>
      <c r="S1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" s="150">
        <f ca="1">+IF(PROVEEDORES[[#This Row],[FECHA DE PAGO]]=0,TODAY()-PROVEEDORES[[#This Row],[FECHA DE FACTURACIÓN]]-PROVEEDORES[[#This Row],[PLAZO Días]],0)</f>
        <v>0</v>
      </c>
      <c r="U136" s="150">
        <f>+VLOOKUP(PROVEEDORES[[#This Row],[PROVEEDOR]],Terceros!$A:$E,4,FALSE)</f>
        <v>0.19</v>
      </c>
      <c r="V136" s="150">
        <f>+YEAR(PROVEEDORES[[#This Row],[FECHA DE FACTURACIÓN]])</f>
        <v>2023</v>
      </c>
      <c r="W136" s="150">
        <f>+MATCH(PROVEEDORES[[#This Row],[año facturado]],Retenciones!$1:$1,0)</f>
        <v>6</v>
      </c>
      <c r="X136" s="151" t="e">
        <f>+VLOOKUP(PROVEEDORES[[#This Row],[ID RETENCION]],Retenciones!$A$1:$O$25,PROVEEDORES[[#This Row],[indicador de columna]],FALSE)</f>
        <v>#N/A</v>
      </c>
      <c r="Y136" s="152" t="e">
        <f>+VLOOKUP(PROVEEDORES[[#This Row],[ID RETENCION]],Retenciones!$A$1:$O$25,2,FALSE)</f>
        <v>#N/A</v>
      </c>
      <c r="Z136" s="153" t="b">
        <f>+OR(COUNTIF(PROVEEDORES[[#This Row],[PROVEEDOR]],"*"&amp;'Palabra que no opera y Listas d'!$A$2&amp;"*"))</f>
        <v>0</v>
      </c>
    </row>
    <row r="137" spans="1:26" ht="27.75" customHeight="1" x14ac:dyDescent="0.3">
      <c r="A137" s="144" t="str">
        <f>+IF(PROVEEDORES[[#This Row],[FECHA DE PAGO]]=PROVEEDORES[[#This Row],[FECHA DE FACTURACIÓN]],"DE CONTADO","CRÉDITO")</f>
        <v>DE CONTADO</v>
      </c>
      <c r="B137" s="144" t="b">
        <f>+IF((PROVEEDORES[[#This Row],[FECHA DE PAGO]]-PROVEEDORES[[#This Row],[FECHA DE FACTURACIÓN]])&gt;PROVEEDORES[[#This Row],[PLAZO Días]],"PAGO VENCIDO")</f>
        <v>0</v>
      </c>
      <c r="C137" s="144">
        <f>+VLOOKUP(PROVEEDORES[[#This Row],[PROVEEDOR]],TERCEROS_INFO[#All],2,FALSE)</f>
        <v>0</v>
      </c>
      <c r="D137" s="145">
        <f>+SUMIFS(PROVEEDORES[Total],PROVEEDORES[PROVEEDOR],PROVEEDORES[[#This Row],[PROVEEDOR]],PROVEEDORES[FECHA DE PAGO],"")</f>
        <v>0</v>
      </c>
      <c r="E137" s="146"/>
      <c r="F137" s="144">
        <f>+VLOOKUP(PROVEEDORES[[#This Row],[PROVEEDOR]],
                       Terceros!$A:$G,
                       5,
                       FALSE)</f>
        <v>0</v>
      </c>
      <c r="G137" s="122">
        <v>45008</v>
      </c>
      <c r="H137" s="102" t="s">
        <v>191</v>
      </c>
      <c r="I137" s="122">
        <v>45008</v>
      </c>
      <c r="J137" s="103" t="s">
        <v>661</v>
      </c>
      <c r="K137" s="103" t="s">
        <v>1512</v>
      </c>
      <c r="L137" s="103"/>
      <c r="M137" s="105">
        <v>1690000</v>
      </c>
      <c r="N137" s="147">
        <v>0</v>
      </c>
      <c r="O137" s="147">
        <v>0</v>
      </c>
      <c r="P137" s="148">
        <v>0</v>
      </c>
      <c r="Q137" s="147">
        <v>0</v>
      </c>
      <c r="R137" s="149">
        <v>1690000</v>
      </c>
      <c r="S1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" s="150">
        <f ca="1">+IF(PROVEEDORES[[#This Row],[FECHA DE PAGO]]=0,TODAY()-PROVEEDORES[[#This Row],[FECHA DE FACTURACIÓN]]-PROVEEDORES[[#This Row],[PLAZO Días]],0)</f>
        <v>0</v>
      </c>
      <c r="U137" s="150">
        <f>+VLOOKUP(PROVEEDORES[[#This Row],[PROVEEDOR]],Terceros!$A:$E,4,FALSE)</f>
        <v>0</v>
      </c>
      <c r="V137" s="150">
        <f>+YEAR(PROVEEDORES[[#This Row],[FECHA DE FACTURACIÓN]])</f>
        <v>2023</v>
      </c>
      <c r="W137" s="150">
        <f>+MATCH(PROVEEDORES[[#This Row],[año facturado]],Retenciones!$1:$1,0)</f>
        <v>6</v>
      </c>
      <c r="X137" s="151">
        <f>+VLOOKUP(PROVEEDORES[[#This Row],[ID RETENCION]],Retenciones!$A$1:$O$25,PROVEEDORES[[#This Row],[indicador de columna]],FALSE)</f>
        <v>0</v>
      </c>
      <c r="Y137" s="152">
        <f>+VLOOKUP(PROVEEDORES[[#This Row],[ID RETENCION]],Retenciones!$A$1:$O$25,2,FALSE)</f>
        <v>0</v>
      </c>
      <c r="Z137" s="153" t="b">
        <f>+OR(COUNTIF(PROVEEDORES[[#This Row],[PROVEEDOR]],"*"&amp;'Palabra que no opera y Listas d'!$A$2&amp;"*"))</f>
        <v>0</v>
      </c>
    </row>
    <row r="138" spans="1:26" ht="27.75" customHeight="1" x14ac:dyDescent="0.3">
      <c r="A138" s="144" t="str">
        <f>+IF(PROVEEDORES[[#This Row],[FECHA DE PAGO]]=PROVEEDORES[[#This Row],[FECHA DE FACTURACIÓN]],"DE CONTADO","CRÉDITO")</f>
        <v>CRÉDITO</v>
      </c>
      <c r="B138" s="144" t="str">
        <f>+IF((PROVEEDORES[[#This Row],[FECHA DE PAGO]]-PROVEEDORES[[#This Row],[FECHA DE FACTURACIÓN]])&gt;PROVEEDORES[[#This Row],[PLAZO Días]],"PAGO VENCIDO")</f>
        <v>PAGO VENCIDO</v>
      </c>
      <c r="C138" s="144">
        <f>+VLOOKUP(PROVEEDORES[[#This Row],[PROVEEDOR]],TERCEROS_INFO[#All],2,FALSE)</f>
        <v>0</v>
      </c>
      <c r="D138" s="145">
        <f>+SUMIFS(PROVEEDORES[Total],PROVEEDORES[PROVEEDOR],PROVEEDORES[[#This Row],[PROVEEDOR]],PROVEEDORES[FECHA DE PAGO],"")</f>
        <v>0</v>
      </c>
      <c r="E138" s="146"/>
      <c r="F138" s="144">
        <f>+VLOOKUP(PROVEEDORES[[#This Row],[PROVEEDOR]],
                       Terceros!$A:$G,
                       5,
                       FALSE)</f>
        <v>0</v>
      </c>
      <c r="G138" s="122">
        <v>45010</v>
      </c>
      <c r="H138" s="102" t="s">
        <v>496</v>
      </c>
      <c r="I138" s="122">
        <v>45009</v>
      </c>
      <c r="J138" s="103" t="s">
        <v>666</v>
      </c>
      <c r="K138" s="103" t="s">
        <v>1512</v>
      </c>
      <c r="L138" s="103"/>
      <c r="M138" s="105">
        <v>650000</v>
      </c>
      <c r="N138" s="147">
        <v>0</v>
      </c>
      <c r="O138" s="147">
        <v>0</v>
      </c>
      <c r="P138" s="148">
        <v>0</v>
      </c>
      <c r="Q138" s="147">
        <v>0</v>
      </c>
      <c r="R138" s="149">
        <v>650000</v>
      </c>
      <c r="S1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" s="150">
        <f ca="1">+IF(PROVEEDORES[[#This Row],[FECHA DE PAGO]]=0,TODAY()-PROVEEDORES[[#This Row],[FECHA DE FACTURACIÓN]]-PROVEEDORES[[#This Row],[PLAZO Días]],0)</f>
        <v>0</v>
      </c>
      <c r="U138" s="150">
        <f>+VLOOKUP(PROVEEDORES[[#This Row],[PROVEEDOR]],Terceros!$A:$E,4,FALSE)</f>
        <v>0</v>
      </c>
      <c r="V138" s="150">
        <f>+YEAR(PROVEEDORES[[#This Row],[FECHA DE FACTURACIÓN]])</f>
        <v>2023</v>
      </c>
      <c r="W138" s="150">
        <f>+MATCH(PROVEEDORES[[#This Row],[año facturado]],Retenciones!$1:$1,0)</f>
        <v>6</v>
      </c>
      <c r="X138" s="151">
        <f>+VLOOKUP(PROVEEDORES[[#This Row],[ID RETENCION]],Retenciones!$A$1:$O$25,PROVEEDORES[[#This Row],[indicador de columna]],FALSE)</f>
        <v>0</v>
      </c>
      <c r="Y138" s="152">
        <f>+VLOOKUP(PROVEEDORES[[#This Row],[ID RETENCION]],Retenciones!$A$1:$O$25,2,FALSE)</f>
        <v>0</v>
      </c>
      <c r="Z138" s="153" t="b">
        <f>+OR(COUNTIF(PROVEEDORES[[#This Row],[PROVEEDOR]],"*"&amp;'Palabra que no opera y Listas d'!$A$2&amp;"*"))</f>
        <v>0</v>
      </c>
    </row>
    <row r="139" spans="1:26" ht="27.75" customHeight="1" x14ac:dyDescent="0.3">
      <c r="A139" s="144" t="str">
        <f>+IF(PROVEEDORES[[#This Row],[FECHA DE PAGO]]=PROVEEDORES[[#This Row],[FECHA DE FACTURACIÓN]],"DE CONTADO","CRÉDITO")</f>
        <v>CRÉDITO</v>
      </c>
      <c r="B139" s="144" t="str">
        <f>+IF((PROVEEDORES[[#This Row],[FECHA DE PAGO]]-PROVEEDORES[[#This Row],[FECHA DE FACTURACIÓN]])&gt;PROVEEDORES[[#This Row],[PLAZO Días]],"PAGO VENCIDO")</f>
        <v>PAGO VENCIDO</v>
      </c>
      <c r="C139" s="144">
        <f>+VLOOKUP(PROVEEDORES[[#This Row],[PROVEEDOR]],TERCEROS_INFO[#All],2,FALSE)</f>
        <v>0</v>
      </c>
      <c r="D139" s="145">
        <f>+SUMIFS(PROVEEDORES[Total],PROVEEDORES[PROVEEDOR],PROVEEDORES[[#This Row],[PROVEEDOR]],PROVEEDORES[FECHA DE PAGO],"")</f>
        <v>550000</v>
      </c>
      <c r="E139" s="146"/>
      <c r="F139" s="144">
        <f>+VLOOKUP(PROVEEDORES[[#This Row],[PROVEEDOR]],
                       Terceros!$A:$G,
                       5,
                       FALSE)</f>
        <v>0</v>
      </c>
      <c r="G139" s="122">
        <v>45010</v>
      </c>
      <c r="H139" s="102" t="s">
        <v>1784</v>
      </c>
      <c r="I139" s="122">
        <v>45009</v>
      </c>
      <c r="J139" s="103" t="s">
        <v>669</v>
      </c>
      <c r="K139" s="103" t="s">
        <v>1512</v>
      </c>
      <c r="L139" s="103"/>
      <c r="M139" s="105">
        <v>1440000</v>
      </c>
      <c r="N139" s="147">
        <v>0</v>
      </c>
      <c r="O139" s="147">
        <v>0</v>
      </c>
      <c r="P139" s="148">
        <v>0</v>
      </c>
      <c r="Q139" s="147">
        <v>0</v>
      </c>
      <c r="R139" s="149">
        <v>1440000</v>
      </c>
      <c r="S1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" s="150">
        <f ca="1">+IF(PROVEEDORES[[#This Row],[FECHA DE PAGO]]=0,TODAY()-PROVEEDORES[[#This Row],[FECHA DE FACTURACIÓN]]-PROVEEDORES[[#This Row],[PLAZO Días]],0)</f>
        <v>0</v>
      </c>
      <c r="U139" s="150">
        <f>+VLOOKUP(PROVEEDORES[[#This Row],[PROVEEDOR]],Terceros!$A:$E,4,FALSE)</f>
        <v>0</v>
      </c>
      <c r="V139" s="150">
        <f>+YEAR(PROVEEDORES[[#This Row],[FECHA DE FACTURACIÓN]])</f>
        <v>2023</v>
      </c>
      <c r="W139" s="150">
        <f>+MATCH(PROVEEDORES[[#This Row],[año facturado]],Retenciones!$1:$1,0)</f>
        <v>6</v>
      </c>
      <c r="X139" s="151">
        <f>+VLOOKUP(PROVEEDORES[[#This Row],[ID RETENCION]],Retenciones!$A$1:$O$25,PROVEEDORES[[#This Row],[indicador de columna]],FALSE)</f>
        <v>0</v>
      </c>
      <c r="Y139" s="152">
        <f>+VLOOKUP(PROVEEDORES[[#This Row],[ID RETENCION]],Retenciones!$A$1:$O$25,2,FALSE)</f>
        <v>0</v>
      </c>
      <c r="Z139" s="153" t="b">
        <f>+OR(COUNTIF(PROVEEDORES[[#This Row],[PROVEEDOR]],"*"&amp;'Palabra que no opera y Listas d'!$A$2&amp;"*"))</f>
        <v>0</v>
      </c>
    </row>
    <row r="140" spans="1:26" ht="27.75" customHeight="1" x14ac:dyDescent="0.3">
      <c r="A140" s="144" t="str">
        <f>+IF(PROVEEDORES[[#This Row],[FECHA DE PAGO]]=PROVEEDORES[[#This Row],[FECHA DE FACTURACIÓN]],"DE CONTADO","CRÉDITO")</f>
        <v>CRÉDITO</v>
      </c>
      <c r="B140" s="144" t="str">
        <f>+IF((PROVEEDORES[[#This Row],[FECHA DE PAGO]]-PROVEEDORES[[#This Row],[FECHA DE FACTURACIÓN]])&gt;PROVEEDORES[[#This Row],[PLAZO Días]],"PAGO VENCIDO")</f>
        <v>PAGO VENCIDO</v>
      </c>
      <c r="C140" s="144">
        <f>+VLOOKUP(PROVEEDORES[[#This Row],[PROVEEDOR]],TERCEROS_INFO[#All],2,FALSE)</f>
        <v>0</v>
      </c>
      <c r="D140" s="145">
        <f>+SUMIFS(PROVEEDORES[Total],PROVEEDORES[PROVEEDOR],PROVEEDORES[[#This Row],[PROVEEDOR]],PROVEEDORES[FECHA DE PAGO],"")</f>
        <v>0</v>
      </c>
      <c r="E140" s="146"/>
      <c r="F140" s="144">
        <f>+VLOOKUP(PROVEEDORES[[#This Row],[PROVEEDOR]],
                       Terceros!$A:$G,
                       5,
                       FALSE)</f>
        <v>0</v>
      </c>
      <c r="G140" s="122">
        <v>45012</v>
      </c>
      <c r="H140" s="102" t="s">
        <v>1788</v>
      </c>
      <c r="I140" s="122">
        <v>44965</v>
      </c>
      <c r="J140" s="103" t="s">
        <v>608</v>
      </c>
      <c r="K140" s="103" t="s">
        <v>1512</v>
      </c>
      <c r="L140" s="103"/>
      <c r="M140" s="105">
        <v>2260000</v>
      </c>
      <c r="N140" s="147">
        <v>0</v>
      </c>
      <c r="O140" s="147">
        <v>0</v>
      </c>
      <c r="P140" s="148">
        <v>0</v>
      </c>
      <c r="Q140" s="147">
        <v>0</v>
      </c>
      <c r="R140" s="149">
        <v>2260000</v>
      </c>
      <c r="S1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" s="150">
        <f ca="1">+IF(PROVEEDORES[[#This Row],[FECHA DE PAGO]]=0,TODAY()-PROVEEDORES[[#This Row],[FECHA DE FACTURACIÓN]]-PROVEEDORES[[#This Row],[PLAZO Días]],0)</f>
        <v>0</v>
      </c>
      <c r="U140" s="150">
        <f>+VLOOKUP(PROVEEDORES[[#This Row],[PROVEEDOR]],Terceros!$A:$E,4,FALSE)</f>
        <v>0</v>
      </c>
      <c r="V140" s="150">
        <f>+YEAR(PROVEEDORES[[#This Row],[FECHA DE FACTURACIÓN]])</f>
        <v>2023</v>
      </c>
      <c r="W140" s="150">
        <f>+MATCH(PROVEEDORES[[#This Row],[año facturado]],Retenciones!$1:$1,0)</f>
        <v>6</v>
      </c>
      <c r="X140" s="151">
        <f>+VLOOKUP(PROVEEDORES[[#This Row],[ID RETENCION]],Retenciones!$A$1:$O$25,PROVEEDORES[[#This Row],[indicador de columna]],FALSE)</f>
        <v>0</v>
      </c>
      <c r="Y140" s="152">
        <f>+VLOOKUP(PROVEEDORES[[#This Row],[ID RETENCION]],Retenciones!$A$1:$O$25,2,FALSE)</f>
        <v>0</v>
      </c>
      <c r="Z140" s="153" t="b">
        <f>+OR(COUNTIF(PROVEEDORES[[#This Row],[PROVEEDOR]],"*"&amp;'Palabra que no opera y Listas d'!$A$2&amp;"*"))</f>
        <v>0</v>
      </c>
    </row>
    <row r="141" spans="1:26" ht="27.75" customHeight="1" x14ac:dyDescent="0.3">
      <c r="A141" s="144" t="str">
        <f>+IF(PROVEEDORES[[#This Row],[FECHA DE PAGO]]=PROVEEDORES[[#This Row],[FECHA DE FACTURACIÓN]],"DE CONTADO","CRÉDITO")</f>
        <v>CRÉDITO</v>
      </c>
      <c r="B141" s="144" t="str">
        <f>+IF((PROVEEDORES[[#This Row],[FECHA DE PAGO]]-PROVEEDORES[[#This Row],[FECHA DE FACTURACIÓN]])&gt;PROVEEDORES[[#This Row],[PLAZO Días]],"PAGO VENCIDO")</f>
        <v>PAGO VENCIDO</v>
      </c>
      <c r="C141" s="144">
        <f>+VLOOKUP(PROVEEDORES[[#This Row],[PROVEEDOR]],TERCEROS_INFO[#All],2,FALSE)</f>
        <v>0</v>
      </c>
      <c r="D141" s="145">
        <f>+SUMIFS(PROVEEDORES[Total],PROVEEDORES[PROVEEDOR],PROVEEDORES[[#This Row],[PROVEEDOR]],PROVEEDORES[FECHA DE PAGO],"")</f>
        <v>0</v>
      </c>
      <c r="E141" s="146"/>
      <c r="F141" s="144" t="str">
        <f>+VLOOKUP(PROVEEDORES[[#This Row],[PROVEEDOR]],
                       Terceros!$A:$G,
                       5,
                       FALSE)</f>
        <v>3,5% sin base</v>
      </c>
      <c r="G141" s="122">
        <v>45012</v>
      </c>
      <c r="H141" s="102" t="s">
        <v>409</v>
      </c>
      <c r="I141" s="122">
        <v>44986</v>
      </c>
      <c r="J141" s="103" t="s">
        <v>642</v>
      </c>
      <c r="K141" s="103" t="s">
        <v>1512</v>
      </c>
      <c r="L141" s="103"/>
      <c r="M141" s="105">
        <v>243611</v>
      </c>
      <c r="N141" s="147">
        <v>46286.090000000004</v>
      </c>
      <c r="O141" s="147">
        <v>0</v>
      </c>
      <c r="P141" s="148">
        <v>3.5000000000000003E-2</v>
      </c>
      <c r="Q141" s="147">
        <v>8526.3850000000002</v>
      </c>
      <c r="R141" s="149">
        <v>281370.70500000002</v>
      </c>
      <c r="S1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" s="150">
        <f ca="1">+IF(PROVEEDORES[[#This Row],[FECHA DE PAGO]]=0,TODAY()-PROVEEDORES[[#This Row],[FECHA DE FACTURACIÓN]]-PROVEEDORES[[#This Row],[PLAZO Días]],0)</f>
        <v>0</v>
      </c>
      <c r="U141" s="150">
        <f>+VLOOKUP(PROVEEDORES[[#This Row],[PROVEEDOR]],Terceros!$A:$E,4,FALSE)</f>
        <v>0.19</v>
      </c>
      <c r="V141" s="150">
        <f>+YEAR(PROVEEDORES[[#This Row],[FECHA DE FACTURACIÓN]])</f>
        <v>2023</v>
      </c>
      <c r="W141" s="150">
        <f>+MATCH(PROVEEDORES[[#This Row],[año facturado]],Retenciones!$1:$1,0)</f>
        <v>6</v>
      </c>
      <c r="X141" s="151" t="e">
        <f>+VLOOKUP(PROVEEDORES[[#This Row],[ID RETENCION]],Retenciones!$A$1:$O$25,PROVEEDORES[[#This Row],[indicador de columna]],FALSE)</f>
        <v>#N/A</v>
      </c>
      <c r="Y141" s="152" t="e">
        <f>+VLOOKUP(PROVEEDORES[[#This Row],[ID RETENCION]],Retenciones!$A$1:$O$25,2,FALSE)</f>
        <v>#N/A</v>
      </c>
      <c r="Z141" s="153" t="b">
        <f>+OR(COUNTIF(PROVEEDORES[[#This Row],[PROVEEDOR]],"*"&amp;'Palabra que no opera y Listas d'!$A$2&amp;"*"))</f>
        <v>1</v>
      </c>
    </row>
    <row r="142" spans="1:26" ht="27.75" customHeight="1" x14ac:dyDescent="0.3">
      <c r="A142" s="144" t="str">
        <f>+IF(PROVEEDORES[[#This Row],[FECHA DE PAGO]]=PROVEEDORES[[#This Row],[FECHA DE FACTURACIÓN]],"DE CONTADO","CRÉDITO")</f>
        <v>CRÉDITO</v>
      </c>
      <c r="B142" s="144" t="str">
        <f>+IF((PROVEEDORES[[#This Row],[FECHA DE PAGO]]-PROVEEDORES[[#This Row],[FECHA DE FACTURACIÓN]])&gt;PROVEEDORES[[#This Row],[PLAZO Días]],"PAGO VENCIDO")</f>
        <v>PAGO VENCIDO</v>
      </c>
      <c r="C142" s="144">
        <f>+VLOOKUP(PROVEEDORES[[#This Row],[PROVEEDOR]],TERCEROS_INFO[#All],2,FALSE)</f>
        <v>0</v>
      </c>
      <c r="D142" s="145">
        <f>+SUMIFS(PROVEEDORES[Total],PROVEEDORES[PROVEEDOR],PROVEEDORES[[#This Row],[PROVEEDOR]],PROVEEDORES[FECHA DE PAGO],"")</f>
        <v>0</v>
      </c>
      <c r="E142" s="146"/>
      <c r="F142" s="144">
        <f>+VLOOKUP(PROVEEDORES[[#This Row],[PROVEEDOR]],
                       Terceros!$A:$G,
                       5,
                       FALSE)</f>
        <v>0</v>
      </c>
      <c r="G142" s="122">
        <v>45012</v>
      </c>
      <c r="H142" s="102" t="s">
        <v>391</v>
      </c>
      <c r="I142" s="122">
        <v>44986</v>
      </c>
      <c r="J142" s="103" t="s">
        <v>704</v>
      </c>
      <c r="K142" s="103" t="s">
        <v>1512</v>
      </c>
      <c r="L142" s="103"/>
      <c r="M142" s="105">
        <v>329981</v>
      </c>
      <c r="N142" s="147">
        <v>0</v>
      </c>
      <c r="O142" s="147">
        <v>0</v>
      </c>
      <c r="P142" s="148">
        <v>0</v>
      </c>
      <c r="Q142" s="147">
        <v>0</v>
      </c>
      <c r="R142" s="149">
        <v>329981</v>
      </c>
      <c r="S1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" s="150">
        <f ca="1">+IF(PROVEEDORES[[#This Row],[FECHA DE PAGO]]=0,TODAY()-PROVEEDORES[[#This Row],[FECHA DE FACTURACIÓN]]-PROVEEDORES[[#This Row],[PLAZO Días]],0)</f>
        <v>0</v>
      </c>
      <c r="U142" s="150">
        <f>+VLOOKUP(PROVEEDORES[[#This Row],[PROVEEDOR]],Terceros!$A:$E,4,FALSE)</f>
        <v>0</v>
      </c>
      <c r="V142" s="150">
        <f>+YEAR(PROVEEDORES[[#This Row],[FECHA DE FACTURACIÓN]])</f>
        <v>2023</v>
      </c>
      <c r="W142" s="150">
        <f>+MATCH(PROVEEDORES[[#This Row],[año facturado]],Retenciones!$1:$1,0)</f>
        <v>6</v>
      </c>
      <c r="X142" s="151">
        <f>+VLOOKUP(PROVEEDORES[[#This Row],[ID RETENCION]],Retenciones!$A$1:$O$25,PROVEEDORES[[#This Row],[indicador de columna]],FALSE)</f>
        <v>0</v>
      </c>
      <c r="Y142" s="152">
        <f>+VLOOKUP(PROVEEDORES[[#This Row],[ID RETENCION]],Retenciones!$A$1:$O$25,2,FALSE)</f>
        <v>0</v>
      </c>
      <c r="Z142" s="153" t="b">
        <f>+OR(COUNTIF(PROVEEDORES[[#This Row],[PROVEEDOR]],"*"&amp;'Palabra que no opera y Listas d'!$A$2&amp;"*"))</f>
        <v>1</v>
      </c>
    </row>
    <row r="143" spans="1:26" ht="27.75" customHeight="1" x14ac:dyDescent="0.3">
      <c r="A143" s="144" t="str">
        <f>+IF(PROVEEDORES[[#This Row],[FECHA DE PAGO]]=PROVEEDORES[[#This Row],[FECHA DE FACTURACIÓN]],"DE CONTADO","CRÉDITO")</f>
        <v>CRÉDITO</v>
      </c>
      <c r="B143" s="144" t="str">
        <f>+IF((PROVEEDORES[[#This Row],[FECHA DE PAGO]]-PROVEEDORES[[#This Row],[FECHA DE FACTURACIÓN]])&gt;PROVEEDORES[[#This Row],[PLAZO Días]],"PAGO VENCIDO")</f>
        <v>PAGO VENCIDO</v>
      </c>
      <c r="C143" s="144">
        <f>+VLOOKUP(PROVEEDORES[[#This Row],[PROVEEDOR]],TERCEROS_INFO[#All],2,FALSE)</f>
        <v>0</v>
      </c>
      <c r="D143" s="145">
        <f>+SUMIFS(PROVEEDORES[Total],PROVEEDORES[PROVEEDOR],PROVEEDORES[[#This Row],[PROVEEDOR]],PROVEEDORES[FECHA DE PAGO],"")</f>
        <v>181631</v>
      </c>
      <c r="E143" s="146"/>
      <c r="F143" s="144">
        <f>+VLOOKUP(PROVEEDORES[[#This Row],[PROVEEDOR]],
                       Terceros!$A:$G,
                       5,
                       FALSE)</f>
        <v>0</v>
      </c>
      <c r="G143" s="122">
        <v>45012</v>
      </c>
      <c r="H143" s="102" t="s">
        <v>383</v>
      </c>
      <c r="I143" s="122">
        <v>44986</v>
      </c>
      <c r="J143" s="103" t="s">
        <v>647</v>
      </c>
      <c r="K143" s="103" t="s">
        <v>1512</v>
      </c>
      <c r="L143" s="103"/>
      <c r="M143" s="105">
        <v>7165</v>
      </c>
      <c r="N143" s="147">
        <v>1361.35</v>
      </c>
      <c r="O143" s="147">
        <v>0</v>
      </c>
      <c r="P143" s="148">
        <v>0</v>
      </c>
      <c r="Q143" s="147">
        <v>0</v>
      </c>
      <c r="R143" s="149">
        <v>8526.35</v>
      </c>
      <c r="S1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" s="150">
        <f ca="1">+IF(PROVEEDORES[[#This Row],[FECHA DE PAGO]]=0,TODAY()-PROVEEDORES[[#This Row],[FECHA DE FACTURACIÓN]]-PROVEEDORES[[#This Row],[PLAZO Días]],0)</f>
        <v>0</v>
      </c>
      <c r="U143" s="150">
        <f>+VLOOKUP(PROVEEDORES[[#This Row],[PROVEEDOR]],Terceros!$A:$E,4,FALSE)</f>
        <v>0.19</v>
      </c>
      <c r="V143" s="150">
        <f>+YEAR(PROVEEDORES[[#This Row],[FECHA DE FACTURACIÓN]])</f>
        <v>2023</v>
      </c>
      <c r="W143" s="150">
        <f>+MATCH(PROVEEDORES[[#This Row],[año facturado]],Retenciones!$1:$1,0)</f>
        <v>6</v>
      </c>
      <c r="X143" s="151" t="e">
        <f>+VLOOKUP(PROVEEDORES[[#This Row],[ID RETENCION]],Retenciones!$A$1:$O$25,PROVEEDORES[[#This Row],[indicador de columna]],FALSE)</f>
        <v>#N/A</v>
      </c>
      <c r="Y143" s="152" t="e">
        <f>+VLOOKUP(PROVEEDORES[[#This Row],[ID RETENCION]],Retenciones!$A$1:$O$25,2,FALSE)</f>
        <v>#N/A</v>
      </c>
      <c r="Z143" s="153" t="b">
        <f>+OR(COUNTIF(PROVEEDORES[[#This Row],[PROVEEDOR]],"*"&amp;'Palabra que no opera y Listas d'!$A$2&amp;"*"))</f>
        <v>1</v>
      </c>
    </row>
    <row r="144" spans="1:26" ht="27.75" customHeight="1" x14ac:dyDescent="0.3">
      <c r="A144" s="144" t="str">
        <f>+IF(PROVEEDORES[[#This Row],[FECHA DE PAGO]]=PROVEEDORES[[#This Row],[FECHA DE FACTURACIÓN]],"DE CONTADO","CRÉDITO")</f>
        <v>CRÉDITO</v>
      </c>
      <c r="B144" s="144" t="str">
        <f>+IF((PROVEEDORES[[#This Row],[FECHA DE PAGO]]-PROVEEDORES[[#This Row],[FECHA DE FACTURACIÓN]])&gt;PROVEEDORES[[#This Row],[PLAZO Días]],"PAGO VENCIDO")</f>
        <v>PAGO VENCIDO</v>
      </c>
      <c r="C144" s="144">
        <f>+VLOOKUP(PROVEEDORES[[#This Row],[PROVEEDOR]],TERCEROS_INFO[#All],2,FALSE)</f>
        <v>0</v>
      </c>
      <c r="D144" s="145">
        <f>+SUMIFS(PROVEEDORES[Total],PROVEEDORES[PROVEEDOR],PROVEEDORES[[#This Row],[PROVEEDOR]],PROVEEDORES[FECHA DE PAGO],"")</f>
        <v>181631</v>
      </c>
      <c r="E144" s="146"/>
      <c r="F144" s="144">
        <f>+VLOOKUP(PROVEEDORES[[#This Row],[PROVEEDOR]],
                       Terceros!$A:$G,
                       5,
                       FALSE)</f>
        <v>0</v>
      </c>
      <c r="G144" s="122">
        <v>45012</v>
      </c>
      <c r="H144" s="102" t="s">
        <v>383</v>
      </c>
      <c r="I144" s="122">
        <v>44986</v>
      </c>
      <c r="J144" s="103" t="s">
        <v>648</v>
      </c>
      <c r="K144" s="103" t="s">
        <v>1512</v>
      </c>
      <c r="L144" s="103"/>
      <c r="M144" s="105">
        <v>10150</v>
      </c>
      <c r="N144" s="147">
        <v>1928.5</v>
      </c>
      <c r="O144" s="147">
        <v>0</v>
      </c>
      <c r="P144" s="148">
        <v>0</v>
      </c>
      <c r="Q144" s="147">
        <v>0</v>
      </c>
      <c r="R144" s="149">
        <v>12078.5</v>
      </c>
      <c r="S1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" s="150">
        <f ca="1">+IF(PROVEEDORES[[#This Row],[FECHA DE PAGO]]=0,TODAY()-PROVEEDORES[[#This Row],[FECHA DE FACTURACIÓN]]-PROVEEDORES[[#This Row],[PLAZO Días]],0)</f>
        <v>0</v>
      </c>
      <c r="U144" s="150">
        <f>+VLOOKUP(PROVEEDORES[[#This Row],[PROVEEDOR]],Terceros!$A:$E,4,FALSE)</f>
        <v>0.19</v>
      </c>
      <c r="V144" s="150">
        <f>+YEAR(PROVEEDORES[[#This Row],[FECHA DE FACTURACIÓN]])</f>
        <v>2023</v>
      </c>
      <c r="W144" s="150">
        <f>+MATCH(PROVEEDORES[[#This Row],[año facturado]],Retenciones!$1:$1,0)</f>
        <v>6</v>
      </c>
      <c r="X144" s="151" t="e">
        <f>+VLOOKUP(PROVEEDORES[[#This Row],[ID RETENCION]],Retenciones!$A$1:$O$25,PROVEEDORES[[#This Row],[indicador de columna]],FALSE)</f>
        <v>#N/A</v>
      </c>
      <c r="Y144" s="152" t="e">
        <f>+VLOOKUP(PROVEEDORES[[#This Row],[ID RETENCION]],Retenciones!$A$1:$O$25,2,FALSE)</f>
        <v>#N/A</v>
      </c>
      <c r="Z144" s="153" t="b">
        <f>+OR(COUNTIF(PROVEEDORES[[#This Row],[PROVEEDOR]],"*"&amp;'Palabra que no opera y Listas d'!$A$2&amp;"*"))</f>
        <v>1</v>
      </c>
    </row>
    <row r="145" spans="1:26" ht="27.75" customHeight="1" x14ac:dyDescent="0.3">
      <c r="A145" s="144" t="str">
        <f>+IF(PROVEEDORES[[#This Row],[FECHA DE PAGO]]=PROVEEDORES[[#This Row],[FECHA DE FACTURACIÓN]],"DE CONTADO","CRÉDITO")</f>
        <v>CRÉDITO</v>
      </c>
      <c r="B145" s="144" t="str">
        <f>+IF((PROVEEDORES[[#This Row],[FECHA DE PAGO]]-PROVEEDORES[[#This Row],[FECHA DE FACTURACIÓN]])&gt;PROVEEDORES[[#This Row],[PLAZO Días]],"PAGO VENCIDO")</f>
        <v>PAGO VENCIDO</v>
      </c>
      <c r="C145" s="144">
        <f>+VLOOKUP(PROVEEDORES[[#This Row],[PROVEEDOR]],TERCEROS_INFO[#All],2,FALSE)</f>
        <v>0</v>
      </c>
      <c r="D145" s="145">
        <f>+SUMIFS(PROVEEDORES[Total],PROVEEDORES[PROVEEDOR],PROVEEDORES[[#This Row],[PROVEEDOR]],PROVEEDORES[FECHA DE PAGO],"")</f>
        <v>181631</v>
      </c>
      <c r="E145" s="146"/>
      <c r="F145" s="144">
        <f>+VLOOKUP(PROVEEDORES[[#This Row],[PROVEEDOR]],
                       Terceros!$A:$G,
                       5,
                       FALSE)</f>
        <v>0</v>
      </c>
      <c r="G145" s="122">
        <v>45012</v>
      </c>
      <c r="H145" s="102" t="s">
        <v>383</v>
      </c>
      <c r="I145" s="122">
        <v>44986</v>
      </c>
      <c r="J145" s="103" t="s">
        <v>649</v>
      </c>
      <c r="K145" s="103" t="s">
        <v>1512</v>
      </c>
      <c r="L145" s="103"/>
      <c r="M145" s="105">
        <v>39533</v>
      </c>
      <c r="N145" s="147">
        <v>7511.27</v>
      </c>
      <c r="O145" s="147">
        <v>0</v>
      </c>
      <c r="P145" s="148">
        <v>0</v>
      </c>
      <c r="Q145" s="147">
        <v>0</v>
      </c>
      <c r="R145" s="149">
        <v>47044.270000000004</v>
      </c>
      <c r="S1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" s="150">
        <f ca="1">+IF(PROVEEDORES[[#This Row],[FECHA DE PAGO]]=0,TODAY()-PROVEEDORES[[#This Row],[FECHA DE FACTURACIÓN]]-PROVEEDORES[[#This Row],[PLAZO Días]],0)</f>
        <v>0</v>
      </c>
      <c r="U145" s="150">
        <f>+VLOOKUP(PROVEEDORES[[#This Row],[PROVEEDOR]],Terceros!$A:$E,4,FALSE)</f>
        <v>0.19</v>
      </c>
      <c r="V145" s="150">
        <f>+YEAR(PROVEEDORES[[#This Row],[FECHA DE FACTURACIÓN]])</f>
        <v>2023</v>
      </c>
      <c r="W145" s="150">
        <f>+MATCH(PROVEEDORES[[#This Row],[año facturado]],Retenciones!$1:$1,0)</f>
        <v>6</v>
      </c>
      <c r="X145" s="151" t="e">
        <f>+VLOOKUP(PROVEEDORES[[#This Row],[ID RETENCION]],Retenciones!$A$1:$O$25,PROVEEDORES[[#This Row],[indicador de columna]],FALSE)</f>
        <v>#N/A</v>
      </c>
      <c r="Y145" s="152" t="e">
        <f>+VLOOKUP(PROVEEDORES[[#This Row],[ID RETENCION]],Retenciones!$A$1:$O$25,2,FALSE)</f>
        <v>#N/A</v>
      </c>
      <c r="Z145" s="153" t="b">
        <f>+OR(COUNTIF(PROVEEDORES[[#This Row],[PROVEEDOR]],"*"&amp;'Palabra que no opera y Listas d'!$A$2&amp;"*"))</f>
        <v>1</v>
      </c>
    </row>
    <row r="146" spans="1:26" ht="27.75" customHeight="1" x14ac:dyDescent="0.3">
      <c r="A146" s="144" t="str">
        <f>+IF(PROVEEDORES[[#This Row],[FECHA DE PAGO]]=PROVEEDORES[[#This Row],[FECHA DE FACTURACIÓN]],"DE CONTADO","CRÉDITO")</f>
        <v>CRÉDITO</v>
      </c>
      <c r="B146" s="144" t="str">
        <f>+IF((PROVEEDORES[[#This Row],[FECHA DE PAGO]]-PROVEEDORES[[#This Row],[FECHA DE FACTURACIÓN]])&gt;PROVEEDORES[[#This Row],[PLAZO Días]],"PAGO VENCIDO")</f>
        <v>PAGO VENCIDO</v>
      </c>
      <c r="C146" s="144">
        <f>+VLOOKUP(PROVEEDORES[[#This Row],[PROVEEDOR]],TERCEROS_INFO[#All],2,FALSE)</f>
        <v>0</v>
      </c>
      <c r="D146" s="145">
        <f>+SUMIFS(PROVEEDORES[Total],PROVEEDORES[PROVEEDOR],PROVEEDORES[[#This Row],[PROVEEDOR]],PROVEEDORES[FECHA DE PAGO],"")</f>
        <v>181631</v>
      </c>
      <c r="E146" s="146"/>
      <c r="F146" s="144">
        <f>+VLOOKUP(PROVEEDORES[[#This Row],[PROVEEDOR]],
                       Terceros!$A:$G,
                       5,
                       FALSE)</f>
        <v>0</v>
      </c>
      <c r="G146" s="122">
        <v>45012</v>
      </c>
      <c r="H146" s="102" t="s">
        <v>383</v>
      </c>
      <c r="I146" s="122">
        <v>44986</v>
      </c>
      <c r="J146" s="103" t="s">
        <v>650</v>
      </c>
      <c r="K146" s="103" t="s">
        <v>1512</v>
      </c>
      <c r="L146" s="103"/>
      <c r="M146" s="105">
        <v>933193</v>
      </c>
      <c r="N146" s="147">
        <v>177306.67</v>
      </c>
      <c r="O146" s="147">
        <v>0</v>
      </c>
      <c r="P146" s="148">
        <v>0</v>
      </c>
      <c r="Q146" s="147">
        <v>0</v>
      </c>
      <c r="R146" s="149">
        <v>1110499.67</v>
      </c>
      <c r="S1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" s="150">
        <f ca="1">+IF(PROVEEDORES[[#This Row],[FECHA DE PAGO]]=0,TODAY()-PROVEEDORES[[#This Row],[FECHA DE FACTURACIÓN]]-PROVEEDORES[[#This Row],[PLAZO Días]],0)</f>
        <v>0</v>
      </c>
      <c r="U146" s="150">
        <f>+VLOOKUP(PROVEEDORES[[#This Row],[PROVEEDOR]],Terceros!$A:$E,4,FALSE)</f>
        <v>0.19</v>
      </c>
      <c r="V146" s="150">
        <f>+YEAR(PROVEEDORES[[#This Row],[FECHA DE FACTURACIÓN]])</f>
        <v>2023</v>
      </c>
      <c r="W146" s="150">
        <f>+MATCH(PROVEEDORES[[#This Row],[año facturado]],Retenciones!$1:$1,0)</f>
        <v>6</v>
      </c>
      <c r="X146" s="151" t="e">
        <f>+VLOOKUP(PROVEEDORES[[#This Row],[ID RETENCION]],Retenciones!$A$1:$O$25,PROVEEDORES[[#This Row],[indicador de columna]],FALSE)</f>
        <v>#N/A</v>
      </c>
      <c r="Y146" s="152" t="e">
        <f>+VLOOKUP(PROVEEDORES[[#This Row],[ID RETENCION]],Retenciones!$A$1:$O$25,2,FALSE)</f>
        <v>#N/A</v>
      </c>
      <c r="Z146" s="153" t="b">
        <f>+OR(COUNTIF(PROVEEDORES[[#This Row],[PROVEEDOR]],"*"&amp;'Palabra que no opera y Listas d'!$A$2&amp;"*"))</f>
        <v>1</v>
      </c>
    </row>
    <row r="147" spans="1:26" ht="27.75" customHeight="1" x14ac:dyDescent="0.3">
      <c r="A147" s="144" t="str">
        <f>+IF(PROVEEDORES[[#This Row],[FECHA DE PAGO]]=PROVEEDORES[[#This Row],[FECHA DE FACTURACIÓN]],"DE CONTADO","CRÉDITO")</f>
        <v>CRÉDITO</v>
      </c>
      <c r="B147" s="144" t="str">
        <f>+IF((PROVEEDORES[[#This Row],[FECHA DE PAGO]]-PROVEEDORES[[#This Row],[FECHA DE FACTURACIÓN]])&gt;PROVEEDORES[[#This Row],[PLAZO Días]],"PAGO VENCIDO")</f>
        <v>PAGO VENCIDO</v>
      </c>
      <c r="C147" s="144">
        <f>+VLOOKUP(PROVEEDORES[[#This Row],[PROVEEDOR]],TERCEROS_INFO[#All],2,FALSE)</f>
        <v>0</v>
      </c>
      <c r="D147" s="145">
        <f>+SUMIFS(PROVEEDORES[Total],PROVEEDORES[PROVEEDOR],PROVEEDORES[[#This Row],[PROVEEDOR]],PROVEEDORES[FECHA DE PAGO],"")</f>
        <v>0</v>
      </c>
      <c r="E147" s="146"/>
      <c r="F147" s="144" t="str">
        <f>+VLOOKUP(PROVEEDORES[[#This Row],[PROVEEDOR]],
                       Terceros!$A:$G,
                       5,
                       FALSE)</f>
        <v>1% con base</v>
      </c>
      <c r="G147" s="122">
        <v>45012</v>
      </c>
      <c r="H147" s="102" t="s">
        <v>463</v>
      </c>
      <c r="I147" s="122">
        <v>44993</v>
      </c>
      <c r="J147" s="103" t="s">
        <v>651</v>
      </c>
      <c r="K147" s="103" t="s">
        <v>1512</v>
      </c>
      <c r="L147" s="103"/>
      <c r="M147" s="105">
        <v>290000</v>
      </c>
      <c r="N147" s="147">
        <v>0</v>
      </c>
      <c r="O147" s="147">
        <v>0</v>
      </c>
      <c r="P147" s="148">
        <v>0.01</v>
      </c>
      <c r="Q147" s="147">
        <v>2900</v>
      </c>
      <c r="R147" s="149">
        <v>287100</v>
      </c>
      <c r="S1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" s="150">
        <f ca="1">+IF(PROVEEDORES[[#This Row],[FECHA DE PAGO]]=0,TODAY()-PROVEEDORES[[#This Row],[FECHA DE FACTURACIÓN]]-PROVEEDORES[[#This Row],[PLAZO Días]],0)</f>
        <v>0</v>
      </c>
      <c r="U147" s="150">
        <f>+VLOOKUP(PROVEEDORES[[#This Row],[PROVEEDOR]],Terceros!$A:$E,4,FALSE)</f>
        <v>0</v>
      </c>
      <c r="V147" s="150">
        <f>+YEAR(PROVEEDORES[[#This Row],[FECHA DE FACTURACIÓN]])</f>
        <v>2023</v>
      </c>
      <c r="W147" s="150">
        <f>+MATCH(PROVEEDORES[[#This Row],[año facturado]],Retenciones!$1:$1,0)</f>
        <v>6</v>
      </c>
      <c r="X147" s="151">
        <f>+VLOOKUP(PROVEEDORES[[#This Row],[ID RETENCION]],Retenciones!$A$1:$O$25,PROVEEDORES[[#This Row],[indicador de columna]],FALSE)</f>
        <v>0</v>
      </c>
      <c r="Y147" s="152">
        <f>+VLOOKUP(PROVEEDORES[[#This Row],[ID RETENCION]],Retenciones!$A$1:$O$25,2,FALSE)</f>
        <v>0</v>
      </c>
      <c r="Z147" s="153" t="b">
        <f>+OR(COUNTIF(PROVEEDORES[[#This Row],[PROVEEDOR]],"*"&amp;'Palabra que no opera y Listas d'!$A$2&amp;"*"))</f>
        <v>0</v>
      </c>
    </row>
    <row r="148" spans="1:26" ht="27.75" customHeight="1" x14ac:dyDescent="0.3">
      <c r="A148" s="144" t="str">
        <f>+IF(PROVEEDORES[[#This Row],[FECHA DE PAGO]]=PROVEEDORES[[#This Row],[FECHA DE FACTURACIÓN]],"DE CONTADO","CRÉDITO")</f>
        <v>CRÉDITO</v>
      </c>
      <c r="B148" s="144" t="str">
        <f>+IF((PROVEEDORES[[#This Row],[FECHA DE PAGO]]-PROVEEDORES[[#This Row],[FECHA DE FACTURACIÓN]])&gt;PROVEEDORES[[#This Row],[PLAZO Días]],"PAGO VENCIDO")</f>
        <v>PAGO VENCIDO</v>
      </c>
      <c r="C148" s="144">
        <f>+VLOOKUP(PROVEEDORES[[#This Row],[PROVEEDOR]],TERCEROS_INFO[#All],2,FALSE)</f>
        <v>0</v>
      </c>
      <c r="D148" s="145">
        <f>+SUMIFS(PROVEEDORES[Total],PROVEEDORES[PROVEEDOR],PROVEEDORES[[#This Row],[PROVEEDOR]],PROVEEDORES[FECHA DE PAGO],"")</f>
        <v>0</v>
      </c>
      <c r="E148" s="146"/>
      <c r="F148" s="144">
        <f>+VLOOKUP(PROVEEDORES[[#This Row],[PROVEEDOR]],
                       Terceros!$A:$G,
                       5,
                       FALSE)</f>
        <v>0</v>
      </c>
      <c r="G148" s="122">
        <v>45012</v>
      </c>
      <c r="H148" s="102" t="s">
        <v>1783</v>
      </c>
      <c r="I148" s="122">
        <v>44993</v>
      </c>
      <c r="J148" s="103">
        <v>403</v>
      </c>
      <c r="K148" s="103" t="s">
        <v>1512</v>
      </c>
      <c r="L148" s="103"/>
      <c r="M148" s="105">
        <v>300000</v>
      </c>
      <c r="N148" s="147">
        <v>0</v>
      </c>
      <c r="O148" s="147">
        <v>0</v>
      </c>
      <c r="P148" s="148">
        <v>0</v>
      </c>
      <c r="Q148" s="147">
        <v>0</v>
      </c>
      <c r="R148" s="149">
        <v>300000</v>
      </c>
      <c r="S1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" s="150">
        <f ca="1">+IF(PROVEEDORES[[#This Row],[FECHA DE PAGO]]=0,TODAY()-PROVEEDORES[[#This Row],[FECHA DE FACTURACIÓN]]-PROVEEDORES[[#This Row],[PLAZO Días]],0)</f>
        <v>0</v>
      </c>
      <c r="U148" s="150">
        <f>+VLOOKUP(PROVEEDORES[[#This Row],[PROVEEDOR]],Terceros!$A:$E,4,FALSE)</f>
        <v>0</v>
      </c>
      <c r="V148" s="150">
        <f>+YEAR(PROVEEDORES[[#This Row],[FECHA DE FACTURACIÓN]])</f>
        <v>2023</v>
      </c>
      <c r="W148" s="150">
        <f>+MATCH(PROVEEDORES[[#This Row],[año facturado]],Retenciones!$1:$1,0)</f>
        <v>6</v>
      </c>
      <c r="X148" s="151">
        <f>+VLOOKUP(PROVEEDORES[[#This Row],[ID RETENCION]],Retenciones!$A$1:$O$25,PROVEEDORES[[#This Row],[indicador de columna]],FALSE)</f>
        <v>0</v>
      </c>
      <c r="Y148" s="152">
        <f>+VLOOKUP(PROVEEDORES[[#This Row],[ID RETENCION]],Retenciones!$A$1:$O$25,2,FALSE)</f>
        <v>0</v>
      </c>
      <c r="Z148" s="153" t="b">
        <f>+OR(COUNTIF(PROVEEDORES[[#This Row],[PROVEEDOR]],"*"&amp;'Palabra que no opera y Listas d'!$A$2&amp;"*"))</f>
        <v>0</v>
      </c>
    </row>
    <row r="149" spans="1:26" ht="27.75" customHeight="1" x14ac:dyDescent="0.3">
      <c r="A149" s="144" t="str">
        <f>+IF(PROVEEDORES[[#This Row],[FECHA DE PAGO]]=PROVEEDORES[[#This Row],[FECHA DE FACTURACIÓN]],"DE CONTADO","CRÉDITO")</f>
        <v>CRÉDITO</v>
      </c>
      <c r="B149" s="144" t="str">
        <f>+IF((PROVEEDORES[[#This Row],[FECHA DE PAGO]]-PROVEEDORES[[#This Row],[FECHA DE FACTURACIÓN]])&gt;PROVEEDORES[[#This Row],[PLAZO Días]],"PAGO VENCIDO")</f>
        <v>PAGO VENCIDO</v>
      </c>
      <c r="C149" s="144">
        <f>+VLOOKUP(PROVEEDORES[[#This Row],[PROVEEDOR]],TERCEROS_INFO[#All],2,FALSE)</f>
        <v>0</v>
      </c>
      <c r="D149" s="145">
        <f>+SUMIFS(PROVEEDORES[Total],PROVEEDORES[PROVEEDOR],PROVEEDORES[[#This Row],[PROVEEDOR]],PROVEEDORES[FECHA DE PAGO],"")</f>
        <v>0</v>
      </c>
      <c r="E149" s="146"/>
      <c r="F149" s="144" t="str">
        <f>+VLOOKUP(PROVEEDORES[[#This Row],[PROVEEDOR]],
                       Terceros!$A:$G,
                       5,
                       FALSE)</f>
        <v>2,5% con base</v>
      </c>
      <c r="G149" s="122">
        <v>45012</v>
      </c>
      <c r="H149" s="102" t="s">
        <v>467</v>
      </c>
      <c r="I149" s="122">
        <v>45008</v>
      </c>
      <c r="J149" s="103" t="s">
        <v>652</v>
      </c>
      <c r="K149" s="103" t="s">
        <v>1512</v>
      </c>
      <c r="L149" s="103"/>
      <c r="M149" s="105">
        <v>16180800</v>
      </c>
      <c r="N149" s="147">
        <v>3074352</v>
      </c>
      <c r="O149" s="147">
        <v>0</v>
      </c>
      <c r="P149" s="148">
        <v>2.5000000000000001E-2</v>
      </c>
      <c r="Q149" s="147">
        <v>404520</v>
      </c>
      <c r="R149" s="149">
        <v>18850632</v>
      </c>
      <c r="S1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" s="150">
        <f ca="1">+IF(PROVEEDORES[[#This Row],[FECHA DE PAGO]]=0,TODAY()-PROVEEDORES[[#This Row],[FECHA DE FACTURACIÓN]]-PROVEEDORES[[#This Row],[PLAZO Días]],0)</f>
        <v>0</v>
      </c>
      <c r="U149" s="150">
        <f>+VLOOKUP(PROVEEDORES[[#This Row],[PROVEEDOR]],Terceros!$A:$E,4,FALSE)</f>
        <v>0.19</v>
      </c>
      <c r="V149" s="150">
        <f>+YEAR(PROVEEDORES[[#This Row],[FECHA DE FACTURACIÓN]])</f>
        <v>2023</v>
      </c>
      <c r="W149" s="150">
        <f>+MATCH(PROVEEDORES[[#This Row],[año facturado]],Retenciones!$1:$1,0)</f>
        <v>6</v>
      </c>
      <c r="X149" s="151" t="e">
        <f>+VLOOKUP(PROVEEDORES[[#This Row],[ID RETENCION]],Retenciones!$A$1:$O$25,PROVEEDORES[[#This Row],[indicador de columna]],FALSE)</f>
        <v>#N/A</v>
      </c>
      <c r="Y149" s="152" t="e">
        <f>+VLOOKUP(PROVEEDORES[[#This Row],[ID RETENCION]],Retenciones!$A$1:$O$25,2,FALSE)</f>
        <v>#N/A</v>
      </c>
      <c r="Z149" s="153" t="b">
        <f>+OR(COUNTIF(PROVEEDORES[[#This Row],[PROVEEDOR]],"*"&amp;'Palabra que no opera y Listas d'!$A$2&amp;"*"))</f>
        <v>0</v>
      </c>
    </row>
    <row r="150" spans="1:26" ht="27.75" customHeight="1" x14ac:dyDescent="0.3">
      <c r="A150" s="144" t="str">
        <f>+IF(PROVEEDORES[[#This Row],[FECHA DE PAGO]]=PROVEEDORES[[#This Row],[FECHA DE FACTURACIÓN]],"DE CONTADO","CRÉDITO")</f>
        <v>CRÉDITO</v>
      </c>
      <c r="B150" s="144" t="str">
        <f>+IF((PROVEEDORES[[#This Row],[FECHA DE PAGO]]-PROVEEDORES[[#This Row],[FECHA DE FACTURACIÓN]])&gt;PROVEEDORES[[#This Row],[PLAZO Días]],"PAGO VENCIDO")</f>
        <v>PAGO VENCIDO</v>
      </c>
      <c r="C150" s="144">
        <f>+VLOOKUP(PROVEEDORES[[#This Row],[PROVEEDOR]],TERCEROS_INFO[#All],2,FALSE)</f>
        <v>0</v>
      </c>
      <c r="D150" s="145">
        <f>+SUMIFS(PROVEEDORES[Total],PROVEEDORES[PROVEEDOR],PROVEEDORES[[#This Row],[PROVEEDOR]],PROVEEDORES[FECHA DE PAGO],"")</f>
        <v>0</v>
      </c>
      <c r="E150" s="146"/>
      <c r="F150" s="144" t="str">
        <f>+VLOOKUP(PROVEEDORES[[#This Row],[PROVEEDOR]],
                       Terceros!$A:$G,
                       5,
                       FALSE)</f>
        <v>3,5% sin base</v>
      </c>
      <c r="G150" s="122">
        <v>45014</v>
      </c>
      <c r="H150" s="102" t="s">
        <v>398</v>
      </c>
      <c r="I150" s="122">
        <v>44986</v>
      </c>
      <c r="J150" s="103" t="s">
        <v>656</v>
      </c>
      <c r="K150" s="103" t="s">
        <v>1512</v>
      </c>
      <c r="L150" s="103"/>
      <c r="M150" s="105">
        <v>3945038</v>
      </c>
      <c r="N150" s="147">
        <v>749557.22</v>
      </c>
      <c r="O150" s="147">
        <v>0</v>
      </c>
      <c r="P150" s="148">
        <v>3.5000000000000003E-2</v>
      </c>
      <c r="Q150" s="147">
        <v>138076.33000000002</v>
      </c>
      <c r="R150" s="149">
        <v>4556518.8899999997</v>
      </c>
      <c r="S1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" s="150">
        <f ca="1">+IF(PROVEEDORES[[#This Row],[FECHA DE PAGO]]=0,TODAY()-PROVEEDORES[[#This Row],[FECHA DE FACTURACIÓN]]-PROVEEDORES[[#This Row],[PLAZO Días]],0)</f>
        <v>0</v>
      </c>
      <c r="U150" s="150">
        <f>+VLOOKUP(PROVEEDORES[[#This Row],[PROVEEDOR]],Terceros!$A:$E,4,FALSE)</f>
        <v>0.19</v>
      </c>
      <c r="V150" s="150">
        <f>+YEAR(PROVEEDORES[[#This Row],[FECHA DE FACTURACIÓN]])</f>
        <v>2023</v>
      </c>
      <c r="W150" s="150">
        <f>+MATCH(PROVEEDORES[[#This Row],[año facturado]],Retenciones!$1:$1,0)</f>
        <v>6</v>
      </c>
      <c r="X150" s="151" t="e">
        <f>+VLOOKUP(PROVEEDORES[[#This Row],[ID RETENCION]],Retenciones!$A$1:$O$25,PROVEEDORES[[#This Row],[indicador de columna]],FALSE)</f>
        <v>#N/A</v>
      </c>
      <c r="Y150" s="152" t="e">
        <f>+VLOOKUP(PROVEEDORES[[#This Row],[ID RETENCION]],Retenciones!$A$1:$O$25,2,FALSE)</f>
        <v>#N/A</v>
      </c>
      <c r="Z150" s="153" t="b">
        <f>+OR(COUNTIF(PROVEEDORES[[#This Row],[PROVEEDOR]],"*"&amp;'Palabra que no opera y Listas d'!$A$2&amp;"*"))</f>
        <v>1</v>
      </c>
    </row>
    <row r="151" spans="1:26" ht="27.75" customHeight="1" x14ac:dyDescent="0.3">
      <c r="A151" s="144" t="str">
        <f>+IF(PROVEEDORES[[#This Row],[FECHA DE PAGO]]=PROVEEDORES[[#This Row],[FECHA DE FACTURACIÓN]],"DE CONTADO","CRÉDITO")</f>
        <v>CRÉDITO</v>
      </c>
      <c r="B151" s="144" t="str">
        <f>+IF((PROVEEDORES[[#This Row],[FECHA DE PAGO]]-PROVEEDORES[[#This Row],[FECHA DE FACTURACIÓN]])&gt;PROVEEDORES[[#This Row],[PLAZO Días]],"PAGO VENCIDO")</f>
        <v>PAGO VENCIDO</v>
      </c>
      <c r="C151" s="144">
        <f>+VLOOKUP(PROVEEDORES[[#This Row],[PROVEEDOR]],TERCEROS_INFO[#All],2,FALSE)</f>
        <v>0</v>
      </c>
      <c r="D151" s="145">
        <f>+SUMIFS(PROVEEDORES[Total],PROVEEDORES[PROVEEDOR],PROVEEDORES[[#This Row],[PROVEEDOR]],PROVEEDORES[FECHA DE PAGO],"")</f>
        <v>0</v>
      </c>
      <c r="E151" s="146"/>
      <c r="F151" s="144" t="str">
        <f>+VLOOKUP(PROVEEDORES[[#This Row],[PROVEEDOR]],
                       Terceros!$A:$G,
                       5,
                       FALSE)</f>
        <v>3,5% sin base</v>
      </c>
      <c r="G151" s="122">
        <v>45014</v>
      </c>
      <c r="H151" s="102" t="s">
        <v>398</v>
      </c>
      <c r="I151" s="122">
        <v>44986</v>
      </c>
      <c r="J151" s="103" t="s">
        <v>657</v>
      </c>
      <c r="K151" s="103" t="s">
        <v>1512</v>
      </c>
      <c r="L151" s="103"/>
      <c r="M151" s="105">
        <v>92201</v>
      </c>
      <c r="N151" s="147">
        <v>17518.189999999999</v>
      </c>
      <c r="O151" s="147">
        <v>0</v>
      </c>
      <c r="P151" s="148">
        <v>3.5000000000000003E-2</v>
      </c>
      <c r="Q151" s="147">
        <v>3227.0350000000003</v>
      </c>
      <c r="R151" s="149">
        <v>106492.155</v>
      </c>
      <c r="S1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" s="150">
        <f ca="1">+IF(PROVEEDORES[[#This Row],[FECHA DE PAGO]]=0,TODAY()-PROVEEDORES[[#This Row],[FECHA DE FACTURACIÓN]]-PROVEEDORES[[#This Row],[PLAZO Días]],0)</f>
        <v>0</v>
      </c>
      <c r="U151" s="150">
        <f>+VLOOKUP(PROVEEDORES[[#This Row],[PROVEEDOR]],Terceros!$A:$E,4,FALSE)</f>
        <v>0.19</v>
      </c>
      <c r="V151" s="150">
        <f>+YEAR(PROVEEDORES[[#This Row],[FECHA DE FACTURACIÓN]])</f>
        <v>2023</v>
      </c>
      <c r="W151" s="150">
        <f>+MATCH(PROVEEDORES[[#This Row],[año facturado]],Retenciones!$1:$1,0)</f>
        <v>6</v>
      </c>
      <c r="X151" s="151" t="e">
        <f>+VLOOKUP(PROVEEDORES[[#This Row],[ID RETENCION]],Retenciones!$A$1:$O$25,PROVEEDORES[[#This Row],[indicador de columna]],FALSE)</f>
        <v>#N/A</v>
      </c>
      <c r="Y151" s="152" t="e">
        <f>+VLOOKUP(PROVEEDORES[[#This Row],[ID RETENCION]],Retenciones!$A$1:$O$25,2,FALSE)</f>
        <v>#N/A</v>
      </c>
      <c r="Z151" s="153" t="b">
        <f>+OR(COUNTIF(PROVEEDORES[[#This Row],[PROVEEDOR]],"*"&amp;'Palabra que no opera y Listas d'!$A$2&amp;"*"))</f>
        <v>1</v>
      </c>
    </row>
    <row r="152" spans="1:26" ht="27.75" customHeight="1" x14ac:dyDescent="0.3">
      <c r="A152" s="144" t="str">
        <f>+IF(PROVEEDORES[[#This Row],[FECHA DE PAGO]]=PROVEEDORES[[#This Row],[FECHA DE FACTURACIÓN]],"DE CONTADO","CRÉDITO")</f>
        <v>CRÉDITO</v>
      </c>
      <c r="B152" s="144" t="str">
        <f>+IF((PROVEEDORES[[#This Row],[FECHA DE PAGO]]-PROVEEDORES[[#This Row],[FECHA DE FACTURACIÓN]])&gt;PROVEEDORES[[#This Row],[PLAZO Días]],"PAGO VENCIDO")</f>
        <v>PAGO VENCIDO</v>
      </c>
      <c r="C152" s="144">
        <f>+VLOOKUP(PROVEEDORES[[#This Row],[PROVEEDOR]],TERCEROS_INFO[#All],2,FALSE)</f>
        <v>0</v>
      </c>
      <c r="D152" s="145">
        <f>+SUMIFS(PROVEEDORES[Total],PROVEEDORES[PROVEEDOR],PROVEEDORES[[#This Row],[PROVEEDOR]],PROVEEDORES[FECHA DE PAGO],"")</f>
        <v>0</v>
      </c>
      <c r="E152" s="146"/>
      <c r="F152" s="144" t="str">
        <f>+VLOOKUP(PROVEEDORES[[#This Row],[PROVEEDOR]],
                       Terceros!$A:$G,
                       5,
                       FALSE)</f>
        <v>3,5% sin base</v>
      </c>
      <c r="G152" s="122">
        <v>45014</v>
      </c>
      <c r="H152" s="102" t="s">
        <v>398</v>
      </c>
      <c r="I152" s="122">
        <v>44986</v>
      </c>
      <c r="J152" s="103" t="s">
        <v>658</v>
      </c>
      <c r="K152" s="103" t="s">
        <v>1512</v>
      </c>
      <c r="L152" s="103"/>
      <c r="M152" s="105">
        <v>-7783</v>
      </c>
      <c r="N152" s="147">
        <v>-1478.77</v>
      </c>
      <c r="O152" s="147">
        <v>0</v>
      </c>
      <c r="P152" s="148">
        <v>0</v>
      </c>
      <c r="Q152" s="147">
        <v>0</v>
      </c>
      <c r="R152" s="149">
        <v>-9261.77</v>
      </c>
      <c r="S1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" s="150">
        <f ca="1">+IF(PROVEEDORES[[#This Row],[FECHA DE PAGO]]=0,TODAY()-PROVEEDORES[[#This Row],[FECHA DE FACTURACIÓN]]-PROVEEDORES[[#This Row],[PLAZO Días]],0)</f>
        <v>0</v>
      </c>
      <c r="U152" s="150">
        <f>+VLOOKUP(PROVEEDORES[[#This Row],[PROVEEDOR]],Terceros!$A:$E,4,FALSE)</f>
        <v>0.19</v>
      </c>
      <c r="V152" s="150">
        <f>+YEAR(PROVEEDORES[[#This Row],[FECHA DE FACTURACIÓN]])</f>
        <v>2023</v>
      </c>
      <c r="W152" s="150">
        <f>+MATCH(PROVEEDORES[[#This Row],[año facturado]],Retenciones!$1:$1,0)</f>
        <v>6</v>
      </c>
      <c r="X152" s="151" t="e">
        <f>+VLOOKUP(PROVEEDORES[[#This Row],[ID RETENCION]],Retenciones!$A$1:$O$25,PROVEEDORES[[#This Row],[indicador de columna]],FALSE)</f>
        <v>#N/A</v>
      </c>
      <c r="Y152" s="152" t="e">
        <f>+VLOOKUP(PROVEEDORES[[#This Row],[ID RETENCION]],Retenciones!$A$1:$O$25,2,FALSE)</f>
        <v>#N/A</v>
      </c>
      <c r="Z152" s="153" t="b">
        <f>+OR(COUNTIF(PROVEEDORES[[#This Row],[PROVEEDOR]],"*"&amp;'Palabra que no opera y Listas d'!$A$2&amp;"*"))</f>
        <v>1</v>
      </c>
    </row>
    <row r="153" spans="1:26" ht="27.75" customHeight="1" x14ac:dyDescent="0.3">
      <c r="A153" s="144" t="str">
        <f>+IF(PROVEEDORES[[#This Row],[FECHA DE PAGO]]=PROVEEDORES[[#This Row],[FECHA DE FACTURACIÓN]],"DE CONTADO","CRÉDITO")</f>
        <v>CRÉDITO</v>
      </c>
      <c r="B153" s="144" t="str">
        <f>+IF((PROVEEDORES[[#This Row],[FECHA DE PAGO]]-PROVEEDORES[[#This Row],[FECHA DE FACTURACIÓN]])&gt;PROVEEDORES[[#This Row],[PLAZO Días]],"PAGO VENCIDO")</f>
        <v>PAGO VENCIDO</v>
      </c>
      <c r="C153" s="144">
        <f>+VLOOKUP(PROVEEDORES[[#This Row],[PROVEEDOR]],TERCEROS_INFO[#All],2,FALSE)</f>
        <v>0</v>
      </c>
      <c r="D153" s="145">
        <f>+SUMIFS(PROVEEDORES[Total],PROVEEDORES[PROVEEDOR],PROVEEDORES[[#This Row],[PROVEEDOR]],PROVEEDORES[FECHA DE PAGO],"")</f>
        <v>0</v>
      </c>
      <c r="E153" s="146"/>
      <c r="F153" s="144">
        <f>+VLOOKUP(PROVEEDORES[[#This Row],[PROVEEDOR]],
                       Terceros!$A:$G,
                       5,
                       FALSE)</f>
        <v>0</v>
      </c>
      <c r="G153" s="122">
        <v>45014</v>
      </c>
      <c r="H153" s="102" t="s">
        <v>397</v>
      </c>
      <c r="I153" s="122">
        <v>44986</v>
      </c>
      <c r="J153" s="103" t="s">
        <v>643</v>
      </c>
      <c r="K153" s="103" t="s">
        <v>1512</v>
      </c>
      <c r="L153" s="103"/>
      <c r="M153" s="105">
        <v>59583</v>
      </c>
      <c r="N153" s="147">
        <v>0</v>
      </c>
      <c r="O153" s="147">
        <v>0</v>
      </c>
      <c r="P153" s="148">
        <v>0</v>
      </c>
      <c r="Q153" s="147">
        <v>0</v>
      </c>
      <c r="R153" s="149">
        <v>59583</v>
      </c>
      <c r="S1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" s="150">
        <f ca="1">+IF(PROVEEDORES[[#This Row],[FECHA DE PAGO]]=0,TODAY()-PROVEEDORES[[#This Row],[FECHA DE FACTURACIÓN]]-PROVEEDORES[[#This Row],[PLAZO Días]],0)</f>
        <v>0</v>
      </c>
      <c r="U153" s="150">
        <f>+VLOOKUP(PROVEEDORES[[#This Row],[PROVEEDOR]],Terceros!$A:$E,4,FALSE)</f>
        <v>0</v>
      </c>
      <c r="V153" s="150">
        <f>+YEAR(PROVEEDORES[[#This Row],[FECHA DE FACTURACIÓN]])</f>
        <v>2023</v>
      </c>
      <c r="W153" s="150">
        <f>+MATCH(PROVEEDORES[[#This Row],[año facturado]],Retenciones!$1:$1,0)</f>
        <v>6</v>
      </c>
      <c r="X153" s="151">
        <f>+VLOOKUP(PROVEEDORES[[#This Row],[ID RETENCION]],Retenciones!$A$1:$O$25,PROVEEDORES[[#This Row],[indicador de columna]],FALSE)</f>
        <v>0</v>
      </c>
      <c r="Y153" s="152">
        <f>+VLOOKUP(PROVEEDORES[[#This Row],[ID RETENCION]],Retenciones!$A$1:$O$25,2,FALSE)</f>
        <v>0</v>
      </c>
      <c r="Z153" s="153" t="b">
        <f>+OR(COUNTIF(PROVEEDORES[[#This Row],[PROVEEDOR]],"*"&amp;'Palabra que no opera y Listas d'!$A$2&amp;"*"))</f>
        <v>1</v>
      </c>
    </row>
    <row r="154" spans="1:26" ht="27.75" customHeight="1" x14ac:dyDescent="0.3">
      <c r="A154" s="144" t="str">
        <f>+IF(PROVEEDORES[[#This Row],[FECHA DE PAGO]]=PROVEEDORES[[#This Row],[FECHA DE FACTURACIÓN]],"DE CONTADO","CRÉDITO")</f>
        <v>CRÉDITO</v>
      </c>
      <c r="B154" s="144" t="str">
        <f>+IF((PROVEEDORES[[#This Row],[FECHA DE PAGO]]-PROVEEDORES[[#This Row],[FECHA DE FACTURACIÓN]])&gt;PROVEEDORES[[#This Row],[PLAZO Días]],"PAGO VENCIDO")</f>
        <v>PAGO VENCIDO</v>
      </c>
      <c r="C154" s="144">
        <f>+VLOOKUP(PROVEEDORES[[#This Row],[PROVEEDOR]],TERCEROS_INFO[#All],2,FALSE)</f>
        <v>0</v>
      </c>
      <c r="D154" s="145">
        <f>+SUMIFS(PROVEEDORES[Total],PROVEEDORES[PROVEEDOR],PROVEEDORES[[#This Row],[PROVEEDOR]],PROVEEDORES[FECHA DE PAGO],"")</f>
        <v>0</v>
      </c>
      <c r="E154" s="146"/>
      <c r="F154" s="144">
        <f>+VLOOKUP(PROVEEDORES[[#This Row],[PROVEEDOR]],
                       Terceros!$A:$G,
                       5,
                       FALSE)</f>
        <v>0</v>
      </c>
      <c r="G154" s="122">
        <v>45014</v>
      </c>
      <c r="H154" s="102" t="s">
        <v>397</v>
      </c>
      <c r="I154" s="122">
        <v>44986</v>
      </c>
      <c r="J154" s="103" t="s">
        <v>644</v>
      </c>
      <c r="K154" s="103" t="s">
        <v>1512</v>
      </c>
      <c r="L154" s="103"/>
      <c r="M154" s="105">
        <v>928304</v>
      </c>
      <c r="N154" s="147">
        <v>0</v>
      </c>
      <c r="O154" s="147">
        <v>0</v>
      </c>
      <c r="P154" s="148">
        <v>0</v>
      </c>
      <c r="Q154" s="147">
        <v>0</v>
      </c>
      <c r="R154" s="149">
        <v>928304</v>
      </c>
      <c r="S1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" s="150">
        <f ca="1">+IF(PROVEEDORES[[#This Row],[FECHA DE PAGO]]=0,TODAY()-PROVEEDORES[[#This Row],[FECHA DE FACTURACIÓN]]-PROVEEDORES[[#This Row],[PLAZO Días]],0)</f>
        <v>0</v>
      </c>
      <c r="U154" s="150">
        <f>+VLOOKUP(PROVEEDORES[[#This Row],[PROVEEDOR]],Terceros!$A:$E,4,FALSE)</f>
        <v>0</v>
      </c>
      <c r="V154" s="150">
        <f>+YEAR(PROVEEDORES[[#This Row],[FECHA DE FACTURACIÓN]])</f>
        <v>2023</v>
      </c>
      <c r="W154" s="150">
        <f>+MATCH(PROVEEDORES[[#This Row],[año facturado]],Retenciones!$1:$1,0)</f>
        <v>6</v>
      </c>
      <c r="X154" s="151">
        <f>+VLOOKUP(PROVEEDORES[[#This Row],[ID RETENCION]],Retenciones!$A$1:$O$25,PROVEEDORES[[#This Row],[indicador de columna]],FALSE)</f>
        <v>0</v>
      </c>
      <c r="Y154" s="152">
        <f>+VLOOKUP(PROVEEDORES[[#This Row],[ID RETENCION]],Retenciones!$A$1:$O$25,2,FALSE)</f>
        <v>0</v>
      </c>
      <c r="Z154" s="153" t="b">
        <f>+OR(COUNTIF(PROVEEDORES[[#This Row],[PROVEEDOR]],"*"&amp;'Palabra que no opera y Listas d'!$A$2&amp;"*"))</f>
        <v>1</v>
      </c>
    </row>
    <row r="155" spans="1:26" ht="27.75" customHeight="1" x14ac:dyDescent="0.3">
      <c r="A155" s="144" t="str">
        <f>+IF(PROVEEDORES[[#This Row],[FECHA DE PAGO]]=PROVEEDORES[[#This Row],[FECHA DE FACTURACIÓN]],"DE CONTADO","CRÉDITO")</f>
        <v>CRÉDITO</v>
      </c>
      <c r="B155" s="144" t="str">
        <f>+IF((PROVEEDORES[[#This Row],[FECHA DE PAGO]]-PROVEEDORES[[#This Row],[FECHA DE FACTURACIÓN]])&gt;PROVEEDORES[[#This Row],[PLAZO Días]],"PAGO VENCIDO")</f>
        <v>PAGO VENCIDO</v>
      </c>
      <c r="C155" s="144">
        <f>+VLOOKUP(PROVEEDORES[[#This Row],[PROVEEDOR]],TERCEROS_INFO[#All],2,FALSE)</f>
        <v>0</v>
      </c>
      <c r="D155" s="145">
        <f>+SUMIFS(PROVEEDORES[Total],PROVEEDORES[PROVEEDOR],PROVEEDORES[[#This Row],[PROVEEDOR]],PROVEEDORES[FECHA DE PAGO],"")</f>
        <v>0</v>
      </c>
      <c r="E155" s="146"/>
      <c r="F155" s="144">
        <f>+VLOOKUP(PROVEEDORES[[#This Row],[PROVEEDOR]],
                       Terceros!$A:$G,
                       5,
                       FALSE)</f>
        <v>0</v>
      </c>
      <c r="G155" s="122">
        <v>45014</v>
      </c>
      <c r="H155" s="102" t="s">
        <v>397</v>
      </c>
      <c r="I155" s="122">
        <v>44986</v>
      </c>
      <c r="J155" s="103" t="s">
        <v>645</v>
      </c>
      <c r="K155" s="103" t="s">
        <v>1512</v>
      </c>
      <c r="L155" s="103"/>
      <c r="M155" s="105">
        <v>68166</v>
      </c>
      <c r="N155" s="147">
        <v>0</v>
      </c>
      <c r="O155" s="147">
        <v>0</v>
      </c>
      <c r="P155" s="148">
        <v>0</v>
      </c>
      <c r="Q155" s="147">
        <v>0</v>
      </c>
      <c r="R155" s="149">
        <v>68166</v>
      </c>
      <c r="S1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" s="150">
        <f ca="1">+IF(PROVEEDORES[[#This Row],[FECHA DE PAGO]]=0,TODAY()-PROVEEDORES[[#This Row],[FECHA DE FACTURACIÓN]]-PROVEEDORES[[#This Row],[PLAZO Días]],0)</f>
        <v>0</v>
      </c>
      <c r="U155" s="150">
        <f>+VLOOKUP(PROVEEDORES[[#This Row],[PROVEEDOR]],Terceros!$A:$E,4,FALSE)</f>
        <v>0</v>
      </c>
      <c r="V155" s="150">
        <f>+YEAR(PROVEEDORES[[#This Row],[FECHA DE FACTURACIÓN]])</f>
        <v>2023</v>
      </c>
      <c r="W155" s="150">
        <f>+MATCH(PROVEEDORES[[#This Row],[año facturado]],Retenciones!$1:$1,0)</f>
        <v>6</v>
      </c>
      <c r="X155" s="151">
        <f>+VLOOKUP(PROVEEDORES[[#This Row],[ID RETENCION]],Retenciones!$A$1:$O$25,PROVEEDORES[[#This Row],[indicador de columna]],FALSE)</f>
        <v>0</v>
      </c>
      <c r="Y155" s="152">
        <f>+VLOOKUP(PROVEEDORES[[#This Row],[ID RETENCION]],Retenciones!$A$1:$O$25,2,FALSE)</f>
        <v>0</v>
      </c>
      <c r="Z155" s="153" t="b">
        <f>+OR(COUNTIF(PROVEEDORES[[#This Row],[PROVEEDOR]],"*"&amp;'Palabra que no opera y Listas d'!$A$2&amp;"*"))</f>
        <v>1</v>
      </c>
    </row>
    <row r="156" spans="1:26" ht="27.75" customHeight="1" x14ac:dyDescent="0.3">
      <c r="A156" s="144" t="str">
        <f>+IF(PROVEEDORES[[#This Row],[FECHA DE PAGO]]=PROVEEDORES[[#This Row],[FECHA DE FACTURACIÓN]],"DE CONTADO","CRÉDITO")</f>
        <v>CRÉDITO</v>
      </c>
      <c r="B156" s="144" t="str">
        <f>+IF((PROVEEDORES[[#This Row],[FECHA DE PAGO]]-PROVEEDORES[[#This Row],[FECHA DE FACTURACIÓN]])&gt;PROVEEDORES[[#This Row],[PLAZO Días]],"PAGO VENCIDO")</f>
        <v>PAGO VENCIDO</v>
      </c>
      <c r="C156" s="144">
        <f>+VLOOKUP(PROVEEDORES[[#This Row],[PROVEEDOR]],TERCEROS_INFO[#All],2,FALSE)</f>
        <v>0</v>
      </c>
      <c r="D156" s="145">
        <f>+SUMIFS(PROVEEDORES[Total],PROVEEDORES[PROVEEDOR],PROVEEDORES[[#This Row],[PROVEEDOR]],PROVEEDORES[FECHA DE PAGO],"")</f>
        <v>0</v>
      </c>
      <c r="E156" s="146"/>
      <c r="F156" s="144">
        <f>+VLOOKUP(PROVEEDORES[[#This Row],[PROVEEDOR]],
                       Terceros!$A:$G,
                       5,
                       FALSE)</f>
        <v>0</v>
      </c>
      <c r="G156" s="122">
        <v>45014</v>
      </c>
      <c r="H156" s="102" t="s">
        <v>397</v>
      </c>
      <c r="I156" s="122">
        <v>44986</v>
      </c>
      <c r="J156" s="103" t="s">
        <v>646</v>
      </c>
      <c r="K156" s="103" t="s">
        <v>1512</v>
      </c>
      <c r="L156" s="103"/>
      <c r="M156" s="105">
        <v>949891</v>
      </c>
      <c r="N156" s="147">
        <v>0</v>
      </c>
      <c r="O156" s="147">
        <v>0</v>
      </c>
      <c r="P156" s="148">
        <v>0</v>
      </c>
      <c r="Q156" s="147">
        <v>0</v>
      </c>
      <c r="R156" s="149">
        <v>949891</v>
      </c>
      <c r="S1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" s="150">
        <f ca="1">+IF(PROVEEDORES[[#This Row],[FECHA DE PAGO]]=0,TODAY()-PROVEEDORES[[#This Row],[FECHA DE FACTURACIÓN]]-PROVEEDORES[[#This Row],[PLAZO Días]],0)</f>
        <v>0</v>
      </c>
      <c r="U156" s="150">
        <f>+VLOOKUP(PROVEEDORES[[#This Row],[PROVEEDOR]],Terceros!$A:$E,4,FALSE)</f>
        <v>0</v>
      </c>
      <c r="V156" s="150">
        <f>+YEAR(PROVEEDORES[[#This Row],[FECHA DE FACTURACIÓN]])</f>
        <v>2023</v>
      </c>
      <c r="W156" s="150">
        <f>+MATCH(PROVEEDORES[[#This Row],[año facturado]],Retenciones!$1:$1,0)</f>
        <v>6</v>
      </c>
      <c r="X156" s="151">
        <f>+VLOOKUP(PROVEEDORES[[#This Row],[ID RETENCION]],Retenciones!$A$1:$O$25,PROVEEDORES[[#This Row],[indicador de columna]],FALSE)</f>
        <v>0</v>
      </c>
      <c r="Y156" s="152">
        <f>+VLOOKUP(PROVEEDORES[[#This Row],[ID RETENCION]],Retenciones!$A$1:$O$25,2,FALSE)</f>
        <v>0</v>
      </c>
      <c r="Z156" s="153" t="b">
        <f>+OR(COUNTIF(PROVEEDORES[[#This Row],[PROVEEDOR]],"*"&amp;'Palabra que no opera y Listas d'!$A$2&amp;"*"))</f>
        <v>1</v>
      </c>
    </row>
    <row r="157" spans="1:26" ht="27.75" customHeight="1" x14ac:dyDescent="0.3">
      <c r="A157" s="144" t="str">
        <f>+IF(PROVEEDORES[[#This Row],[FECHA DE PAGO]]=PROVEEDORES[[#This Row],[FECHA DE FACTURACIÓN]],"DE CONTADO","CRÉDITO")</f>
        <v>CRÉDITO</v>
      </c>
      <c r="B157" s="144" t="str">
        <f>+IF((PROVEEDORES[[#This Row],[FECHA DE PAGO]]-PROVEEDORES[[#This Row],[FECHA DE FACTURACIÓN]])&gt;PROVEEDORES[[#This Row],[PLAZO Días]],"PAGO VENCIDO")</f>
        <v>PAGO VENCIDO</v>
      </c>
      <c r="C157" s="144">
        <f>+VLOOKUP(PROVEEDORES[[#This Row],[PROVEEDOR]],TERCEROS_INFO[#All],2,FALSE)</f>
        <v>0</v>
      </c>
      <c r="D157" s="145">
        <f>+SUMIFS(PROVEEDORES[Total],PROVEEDORES[PROVEEDOR],PROVEEDORES[[#This Row],[PROVEEDOR]],PROVEEDORES[FECHA DE PAGO],"")</f>
        <v>181631</v>
      </c>
      <c r="E157" s="146"/>
      <c r="F157" s="144">
        <f>+VLOOKUP(PROVEEDORES[[#This Row],[PROVEEDOR]],
                       Terceros!$A:$G,
                       5,
                       FALSE)</f>
        <v>0</v>
      </c>
      <c r="G157" s="122">
        <v>45014</v>
      </c>
      <c r="H157" s="102" t="s">
        <v>383</v>
      </c>
      <c r="I157" s="122">
        <v>44986</v>
      </c>
      <c r="J157" s="103" t="s">
        <v>654</v>
      </c>
      <c r="K157" s="103" t="s">
        <v>1512</v>
      </c>
      <c r="L157" s="103"/>
      <c r="M157" s="105">
        <v>3294426</v>
      </c>
      <c r="N157" s="147">
        <v>625940.94000000006</v>
      </c>
      <c r="O157" s="147">
        <v>0</v>
      </c>
      <c r="P157" s="148">
        <v>0</v>
      </c>
      <c r="Q157" s="147">
        <v>0</v>
      </c>
      <c r="R157" s="149">
        <v>3920366.94</v>
      </c>
      <c r="S1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" s="150">
        <f ca="1">+IF(PROVEEDORES[[#This Row],[FECHA DE PAGO]]=0,TODAY()-PROVEEDORES[[#This Row],[FECHA DE FACTURACIÓN]]-PROVEEDORES[[#This Row],[PLAZO Días]],0)</f>
        <v>0</v>
      </c>
      <c r="U157" s="150">
        <f>+VLOOKUP(PROVEEDORES[[#This Row],[PROVEEDOR]],Terceros!$A:$E,4,FALSE)</f>
        <v>0.19</v>
      </c>
      <c r="V157" s="150">
        <f>+YEAR(PROVEEDORES[[#This Row],[FECHA DE FACTURACIÓN]])</f>
        <v>2023</v>
      </c>
      <c r="W157" s="150">
        <f>+MATCH(PROVEEDORES[[#This Row],[año facturado]],Retenciones!$1:$1,0)</f>
        <v>6</v>
      </c>
      <c r="X157" s="151" t="e">
        <f>+VLOOKUP(PROVEEDORES[[#This Row],[ID RETENCION]],Retenciones!$A$1:$O$25,PROVEEDORES[[#This Row],[indicador de columna]],FALSE)</f>
        <v>#N/A</v>
      </c>
      <c r="Y157" s="152" t="e">
        <f>+VLOOKUP(PROVEEDORES[[#This Row],[ID RETENCION]],Retenciones!$A$1:$O$25,2,FALSE)</f>
        <v>#N/A</v>
      </c>
      <c r="Z157" s="153" t="b">
        <f>+OR(COUNTIF(PROVEEDORES[[#This Row],[PROVEEDOR]],"*"&amp;'Palabra que no opera y Listas d'!$A$2&amp;"*"))</f>
        <v>1</v>
      </c>
    </row>
    <row r="158" spans="1:26" ht="27.75" customHeight="1" x14ac:dyDescent="0.3">
      <c r="A158" s="144" t="str">
        <f>+IF(PROVEEDORES[[#This Row],[FECHA DE PAGO]]=PROVEEDORES[[#This Row],[FECHA DE FACTURACIÓN]],"DE CONTADO","CRÉDITO")</f>
        <v>CRÉDITO</v>
      </c>
      <c r="B158" s="144" t="str">
        <f>+IF((PROVEEDORES[[#This Row],[FECHA DE PAGO]]-PROVEEDORES[[#This Row],[FECHA DE FACTURACIÓN]])&gt;PROVEEDORES[[#This Row],[PLAZO Días]],"PAGO VENCIDO")</f>
        <v>PAGO VENCIDO</v>
      </c>
      <c r="C158" s="144">
        <f>+VLOOKUP(PROVEEDORES[[#This Row],[PROVEEDOR]],TERCEROS_INFO[#All],2,FALSE)</f>
        <v>0</v>
      </c>
      <c r="D158" s="145">
        <f>+SUMIFS(PROVEEDORES[Total],PROVEEDORES[PROVEEDOR],PROVEEDORES[[#This Row],[PROVEEDOR]],PROVEEDORES[FECHA DE PAGO],"")</f>
        <v>0</v>
      </c>
      <c r="E158" s="146"/>
      <c r="F158" s="144">
        <f>+VLOOKUP(PROVEEDORES[[#This Row],[PROVEEDOR]],
                       Terceros!$A:$G,
                       5,
                       FALSE)</f>
        <v>0</v>
      </c>
      <c r="G158" s="122">
        <v>45014</v>
      </c>
      <c r="H158" s="102" t="s">
        <v>497</v>
      </c>
      <c r="I158" s="122">
        <v>44986</v>
      </c>
      <c r="J158" s="103" t="s">
        <v>655</v>
      </c>
      <c r="K158" s="103" t="s">
        <v>1512</v>
      </c>
      <c r="L158" s="103"/>
      <c r="M158" s="105">
        <v>4730000</v>
      </c>
      <c r="N158" s="147">
        <v>898700</v>
      </c>
      <c r="O158" s="147">
        <v>0</v>
      </c>
      <c r="P158" s="148">
        <v>0</v>
      </c>
      <c r="Q158" s="147">
        <v>0</v>
      </c>
      <c r="R158" s="149">
        <v>5628700</v>
      </c>
      <c r="S1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" s="150">
        <f ca="1">+IF(PROVEEDORES[[#This Row],[FECHA DE PAGO]]=0,TODAY()-PROVEEDORES[[#This Row],[FECHA DE FACTURACIÓN]]-PROVEEDORES[[#This Row],[PLAZO Días]],0)</f>
        <v>0</v>
      </c>
      <c r="U158" s="150">
        <f>+VLOOKUP(PROVEEDORES[[#This Row],[PROVEEDOR]],Terceros!$A:$E,4,FALSE)</f>
        <v>0.19</v>
      </c>
      <c r="V158" s="150">
        <f>+YEAR(PROVEEDORES[[#This Row],[FECHA DE FACTURACIÓN]])</f>
        <v>2023</v>
      </c>
      <c r="W158" s="150">
        <f>+MATCH(PROVEEDORES[[#This Row],[año facturado]],Retenciones!$1:$1,0)</f>
        <v>6</v>
      </c>
      <c r="X158" s="151" t="e">
        <f>+VLOOKUP(PROVEEDORES[[#This Row],[ID RETENCION]],Retenciones!$A$1:$O$25,PROVEEDORES[[#This Row],[indicador de columna]],FALSE)</f>
        <v>#N/A</v>
      </c>
      <c r="Y158" s="152" t="e">
        <f>+VLOOKUP(PROVEEDORES[[#This Row],[ID RETENCION]],Retenciones!$A$1:$O$25,2,FALSE)</f>
        <v>#N/A</v>
      </c>
      <c r="Z158" s="153" t="b">
        <f>+OR(COUNTIF(PROVEEDORES[[#This Row],[PROVEEDOR]],"*"&amp;'Palabra que no opera y Listas d'!$A$2&amp;"*"))</f>
        <v>1</v>
      </c>
    </row>
    <row r="159" spans="1:26" ht="27.75" customHeight="1" x14ac:dyDescent="0.3">
      <c r="A159" s="144" t="str">
        <f>+IF(PROVEEDORES[[#This Row],[FECHA DE PAGO]]=PROVEEDORES[[#This Row],[FECHA DE FACTURACIÓN]],"DE CONTADO","CRÉDITO")</f>
        <v>CRÉDITO</v>
      </c>
      <c r="B159" s="144" t="str">
        <f>+IF((PROVEEDORES[[#This Row],[FECHA DE PAGO]]-PROVEEDORES[[#This Row],[FECHA DE FACTURACIÓN]])&gt;PROVEEDORES[[#This Row],[PLAZO Días]],"PAGO VENCIDO")</f>
        <v>PAGO VENCIDO</v>
      </c>
      <c r="C159" s="144">
        <f>+VLOOKUP(PROVEEDORES[[#This Row],[PROVEEDOR]],TERCEROS_INFO[#All],2,FALSE)</f>
        <v>0</v>
      </c>
      <c r="D159" s="145">
        <f>+SUMIFS(PROVEEDORES[Total],PROVEEDORES[PROVEEDOR],PROVEEDORES[[#This Row],[PROVEEDOR]],PROVEEDORES[FECHA DE PAGO],"")</f>
        <v>0</v>
      </c>
      <c r="E159" s="146"/>
      <c r="F159" s="144">
        <f>+VLOOKUP(PROVEEDORES[[#This Row],[PROVEEDOR]],
                       Terceros!$A:$G,
                       5,
                       FALSE)</f>
        <v>0</v>
      </c>
      <c r="G159" s="122">
        <v>45014</v>
      </c>
      <c r="H159" s="102" t="s">
        <v>388</v>
      </c>
      <c r="I159" s="122">
        <v>44988</v>
      </c>
      <c r="J159" s="103" t="s">
        <v>653</v>
      </c>
      <c r="K159" s="103" t="s">
        <v>1512</v>
      </c>
      <c r="L159" s="103"/>
      <c r="M159" s="105">
        <v>1840056</v>
      </c>
      <c r="N159" s="147">
        <v>0</v>
      </c>
      <c r="O159" s="147">
        <v>0</v>
      </c>
      <c r="P159" s="148">
        <v>0</v>
      </c>
      <c r="Q159" s="147">
        <v>0</v>
      </c>
      <c r="R159" s="149">
        <v>1840056</v>
      </c>
      <c r="S1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" s="150">
        <f ca="1">+IF(PROVEEDORES[[#This Row],[FECHA DE PAGO]]=0,TODAY()-PROVEEDORES[[#This Row],[FECHA DE FACTURACIÓN]]-PROVEEDORES[[#This Row],[PLAZO Días]],0)</f>
        <v>0</v>
      </c>
      <c r="U159" s="150">
        <f>+VLOOKUP(PROVEEDORES[[#This Row],[PROVEEDOR]],Terceros!$A:$E,4,FALSE)</f>
        <v>0</v>
      </c>
      <c r="V159" s="150">
        <f>+YEAR(PROVEEDORES[[#This Row],[FECHA DE FACTURACIÓN]])</f>
        <v>2023</v>
      </c>
      <c r="W159" s="150">
        <f>+MATCH(PROVEEDORES[[#This Row],[año facturado]],Retenciones!$1:$1,0)</f>
        <v>6</v>
      </c>
      <c r="X159" s="151">
        <f>+VLOOKUP(PROVEEDORES[[#This Row],[ID RETENCION]],Retenciones!$A$1:$O$25,PROVEEDORES[[#This Row],[indicador de columna]],FALSE)</f>
        <v>0</v>
      </c>
      <c r="Y159" s="152">
        <f>+VLOOKUP(PROVEEDORES[[#This Row],[ID RETENCION]],Retenciones!$A$1:$O$25,2,FALSE)</f>
        <v>0</v>
      </c>
      <c r="Z159" s="153" t="b">
        <f>+OR(COUNTIF(PROVEEDORES[[#This Row],[PROVEEDOR]],"*"&amp;'Palabra que no opera y Listas d'!$A$2&amp;"*"))</f>
        <v>1</v>
      </c>
    </row>
    <row r="160" spans="1:26" ht="27.75" customHeight="1" x14ac:dyDescent="0.3">
      <c r="A160" s="144" t="str">
        <f>+IF(PROVEEDORES[[#This Row],[FECHA DE PAGO]]=PROVEEDORES[[#This Row],[FECHA DE FACTURACIÓN]],"DE CONTADO","CRÉDITO")</f>
        <v>CRÉDITO</v>
      </c>
      <c r="B160" s="144" t="str">
        <f>+IF((PROVEEDORES[[#This Row],[FECHA DE PAGO]]-PROVEEDORES[[#This Row],[FECHA DE FACTURACIÓN]])&gt;PROVEEDORES[[#This Row],[PLAZO Días]],"PAGO VENCIDO")</f>
        <v>PAGO VENCIDO</v>
      </c>
      <c r="C160" s="144">
        <f>+VLOOKUP(PROVEEDORES[[#This Row],[PROVEEDOR]],TERCEROS_INFO[#All],2,FALSE)</f>
        <v>0</v>
      </c>
      <c r="D160" s="145">
        <f>+SUMIFS(PROVEEDORES[Total],PROVEEDORES[PROVEEDOR],PROVEEDORES[[#This Row],[PROVEEDOR]],PROVEEDORES[FECHA DE PAGO],"")</f>
        <v>0</v>
      </c>
      <c r="E160" s="146"/>
      <c r="F160" s="144">
        <f>+VLOOKUP(PROVEEDORES[[#This Row],[PROVEEDOR]],
                       Terceros!$A:$G,
                       5,
                       FALSE)</f>
        <v>0</v>
      </c>
      <c r="G160" s="122">
        <v>45016</v>
      </c>
      <c r="H160" s="102" t="s">
        <v>460</v>
      </c>
      <c r="I160" s="122">
        <v>44970</v>
      </c>
      <c r="J160" s="103" t="s">
        <v>610</v>
      </c>
      <c r="K160" s="103" t="s">
        <v>1512</v>
      </c>
      <c r="L160" s="103"/>
      <c r="M160" s="105">
        <v>-2521008</v>
      </c>
      <c r="N160" s="147">
        <v>-478991.52</v>
      </c>
      <c r="O160" s="147">
        <v>0</v>
      </c>
      <c r="P160" s="148">
        <v>0</v>
      </c>
      <c r="Q160" s="147">
        <v>0</v>
      </c>
      <c r="R160" s="149">
        <v>-2999999.52</v>
      </c>
      <c r="S1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" s="150">
        <f ca="1">+IF(PROVEEDORES[[#This Row],[FECHA DE PAGO]]=0,TODAY()-PROVEEDORES[[#This Row],[FECHA DE FACTURACIÓN]]-PROVEEDORES[[#This Row],[PLAZO Días]],0)</f>
        <v>0</v>
      </c>
      <c r="U160" s="150">
        <f>+VLOOKUP(PROVEEDORES[[#This Row],[PROVEEDOR]],Terceros!$A:$E,4,FALSE)</f>
        <v>0.19</v>
      </c>
      <c r="V160" s="150">
        <f>+YEAR(PROVEEDORES[[#This Row],[FECHA DE FACTURACIÓN]])</f>
        <v>2023</v>
      </c>
      <c r="W160" s="150">
        <f>+MATCH(PROVEEDORES[[#This Row],[año facturado]],Retenciones!$1:$1,0)</f>
        <v>6</v>
      </c>
      <c r="X160" s="151" t="e">
        <f>+VLOOKUP(PROVEEDORES[[#This Row],[ID RETENCION]],Retenciones!$A$1:$O$25,PROVEEDORES[[#This Row],[indicador de columna]],FALSE)</f>
        <v>#N/A</v>
      </c>
      <c r="Y160" s="152" t="e">
        <f>+VLOOKUP(PROVEEDORES[[#This Row],[ID RETENCION]],Retenciones!$A$1:$O$25,2,FALSE)</f>
        <v>#N/A</v>
      </c>
      <c r="Z160" s="153" t="b">
        <f>+OR(COUNTIF(PROVEEDORES[[#This Row],[PROVEEDOR]],"*"&amp;'Palabra que no opera y Listas d'!$A$2&amp;"*"))</f>
        <v>1</v>
      </c>
    </row>
    <row r="161" spans="1:26" ht="27.75" customHeight="1" x14ac:dyDescent="0.3">
      <c r="A161" s="144" t="str">
        <f>+IF(PROVEEDORES[[#This Row],[FECHA DE PAGO]]=PROVEEDORES[[#This Row],[FECHA DE FACTURACIÓN]],"DE CONTADO","CRÉDITO")</f>
        <v>CRÉDITO</v>
      </c>
      <c r="B161" s="144" t="str">
        <f>+IF((PROVEEDORES[[#This Row],[FECHA DE PAGO]]-PROVEEDORES[[#This Row],[FECHA DE FACTURACIÓN]])&gt;PROVEEDORES[[#This Row],[PLAZO Días]],"PAGO VENCIDO")</f>
        <v>PAGO VENCIDO</v>
      </c>
      <c r="C161" s="144">
        <f>+VLOOKUP(PROVEEDORES[[#This Row],[PROVEEDOR]],TERCEROS_INFO[#All],2,FALSE)</f>
        <v>0</v>
      </c>
      <c r="D161" s="145">
        <f>+SUMIFS(PROVEEDORES[Total],PROVEEDORES[PROVEEDOR],PROVEEDORES[[#This Row],[PROVEEDOR]],PROVEEDORES[FECHA DE PAGO],"")</f>
        <v>0</v>
      </c>
      <c r="E161" s="146"/>
      <c r="F161" s="144">
        <f>+VLOOKUP(PROVEEDORES[[#This Row],[PROVEEDOR]],
                       Terceros!$A:$G,
                       5,
                       FALSE)</f>
        <v>0</v>
      </c>
      <c r="G161" s="122">
        <v>45016</v>
      </c>
      <c r="H161" s="102" t="s">
        <v>460</v>
      </c>
      <c r="I161" s="122">
        <v>44980</v>
      </c>
      <c r="J161" s="103" t="s">
        <v>610</v>
      </c>
      <c r="K161" s="103" t="s">
        <v>1512</v>
      </c>
      <c r="L161" s="103"/>
      <c r="M161" s="105">
        <v>-2689076</v>
      </c>
      <c r="N161" s="147">
        <v>-510924.44</v>
      </c>
      <c r="O161" s="147">
        <v>0</v>
      </c>
      <c r="P161" s="148">
        <v>0</v>
      </c>
      <c r="Q161" s="147">
        <v>0</v>
      </c>
      <c r="R161" s="149">
        <v>-3200000.44</v>
      </c>
      <c r="S1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" s="150">
        <f ca="1">+IF(PROVEEDORES[[#This Row],[FECHA DE PAGO]]=0,TODAY()-PROVEEDORES[[#This Row],[FECHA DE FACTURACIÓN]]-PROVEEDORES[[#This Row],[PLAZO Días]],0)</f>
        <v>0</v>
      </c>
      <c r="U161" s="150">
        <f>+VLOOKUP(PROVEEDORES[[#This Row],[PROVEEDOR]],Terceros!$A:$E,4,FALSE)</f>
        <v>0.19</v>
      </c>
      <c r="V161" s="150">
        <f>+YEAR(PROVEEDORES[[#This Row],[FECHA DE FACTURACIÓN]])</f>
        <v>2023</v>
      </c>
      <c r="W161" s="150">
        <f>+MATCH(PROVEEDORES[[#This Row],[año facturado]],Retenciones!$1:$1,0)</f>
        <v>6</v>
      </c>
      <c r="X161" s="151" t="e">
        <f>+VLOOKUP(PROVEEDORES[[#This Row],[ID RETENCION]],Retenciones!$A$1:$O$25,PROVEEDORES[[#This Row],[indicador de columna]],FALSE)</f>
        <v>#N/A</v>
      </c>
      <c r="Y161" s="152" t="e">
        <f>+VLOOKUP(PROVEEDORES[[#This Row],[ID RETENCION]],Retenciones!$A$1:$O$25,2,FALSE)</f>
        <v>#N/A</v>
      </c>
      <c r="Z161" s="153" t="b">
        <f>+OR(COUNTIF(PROVEEDORES[[#This Row],[PROVEEDOR]],"*"&amp;'Palabra que no opera y Listas d'!$A$2&amp;"*"))</f>
        <v>1</v>
      </c>
    </row>
    <row r="162" spans="1:26" ht="27.75" customHeight="1" x14ac:dyDescent="0.3">
      <c r="A162" s="144" t="str">
        <f>+IF(PROVEEDORES[[#This Row],[FECHA DE PAGO]]=PROVEEDORES[[#This Row],[FECHA DE FACTURACIÓN]],"DE CONTADO","CRÉDITO")</f>
        <v>CRÉDITO</v>
      </c>
      <c r="B162" s="144" t="str">
        <f>+IF((PROVEEDORES[[#This Row],[FECHA DE PAGO]]-PROVEEDORES[[#This Row],[FECHA DE FACTURACIÓN]])&gt;PROVEEDORES[[#This Row],[PLAZO Días]],"PAGO VENCIDO")</f>
        <v>PAGO VENCIDO</v>
      </c>
      <c r="C162" s="144">
        <f>+VLOOKUP(PROVEEDORES[[#This Row],[PROVEEDOR]],TERCEROS_INFO[#All],2,FALSE)</f>
        <v>0</v>
      </c>
      <c r="D162" s="145">
        <f>+SUMIFS(PROVEEDORES[Total],PROVEEDORES[PROVEEDOR],PROVEEDORES[[#This Row],[PROVEEDOR]],PROVEEDORES[FECHA DE PAGO],"")</f>
        <v>0</v>
      </c>
      <c r="E162" s="146"/>
      <c r="F162" s="144">
        <f>+VLOOKUP(PROVEEDORES[[#This Row],[PROVEEDOR]],
                       Terceros!$A:$G,
                       5,
                       FALSE)</f>
        <v>0</v>
      </c>
      <c r="G162" s="122">
        <v>45016</v>
      </c>
      <c r="H162" s="102" t="s">
        <v>460</v>
      </c>
      <c r="I162" s="122">
        <v>44984</v>
      </c>
      <c r="J162" s="103" t="s">
        <v>610</v>
      </c>
      <c r="K162" s="103" t="s">
        <v>1512</v>
      </c>
      <c r="L162" s="103"/>
      <c r="M162" s="105">
        <v>-840336</v>
      </c>
      <c r="N162" s="147">
        <v>-159663.84</v>
      </c>
      <c r="O162" s="147">
        <v>0</v>
      </c>
      <c r="P162" s="148">
        <v>0</v>
      </c>
      <c r="Q162" s="147">
        <v>0</v>
      </c>
      <c r="R162" s="149">
        <v>-999999.84</v>
      </c>
      <c r="S1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" s="150">
        <f ca="1">+IF(PROVEEDORES[[#This Row],[FECHA DE PAGO]]=0,TODAY()-PROVEEDORES[[#This Row],[FECHA DE FACTURACIÓN]]-PROVEEDORES[[#This Row],[PLAZO Días]],0)</f>
        <v>0</v>
      </c>
      <c r="U162" s="150">
        <f>+VLOOKUP(PROVEEDORES[[#This Row],[PROVEEDOR]],Terceros!$A:$E,4,FALSE)</f>
        <v>0.19</v>
      </c>
      <c r="V162" s="150">
        <f>+YEAR(PROVEEDORES[[#This Row],[FECHA DE FACTURACIÓN]])</f>
        <v>2023</v>
      </c>
      <c r="W162" s="150">
        <f>+MATCH(PROVEEDORES[[#This Row],[año facturado]],Retenciones!$1:$1,0)</f>
        <v>6</v>
      </c>
      <c r="X162" s="151" t="e">
        <f>+VLOOKUP(PROVEEDORES[[#This Row],[ID RETENCION]],Retenciones!$A$1:$O$25,PROVEEDORES[[#This Row],[indicador de columna]],FALSE)</f>
        <v>#N/A</v>
      </c>
      <c r="Y162" s="152" t="e">
        <f>+VLOOKUP(PROVEEDORES[[#This Row],[ID RETENCION]],Retenciones!$A$1:$O$25,2,FALSE)</f>
        <v>#N/A</v>
      </c>
      <c r="Z162" s="153" t="b">
        <f>+OR(COUNTIF(PROVEEDORES[[#This Row],[PROVEEDOR]],"*"&amp;'Palabra que no opera y Listas d'!$A$2&amp;"*"))</f>
        <v>1</v>
      </c>
    </row>
    <row r="163" spans="1:26" ht="27.75" customHeight="1" x14ac:dyDescent="0.3">
      <c r="A163" s="144" t="str">
        <f>+IF(PROVEEDORES[[#This Row],[FECHA DE PAGO]]=PROVEEDORES[[#This Row],[FECHA DE FACTURACIÓN]],"DE CONTADO","CRÉDITO")</f>
        <v>CRÉDITO</v>
      </c>
      <c r="B163" s="144" t="str">
        <f>+IF((PROVEEDORES[[#This Row],[FECHA DE PAGO]]-PROVEEDORES[[#This Row],[FECHA DE FACTURACIÓN]])&gt;PROVEEDORES[[#This Row],[PLAZO Días]],"PAGO VENCIDO")</f>
        <v>PAGO VENCIDO</v>
      </c>
      <c r="C163" s="144">
        <f>+VLOOKUP(PROVEEDORES[[#This Row],[PROVEEDOR]],TERCEROS_INFO[#All],2,FALSE)</f>
        <v>0</v>
      </c>
      <c r="D163" s="145">
        <f>+SUMIFS(PROVEEDORES[Total],PROVEEDORES[PROVEEDOR],PROVEEDORES[[#This Row],[PROVEEDOR]],PROVEEDORES[FECHA DE PAGO],"")</f>
        <v>0</v>
      </c>
      <c r="E163" s="146"/>
      <c r="F163" s="144">
        <f>+VLOOKUP(PROVEEDORES[[#This Row],[PROVEEDOR]],
                       Terceros!$A:$G,
                       5,
                       FALSE)</f>
        <v>0</v>
      </c>
      <c r="G163" s="122">
        <v>45016</v>
      </c>
      <c r="H163" s="102" t="s">
        <v>460</v>
      </c>
      <c r="I163" s="122">
        <v>44985</v>
      </c>
      <c r="J163" s="103" t="s">
        <v>610</v>
      </c>
      <c r="K163" s="103" t="s">
        <v>1512</v>
      </c>
      <c r="L163" s="103"/>
      <c r="M163" s="105">
        <v>-840336</v>
      </c>
      <c r="N163" s="147">
        <v>-159663.84</v>
      </c>
      <c r="O163" s="147">
        <v>0</v>
      </c>
      <c r="P163" s="148">
        <v>0</v>
      </c>
      <c r="Q163" s="147">
        <v>0</v>
      </c>
      <c r="R163" s="149">
        <v>-999999.84</v>
      </c>
      <c r="S1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" s="150">
        <f ca="1">+IF(PROVEEDORES[[#This Row],[FECHA DE PAGO]]=0,TODAY()-PROVEEDORES[[#This Row],[FECHA DE FACTURACIÓN]]-PROVEEDORES[[#This Row],[PLAZO Días]],0)</f>
        <v>0</v>
      </c>
      <c r="U163" s="150">
        <f>+VLOOKUP(PROVEEDORES[[#This Row],[PROVEEDOR]],Terceros!$A:$E,4,FALSE)</f>
        <v>0.19</v>
      </c>
      <c r="V163" s="150">
        <f>+YEAR(PROVEEDORES[[#This Row],[FECHA DE FACTURACIÓN]])</f>
        <v>2023</v>
      </c>
      <c r="W163" s="150">
        <f>+MATCH(PROVEEDORES[[#This Row],[año facturado]],Retenciones!$1:$1,0)</f>
        <v>6</v>
      </c>
      <c r="X163" s="151" t="e">
        <f>+VLOOKUP(PROVEEDORES[[#This Row],[ID RETENCION]],Retenciones!$A$1:$O$25,PROVEEDORES[[#This Row],[indicador de columna]],FALSE)</f>
        <v>#N/A</v>
      </c>
      <c r="Y163" s="152" t="e">
        <f>+VLOOKUP(PROVEEDORES[[#This Row],[ID RETENCION]],Retenciones!$A$1:$O$25,2,FALSE)</f>
        <v>#N/A</v>
      </c>
      <c r="Z163" s="153" t="b">
        <f>+OR(COUNTIF(PROVEEDORES[[#This Row],[PROVEEDOR]],"*"&amp;'Palabra que no opera y Listas d'!$A$2&amp;"*"))</f>
        <v>1</v>
      </c>
    </row>
    <row r="164" spans="1:26" ht="27.75" customHeight="1" x14ac:dyDescent="0.3">
      <c r="A164" s="144" t="str">
        <f>+IF(PROVEEDORES[[#This Row],[FECHA DE PAGO]]=PROVEEDORES[[#This Row],[FECHA DE FACTURACIÓN]],"DE CONTADO","CRÉDITO")</f>
        <v>CRÉDITO</v>
      </c>
      <c r="B164" s="144" t="str">
        <f>+IF((PROVEEDORES[[#This Row],[FECHA DE PAGO]]-PROVEEDORES[[#This Row],[FECHA DE FACTURACIÓN]])&gt;PROVEEDORES[[#This Row],[PLAZO Días]],"PAGO VENCIDO")</f>
        <v>PAGO VENCIDO</v>
      </c>
      <c r="C164" s="144">
        <f>+VLOOKUP(PROVEEDORES[[#This Row],[PROVEEDOR]],TERCEROS_INFO[#All],2,FALSE)</f>
        <v>0</v>
      </c>
      <c r="D164" s="145">
        <f>+SUMIFS(PROVEEDORES[Total],PROVEEDORES[PROVEEDOR],PROVEEDORES[[#This Row],[PROVEEDOR]],PROVEEDORES[FECHA DE PAGO],"")</f>
        <v>0</v>
      </c>
      <c r="E164" s="146"/>
      <c r="F164" s="144">
        <f>+VLOOKUP(PROVEEDORES[[#This Row],[PROVEEDOR]],
                       Terceros!$A:$G,
                       5,
                       FALSE)</f>
        <v>0</v>
      </c>
      <c r="G164" s="122">
        <v>45016</v>
      </c>
      <c r="H164" s="102" t="s">
        <v>460</v>
      </c>
      <c r="I164" s="122">
        <v>45009</v>
      </c>
      <c r="J164" s="103" t="s">
        <v>610</v>
      </c>
      <c r="K164" s="103" t="s">
        <v>1512</v>
      </c>
      <c r="L164" s="103"/>
      <c r="M164" s="105">
        <v>-1059244</v>
      </c>
      <c r="N164" s="147">
        <v>-201256.36000000002</v>
      </c>
      <c r="O164" s="147">
        <v>0</v>
      </c>
      <c r="P164" s="148">
        <v>0</v>
      </c>
      <c r="Q164" s="147">
        <v>0</v>
      </c>
      <c r="R164" s="149">
        <v>-1260500.3600000001</v>
      </c>
      <c r="S1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" s="150">
        <f ca="1">+IF(PROVEEDORES[[#This Row],[FECHA DE PAGO]]=0,TODAY()-PROVEEDORES[[#This Row],[FECHA DE FACTURACIÓN]]-PROVEEDORES[[#This Row],[PLAZO Días]],0)</f>
        <v>0</v>
      </c>
      <c r="U164" s="150">
        <f>+VLOOKUP(PROVEEDORES[[#This Row],[PROVEEDOR]],Terceros!$A:$E,4,FALSE)</f>
        <v>0.19</v>
      </c>
      <c r="V164" s="150">
        <f>+YEAR(PROVEEDORES[[#This Row],[FECHA DE FACTURACIÓN]])</f>
        <v>2023</v>
      </c>
      <c r="W164" s="150">
        <f>+MATCH(PROVEEDORES[[#This Row],[año facturado]],Retenciones!$1:$1,0)</f>
        <v>6</v>
      </c>
      <c r="X164" s="151" t="e">
        <f>+VLOOKUP(PROVEEDORES[[#This Row],[ID RETENCION]],Retenciones!$A$1:$O$25,PROVEEDORES[[#This Row],[indicador de columna]],FALSE)</f>
        <v>#N/A</v>
      </c>
      <c r="Y164" s="152" t="e">
        <f>+VLOOKUP(PROVEEDORES[[#This Row],[ID RETENCION]],Retenciones!$A$1:$O$25,2,FALSE)</f>
        <v>#N/A</v>
      </c>
      <c r="Z164" s="153" t="b">
        <f>+OR(COUNTIF(PROVEEDORES[[#This Row],[PROVEEDOR]],"*"&amp;'Palabra que no opera y Listas d'!$A$2&amp;"*"))</f>
        <v>1</v>
      </c>
    </row>
    <row r="165" spans="1:26" ht="27.75" customHeight="1" x14ac:dyDescent="0.3">
      <c r="A165" s="144" t="str">
        <f>+IF(PROVEEDORES[[#This Row],[FECHA DE PAGO]]=PROVEEDORES[[#This Row],[FECHA DE FACTURACIÓN]],"DE CONTADO","CRÉDITO")</f>
        <v>DE CONTADO</v>
      </c>
      <c r="B165" s="144" t="b">
        <f>+IF((PROVEEDORES[[#This Row],[FECHA DE PAGO]]-PROVEEDORES[[#This Row],[FECHA DE FACTURACIÓN]])&gt;PROVEEDORES[[#This Row],[PLAZO Días]],"PAGO VENCIDO")</f>
        <v>0</v>
      </c>
      <c r="C165" s="144">
        <f>+VLOOKUP(PROVEEDORES[[#This Row],[PROVEEDOR]],TERCEROS_INFO[#All],2,FALSE)</f>
        <v>0</v>
      </c>
      <c r="D165" s="145">
        <f>+SUMIFS(PROVEEDORES[Total],PROVEEDORES[PROVEEDOR],PROVEEDORES[[#This Row],[PROVEEDOR]],PROVEEDORES[FECHA DE PAGO],"")</f>
        <v>0</v>
      </c>
      <c r="E165" s="146"/>
      <c r="F165" s="144">
        <f>+VLOOKUP(PROVEEDORES[[#This Row],[PROVEEDOR]],
                       Terceros!$A:$G,
                       5,
                       FALSE)</f>
        <v>0</v>
      </c>
      <c r="G165" s="122">
        <v>45016</v>
      </c>
      <c r="H165" s="102" t="s">
        <v>460</v>
      </c>
      <c r="I165" s="122">
        <v>45016</v>
      </c>
      <c r="J165" s="103" t="s">
        <v>678</v>
      </c>
      <c r="K165" s="103" t="s">
        <v>1512</v>
      </c>
      <c r="L165" s="103"/>
      <c r="M165" s="105">
        <v>-4550000</v>
      </c>
      <c r="N165" s="147">
        <v>-864500</v>
      </c>
      <c r="O165" s="147">
        <v>0</v>
      </c>
      <c r="P165" s="148">
        <v>0</v>
      </c>
      <c r="Q165" s="147">
        <v>0</v>
      </c>
      <c r="R165" s="149">
        <v>-5414500</v>
      </c>
      <c r="S1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" s="150">
        <f ca="1">+IF(PROVEEDORES[[#This Row],[FECHA DE PAGO]]=0,TODAY()-PROVEEDORES[[#This Row],[FECHA DE FACTURACIÓN]]-PROVEEDORES[[#This Row],[PLAZO Días]],0)</f>
        <v>0</v>
      </c>
      <c r="U165" s="150">
        <f>+VLOOKUP(PROVEEDORES[[#This Row],[PROVEEDOR]],Terceros!$A:$E,4,FALSE)</f>
        <v>0.19</v>
      </c>
      <c r="V165" s="150">
        <f>+YEAR(PROVEEDORES[[#This Row],[FECHA DE FACTURACIÓN]])</f>
        <v>2023</v>
      </c>
      <c r="W165" s="150">
        <f>+MATCH(PROVEEDORES[[#This Row],[año facturado]],Retenciones!$1:$1,0)</f>
        <v>6</v>
      </c>
      <c r="X165" s="151" t="e">
        <f>+VLOOKUP(PROVEEDORES[[#This Row],[ID RETENCION]],Retenciones!$A$1:$O$25,PROVEEDORES[[#This Row],[indicador de columna]],FALSE)</f>
        <v>#N/A</v>
      </c>
      <c r="Y165" s="152" t="e">
        <f>+VLOOKUP(PROVEEDORES[[#This Row],[ID RETENCION]],Retenciones!$A$1:$O$25,2,FALSE)</f>
        <v>#N/A</v>
      </c>
      <c r="Z165" s="153" t="b">
        <f>+OR(COUNTIF(PROVEEDORES[[#This Row],[PROVEEDOR]],"*"&amp;'Palabra que no opera y Listas d'!$A$2&amp;"*"))</f>
        <v>1</v>
      </c>
    </row>
    <row r="166" spans="1:26" ht="27.75" customHeight="1" x14ac:dyDescent="0.3">
      <c r="A166" s="144" t="str">
        <f>+IF(PROVEEDORES[[#This Row],[FECHA DE PAGO]]=PROVEEDORES[[#This Row],[FECHA DE FACTURACIÓN]],"DE CONTADO","CRÉDITO")</f>
        <v>DE CONTADO</v>
      </c>
      <c r="B166" s="144" t="b">
        <f>+IF((PROVEEDORES[[#This Row],[FECHA DE PAGO]]-PROVEEDORES[[#This Row],[FECHA DE FACTURACIÓN]])&gt;PROVEEDORES[[#This Row],[PLAZO Días]],"PAGO VENCIDO")</f>
        <v>0</v>
      </c>
      <c r="C166" s="144">
        <f>+VLOOKUP(PROVEEDORES[[#This Row],[PROVEEDOR]],TERCEROS_INFO[#All],2,FALSE)</f>
        <v>0</v>
      </c>
      <c r="D166" s="145">
        <f>+SUMIFS(PROVEEDORES[Total],PROVEEDORES[PROVEEDOR],PROVEEDORES[[#This Row],[PROVEEDOR]],PROVEEDORES[FECHA DE PAGO],"")</f>
        <v>0</v>
      </c>
      <c r="E166" s="146"/>
      <c r="F166" s="144">
        <f>+VLOOKUP(PROVEEDORES[[#This Row],[PROVEEDOR]],
                       Terceros!$A:$G,
                       5,
                       FALSE)</f>
        <v>0</v>
      </c>
      <c r="G166" s="122">
        <v>45016</v>
      </c>
      <c r="H166" s="102" t="s">
        <v>537</v>
      </c>
      <c r="I166" s="122">
        <v>45016</v>
      </c>
      <c r="J166" s="103" t="s">
        <v>1513</v>
      </c>
      <c r="K166" s="103" t="s">
        <v>1512</v>
      </c>
      <c r="L166" s="103"/>
      <c r="M166" s="105">
        <v>0</v>
      </c>
      <c r="N166" s="147">
        <v>0</v>
      </c>
      <c r="O166" s="147">
        <v>0</v>
      </c>
      <c r="P166" s="148">
        <v>0</v>
      </c>
      <c r="Q166" s="147">
        <v>0</v>
      </c>
      <c r="R166" s="149">
        <v>0</v>
      </c>
      <c r="S1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" s="150">
        <f ca="1">+IF(PROVEEDORES[[#This Row],[FECHA DE PAGO]]=0,TODAY()-PROVEEDORES[[#This Row],[FECHA DE FACTURACIÓN]]-PROVEEDORES[[#This Row],[PLAZO Días]],0)</f>
        <v>0</v>
      </c>
      <c r="U166" s="150">
        <f>+VLOOKUP(PROVEEDORES[[#This Row],[PROVEEDOR]],Terceros!$A:$E,4,FALSE)</f>
        <v>0</v>
      </c>
      <c r="V166" s="150">
        <f>+YEAR(PROVEEDORES[[#This Row],[FECHA DE FACTURACIÓN]])</f>
        <v>2023</v>
      </c>
      <c r="W166" s="150">
        <f>+MATCH(PROVEEDORES[[#This Row],[año facturado]],Retenciones!$1:$1,0)</f>
        <v>6</v>
      </c>
      <c r="X166" s="151">
        <f>+VLOOKUP(PROVEEDORES[[#This Row],[ID RETENCION]],Retenciones!$A$1:$O$25,PROVEEDORES[[#This Row],[indicador de columna]],FALSE)</f>
        <v>0</v>
      </c>
      <c r="Y166" s="152">
        <f>+VLOOKUP(PROVEEDORES[[#This Row],[ID RETENCION]],Retenciones!$A$1:$O$25,2,FALSE)</f>
        <v>0</v>
      </c>
      <c r="Z166" s="153" t="b">
        <f>+OR(COUNTIF(PROVEEDORES[[#This Row],[PROVEEDOR]],"*"&amp;'Palabra que no opera y Listas d'!$A$2&amp;"*"))</f>
        <v>0</v>
      </c>
    </row>
    <row r="167" spans="1:26" ht="27.75" customHeight="1" x14ac:dyDescent="0.3">
      <c r="A167" s="144" t="str">
        <f>+IF(PROVEEDORES[[#This Row],[FECHA DE PAGO]]=PROVEEDORES[[#This Row],[FECHA DE FACTURACIÓN]],"DE CONTADO","CRÉDITO")</f>
        <v>DE CONTADO</v>
      </c>
      <c r="B167" s="144" t="b">
        <f>+IF((PROVEEDORES[[#This Row],[FECHA DE PAGO]]-PROVEEDORES[[#This Row],[FECHA DE FACTURACIÓN]])&gt;PROVEEDORES[[#This Row],[PLAZO Días]],"PAGO VENCIDO")</f>
        <v>0</v>
      </c>
      <c r="C167" s="144">
        <f>+VLOOKUP(PROVEEDORES[[#This Row],[PROVEEDOR]],TERCEROS_INFO[#All],2,FALSE)</f>
        <v>0</v>
      </c>
      <c r="D167" s="145">
        <f>+SUMIFS(PROVEEDORES[Total],PROVEEDORES[PROVEEDOR],PROVEEDORES[[#This Row],[PROVEEDOR]],PROVEEDORES[FECHA DE PAGO],"")</f>
        <v>0</v>
      </c>
      <c r="E167" s="146"/>
      <c r="F167" s="144">
        <f>+VLOOKUP(PROVEEDORES[[#This Row],[PROVEEDOR]],
                       Terceros!$A:$G,
                       5,
                       FALSE)</f>
        <v>0</v>
      </c>
      <c r="G167" s="122">
        <v>45016</v>
      </c>
      <c r="H167" s="102" t="s">
        <v>537</v>
      </c>
      <c r="I167" s="122">
        <v>45016</v>
      </c>
      <c r="J167" s="103" t="s">
        <v>514</v>
      </c>
      <c r="K167" s="103" t="s">
        <v>1512</v>
      </c>
      <c r="L167" s="103"/>
      <c r="M167" s="105">
        <v>82500</v>
      </c>
      <c r="N167" s="147">
        <v>0</v>
      </c>
      <c r="O167" s="147">
        <v>0</v>
      </c>
      <c r="P167" s="148">
        <v>0</v>
      </c>
      <c r="Q167" s="147">
        <v>0</v>
      </c>
      <c r="R167" s="149">
        <v>82500</v>
      </c>
      <c r="S1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" s="150">
        <f ca="1">+IF(PROVEEDORES[[#This Row],[FECHA DE PAGO]]=0,TODAY()-PROVEEDORES[[#This Row],[FECHA DE FACTURACIÓN]]-PROVEEDORES[[#This Row],[PLAZO Días]],0)</f>
        <v>0</v>
      </c>
      <c r="U167" s="150">
        <f>+VLOOKUP(PROVEEDORES[[#This Row],[PROVEEDOR]],Terceros!$A:$E,4,FALSE)</f>
        <v>0</v>
      </c>
      <c r="V167" s="150">
        <f>+YEAR(PROVEEDORES[[#This Row],[FECHA DE FACTURACIÓN]])</f>
        <v>2023</v>
      </c>
      <c r="W167" s="150">
        <f>+MATCH(PROVEEDORES[[#This Row],[año facturado]],Retenciones!$1:$1,0)</f>
        <v>6</v>
      </c>
      <c r="X167" s="151">
        <f>+VLOOKUP(PROVEEDORES[[#This Row],[ID RETENCION]],Retenciones!$A$1:$O$25,PROVEEDORES[[#This Row],[indicador de columna]],FALSE)</f>
        <v>0</v>
      </c>
      <c r="Y167" s="152">
        <f>+VLOOKUP(PROVEEDORES[[#This Row],[ID RETENCION]],Retenciones!$A$1:$O$25,2,FALSE)</f>
        <v>0</v>
      </c>
      <c r="Z167" s="153" t="b">
        <f>+OR(COUNTIF(PROVEEDORES[[#This Row],[PROVEEDOR]],"*"&amp;'Palabra que no opera y Listas d'!$A$2&amp;"*"))</f>
        <v>0</v>
      </c>
    </row>
    <row r="168" spans="1:26" ht="27.75" customHeight="1" x14ac:dyDescent="0.3">
      <c r="A168" s="144" t="str">
        <f>+IF(PROVEEDORES[[#This Row],[FECHA DE PAGO]]=PROVEEDORES[[#This Row],[FECHA DE FACTURACIÓN]],"DE CONTADO","CRÉDITO")</f>
        <v>DE CONTADO</v>
      </c>
      <c r="B168" s="144" t="b">
        <f>+IF((PROVEEDORES[[#This Row],[FECHA DE PAGO]]-PROVEEDORES[[#This Row],[FECHA DE FACTURACIÓN]])&gt;PROVEEDORES[[#This Row],[PLAZO Días]],"PAGO VENCIDO")</f>
        <v>0</v>
      </c>
      <c r="C168" s="144">
        <f>+VLOOKUP(PROVEEDORES[[#This Row],[PROVEEDOR]],TERCEROS_INFO[#All],2,FALSE)</f>
        <v>0</v>
      </c>
      <c r="D168" s="145">
        <f>+SUMIFS(PROVEEDORES[Total],PROVEEDORES[PROVEEDOR],PROVEEDORES[[#This Row],[PROVEEDOR]],PROVEEDORES[FECHA DE PAGO],"")</f>
        <v>0</v>
      </c>
      <c r="E168" s="146"/>
      <c r="F168" s="144">
        <f>+VLOOKUP(PROVEEDORES[[#This Row],[PROVEEDOR]],
                       Terceros!$A:$G,
                       5,
                       FALSE)</f>
        <v>0</v>
      </c>
      <c r="G168" s="122">
        <v>45016</v>
      </c>
      <c r="H168" s="102" t="s">
        <v>537</v>
      </c>
      <c r="I168" s="122">
        <v>45016</v>
      </c>
      <c r="J168" s="103" t="s">
        <v>491</v>
      </c>
      <c r="K168" s="103" t="s">
        <v>1512</v>
      </c>
      <c r="L168" s="103"/>
      <c r="M168" s="105">
        <v>562500</v>
      </c>
      <c r="N168" s="147">
        <v>0</v>
      </c>
      <c r="O168" s="147">
        <v>0</v>
      </c>
      <c r="P168" s="148">
        <v>0</v>
      </c>
      <c r="Q168" s="147">
        <v>0</v>
      </c>
      <c r="R168" s="149">
        <v>562500</v>
      </c>
      <c r="S1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" s="150">
        <f ca="1">+IF(PROVEEDORES[[#This Row],[FECHA DE PAGO]]=0,TODAY()-PROVEEDORES[[#This Row],[FECHA DE FACTURACIÓN]]-PROVEEDORES[[#This Row],[PLAZO Días]],0)</f>
        <v>0</v>
      </c>
      <c r="U168" s="150">
        <f>+VLOOKUP(PROVEEDORES[[#This Row],[PROVEEDOR]],Terceros!$A:$E,4,FALSE)</f>
        <v>0</v>
      </c>
      <c r="V168" s="150">
        <f>+YEAR(PROVEEDORES[[#This Row],[FECHA DE FACTURACIÓN]])</f>
        <v>2023</v>
      </c>
      <c r="W168" s="150">
        <f>+MATCH(PROVEEDORES[[#This Row],[año facturado]],Retenciones!$1:$1,0)</f>
        <v>6</v>
      </c>
      <c r="X168" s="151">
        <f>+VLOOKUP(PROVEEDORES[[#This Row],[ID RETENCION]],Retenciones!$A$1:$O$25,PROVEEDORES[[#This Row],[indicador de columna]],FALSE)</f>
        <v>0</v>
      </c>
      <c r="Y168" s="152">
        <f>+VLOOKUP(PROVEEDORES[[#This Row],[ID RETENCION]],Retenciones!$A$1:$O$25,2,FALSE)</f>
        <v>0</v>
      </c>
      <c r="Z168" s="153" t="b">
        <f>+OR(COUNTIF(PROVEEDORES[[#This Row],[PROVEEDOR]],"*"&amp;'Palabra que no opera y Listas d'!$A$2&amp;"*"))</f>
        <v>0</v>
      </c>
    </row>
    <row r="169" spans="1:26" ht="27.75" customHeight="1" x14ac:dyDescent="0.3">
      <c r="A169" s="144" t="str">
        <f>+IF(PROVEEDORES[[#This Row],[FECHA DE PAGO]]=PROVEEDORES[[#This Row],[FECHA DE FACTURACIÓN]],"DE CONTADO","CRÉDITO")</f>
        <v>DE CONTADO</v>
      </c>
      <c r="B169" s="144" t="b">
        <f>+IF((PROVEEDORES[[#This Row],[FECHA DE PAGO]]-PROVEEDORES[[#This Row],[FECHA DE FACTURACIÓN]])&gt;PROVEEDORES[[#This Row],[PLAZO Días]],"PAGO VENCIDO")</f>
        <v>0</v>
      </c>
      <c r="C169" s="144">
        <f>+VLOOKUP(PROVEEDORES[[#This Row],[PROVEEDOR]],TERCEROS_INFO[#All],2,FALSE)</f>
        <v>0</v>
      </c>
      <c r="D169" s="145">
        <f>+SUMIFS(PROVEEDORES[Total],PROVEEDORES[PROVEEDOR],PROVEEDORES[[#This Row],[PROVEEDOR]],PROVEEDORES[FECHA DE PAGO],"")</f>
        <v>0</v>
      </c>
      <c r="E169" s="146"/>
      <c r="F169" s="144">
        <f>+VLOOKUP(PROVEEDORES[[#This Row],[PROVEEDOR]],
                       Terceros!$A:$G,
                       5,
                       FALSE)</f>
        <v>0</v>
      </c>
      <c r="G169" s="122">
        <v>45016</v>
      </c>
      <c r="H169" s="102" t="s">
        <v>537</v>
      </c>
      <c r="I169" s="122">
        <v>45016</v>
      </c>
      <c r="J169" s="103" t="s">
        <v>495</v>
      </c>
      <c r="K169" s="103" t="s">
        <v>1512</v>
      </c>
      <c r="L169" s="103"/>
      <c r="M169" s="105">
        <v>645900</v>
      </c>
      <c r="N169" s="147">
        <v>0</v>
      </c>
      <c r="O169" s="147">
        <v>0</v>
      </c>
      <c r="P169" s="148">
        <v>0</v>
      </c>
      <c r="Q169" s="147">
        <v>0</v>
      </c>
      <c r="R169" s="149">
        <v>645900</v>
      </c>
      <c r="S1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" s="150">
        <f ca="1">+IF(PROVEEDORES[[#This Row],[FECHA DE PAGO]]=0,TODAY()-PROVEEDORES[[#This Row],[FECHA DE FACTURACIÓN]]-PROVEEDORES[[#This Row],[PLAZO Días]],0)</f>
        <v>0</v>
      </c>
      <c r="U169" s="150">
        <f>+VLOOKUP(PROVEEDORES[[#This Row],[PROVEEDOR]],Terceros!$A:$E,4,FALSE)</f>
        <v>0</v>
      </c>
      <c r="V169" s="150">
        <f>+YEAR(PROVEEDORES[[#This Row],[FECHA DE FACTURACIÓN]])</f>
        <v>2023</v>
      </c>
      <c r="W169" s="150">
        <f>+MATCH(PROVEEDORES[[#This Row],[año facturado]],Retenciones!$1:$1,0)</f>
        <v>6</v>
      </c>
      <c r="X169" s="151">
        <f>+VLOOKUP(PROVEEDORES[[#This Row],[ID RETENCION]],Retenciones!$A$1:$O$25,PROVEEDORES[[#This Row],[indicador de columna]],FALSE)</f>
        <v>0</v>
      </c>
      <c r="Y169" s="152">
        <f>+VLOOKUP(PROVEEDORES[[#This Row],[ID RETENCION]],Retenciones!$A$1:$O$25,2,FALSE)</f>
        <v>0</v>
      </c>
      <c r="Z169" s="153" t="b">
        <f>+OR(COUNTIF(PROVEEDORES[[#This Row],[PROVEEDOR]],"*"&amp;'Palabra que no opera y Listas d'!$A$2&amp;"*"))</f>
        <v>0</v>
      </c>
    </row>
    <row r="170" spans="1:26" ht="27.75" customHeight="1" x14ac:dyDescent="0.3">
      <c r="A170" s="144" t="str">
        <f>+IF(PROVEEDORES[[#This Row],[FECHA DE PAGO]]=PROVEEDORES[[#This Row],[FECHA DE FACTURACIÓN]],"DE CONTADO","CRÉDITO")</f>
        <v>DE CONTADO</v>
      </c>
      <c r="B170" s="144" t="b">
        <f>+IF((PROVEEDORES[[#This Row],[FECHA DE PAGO]]-PROVEEDORES[[#This Row],[FECHA DE FACTURACIÓN]])&gt;PROVEEDORES[[#This Row],[PLAZO Días]],"PAGO VENCIDO")</f>
        <v>0</v>
      </c>
      <c r="C170" s="144">
        <f>+VLOOKUP(PROVEEDORES[[#This Row],[PROVEEDOR]],TERCEROS_INFO[#All],2,FALSE)</f>
        <v>0</v>
      </c>
      <c r="D170" s="145">
        <f>+SUMIFS(PROVEEDORES[Total],PROVEEDORES[PROVEEDOR],PROVEEDORES[[#This Row],[PROVEEDOR]],PROVEEDORES[FECHA DE PAGO],"")</f>
        <v>0</v>
      </c>
      <c r="E170" s="146"/>
      <c r="F170" s="144">
        <f>+VLOOKUP(PROVEEDORES[[#This Row],[PROVEEDOR]],
                       Terceros!$A:$G,
                       5,
                       FALSE)</f>
        <v>0</v>
      </c>
      <c r="G170" s="122">
        <v>45016</v>
      </c>
      <c r="H170" s="102" t="s">
        <v>537</v>
      </c>
      <c r="I170" s="122">
        <v>45016</v>
      </c>
      <c r="J170" s="103" t="s">
        <v>492</v>
      </c>
      <c r="K170" s="103" t="s">
        <v>1512</v>
      </c>
      <c r="L170" s="103"/>
      <c r="M170" s="105">
        <v>4188400</v>
      </c>
      <c r="N170" s="147">
        <v>0</v>
      </c>
      <c r="O170" s="147">
        <v>0</v>
      </c>
      <c r="P170" s="148">
        <v>0</v>
      </c>
      <c r="Q170" s="147">
        <v>0</v>
      </c>
      <c r="R170" s="149">
        <v>4188400</v>
      </c>
      <c r="S1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" s="150">
        <f ca="1">+IF(PROVEEDORES[[#This Row],[FECHA DE PAGO]]=0,TODAY()-PROVEEDORES[[#This Row],[FECHA DE FACTURACIÓN]]-PROVEEDORES[[#This Row],[PLAZO Días]],0)</f>
        <v>0</v>
      </c>
      <c r="U170" s="150">
        <f>+VLOOKUP(PROVEEDORES[[#This Row],[PROVEEDOR]],Terceros!$A:$E,4,FALSE)</f>
        <v>0</v>
      </c>
      <c r="V170" s="150">
        <f>+YEAR(PROVEEDORES[[#This Row],[FECHA DE FACTURACIÓN]])</f>
        <v>2023</v>
      </c>
      <c r="W170" s="150">
        <f>+MATCH(PROVEEDORES[[#This Row],[año facturado]],Retenciones!$1:$1,0)</f>
        <v>6</v>
      </c>
      <c r="X170" s="151">
        <f>+VLOOKUP(PROVEEDORES[[#This Row],[ID RETENCION]],Retenciones!$A$1:$O$25,PROVEEDORES[[#This Row],[indicador de columna]],FALSE)</f>
        <v>0</v>
      </c>
      <c r="Y170" s="152">
        <f>+VLOOKUP(PROVEEDORES[[#This Row],[ID RETENCION]],Retenciones!$A$1:$O$25,2,FALSE)</f>
        <v>0</v>
      </c>
      <c r="Z170" s="153" t="b">
        <f>+OR(COUNTIF(PROVEEDORES[[#This Row],[PROVEEDOR]],"*"&amp;'Palabra que no opera y Listas d'!$A$2&amp;"*"))</f>
        <v>0</v>
      </c>
    </row>
    <row r="171" spans="1:26" ht="27.75" customHeight="1" x14ac:dyDescent="0.3">
      <c r="A171" s="144" t="str">
        <f>+IF(PROVEEDORES[[#This Row],[FECHA DE PAGO]]=PROVEEDORES[[#This Row],[FECHA DE FACTURACIÓN]],"DE CONTADO","CRÉDITO")</f>
        <v>CRÉDITO</v>
      </c>
      <c r="B171" s="144" t="str">
        <f>+IF((PROVEEDORES[[#This Row],[FECHA DE PAGO]]-PROVEEDORES[[#This Row],[FECHA DE FACTURACIÓN]])&gt;PROVEEDORES[[#This Row],[PLAZO Días]],"PAGO VENCIDO")</f>
        <v>PAGO VENCIDO</v>
      </c>
      <c r="C171" s="144">
        <f>+VLOOKUP(PROVEEDORES[[#This Row],[PROVEEDOR]],TERCEROS_INFO[#All],2,FALSE)</f>
        <v>0</v>
      </c>
      <c r="D171" s="145">
        <f>+SUMIFS(PROVEEDORES[Total],PROVEEDORES[PROVEEDOR],PROVEEDORES[[#This Row],[PROVEEDOR]],PROVEEDORES[FECHA DE PAGO],"")</f>
        <v>0</v>
      </c>
      <c r="E171" s="146"/>
      <c r="F171" s="144">
        <f>+VLOOKUP(PROVEEDORES[[#This Row],[PROVEEDOR]],
                       Terceros!$A:$G,
                       5,
                       FALSE)</f>
        <v>0</v>
      </c>
      <c r="G171" s="122">
        <v>45017</v>
      </c>
      <c r="H171" s="102" t="s">
        <v>1786</v>
      </c>
      <c r="I171" s="122">
        <v>44958</v>
      </c>
      <c r="J171" s="103">
        <v>6657</v>
      </c>
      <c r="K171" s="103" t="s">
        <v>1512</v>
      </c>
      <c r="L171" s="103"/>
      <c r="M171" s="105">
        <v>1144000</v>
      </c>
      <c r="N171" s="147">
        <v>0</v>
      </c>
      <c r="O171" s="147">
        <v>0</v>
      </c>
      <c r="P171" s="148">
        <v>0</v>
      </c>
      <c r="Q171" s="147">
        <v>0</v>
      </c>
      <c r="R171" s="149">
        <v>1144000</v>
      </c>
      <c r="S1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" s="150">
        <f ca="1">+IF(PROVEEDORES[[#This Row],[FECHA DE PAGO]]=0,TODAY()-PROVEEDORES[[#This Row],[FECHA DE FACTURACIÓN]]-PROVEEDORES[[#This Row],[PLAZO Días]],0)</f>
        <v>0</v>
      </c>
      <c r="U171" s="150">
        <f>+VLOOKUP(PROVEEDORES[[#This Row],[PROVEEDOR]],Terceros!$A:$E,4,FALSE)</f>
        <v>0</v>
      </c>
      <c r="V171" s="150">
        <f>+YEAR(PROVEEDORES[[#This Row],[FECHA DE FACTURACIÓN]])</f>
        <v>2023</v>
      </c>
      <c r="W171" s="150">
        <f>+MATCH(PROVEEDORES[[#This Row],[año facturado]],Retenciones!$1:$1,0)</f>
        <v>6</v>
      </c>
      <c r="X171" s="151">
        <f>+VLOOKUP(PROVEEDORES[[#This Row],[ID RETENCION]],Retenciones!$A$1:$O$25,PROVEEDORES[[#This Row],[indicador de columna]],FALSE)</f>
        <v>0</v>
      </c>
      <c r="Y171" s="152">
        <f>+VLOOKUP(PROVEEDORES[[#This Row],[ID RETENCION]],Retenciones!$A$1:$O$25,2,FALSE)</f>
        <v>0</v>
      </c>
      <c r="Z171" s="153" t="b">
        <f>+OR(COUNTIF(PROVEEDORES[[#This Row],[PROVEEDOR]],"*"&amp;'Palabra que no opera y Listas d'!$A$2&amp;"*"))</f>
        <v>0</v>
      </c>
    </row>
    <row r="172" spans="1:26" ht="27.75" customHeight="1" x14ac:dyDescent="0.3">
      <c r="A172" s="144" t="str">
        <f>+IF(PROVEEDORES[[#This Row],[FECHA DE PAGO]]=PROVEEDORES[[#This Row],[FECHA DE FACTURACIÓN]],"DE CONTADO","CRÉDITO")</f>
        <v>CRÉDITO</v>
      </c>
      <c r="B172" s="144" t="str">
        <f>+IF((PROVEEDORES[[#This Row],[FECHA DE PAGO]]-PROVEEDORES[[#This Row],[FECHA DE FACTURACIÓN]])&gt;PROVEEDORES[[#This Row],[PLAZO Días]],"PAGO VENCIDO")</f>
        <v>PAGO VENCIDO</v>
      </c>
      <c r="C172" s="144">
        <f>+VLOOKUP(PROVEEDORES[[#This Row],[PROVEEDOR]],TERCEROS_INFO[#All],2,FALSE)</f>
        <v>0</v>
      </c>
      <c r="D172" s="145">
        <f>+SUMIFS(PROVEEDORES[Total],PROVEEDORES[PROVEEDOR],PROVEEDORES[[#This Row],[PROVEEDOR]],PROVEEDORES[FECHA DE PAGO],"")</f>
        <v>7281829.8799999999</v>
      </c>
      <c r="E172" s="146"/>
      <c r="F172" s="144" t="str">
        <f>+VLOOKUP(PROVEEDORES[[#This Row],[PROVEEDOR]],
                       Terceros!$A:$G,
                       5,
                       FALSE)</f>
        <v>2,5% con base</v>
      </c>
      <c r="G172" s="122">
        <v>45018</v>
      </c>
      <c r="H172" s="102" t="s">
        <v>1445</v>
      </c>
      <c r="I172" s="122">
        <v>44999</v>
      </c>
      <c r="J172" s="103" t="s">
        <v>705</v>
      </c>
      <c r="K172" s="103" t="s">
        <v>1512</v>
      </c>
      <c r="L172" s="103"/>
      <c r="M172" s="105">
        <v>55353</v>
      </c>
      <c r="N172" s="147">
        <v>10517.07</v>
      </c>
      <c r="O172" s="147">
        <v>0</v>
      </c>
      <c r="P172" s="148">
        <v>0</v>
      </c>
      <c r="Q172" s="147">
        <v>0</v>
      </c>
      <c r="R172" s="149">
        <v>65870.070000000007</v>
      </c>
      <c r="S1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" s="150">
        <f ca="1">+IF(PROVEEDORES[[#This Row],[FECHA DE PAGO]]=0,TODAY()-PROVEEDORES[[#This Row],[FECHA DE FACTURACIÓN]]-PROVEEDORES[[#This Row],[PLAZO Días]],0)</f>
        <v>0</v>
      </c>
      <c r="U172" s="150">
        <f>+VLOOKUP(PROVEEDORES[[#This Row],[PROVEEDOR]],Terceros!$A:$E,4,FALSE)</f>
        <v>0.19</v>
      </c>
      <c r="V172" s="150">
        <f>+YEAR(PROVEEDORES[[#This Row],[FECHA DE FACTURACIÓN]])</f>
        <v>2023</v>
      </c>
      <c r="W172" s="150">
        <f>+MATCH(PROVEEDORES[[#This Row],[año facturado]],Retenciones!$1:$1,0)</f>
        <v>6</v>
      </c>
      <c r="X172" s="151" t="e">
        <f>+VLOOKUP(PROVEEDORES[[#This Row],[ID RETENCION]],Retenciones!$A$1:$O$25,PROVEEDORES[[#This Row],[indicador de columna]],FALSE)</f>
        <v>#N/A</v>
      </c>
      <c r="Y172" s="152" t="e">
        <f>+VLOOKUP(PROVEEDORES[[#This Row],[ID RETENCION]],Retenciones!$A$1:$O$25,2,FALSE)</f>
        <v>#N/A</v>
      </c>
      <c r="Z172" s="153" t="b">
        <f>+OR(COUNTIF(PROVEEDORES[[#This Row],[PROVEEDOR]],"*"&amp;'Palabra que no opera y Listas d'!$A$2&amp;"*"))</f>
        <v>0</v>
      </c>
    </row>
    <row r="173" spans="1:26" ht="27.75" customHeight="1" x14ac:dyDescent="0.3">
      <c r="A173" s="144" t="str">
        <f>+IF(PROVEEDORES[[#This Row],[FECHA DE PAGO]]=PROVEEDORES[[#This Row],[FECHA DE FACTURACIÓN]],"DE CONTADO","CRÉDITO")</f>
        <v>CRÉDITO</v>
      </c>
      <c r="B173" s="144" t="str">
        <f>+IF((PROVEEDORES[[#This Row],[FECHA DE PAGO]]-PROVEEDORES[[#This Row],[FECHA DE FACTURACIÓN]])&gt;PROVEEDORES[[#This Row],[PLAZO Días]],"PAGO VENCIDO")</f>
        <v>PAGO VENCIDO</v>
      </c>
      <c r="C173" s="144">
        <f>+VLOOKUP(PROVEEDORES[[#This Row],[PROVEEDOR]],TERCEROS_INFO[#All],2,FALSE)</f>
        <v>0</v>
      </c>
      <c r="D173" s="145">
        <f>+SUMIFS(PROVEEDORES[Total],PROVEEDORES[PROVEEDOR],PROVEEDORES[[#This Row],[PROVEEDOR]],PROVEEDORES[FECHA DE PAGO],"")</f>
        <v>0</v>
      </c>
      <c r="E173" s="146"/>
      <c r="F173" s="144">
        <f>+VLOOKUP(PROVEEDORES[[#This Row],[PROVEEDOR]],
                       Terceros!$A:$G,
                       5,
                       FALSE)</f>
        <v>0</v>
      </c>
      <c r="G173" s="122">
        <v>45018</v>
      </c>
      <c r="H173" s="102" t="s">
        <v>496</v>
      </c>
      <c r="I173" s="122">
        <v>45017</v>
      </c>
      <c r="J173" s="103" t="s">
        <v>730</v>
      </c>
      <c r="K173" s="103" t="s">
        <v>1512</v>
      </c>
      <c r="L173" s="103"/>
      <c r="M173" s="105">
        <v>2200000</v>
      </c>
      <c r="N173" s="147">
        <v>0</v>
      </c>
      <c r="O173" s="147">
        <v>0</v>
      </c>
      <c r="P173" s="148">
        <v>0</v>
      </c>
      <c r="Q173" s="147">
        <v>0</v>
      </c>
      <c r="R173" s="149">
        <v>2200000</v>
      </c>
      <c r="S1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" s="150">
        <f ca="1">+IF(PROVEEDORES[[#This Row],[FECHA DE PAGO]]=0,TODAY()-PROVEEDORES[[#This Row],[FECHA DE FACTURACIÓN]]-PROVEEDORES[[#This Row],[PLAZO Días]],0)</f>
        <v>0</v>
      </c>
      <c r="U173" s="150">
        <f>+VLOOKUP(PROVEEDORES[[#This Row],[PROVEEDOR]],Terceros!$A:$E,4,FALSE)</f>
        <v>0</v>
      </c>
      <c r="V173" s="150">
        <f>+YEAR(PROVEEDORES[[#This Row],[FECHA DE FACTURACIÓN]])</f>
        <v>2023</v>
      </c>
      <c r="W173" s="150">
        <f>+MATCH(PROVEEDORES[[#This Row],[año facturado]],Retenciones!$1:$1,0)</f>
        <v>6</v>
      </c>
      <c r="X173" s="151">
        <f>+VLOOKUP(PROVEEDORES[[#This Row],[ID RETENCION]],Retenciones!$A$1:$O$25,PROVEEDORES[[#This Row],[indicador de columna]],FALSE)</f>
        <v>0</v>
      </c>
      <c r="Y173" s="152">
        <f>+VLOOKUP(PROVEEDORES[[#This Row],[ID RETENCION]],Retenciones!$A$1:$O$25,2,FALSE)</f>
        <v>0</v>
      </c>
      <c r="Z173" s="153" t="b">
        <f>+OR(COUNTIF(PROVEEDORES[[#This Row],[PROVEEDOR]],"*"&amp;'Palabra que no opera y Listas d'!$A$2&amp;"*"))</f>
        <v>0</v>
      </c>
    </row>
    <row r="174" spans="1:26" ht="27.75" customHeight="1" x14ac:dyDescent="0.3">
      <c r="A174" s="144" t="str">
        <f>+IF(PROVEEDORES[[#This Row],[FECHA DE PAGO]]=PROVEEDORES[[#This Row],[FECHA DE FACTURACIÓN]],"DE CONTADO","CRÉDITO")</f>
        <v>CRÉDITO</v>
      </c>
      <c r="B174" s="144" t="str">
        <f>+IF((PROVEEDORES[[#This Row],[FECHA DE PAGO]]-PROVEEDORES[[#This Row],[FECHA DE FACTURACIÓN]])&gt;PROVEEDORES[[#This Row],[PLAZO Días]],"PAGO VENCIDO")</f>
        <v>PAGO VENCIDO</v>
      </c>
      <c r="C174" s="144">
        <f>+VLOOKUP(PROVEEDORES[[#This Row],[PROVEEDOR]],TERCEROS_INFO[#All],2,FALSE)</f>
        <v>0</v>
      </c>
      <c r="D174" s="145">
        <f>+SUMIFS(PROVEEDORES[Total],PROVEEDORES[PROVEEDOR],PROVEEDORES[[#This Row],[PROVEEDOR]],PROVEEDORES[FECHA DE PAGO],"")</f>
        <v>856185.96</v>
      </c>
      <c r="E174" s="146"/>
      <c r="F174" s="144">
        <f>+VLOOKUP(PROVEEDORES[[#This Row],[PROVEEDOR]],
                       Terceros!$A:$G,
                       5,
                       FALSE)</f>
        <v>0</v>
      </c>
      <c r="G174" s="122">
        <v>45019</v>
      </c>
      <c r="H174" s="102" t="s">
        <v>209</v>
      </c>
      <c r="I174" s="122">
        <v>44950</v>
      </c>
      <c r="J174" s="103" t="s">
        <v>558</v>
      </c>
      <c r="K174" s="103" t="s">
        <v>1512</v>
      </c>
      <c r="L174" s="103"/>
      <c r="M174" s="105">
        <v>-396847</v>
      </c>
      <c r="N174" s="147">
        <v>-75400.930000000008</v>
      </c>
      <c r="O174" s="147">
        <v>0</v>
      </c>
      <c r="P174" s="148">
        <v>0</v>
      </c>
      <c r="Q174" s="147">
        <v>0</v>
      </c>
      <c r="R174" s="149">
        <v>-472247.93</v>
      </c>
      <c r="S1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" s="150">
        <f ca="1">+IF(PROVEEDORES[[#This Row],[FECHA DE PAGO]]=0,TODAY()-PROVEEDORES[[#This Row],[FECHA DE FACTURACIÓN]]-PROVEEDORES[[#This Row],[PLAZO Días]],0)</f>
        <v>0</v>
      </c>
      <c r="U174" s="150">
        <f>+VLOOKUP(PROVEEDORES[[#This Row],[PROVEEDOR]],Terceros!$A:$E,4,FALSE)</f>
        <v>0.19</v>
      </c>
      <c r="V174" s="150">
        <f>+YEAR(PROVEEDORES[[#This Row],[FECHA DE FACTURACIÓN]])</f>
        <v>2023</v>
      </c>
      <c r="W174" s="150">
        <f>+MATCH(PROVEEDORES[[#This Row],[año facturado]],Retenciones!$1:$1,0)</f>
        <v>6</v>
      </c>
      <c r="X174" s="151" t="e">
        <f>+VLOOKUP(PROVEEDORES[[#This Row],[ID RETENCION]],Retenciones!$A$1:$O$25,PROVEEDORES[[#This Row],[indicador de columna]],FALSE)</f>
        <v>#N/A</v>
      </c>
      <c r="Y174" s="152" t="e">
        <f>+VLOOKUP(PROVEEDORES[[#This Row],[ID RETENCION]],Retenciones!$A$1:$O$25,2,FALSE)</f>
        <v>#N/A</v>
      </c>
      <c r="Z174" s="153" t="b">
        <f>+OR(COUNTIF(PROVEEDORES[[#This Row],[PROVEEDOR]],"*"&amp;'Palabra que no opera y Listas d'!$A$2&amp;"*"))</f>
        <v>0</v>
      </c>
    </row>
    <row r="175" spans="1:26" ht="27.75" customHeight="1" x14ac:dyDescent="0.3">
      <c r="A175" s="144" t="str">
        <f>+IF(PROVEEDORES[[#This Row],[FECHA DE PAGO]]=PROVEEDORES[[#This Row],[FECHA DE FACTURACIÓN]],"DE CONTADO","CRÉDITO")</f>
        <v>CRÉDITO</v>
      </c>
      <c r="B175" s="144" t="str">
        <f>+IF((PROVEEDORES[[#This Row],[FECHA DE PAGO]]-PROVEEDORES[[#This Row],[FECHA DE FACTURACIÓN]])&gt;PROVEEDORES[[#This Row],[PLAZO Días]],"PAGO VENCIDO")</f>
        <v>PAGO VENCIDO</v>
      </c>
      <c r="C175" s="144">
        <f>+VLOOKUP(PROVEEDORES[[#This Row],[PROVEEDOR]],TERCEROS_INFO[#All],2,FALSE)</f>
        <v>0</v>
      </c>
      <c r="D175" s="145">
        <f>+SUMIFS(PROVEEDORES[Total],PROVEEDORES[PROVEEDOR],PROVEEDORES[[#This Row],[PROVEEDOR]],PROVEEDORES[FECHA DE PAGO],"")</f>
        <v>856185.96</v>
      </c>
      <c r="E175" s="146"/>
      <c r="F175" s="144">
        <f>+VLOOKUP(PROVEEDORES[[#This Row],[PROVEEDOR]],
                       Terceros!$A:$G,
                       5,
                       FALSE)</f>
        <v>0</v>
      </c>
      <c r="G175" s="122">
        <v>45019</v>
      </c>
      <c r="H175" s="102" t="s">
        <v>209</v>
      </c>
      <c r="I175" s="122">
        <v>44950</v>
      </c>
      <c r="J175" s="103" t="s">
        <v>659</v>
      </c>
      <c r="K175" s="103" t="s">
        <v>1512</v>
      </c>
      <c r="L175" s="103"/>
      <c r="M175" s="105">
        <v>-254663</v>
      </c>
      <c r="N175" s="147">
        <v>-48385.97</v>
      </c>
      <c r="O175" s="147">
        <v>0</v>
      </c>
      <c r="P175" s="148">
        <v>0</v>
      </c>
      <c r="Q175" s="147">
        <v>0</v>
      </c>
      <c r="R175" s="149">
        <v>-303048.96999999997</v>
      </c>
      <c r="S1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" s="150">
        <f ca="1">+IF(PROVEEDORES[[#This Row],[FECHA DE PAGO]]=0,TODAY()-PROVEEDORES[[#This Row],[FECHA DE FACTURACIÓN]]-PROVEEDORES[[#This Row],[PLAZO Días]],0)</f>
        <v>0</v>
      </c>
      <c r="U175" s="150">
        <f>+VLOOKUP(PROVEEDORES[[#This Row],[PROVEEDOR]],Terceros!$A:$E,4,FALSE)</f>
        <v>0.19</v>
      </c>
      <c r="V175" s="150">
        <f>+YEAR(PROVEEDORES[[#This Row],[FECHA DE FACTURACIÓN]])</f>
        <v>2023</v>
      </c>
      <c r="W175" s="150">
        <f>+MATCH(PROVEEDORES[[#This Row],[año facturado]],Retenciones!$1:$1,0)</f>
        <v>6</v>
      </c>
      <c r="X175" s="151" t="e">
        <f>+VLOOKUP(PROVEEDORES[[#This Row],[ID RETENCION]],Retenciones!$A$1:$O$25,PROVEEDORES[[#This Row],[indicador de columna]],FALSE)</f>
        <v>#N/A</v>
      </c>
      <c r="Y175" s="152" t="e">
        <f>+VLOOKUP(PROVEEDORES[[#This Row],[ID RETENCION]],Retenciones!$A$1:$O$25,2,FALSE)</f>
        <v>#N/A</v>
      </c>
      <c r="Z175" s="153" t="b">
        <f>+OR(COUNTIF(PROVEEDORES[[#This Row],[PROVEEDOR]],"*"&amp;'Palabra que no opera y Listas d'!$A$2&amp;"*"))</f>
        <v>0</v>
      </c>
    </row>
    <row r="176" spans="1:26" ht="27.75" customHeight="1" x14ac:dyDescent="0.3">
      <c r="A176" s="144" t="str">
        <f>+IF(PROVEEDORES[[#This Row],[FECHA DE PAGO]]=PROVEEDORES[[#This Row],[FECHA DE FACTURACIÓN]],"DE CONTADO","CRÉDITO")</f>
        <v>CRÉDITO</v>
      </c>
      <c r="B176" s="144" t="str">
        <f>+IF((PROVEEDORES[[#This Row],[FECHA DE PAGO]]-PROVEEDORES[[#This Row],[FECHA DE FACTURACIÓN]])&gt;PROVEEDORES[[#This Row],[PLAZO Días]],"PAGO VENCIDO")</f>
        <v>PAGO VENCIDO</v>
      </c>
      <c r="C176" s="144">
        <f>+VLOOKUP(PROVEEDORES[[#This Row],[PROVEEDOR]],TERCEROS_INFO[#All],2,FALSE)</f>
        <v>0</v>
      </c>
      <c r="D176" s="145">
        <f>+SUMIFS(PROVEEDORES[Total],PROVEEDORES[PROVEEDOR],PROVEEDORES[[#This Row],[PROVEEDOR]],PROVEEDORES[FECHA DE PAGO],"")</f>
        <v>3461120</v>
      </c>
      <c r="E176" s="146"/>
      <c r="F176" s="144" t="str">
        <f>+VLOOKUP(PROVEEDORES[[#This Row],[PROVEEDOR]],
                       Terceros!$A:$G,
                       5,
                       FALSE)</f>
        <v>2,5% con base</v>
      </c>
      <c r="G176" s="122">
        <v>45019</v>
      </c>
      <c r="H176" s="102" t="s">
        <v>9</v>
      </c>
      <c r="I176" s="122">
        <v>44965</v>
      </c>
      <c r="J176" s="103" t="s">
        <v>581</v>
      </c>
      <c r="K176" s="103" t="s">
        <v>1512</v>
      </c>
      <c r="L176" s="103"/>
      <c r="M176" s="105">
        <v>768000</v>
      </c>
      <c r="N176" s="147">
        <v>145920</v>
      </c>
      <c r="O176" s="147">
        <v>0</v>
      </c>
      <c r="P176" s="148">
        <v>0</v>
      </c>
      <c r="Q176" s="147">
        <v>0</v>
      </c>
      <c r="R176" s="149">
        <v>913920</v>
      </c>
      <c r="S1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" s="150">
        <f ca="1">+IF(PROVEEDORES[[#This Row],[FECHA DE PAGO]]=0,TODAY()-PROVEEDORES[[#This Row],[FECHA DE FACTURACIÓN]]-PROVEEDORES[[#This Row],[PLAZO Días]],0)</f>
        <v>0</v>
      </c>
      <c r="U176" s="150">
        <f>+VLOOKUP(PROVEEDORES[[#This Row],[PROVEEDOR]],Terceros!$A:$E,4,FALSE)</f>
        <v>0.19</v>
      </c>
      <c r="V176" s="150">
        <f>+YEAR(PROVEEDORES[[#This Row],[FECHA DE FACTURACIÓN]])</f>
        <v>2023</v>
      </c>
      <c r="W176" s="150">
        <f>+MATCH(PROVEEDORES[[#This Row],[año facturado]],Retenciones!$1:$1,0)</f>
        <v>6</v>
      </c>
      <c r="X176" s="151" t="e">
        <f>+VLOOKUP(PROVEEDORES[[#This Row],[ID RETENCION]],Retenciones!$A$1:$O$25,PROVEEDORES[[#This Row],[indicador de columna]],FALSE)</f>
        <v>#N/A</v>
      </c>
      <c r="Y176" s="152" t="e">
        <f>+VLOOKUP(PROVEEDORES[[#This Row],[ID RETENCION]],Retenciones!$A$1:$O$25,2,FALSE)</f>
        <v>#N/A</v>
      </c>
      <c r="Z176" s="153" t="b">
        <f>+OR(COUNTIF(PROVEEDORES[[#This Row],[PROVEEDOR]],"*"&amp;'Palabra que no opera y Listas d'!$A$2&amp;"*"))</f>
        <v>0</v>
      </c>
    </row>
    <row r="177" spans="1:26" ht="27.75" customHeight="1" x14ac:dyDescent="0.3">
      <c r="A177" s="144" t="str">
        <f>+IF(PROVEEDORES[[#This Row],[FECHA DE PAGO]]=PROVEEDORES[[#This Row],[FECHA DE FACTURACIÓN]],"DE CONTADO","CRÉDITO")</f>
        <v>CRÉDITO</v>
      </c>
      <c r="B177" s="144" t="str">
        <f>+IF((PROVEEDORES[[#This Row],[FECHA DE PAGO]]-PROVEEDORES[[#This Row],[FECHA DE FACTURACIÓN]])&gt;PROVEEDORES[[#This Row],[PLAZO Días]],"PAGO VENCIDO")</f>
        <v>PAGO VENCIDO</v>
      </c>
      <c r="C177" s="144">
        <f>+VLOOKUP(PROVEEDORES[[#This Row],[PROVEEDOR]],TERCEROS_INFO[#All],2,FALSE)</f>
        <v>0</v>
      </c>
      <c r="D177" s="145">
        <f>+SUMIFS(PROVEEDORES[Total],PROVEEDORES[PROVEEDOR],PROVEEDORES[[#This Row],[PROVEEDOR]],PROVEEDORES[FECHA DE PAGO],"")</f>
        <v>856185.96</v>
      </c>
      <c r="E177" s="146"/>
      <c r="F177" s="144">
        <f>+VLOOKUP(PROVEEDORES[[#This Row],[PROVEEDOR]],
                       Terceros!$A:$G,
                       5,
                       FALSE)</f>
        <v>0</v>
      </c>
      <c r="G177" s="122">
        <v>45019</v>
      </c>
      <c r="H177" s="102" t="s">
        <v>209</v>
      </c>
      <c r="I177" s="122">
        <v>44984</v>
      </c>
      <c r="J177" s="103" t="s">
        <v>611</v>
      </c>
      <c r="K177" s="103" t="s">
        <v>1512</v>
      </c>
      <c r="L177" s="103"/>
      <c r="M177" s="105">
        <v>940839</v>
      </c>
      <c r="N177" s="147">
        <v>178759.41</v>
      </c>
      <c r="O177" s="147">
        <v>0</v>
      </c>
      <c r="P177" s="148">
        <v>0</v>
      </c>
      <c r="Q177" s="147">
        <v>0</v>
      </c>
      <c r="R177" s="149">
        <v>1119598.4099999999</v>
      </c>
      <c r="S1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" s="150">
        <f ca="1">+IF(PROVEEDORES[[#This Row],[FECHA DE PAGO]]=0,TODAY()-PROVEEDORES[[#This Row],[FECHA DE FACTURACIÓN]]-PROVEEDORES[[#This Row],[PLAZO Días]],0)</f>
        <v>0</v>
      </c>
      <c r="U177" s="150">
        <f>+VLOOKUP(PROVEEDORES[[#This Row],[PROVEEDOR]],Terceros!$A:$E,4,FALSE)</f>
        <v>0.19</v>
      </c>
      <c r="V177" s="150">
        <f>+YEAR(PROVEEDORES[[#This Row],[FECHA DE FACTURACIÓN]])</f>
        <v>2023</v>
      </c>
      <c r="W177" s="150">
        <f>+MATCH(PROVEEDORES[[#This Row],[año facturado]],Retenciones!$1:$1,0)</f>
        <v>6</v>
      </c>
      <c r="X177" s="151" t="e">
        <f>+VLOOKUP(PROVEEDORES[[#This Row],[ID RETENCION]],Retenciones!$A$1:$O$25,PROVEEDORES[[#This Row],[indicador de columna]],FALSE)</f>
        <v>#N/A</v>
      </c>
      <c r="Y177" s="152" t="e">
        <f>+VLOOKUP(PROVEEDORES[[#This Row],[ID RETENCION]],Retenciones!$A$1:$O$25,2,FALSE)</f>
        <v>#N/A</v>
      </c>
      <c r="Z177" s="153" t="b">
        <f>+OR(COUNTIF(PROVEEDORES[[#This Row],[PROVEEDOR]],"*"&amp;'Palabra que no opera y Listas d'!$A$2&amp;"*"))</f>
        <v>0</v>
      </c>
    </row>
    <row r="178" spans="1:26" ht="27.75" customHeight="1" x14ac:dyDescent="0.3">
      <c r="A178" s="144" t="str">
        <f>+IF(PROVEEDORES[[#This Row],[FECHA DE PAGO]]=PROVEEDORES[[#This Row],[FECHA DE FACTURACIÓN]],"DE CONTADO","CRÉDITO")</f>
        <v>CRÉDITO</v>
      </c>
      <c r="B178" s="144" t="str">
        <f>+IF((PROVEEDORES[[#This Row],[FECHA DE PAGO]]-PROVEEDORES[[#This Row],[FECHA DE FACTURACIÓN]])&gt;PROVEEDORES[[#This Row],[PLAZO Días]],"PAGO VENCIDO")</f>
        <v>PAGO VENCIDO</v>
      </c>
      <c r="C178" s="144">
        <f>+VLOOKUP(PROVEEDORES[[#This Row],[PROVEEDOR]],TERCEROS_INFO[#All],2,FALSE)</f>
        <v>0</v>
      </c>
      <c r="D178" s="145" t="e">
        <f>+SUMIFS(PROVEEDORES[Total],PROVEEDORES[PROVEEDOR],PROVEEDORES[[#This Row],[PROVEEDOR]],PROVEEDORES[FECHA DE PAGO],"")</f>
        <v>#N/A</v>
      </c>
      <c r="E178" s="146"/>
      <c r="F178" s="144">
        <f>+VLOOKUP(PROVEEDORES[[#This Row],[PROVEEDOR]],
                       Terceros!$A:$G,
                       5,
                       FALSE)</f>
        <v>0</v>
      </c>
      <c r="G178" s="122">
        <v>45019</v>
      </c>
      <c r="H178" s="102" t="s">
        <v>16</v>
      </c>
      <c r="I178" s="122">
        <v>44985</v>
      </c>
      <c r="J178" s="103" t="s">
        <v>612</v>
      </c>
      <c r="K178" s="103" t="s">
        <v>1512</v>
      </c>
      <c r="L178" s="103"/>
      <c r="M178" s="105">
        <v>1457850</v>
      </c>
      <c r="N178" s="147">
        <v>276991.5</v>
      </c>
      <c r="O178" s="147">
        <v>0</v>
      </c>
      <c r="P178" s="148">
        <v>0</v>
      </c>
      <c r="Q178" s="147">
        <v>0</v>
      </c>
      <c r="R178" s="149">
        <v>1734841.5</v>
      </c>
      <c r="S1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" s="150">
        <f ca="1">+IF(PROVEEDORES[[#This Row],[FECHA DE PAGO]]=0,TODAY()-PROVEEDORES[[#This Row],[FECHA DE FACTURACIÓN]]-PROVEEDORES[[#This Row],[PLAZO Días]],0)</f>
        <v>0</v>
      </c>
      <c r="U178" s="150">
        <f>+VLOOKUP(PROVEEDORES[[#This Row],[PROVEEDOR]],Terceros!$A:$E,4,FALSE)</f>
        <v>0.19</v>
      </c>
      <c r="V178" s="150">
        <f>+YEAR(PROVEEDORES[[#This Row],[FECHA DE FACTURACIÓN]])</f>
        <v>2023</v>
      </c>
      <c r="W178" s="150">
        <f>+MATCH(PROVEEDORES[[#This Row],[año facturado]],Retenciones!$1:$1,0)</f>
        <v>6</v>
      </c>
      <c r="X178" s="151" t="e">
        <f>+VLOOKUP(PROVEEDORES[[#This Row],[ID RETENCION]],Retenciones!$A$1:$O$25,PROVEEDORES[[#This Row],[indicador de columna]],FALSE)</f>
        <v>#N/A</v>
      </c>
      <c r="Y178" s="152" t="e">
        <f>+VLOOKUP(PROVEEDORES[[#This Row],[ID RETENCION]],Retenciones!$A$1:$O$25,2,FALSE)</f>
        <v>#N/A</v>
      </c>
      <c r="Z178" s="153" t="b">
        <f>+OR(COUNTIF(PROVEEDORES[[#This Row],[PROVEEDOR]],"*"&amp;'Palabra que no opera y Listas d'!$A$2&amp;"*"))</f>
        <v>0</v>
      </c>
    </row>
    <row r="179" spans="1:26" ht="27.75" customHeight="1" x14ac:dyDescent="0.3">
      <c r="A179" s="144" t="str">
        <f>+IF(PROVEEDORES[[#This Row],[FECHA DE PAGO]]=PROVEEDORES[[#This Row],[FECHA DE FACTURACIÓN]],"DE CONTADO","CRÉDITO")</f>
        <v>DE CONTADO</v>
      </c>
      <c r="B179" s="144" t="b">
        <f>+IF((PROVEEDORES[[#This Row],[FECHA DE PAGO]]-PROVEEDORES[[#This Row],[FECHA DE FACTURACIÓN]])&gt;PROVEEDORES[[#This Row],[PLAZO Días]],"PAGO VENCIDO")</f>
        <v>0</v>
      </c>
      <c r="C179" s="144">
        <f>+VLOOKUP(PROVEEDORES[[#This Row],[PROVEEDOR]],TERCEROS_INFO[#All],2,FALSE)</f>
        <v>0</v>
      </c>
      <c r="D179" s="145">
        <f>+SUMIFS(PROVEEDORES[Total],PROVEEDORES[PROVEEDOR],PROVEEDORES[[#This Row],[PROVEEDOR]],PROVEEDORES[FECHA DE PAGO],"")</f>
        <v>0</v>
      </c>
      <c r="E179" s="146"/>
      <c r="F179" s="144">
        <f>+VLOOKUP(PROVEEDORES[[#This Row],[PROVEEDOR]],
                       Terceros!$A:$G,
                       5,
                       FALSE)</f>
        <v>0</v>
      </c>
      <c r="G179" s="122">
        <v>45020</v>
      </c>
      <c r="H179" s="102" t="s">
        <v>191</v>
      </c>
      <c r="I179" s="122">
        <v>45020</v>
      </c>
      <c r="J179" s="103" t="s">
        <v>693</v>
      </c>
      <c r="K179" s="103" t="s">
        <v>1512</v>
      </c>
      <c r="L179" s="103"/>
      <c r="M179" s="105">
        <v>1800000</v>
      </c>
      <c r="N179" s="147">
        <v>0</v>
      </c>
      <c r="O179" s="147">
        <v>0</v>
      </c>
      <c r="P179" s="148">
        <v>0</v>
      </c>
      <c r="Q179" s="147">
        <v>0</v>
      </c>
      <c r="R179" s="149">
        <v>1800000</v>
      </c>
      <c r="S1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" s="150">
        <f ca="1">+IF(PROVEEDORES[[#This Row],[FECHA DE PAGO]]=0,TODAY()-PROVEEDORES[[#This Row],[FECHA DE FACTURACIÓN]]-PROVEEDORES[[#This Row],[PLAZO Días]],0)</f>
        <v>0</v>
      </c>
      <c r="U179" s="150">
        <f>+VLOOKUP(PROVEEDORES[[#This Row],[PROVEEDOR]],Terceros!$A:$E,4,FALSE)</f>
        <v>0</v>
      </c>
      <c r="V179" s="150">
        <f>+YEAR(PROVEEDORES[[#This Row],[FECHA DE FACTURACIÓN]])</f>
        <v>2023</v>
      </c>
      <c r="W179" s="150">
        <f>+MATCH(PROVEEDORES[[#This Row],[año facturado]],Retenciones!$1:$1,0)</f>
        <v>6</v>
      </c>
      <c r="X179" s="151">
        <f>+VLOOKUP(PROVEEDORES[[#This Row],[ID RETENCION]],Retenciones!$A$1:$O$25,PROVEEDORES[[#This Row],[indicador de columna]],FALSE)</f>
        <v>0</v>
      </c>
      <c r="Y179" s="152">
        <f>+VLOOKUP(PROVEEDORES[[#This Row],[ID RETENCION]],Retenciones!$A$1:$O$25,2,FALSE)</f>
        <v>0</v>
      </c>
      <c r="Z179" s="153" t="b">
        <f>+OR(COUNTIF(PROVEEDORES[[#This Row],[PROVEEDOR]],"*"&amp;'Palabra que no opera y Listas d'!$A$2&amp;"*"))</f>
        <v>0</v>
      </c>
    </row>
    <row r="180" spans="1:26" ht="27.75" customHeight="1" x14ac:dyDescent="0.3">
      <c r="A180" s="144" t="str">
        <f>+IF(PROVEEDORES[[#This Row],[FECHA DE PAGO]]=PROVEEDORES[[#This Row],[FECHA DE FACTURACIÓN]],"DE CONTADO","CRÉDITO")</f>
        <v>DE CONTADO</v>
      </c>
      <c r="B180" s="144" t="b">
        <f>+IF((PROVEEDORES[[#This Row],[FECHA DE PAGO]]-PROVEEDORES[[#This Row],[FECHA DE FACTURACIÓN]])&gt;PROVEEDORES[[#This Row],[PLAZO Días]],"PAGO VENCIDO")</f>
        <v>0</v>
      </c>
      <c r="C180" s="144">
        <f>+VLOOKUP(PROVEEDORES[[#This Row],[PROVEEDOR]],TERCEROS_INFO[#All],2,FALSE)</f>
        <v>0</v>
      </c>
      <c r="D180" s="145">
        <f>+SUMIFS(PROVEEDORES[Total],PROVEEDORES[PROVEEDOR],PROVEEDORES[[#This Row],[PROVEEDOR]],PROVEEDORES[FECHA DE PAGO],"")</f>
        <v>550000</v>
      </c>
      <c r="E180" s="146"/>
      <c r="F180" s="144">
        <f>+VLOOKUP(PROVEEDORES[[#This Row],[PROVEEDOR]],
                       Terceros!$A:$G,
                       5,
                       FALSE)</f>
        <v>0</v>
      </c>
      <c r="G180" s="122">
        <v>45021</v>
      </c>
      <c r="H180" s="102" t="s">
        <v>1784</v>
      </c>
      <c r="I180" s="122">
        <v>45021</v>
      </c>
      <c r="J180" s="103" t="s">
        <v>731</v>
      </c>
      <c r="K180" s="103" t="s">
        <v>1512</v>
      </c>
      <c r="L180" s="103"/>
      <c r="M180" s="105">
        <v>360000</v>
      </c>
      <c r="N180" s="147">
        <v>0</v>
      </c>
      <c r="O180" s="147">
        <v>0</v>
      </c>
      <c r="P180" s="148">
        <v>0</v>
      </c>
      <c r="Q180" s="147">
        <v>0</v>
      </c>
      <c r="R180" s="149">
        <v>360000</v>
      </c>
      <c r="S1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" s="150">
        <f ca="1">+IF(PROVEEDORES[[#This Row],[FECHA DE PAGO]]=0,TODAY()-PROVEEDORES[[#This Row],[FECHA DE FACTURACIÓN]]-PROVEEDORES[[#This Row],[PLAZO Días]],0)</f>
        <v>0</v>
      </c>
      <c r="U180" s="150">
        <f>+VLOOKUP(PROVEEDORES[[#This Row],[PROVEEDOR]],Terceros!$A:$E,4,FALSE)</f>
        <v>0</v>
      </c>
      <c r="V180" s="150">
        <f>+YEAR(PROVEEDORES[[#This Row],[FECHA DE FACTURACIÓN]])</f>
        <v>2023</v>
      </c>
      <c r="W180" s="150">
        <f>+MATCH(PROVEEDORES[[#This Row],[año facturado]],Retenciones!$1:$1,0)</f>
        <v>6</v>
      </c>
      <c r="X180" s="151">
        <f>+VLOOKUP(PROVEEDORES[[#This Row],[ID RETENCION]],Retenciones!$A$1:$O$25,PROVEEDORES[[#This Row],[indicador de columna]],FALSE)</f>
        <v>0</v>
      </c>
      <c r="Y180" s="152">
        <f>+VLOOKUP(PROVEEDORES[[#This Row],[ID RETENCION]],Retenciones!$A$1:$O$25,2,FALSE)</f>
        <v>0</v>
      </c>
      <c r="Z180" s="153" t="b">
        <f>+OR(COUNTIF(PROVEEDORES[[#This Row],[PROVEEDOR]],"*"&amp;'Palabra que no opera y Listas d'!$A$2&amp;"*"))</f>
        <v>0</v>
      </c>
    </row>
    <row r="181" spans="1:26" ht="27.75" customHeight="1" x14ac:dyDescent="0.3">
      <c r="A181" s="144" t="str">
        <f>+IF(PROVEEDORES[[#This Row],[FECHA DE PAGO]]=PROVEEDORES[[#This Row],[FECHA DE FACTURACIÓN]],"DE CONTADO","CRÉDITO")</f>
        <v>CRÉDITO</v>
      </c>
      <c r="B181" s="144" t="str">
        <f>+IF((PROVEEDORES[[#This Row],[FECHA DE PAGO]]-PROVEEDORES[[#This Row],[FECHA DE FACTURACIÓN]])&gt;PROVEEDORES[[#This Row],[PLAZO Días]],"PAGO VENCIDO")</f>
        <v>PAGO VENCIDO</v>
      </c>
      <c r="C181" s="144">
        <f>+VLOOKUP(PROVEEDORES[[#This Row],[PROVEEDOR]],TERCEROS_INFO[#All],2,FALSE)</f>
        <v>0</v>
      </c>
      <c r="D181" s="145">
        <f>+SUMIFS(PROVEEDORES[Total],PROVEEDORES[PROVEEDOR],PROVEEDORES[[#This Row],[PROVEEDOR]],PROVEEDORES[FECHA DE PAGO],"")</f>
        <v>26134091.5</v>
      </c>
      <c r="E181" s="146"/>
      <c r="F181" s="144">
        <f>+VLOOKUP(PROVEEDORES[[#This Row],[PROVEEDOR]],
                       Terceros!$A:$G,
                       5,
                       FALSE)</f>
        <v>0</v>
      </c>
      <c r="G181" s="122">
        <v>45026</v>
      </c>
      <c r="H181" s="102" t="s">
        <v>238</v>
      </c>
      <c r="I181" s="122">
        <v>44999</v>
      </c>
      <c r="J181" s="103">
        <v>1627</v>
      </c>
      <c r="K181" s="103" t="s">
        <v>1512</v>
      </c>
      <c r="L181" s="103"/>
      <c r="M181" s="105">
        <v>312320</v>
      </c>
      <c r="N181" s="147">
        <v>0</v>
      </c>
      <c r="O181" s="147">
        <v>0</v>
      </c>
      <c r="P181" s="148">
        <v>0</v>
      </c>
      <c r="Q181" s="147">
        <v>0</v>
      </c>
      <c r="R181" s="149">
        <v>312320</v>
      </c>
      <c r="S1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" s="150">
        <f ca="1">+IF(PROVEEDORES[[#This Row],[FECHA DE PAGO]]=0,TODAY()-PROVEEDORES[[#This Row],[FECHA DE FACTURACIÓN]]-PROVEEDORES[[#This Row],[PLAZO Días]],0)</f>
        <v>0</v>
      </c>
      <c r="U181" s="150">
        <f>+VLOOKUP(PROVEEDORES[[#This Row],[PROVEEDOR]],Terceros!$A:$E,4,FALSE)</f>
        <v>0</v>
      </c>
      <c r="V181" s="150">
        <f>+YEAR(PROVEEDORES[[#This Row],[FECHA DE FACTURACIÓN]])</f>
        <v>2023</v>
      </c>
      <c r="W181" s="150">
        <f>+MATCH(PROVEEDORES[[#This Row],[año facturado]],Retenciones!$1:$1,0)</f>
        <v>6</v>
      </c>
      <c r="X181" s="151">
        <f>+VLOOKUP(PROVEEDORES[[#This Row],[ID RETENCION]],Retenciones!$A$1:$O$25,PROVEEDORES[[#This Row],[indicador de columna]],FALSE)</f>
        <v>0</v>
      </c>
      <c r="Y181" s="152">
        <f>+VLOOKUP(PROVEEDORES[[#This Row],[ID RETENCION]],Retenciones!$A$1:$O$25,2,FALSE)</f>
        <v>0</v>
      </c>
      <c r="Z181" s="153" t="b">
        <f>+OR(COUNTIF(PROVEEDORES[[#This Row],[PROVEEDOR]],"*"&amp;'Palabra que no opera y Listas d'!$A$2&amp;"*"))</f>
        <v>0</v>
      </c>
    </row>
    <row r="182" spans="1:26" ht="27.75" customHeight="1" x14ac:dyDescent="0.3">
      <c r="A182" s="144" t="str">
        <f>+IF(PROVEEDORES[[#This Row],[FECHA DE PAGO]]=PROVEEDORES[[#This Row],[FECHA DE FACTURACIÓN]],"DE CONTADO","CRÉDITO")</f>
        <v>CRÉDITO</v>
      </c>
      <c r="B182" s="144" t="str">
        <f>+IF((PROVEEDORES[[#This Row],[FECHA DE PAGO]]-PROVEEDORES[[#This Row],[FECHA DE FACTURACIÓN]])&gt;PROVEEDORES[[#This Row],[PLAZO Días]],"PAGO VENCIDO")</f>
        <v>PAGO VENCIDO</v>
      </c>
      <c r="C182" s="144">
        <f>+VLOOKUP(PROVEEDORES[[#This Row],[PROVEEDOR]],TERCEROS_INFO[#All],2,FALSE)</f>
        <v>0</v>
      </c>
      <c r="D182" s="145">
        <f>+SUMIFS(PROVEEDORES[Total],PROVEEDORES[PROVEEDOR],PROVEEDORES[[#This Row],[PROVEEDOR]],PROVEEDORES[FECHA DE PAGO],"")</f>
        <v>26134091.5</v>
      </c>
      <c r="E182" s="146"/>
      <c r="F182" s="144">
        <f>+VLOOKUP(PROVEEDORES[[#This Row],[PROVEEDOR]],
                       Terceros!$A:$G,
                       5,
                       FALSE)</f>
        <v>0</v>
      </c>
      <c r="G182" s="122">
        <v>45026</v>
      </c>
      <c r="H182" s="102" t="s">
        <v>238</v>
      </c>
      <c r="I182" s="122">
        <v>44999</v>
      </c>
      <c r="J182" s="103">
        <v>1628</v>
      </c>
      <c r="K182" s="103" t="s">
        <v>1512</v>
      </c>
      <c r="L182" s="103"/>
      <c r="M182" s="105">
        <v>214720</v>
      </c>
      <c r="N182" s="147">
        <v>0</v>
      </c>
      <c r="O182" s="147">
        <v>0</v>
      </c>
      <c r="P182" s="148">
        <v>0</v>
      </c>
      <c r="Q182" s="147">
        <v>0</v>
      </c>
      <c r="R182" s="149">
        <v>214720</v>
      </c>
      <c r="S1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" s="150">
        <f ca="1">+IF(PROVEEDORES[[#This Row],[FECHA DE PAGO]]=0,TODAY()-PROVEEDORES[[#This Row],[FECHA DE FACTURACIÓN]]-PROVEEDORES[[#This Row],[PLAZO Días]],0)</f>
        <v>0</v>
      </c>
      <c r="U182" s="150">
        <f>+VLOOKUP(PROVEEDORES[[#This Row],[PROVEEDOR]],Terceros!$A:$E,4,FALSE)</f>
        <v>0</v>
      </c>
      <c r="V182" s="150">
        <f>+YEAR(PROVEEDORES[[#This Row],[FECHA DE FACTURACIÓN]])</f>
        <v>2023</v>
      </c>
      <c r="W182" s="150">
        <f>+MATCH(PROVEEDORES[[#This Row],[año facturado]],Retenciones!$1:$1,0)</f>
        <v>6</v>
      </c>
      <c r="X182" s="151">
        <f>+VLOOKUP(PROVEEDORES[[#This Row],[ID RETENCION]],Retenciones!$A$1:$O$25,PROVEEDORES[[#This Row],[indicador de columna]],FALSE)</f>
        <v>0</v>
      </c>
      <c r="Y182" s="152">
        <f>+VLOOKUP(PROVEEDORES[[#This Row],[ID RETENCION]],Retenciones!$A$1:$O$25,2,FALSE)</f>
        <v>0</v>
      </c>
      <c r="Z182" s="153" t="b">
        <f>+OR(COUNTIF(PROVEEDORES[[#This Row],[PROVEEDOR]],"*"&amp;'Palabra que no opera y Listas d'!$A$2&amp;"*"))</f>
        <v>0</v>
      </c>
    </row>
    <row r="183" spans="1:26" ht="27.75" customHeight="1" x14ac:dyDescent="0.3">
      <c r="A183" s="144" t="str">
        <f>+IF(PROVEEDORES[[#This Row],[FECHA DE PAGO]]=PROVEEDORES[[#This Row],[FECHA DE FACTURACIÓN]],"DE CONTADO","CRÉDITO")</f>
        <v>CRÉDITO</v>
      </c>
      <c r="B183" s="144" t="str">
        <f>+IF((PROVEEDORES[[#This Row],[FECHA DE PAGO]]-PROVEEDORES[[#This Row],[FECHA DE FACTURACIÓN]])&gt;PROVEEDORES[[#This Row],[PLAZO Días]],"PAGO VENCIDO")</f>
        <v>PAGO VENCIDO</v>
      </c>
      <c r="C183" s="144">
        <f>+VLOOKUP(PROVEEDORES[[#This Row],[PROVEEDOR]],TERCEROS_INFO[#All],2,FALSE)</f>
        <v>0</v>
      </c>
      <c r="D183" s="145">
        <f>+SUMIFS(PROVEEDORES[Total],PROVEEDORES[PROVEEDOR],PROVEEDORES[[#This Row],[PROVEEDOR]],PROVEEDORES[FECHA DE PAGO],"")</f>
        <v>26134091.5</v>
      </c>
      <c r="E183" s="146"/>
      <c r="F183" s="144">
        <f>+VLOOKUP(PROVEEDORES[[#This Row],[PROVEEDOR]],
                       Terceros!$A:$G,
                       5,
                       FALSE)</f>
        <v>0</v>
      </c>
      <c r="G183" s="122">
        <v>45026</v>
      </c>
      <c r="H183" s="102" t="s">
        <v>238</v>
      </c>
      <c r="I183" s="122">
        <v>44999</v>
      </c>
      <c r="J183" s="103">
        <v>1635</v>
      </c>
      <c r="K183" s="103" t="s">
        <v>1512</v>
      </c>
      <c r="L183" s="103"/>
      <c r="M183" s="105">
        <v>191200</v>
      </c>
      <c r="N183" s="147">
        <v>0</v>
      </c>
      <c r="O183" s="147">
        <v>0</v>
      </c>
      <c r="P183" s="148">
        <v>0</v>
      </c>
      <c r="Q183" s="147">
        <v>0</v>
      </c>
      <c r="R183" s="149">
        <v>191200</v>
      </c>
      <c r="S1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" s="150">
        <f ca="1">+IF(PROVEEDORES[[#This Row],[FECHA DE PAGO]]=0,TODAY()-PROVEEDORES[[#This Row],[FECHA DE FACTURACIÓN]]-PROVEEDORES[[#This Row],[PLAZO Días]],0)</f>
        <v>0</v>
      </c>
      <c r="U183" s="150">
        <f>+VLOOKUP(PROVEEDORES[[#This Row],[PROVEEDOR]],Terceros!$A:$E,4,FALSE)</f>
        <v>0</v>
      </c>
      <c r="V183" s="150">
        <f>+YEAR(PROVEEDORES[[#This Row],[FECHA DE FACTURACIÓN]])</f>
        <v>2023</v>
      </c>
      <c r="W183" s="150">
        <f>+MATCH(PROVEEDORES[[#This Row],[año facturado]],Retenciones!$1:$1,0)</f>
        <v>6</v>
      </c>
      <c r="X183" s="151">
        <f>+VLOOKUP(PROVEEDORES[[#This Row],[ID RETENCION]],Retenciones!$A$1:$O$25,PROVEEDORES[[#This Row],[indicador de columna]],FALSE)</f>
        <v>0</v>
      </c>
      <c r="Y183" s="152">
        <f>+VLOOKUP(PROVEEDORES[[#This Row],[ID RETENCION]],Retenciones!$A$1:$O$25,2,FALSE)</f>
        <v>0</v>
      </c>
      <c r="Z183" s="153" t="b">
        <f>+OR(COUNTIF(PROVEEDORES[[#This Row],[PROVEEDOR]],"*"&amp;'Palabra que no opera y Listas d'!$A$2&amp;"*"))</f>
        <v>0</v>
      </c>
    </row>
    <row r="184" spans="1:26" ht="27.75" customHeight="1" x14ac:dyDescent="0.3">
      <c r="A184" s="144" t="str">
        <f>+IF(PROVEEDORES[[#This Row],[FECHA DE PAGO]]=PROVEEDORES[[#This Row],[FECHA DE FACTURACIÓN]],"DE CONTADO","CRÉDITO")</f>
        <v>CRÉDITO</v>
      </c>
      <c r="B184" s="144" t="str">
        <f>+IF((PROVEEDORES[[#This Row],[FECHA DE PAGO]]-PROVEEDORES[[#This Row],[FECHA DE FACTURACIÓN]])&gt;PROVEEDORES[[#This Row],[PLAZO Días]],"PAGO VENCIDO")</f>
        <v>PAGO VENCIDO</v>
      </c>
      <c r="C184" s="144">
        <f>+VLOOKUP(PROVEEDORES[[#This Row],[PROVEEDOR]],TERCEROS_INFO[#All],2,FALSE)</f>
        <v>0</v>
      </c>
      <c r="D184" s="145">
        <f>+SUMIFS(PROVEEDORES[Total],PROVEEDORES[PROVEEDOR],PROVEEDORES[[#This Row],[PROVEEDOR]],PROVEEDORES[FECHA DE PAGO],"")</f>
        <v>0</v>
      </c>
      <c r="E184" s="146"/>
      <c r="F184" s="144">
        <f>+VLOOKUP(PROVEEDORES[[#This Row],[PROVEEDOR]],
                       Terceros!$A:$G,
                       5,
                       FALSE)</f>
        <v>0</v>
      </c>
      <c r="G184" s="122">
        <v>45026</v>
      </c>
      <c r="H184" s="102" t="s">
        <v>240</v>
      </c>
      <c r="I184" s="122">
        <v>44999</v>
      </c>
      <c r="J184" s="103">
        <v>1629</v>
      </c>
      <c r="K184" s="103" t="s">
        <v>1512</v>
      </c>
      <c r="L184" s="103"/>
      <c r="M184" s="105">
        <v>3635600</v>
      </c>
      <c r="N184" s="147">
        <v>0</v>
      </c>
      <c r="O184" s="147">
        <v>0</v>
      </c>
      <c r="P184" s="148">
        <v>0</v>
      </c>
      <c r="Q184" s="147">
        <v>0</v>
      </c>
      <c r="R184" s="149">
        <v>3635600</v>
      </c>
      <c r="S1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" s="150">
        <f ca="1">+IF(PROVEEDORES[[#This Row],[FECHA DE PAGO]]=0,TODAY()-PROVEEDORES[[#This Row],[FECHA DE FACTURACIÓN]]-PROVEEDORES[[#This Row],[PLAZO Días]],0)</f>
        <v>0</v>
      </c>
      <c r="U184" s="150">
        <f>+VLOOKUP(PROVEEDORES[[#This Row],[PROVEEDOR]],Terceros!$A:$E,4,FALSE)</f>
        <v>0</v>
      </c>
      <c r="V184" s="150">
        <f>+YEAR(PROVEEDORES[[#This Row],[FECHA DE FACTURACIÓN]])</f>
        <v>2023</v>
      </c>
      <c r="W184" s="150">
        <f>+MATCH(PROVEEDORES[[#This Row],[año facturado]],Retenciones!$1:$1,0)</f>
        <v>6</v>
      </c>
      <c r="X184" s="151">
        <f>+VLOOKUP(PROVEEDORES[[#This Row],[ID RETENCION]],Retenciones!$A$1:$O$25,PROVEEDORES[[#This Row],[indicador de columna]],FALSE)</f>
        <v>0</v>
      </c>
      <c r="Y184" s="152">
        <f>+VLOOKUP(PROVEEDORES[[#This Row],[ID RETENCION]],Retenciones!$A$1:$O$25,2,FALSE)</f>
        <v>0</v>
      </c>
      <c r="Z184" s="153" t="b">
        <f>+OR(COUNTIF(PROVEEDORES[[#This Row],[PROVEEDOR]],"*"&amp;'Palabra que no opera y Listas d'!$A$2&amp;"*"))</f>
        <v>0</v>
      </c>
    </row>
    <row r="185" spans="1:26" ht="27.75" customHeight="1" x14ac:dyDescent="0.3">
      <c r="A185" s="144" t="str">
        <f>+IF(PROVEEDORES[[#This Row],[FECHA DE PAGO]]=PROVEEDORES[[#This Row],[FECHA DE FACTURACIÓN]],"DE CONTADO","CRÉDITO")</f>
        <v>CRÉDITO</v>
      </c>
      <c r="B185" s="144" t="str">
        <f>+IF((PROVEEDORES[[#This Row],[FECHA DE PAGO]]-PROVEEDORES[[#This Row],[FECHA DE FACTURACIÓN]])&gt;PROVEEDORES[[#This Row],[PLAZO Días]],"PAGO VENCIDO")</f>
        <v>PAGO VENCIDO</v>
      </c>
      <c r="C185" s="144">
        <f>+VLOOKUP(PROVEEDORES[[#This Row],[PROVEEDOR]],TERCEROS_INFO[#All],2,FALSE)</f>
        <v>0</v>
      </c>
      <c r="D185" s="145">
        <f>+SUMIFS(PROVEEDORES[Total],PROVEEDORES[PROVEEDOR],PROVEEDORES[[#This Row],[PROVEEDOR]],PROVEEDORES[FECHA DE PAGO],"")</f>
        <v>26134091.5</v>
      </c>
      <c r="E185" s="146"/>
      <c r="F185" s="144">
        <f>+VLOOKUP(PROVEEDORES[[#This Row],[PROVEEDOR]],
                       Terceros!$A:$G,
                       5,
                       FALSE)</f>
        <v>0</v>
      </c>
      <c r="G185" s="122">
        <v>45026</v>
      </c>
      <c r="H185" s="102" t="s">
        <v>238</v>
      </c>
      <c r="I185" s="122">
        <v>45002</v>
      </c>
      <c r="J185" s="103">
        <v>1634</v>
      </c>
      <c r="K185" s="103" t="s">
        <v>1512</v>
      </c>
      <c r="L185" s="103"/>
      <c r="M185" s="105">
        <v>191200</v>
      </c>
      <c r="N185" s="147">
        <v>0</v>
      </c>
      <c r="O185" s="147">
        <v>0</v>
      </c>
      <c r="P185" s="148">
        <v>0</v>
      </c>
      <c r="Q185" s="147">
        <v>0</v>
      </c>
      <c r="R185" s="149">
        <v>191200</v>
      </c>
      <c r="S1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" s="150">
        <f ca="1">+IF(PROVEEDORES[[#This Row],[FECHA DE PAGO]]=0,TODAY()-PROVEEDORES[[#This Row],[FECHA DE FACTURACIÓN]]-PROVEEDORES[[#This Row],[PLAZO Días]],0)</f>
        <v>0</v>
      </c>
      <c r="U185" s="150">
        <f>+VLOOKUP(PROVEEDORES[[#This Row],[PROVEEDOR]],Terceros!$A:$E,4,FALSE)</f>
        <v>0</v>
      </c>
      <c r="V185" s="150">
        <f>+YEAR(PROVEEDORES[[#This Row],[FECHA DE FACTURACIÓN]])</f>
        <v>2023</v>
      </c>
      <c r="W185" s="150">
        <f>+MATCH(PROVEEDORES[[#This Row],[año facturado]],Retenciones!$1:$1,0)</f>
        <v>6</v>
      </c>
      <c r="X185" s="151">
        <f>+VLOOKUP(PROVEEDORES[[#This Row],[ID RETENCION]],Retenciones!$A$1:$O$25,PROVEEDORES[[#This Row],[indicador de columna]],FALSE)</f>
        <v>0</v>
      </c>
      <c r="Y185" s="152">
        <f>+VLOOKUP(PROVEEDORES[[#This Row],[ID RETENCION]],Retenciones!$A$1:$O$25,2,FALSE)</f>
        <v>0</v>
      </c>
      <c r="Z185" s="153" t="b">
        <f>+OR(COUNTIF(PROVEEDORES[[#This Row],[PROVEEDOR]],"*"&amp;'Palabra que no opera y Listas d'!$A$2&amp;"*"))</f>
        <v>0</v>
      </c>
    </row>
    <row r="186" spans="1:26" ht="27.75" customHeight="1" x14ac:dyDescent="0.3">
      <c r="A186" s="144" t="str">
        <f>+IF(PROVEEDORES[[#This Row],[FECHA DE PAGO]]=PROVEEDORES[[#This Row],[FECHA DE FACTURACIÓN]],"DE CONTADO","CRÉDITO")</f>
        <v>CRÉDITO</v>
      </c>
      <c r="B186" s="144" t="str">
        <f>+IF((PROVEEDORES[[#This Row],[FECHA DE PAGO]]-PROVEEDORES[[#This Row],[FECHA DE FACTURACIÓN]])&gt;PROVEEDORES[[#This Row],[PLAZO Días]],"PAGO VENCIDO")</f>
        <v>PAGO VENCIDO</v>
      </c>
      <c r="C186" s="144">
        <f>+VLOOKUP(PROVEEDORES[[#This Row],[PROVEEDOR]],TERCEROS_INFO[#All],2,FALSE)</f>
        <v>0</v>
      </c>
      <c r="D186" s="145">
        <f>+SUMIFS(PROVEEDORES[Total],PROVEEDORES[PROVEEDOR],PROVEEDORES[[#This Row],[PROVEEDOR]],PROVEEDORES[FECHA DE PAGO],"")</f>
        <v>26134091.5</v>
      </c>
      <c r="E186" s="146"/>
      <c r="F186" s="144">
        <f>+VLOOKUP(PROVEEDORES[[#This Row],[PROVEEDOR]],
                       Terceros!$A:$G,
                       5,
                       FALSE)</f>
        <v>0</v>
      </c>
      <c r="G186" s="122">
        <v>45026</v>
      </c>
      <c r="H186" s="102" t="s">
        <v>238</v>
      </c>
      <c r="I186" s="122">
        <v>45009</v>
      </c>
      <c r="J186" s="103">
        <v>1640</v>
      </c>
      <c r="K186" s="103" t="s">
        <v>1512</v>
      </c>
      <c r="L186" s="103"/>
      <c r="M186" s="105">
        <v>206800</v>
      </c>
      <c r="N186" s="147">
        <v>0</v>
      </c>
      <c r="O186" s="147">
        <v>0</v>
      </c>
      <c r="P186" s="148">
        <v>0</v>
      </c>
      <c r="Q186" s="147">
        <v>0</v>
      </c>
      <c r="R186" s="149">
        <v>206800</v>
      </c>
      <c r="S1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" s="150">
        <f ca="1">+IF(PROVEEDORES[[#This Row],[FECHA DE PAGO]]=0,TODAY()-PROVEEDORES[[#This Row],[FECHA DE FACTURACIÓN]]-PROVEEDORES[[#This Row],[PLAZO Días]],0)</f>
        <v>0</v>
      </c>
      <c r="U186" s="150">
        <f>+VLOOKUP(PROVEEDORES[[#This Row],[PROVEEDOR]],Terceros!$A:$E,4,FALSE)</f>
        <v>0</v>
      </c>
      <c r="V186" s="150">
        <f>+YEAR(PROVEEDORES[[#This Row],[FECHA DE FACTURACIÓN]])</f>
        <v>2023</v>
      </c>
      <c r="W186" s="150">
        <f>+MATCH(PROVEEDORES[[#This Row],[año facturado]],Retenciones!$1:$1,0)</f>
        <v>6</v>
      </c>
      <c r="X186" s="151">
        <f>+VLOOKUP(PROVEEDORES[[#This Row],[ID RETENCION]],Retenciones!$A$1:$O$25,PROVEEDORES[[#This Row],[indicador de columna]],FALSE)</f>
        <v>0</v>
      </c>
      <c r="Y186" s="152">
        <f>+VLOOKUP(PROVEEDORES[[#This Row],[ID RETENCION]],Retenciones!$A$1:$O$25,2,FALSE)</f>
        <v>0</v>
      </c>
      <c r="Z186" s="153" t="b">
        <f>+OR(COUNTIF(PROVEEDORES[[#This Row],[PROVEEDOR]],"*"&amp;'Palabra que no opera y Listas d'!$A$2&amp;"*"))</f>
        <v>0</v>
      </c>
    </row>
    <row r="187" spans="1:26" ht="27.75" customHeight="1" x14ac:dyDescent="0.3">
      <c r="A187" s="144" t="str">
        <f>+IF(PROVEEDORES[[#This Row],[FECHA DE PAGO]]=PROVEEDORES[[#This Row],[FECHA DE FACTURACIÓN]],"DE CONTADO","CRÉDITO")</f>
        <v>CRÉDITO</v>
      </c>
      <c r="B187" s="144" t="str">
        <f>+IF((PROVEEDORES[[#This Row],[FECHA DE PAGO]]-PROVEEDORES[[#This Row],[FECHA DE FACTURACIÓN]])&gt;PROVEEDORES[[#This Row],[PLAZO Días]],"PAGO VENCIDO")</f>
        <v>PAGO VENCIDO</v>
      </c>
      <c r="C187" s="144">
        <f>+VLOOKUP(PROVEEDORES[[#This Row],[PROVEEDOR]],TERCEROS_INFO[#All],2,FALSE)</f>
        <v>0</v>
      </c>
      <c r="D187" s="145">
        <f>+SUMIFS(PROVEEDORES[Total],PROVEEDORES[PROVEEDOR],PROVEEDORES[[#This Row],[PROVEEDOR]],PROVEEDORES[FECHA DE PAGO],"")</f>
        <v>0</v>
      </c>
      <c r="E187" s="146"/>
      <c r="F187" s="144" t="str">
        <f>+VLOOKUP(PROVEEDORES[[#This Row],[PROVEEDOR]],
                       Terceros!$A:$G,
                       5,
                       FALSE)</f>
        <v>3,5% sin base</v>
      </c>
      <c r="G187" s="122">
        <v>45026</v>
      </c>
      <c r="H187" s="102" t="s">
        <v>398</v>
      </c>
      <c r="I187" s="122">
        <v>45017</v>
      </c>
      <c r="J187" s="103" t="s">
        <v>684</v>
      </c>
      <c r="K187" s="103" t="s">
        <v>1512</v>
      </c>
      <c r="L187" s="103"/>
      <c r="M187" s="105">
        <v>3935776</v>
      </c>
      <c r="N187" s="147">
        <v>747797.44000000006</v>
      </c>
      <c r="O187" s="147">
        <v>0</v>
      </c>
      <c r="P187" s="148">
        <v>3.5000000000000003E-2</v>
      </c>
      <c r="Q187" s="147">
        <v>137752.16</v>
      </c>
      <c r="R187" s="149">
        <v>4545821.28</v>
      </c>
      <c r="S1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" s="150">
        <f ca="1">+IF(PROVEEDORES[[#This Row],[FECHA DE PAGO]]=0,TODAY()-PROVEEDORES[[#This Row],[FECHA DE FACTURACIÓN]]-PROVEEDORES[[#This Row],[PLAZO Días]],0)</f>
        <v>0</v>
      </c>
      <c r="U187" s="150">
        <f>+VLOOKUP(PROVEEDORES[[#This Row],[PROVEEDOR]],Terceros!$A:$E,4,FALSE)</f>
        <v>0.19</v>
      </c>
      <c r="V187" s="150">
        <f>+YEAR(PROVEEDORES[[#This Row],[FECHA DE FACTURACIÓN]])</f>
        <v>2023</v>
      </c>
      <c r="W187" s="150">
        <f>+MATCH(PROVEEDORES[[#This Row],[año facturado]],Retenciones!$1:$1,0)</f>
        <v>6</v>
      </c>
      <c r="X187" s="151" t="e">
        <f>+VLOOKUP(PROVEEDORES[[#This Row],[ID RETENCION]],Retenciones!$A$1:$O$25,PROVEEDORES[[#This Row],[indicador de columna]],FALSE)</f>
        <v>#N/A</v>
      </c>
      <c r="Y187" s="152" t="e">
        <f>+VLOOKUP(PROVEEDORES[[#This Row],[ID RETENCION]],Retenciones!$A$1:$O$25,2,FALSE)</f>
        <v>#N/A</v>
      </c>
      <c r="Z187" s="153" t="b">
        <f>+OR(COUNTIF(PROVEEDORES[[#This Row],[PROVEEDOR]],"*"&amp;'Palabra que no opera y Listas d'!$A$2&amp;"*"))</f>
        <v>1</v>
      </c>
    </row>
    <row r="188" spans="1:26" ht="27.75" customHeight="1" x14ac:dyDescent="0.3">
      <c r="A188" s="144" t="str">
        <f>+IF(PROVEEDORES[[#This Row],[FECHA DE PAGO]]=PROVEEDORES[[#This Row],[FECHA DE FACTURACIÓN]],"DE CONTADO","CRÉDITO")</f>
        <v>CRÉDITO</v>
      </c>
      <c r="B188" s="144" t="str">
        <f>+IF((PROVEEDORES[[#This Row],[FECHA DE PAGO]]-PROVEEDORES[[#This Row],[FECHA DE FACTURACIÓN]])&gt;PROVEEDORES[[#This Row],[PLAZO Días]],"PAGO VENCIDO")</f>
        <v>PAGO VENCIDO</v>
      </c>
      <c r="C188" s="144">
        <f>+VLOOKUP(PROVEEDORES[[#This Row],[PROVEEDOR]],TERCEROS_INFO[#All],2,FALSE)</f>
        <v>0</v>
      </c>
      <c r="D188" s="145">
        <f>+SUMIFS(PROVEEDORES[Total],PROVEEDORES[PROVEEDOR],PROVEEDORES[[#This Row],[PROVEEDOR]],PROVEEDORES[FECHA DE PAGO],"")</f>
        <v>0</v>
      </c>
      <c r="E188" s="146"/>
      <c r="F188" s="144">
        <f>+VLOOKUP(PROVEEDORES[[#This Row],[PROVEEDOR]],
                       Terceros!$A:$G,
                       5,
                       FALSE)</f>
        <v>0</v>
      </c>
      <c r="G188" s="122">
        <v>45026</v>
      </c>
      <c r="H188" s="102" t="s">
        <v>397</v>
      </c>
      <c r="I188" s="122">
        <v>45017</v>
      </c>
      <c r="J188" s="103" t="s">
        <v>681</v>
      </c>
      <c r="K188" s="103" t="s">
        <v>1512</v>
      </c>
      <c r="L188" s="103"/>
      <c r="M188" s="105">
        <v>934499</v>
      </c>
      <c r="N188" s="147">
        <v>0</v>
      </c>
      <c r="O188" s="147">
        <v>0</v>
      </c>
      <c r="P188" s="148">
        <v>0</v>
      </c>
      <c r="Q188" s="147">
        <v>0</v>
      </c>
      <c r="R188" s="149">
        <v>934499</v>
      </c>
      <c r="S1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" s="150">
        <f ca="1">+IF(PROVEEDORES[[#This Row],[FECHA DE PAGO]]=0,TODAY()-PROVEEDORES[[#This Row],[FECHA DE FACTURACIÓN]]-PROVEEDORES[[#This Row],[PLAZO Días]],0)</f>
        <v>0</v>
      </c>
      <c r="U188" s="150">
        <f>+VLOOKUP(PROVEEDORES[[#This Row],[PROVEEDOR]],Terceros!$A:$E,4,FALSE)</f>
        <v>0</v>
      </c>
      <c r="V188" s="150">
        <f>+YEAR(PROVEEDORES[[#This Row],[FECHA DE FACTURACIÓN]])</f>
        <v>2023</v>
      </c>
      <c r="W188" s="150">
        <f>+MATCH(PROVEEDORES[[#This Row],[año facturado]],Retenciones!$1:$1,0)</f>
        <v>6</v>
      </c>
      <c r="X188" s="151">
        <f>+VLOOKUP(PROVEEDORES[[#This Row],[ID RETENCION]],Retenciones!$A$1:$O$25,PROVEEDORES[[#This Row],[indicador de columna]],FALSE)</f>
        <v>0</v>
      </c>
      <c r="Y188" s="152">
        <f>+VLOOKUP(PROVEEDORES[[#This Row],[ID RETENCION]],Retenciones!$A$1:$O$25,2,FALSE)</f>
        <v>0</v>
      </c>
      <c r="Z188" s="153" t="b">
        <f>+OR(COUNTIF(PROVEEDORES[[#This Row],[PROVEEDOR]],"*"&amp;'Palabra que no opera y Listas d'!$A$2&amp;"*"))</f>
        <v>1</v>
      </c>
    </row>
    <row r="189" spans="1:26" ht="27.75" customHeight="1" x14ac:dyDescent="0.3">
      <c r="A189" s="144" t="str">
        <f>+IF(PROVEEDORES[[#This Row],[FECHA DE PAGO]]=PROVEEDORES[[#This Row],[FECHA DE FACTURACIÓN]],"DE CONTADO","CRÉDITO")</f>
        <v>CRÉDITO</v>
      </c>
      <c r="B189" s="144" t="str">
        <f>+IF((PROVEEDORES[[#This Row],[FECHA DE PAGO]]-PROVEEDORES[[#This Row],[FECHA DE FACTURACIÓN]])&gt;PROVEEDORES[[#This Row],[PLAZO Días]],"PAGO VENCIDO")</f>
        <v>PAGO VENCIDO</v>
      </c>
      <c r="C189" s="144">
        <f>+VLOOKUP(PROVEEDORES[[#This Row],[PROVEEDOR]],TERCEROS_INFO[#All],2,FALSE)</f>
        <v>0</v>
      </c>
      <c r="D189" s="145">
        <f>+SUMIFS(PROVEEDORES[Total],PROVEEDORES[PROVEEDOR],PROVEEDORES[[#This Row],[PROVEEDOR]],PROVEEDORES[FECHA DE PAGO],"")</f>
        <v>0</v>
      </c>
      <c r="E189" s="146"/>
      <c r="F189" s="144">
        <f>+VLOOKUP(PROVEEDORES[[#This Row],[PROVEEDOR]],
                       Terceros!$A:$G,
                       5,
                       FALSE)</f>
        <v>0</v>
      </c>
      <c r="G189" s="122">
        <v>45026</v>
      </c>
      <c r="H189" s="102" t="s">
        <v>397</v>
      </c>
      <c r="I189" s="122">
        <v>45017</v>
      </c>
      <c r="J189" s="103" t="s">
        <v>682</v>
      </c>
      <c r="K189" s="103" t="s">
        <v>1512</v>
      </c>
      <c r="L189" s="103"/>
      <c r="M189" s="105">
        <v>913261</v>
      </c>
      <c r="N189" s="147">
        <v>0</v>
      </c>
      <c r="O189" s="147">
        <v>0</v>
      </c>
      <c r="P189" s="148">
        <v>0</v>
      </c>
      <c r="Q189" s="147">
        <v>0</v>
      </c>
      <c r="R189" s="149">
        <v>913261</v>
      </c>
      <c r="S1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" s="150">
        <f ca="1">+IF(PROVEEDORES[[#This Row],[FECHA DE PAGO]]=0,TODAY()-PROVEEDORES[[#This Row],[FECHA DE FACTURACIÓN]]-PROVEEDORES[[#This Row],[PLAZO Días]],0)</f>
        <v>0</v>
      </c>
      <c r="U189" s="150">
        <f>+VLOOKUP(PROVEEDORES[[#This Row],[PROVEEDOR]],Terceros!$A:$E,4,FALSE)</f>
        <v>0</v>
      </c>
      <c r="V189" s="150">
        <f>+YEAR(PROVEEDORES[[#This Row],[FECHA DE FACTURACIÓN]])</f>
        <v>2023</v>
      </c>
      <c r="W189" s="150">
        <f>+MATCH(PROVEEDORES[[#This Row],[año facturado]],Retenciones!$1:$1,0)</f>
        <v>6</v>
      </c>
      <c r="X189" s="151">
        <f>+VLOOKUP(PROVEEDORES[[#This Row],[ID RETENCION]],Retenciones!$A$1:$O$25,PROVEEDORES[[#This Row],[indicador de columna]],FALSE)</f>
        <v>0</v>
      </c>
      <c r="Y189" s="152">
        <f>+VLOOKUP(PROVEEDORES[[#This Row],[ID RETENCION]],Retenciones!$A$1:$O$25,2,FALSE)</f>
        <v>0</v>
      </c>
      <c r="Z189" s="153" t="b">
        <f>+OR(COUNTIF(PROVEEDORES[[#This Row],[PROVEEDOR]],"*"&amp;'Palabra que no opera y Listas d'!$A$2&amp;"*"))</f>
        <v>1</v>
      </c>
    </row>
    <row r="190" spans="1:26" ht="27.75" customHeight="1" x14ac:dyDescent="0.3">
      <c r="A190" s="144" t="str">
        <f>+IF(PROVEEDORES[[#This Row],[FECHA DE PAGO]]=PROVEEDORES[[#This Row],[FECHA DE FACTURACIÓN]],"DE CONTADO","CRÉDITO")</f>
        <v>CRÉDITO</v>
      </c>
      <c r="B190" s="144" t="str">
        <f>+IF((PROVEEDORES[[#This Row],[FECHA DE PAGO]]-PROVEEDORES[[#This Row],[FECHA DE FACTURACIÓN]])&gt;PROVEEDORES[[#This Row],[PLAZO Días]],"PAGO VENCIDO")</f>
        <v>PAGO VENCIDO</v>
      </c>
      <c r="C190" s="144">
        <f>+VLOOKUP(PROVEEDORES[[#This Row],[PROVEEDOR]],TERCEROS_INFO[#All],2,FALSE)</f>
        <v>0</v>
      </c>
      <c r="D190" s="145">
        <f>+SUMIFS(PROVEEDORES[Total],PROVEEDORES[PROVEEDOR],PROVEEDORES[[#This Row],[PROVEEDOR]],PROVEEDORES[FECHA DE PAGO],"")</f>
        <v>181631</v>
      </c>
      <c r="E190" s="146"/>
      <c r="F190" s="144">
        <f>+VLOOKUP(PROVEEDORES[[#This Row],[PROVEEDOR]],
                       Terceros!$A:$G,
                       5,
                       FALSE)</f>
        <v>0</v>
      </c>
      <c r="G190" s="122">
        <v>45026</v>
      </c>
      <c r="H190" s="102" t="s">
        <v>383</v>
      </c>
      <c r="I190" s="122">
        <v>45017</v>
      </c>
      <c r="J190" s="103" t="s">
        <v>689</v>
      </c>
      <c r="K190" s="103" t="s">
        <v>1512</v>
      </c>
      <c r="L190" s="103"/>
      <c r="M190" s="105">
        <v>10576</v>
      </c>
      <c r="N190" s="147">
        <v>2009.44</v>
      </c>
      <c r="O190" s="147">
        <v>0</v>
      </c>
      <c r="P190" s="148">
        <v>0</v>
      </c>
      <c r="Q190" s="147">
        <v>0</v>
      </c>
      <c r="R190" s="149">
        <v>12585.44</v>
      </c>
      <c r="S1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" s="150">
        <f ca="1">+IF(PROVEEDORES[[#This Row],[FECHA DE PAGO]]=0,TODAY()-PROVEEDORES[[#This Row],[FECHA DE FACTURACIÓN]]-PROVEEDORES[[#This Row],[PLAZO Días]],0)</f>
        <v>0</v>
      </c>
      <c r="U190" s="150">
        <f>+VLOOKUP(PROVEEDORES[[#This Row],[PROVEEDOR]],Terceros!$A:$E,4,FALSE)</f>
        <v>0.19</v>
      </c>
      <c r="V190" s="150">
        <f>+YEAR(PROVEEDORES[[#This Row],[FECHA DE FACTURACIÓN]])</f>
        <v>2023</v>
      </c>
      <c r="W190" s="150">
        <f>+MATCH(PROVEEDORES[[#This Row],[año facturado]],Retenciones!$1:$1,0)</f>
        <v>6</v>
      </c>
      <c r="X190" s="151" t="e">
        <f>+VLOOKUP(PROVEEDORES[[#This Row],[ID RETENCION]],Retenciones!$A$1:$O$25,PROVEEDORES[[#This Row],[indicador de columna]],FALSE)</f>
        <v>#N/A</v>
      </c>
      <c r="Y190" s="152" t="e">
        <f>+VLOOKUP(PROVEEDORES[[#This Row],[ID RETENCION]],Retenciones!$A$1:$O$25,2,FALSE)</f>
        <v>#N/A</v>
      </c>
      <c r="Z190" s="153" t="b">
        <f>+OR(COUNTIF(PROVEEDORES[[#This Row],[PROVEEDOR]],"*"&amp;'Palabra que no opera y Listas d'!$A$2&amp;"*"))</f>
        <v>1</v>
      </c>
    </row>
    <row r="191" spans="1:26" ht="27.75" customHeight="1" x14ac:dyDescent="0.3">
      <c r="A191" s="144" t="str">
        <f>+IF(PROVEEDORES[[#This Row],[FECHA DE PAGO]]=PROVEEDORES[[#This Row],[FECHA DE FACTURACIÓN]],"DE CONTADO","CRÉDITO")</f>
        <v>CRÉDITO</v>
      </c>
      <c r="B191" s="144" t="str">
        <f>+IF((PROVEEDORES[[#This Row],[FECHA DE PAGO]]-PROVEEDORES[[#This Row],[FECHA DE FACTURACIÓN]])&gt;PROVEEDORES[[#This Row],[PLAZO Días]],"PAGO VENCIDO")</f>
        <v>PAGO VENCIDO</v>
      </c>
      <c r="C191" s="144">
        <f>+VLOOKUP(PROVEEDORES[[#This Row],[PROVEEDOR]],TERCEROS_INFO[#All],2,FALSE)</f>
        <v>0</v>
      </c>
      <c r="D191" s="145">
        <f>+SUMIFS(PROVEEDORES[Total],PROVEEDORES[PROVEEDOR],PROVEEDORES[[#This Row],[PROVEEDOR]],PROVEEDORES[FECHA DE PAGO],"")</f>
        <v>181631</v>
      </c>
      <c r="E191" s="146"/>
      <c r="F191" s="144">
        <f>+VLOOKUP(PROVEEDORES[[#This Row],[PROVEEDOR]],
                       Terceros!$A:$G,
                       5,
                       FALSE)</f>
        <v>0</v>
      </c>
      <c r="G191" s="122">
        <v>45026</v>
      </c>
      <c r="H191" s="102" t="s">
        <v>383</v>
      </c>
      <c r="I191" s="122">
        <v>45017</v>
      </c>
      <c r="J191" s="103" t="s">
        <v>687</v>
      </c>
      <c r="K191" s="103" t="s">
        <v>1512</v>
      </c>
      <c r="L191" s="103"/>
      <c r="M191" s="105">
        <v>21962</v>
      </c>
      <c r="N191" s="147">
        <v>4172.78</v>
      </c>
      <c r="O191" s="147">
        <v>0</v>
      </c>
      <c r="P191" s="148">
        <v>0</v>
      </c>
      <c r="Q191" s="147">
        <v>0</v>
      </c>
      <c r="R191" s="149">
        <v>26134.78</v>
      </c>
      <c r="S1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" s="150">
        <f ca="1">+IF(PROVEEDORES[[#This Row],[FECHA DE PAGO]]=0,TODAY()-PROVEEDORES[[#This Row],[FECHA DE FACTURACIÓN]]-PROVEEDORES[[#This Row],[PLAZO Días]],0)</f>
        <v>0</v>
      </c>
      <c r="U191" s="150">
        <f>+VLOOKUP(PROVEEDORES[[#This Row],[PROVEEDOR]],Terceros!$A:$E,4,FALSE)</f>
        <v>0.19</v>
      </c>
      <c r="V191" s="150">
        <f>+YEAR(PROVEEDORES[[#This Row],[FECHA DE FACTURACIÓN]])</f>
        <v>2023</v>
      </c>
      <c r="W191" s="150">
        <f>+MATCH(PROVEEDORES[[#This Row],[año facturado]],Retenciones!$1:$1,0)</f>
        <v>6</v>
      </c>
      <c r="X191" s="151" t="e">
        <f>+VLOOKUP(PROVEEDORES[[#This Row],[ID RETENCION]],Retenciones!$A$1:$O$25,PROVEEDORES[[#This Row],[indicador de columna]],FALSE)</f>
        <v>#N/A</v>
      </c>
      <c r="Y191" s="152" t="e">
        <f>+VLOOKUP(PROVEEDORES[[#This Row],[ID RETENCION]],Retenciones!$A$1:$O$25,2,FALSE)</f>
        <v>#N/A</v>
      </c>
      <c r="Z191" s="153" t="b">
        <f>+OR(COUNTIF(PROVEEDORES[[#This Row],[PROVEEDOR]],"*"&amp;'Palabra que no opera y Listas d'!$A$2&amp;"*"))</f>
        <v>1</v>
      </c>
    </row>
    <row r="192" spans="1:26" ht="27.75" customHeight="1" x14ac:dyDescent="0.3">
      <c r="A192" s="144" t="str">
        <f>+IF(PROVEEDORES[[#This Row],[FECHA DE PAGO]]=PROVEEDORES[[#This Row],[FECHA DE FACTURACIÓN]],"DE CONTADO","CRÉDITO")</f>
        <v>CRÉDITO</v>
      </c>
      <c r="B192" s="144" t="str">
        <f>+IF((PROVEEDORES[[#This Row],[FECHA DE PAGO]]-PROVEEDORES[[#This Row],[FECHA DE FACTURACIÓN]])&gt;PROVEEDORES[[#This Row],[PLAZO Días]],"PAGO VENCIDO")</f>
        <v>PAGO VENCIDO</v>
      </c>
      <c r="C192" s="144">
        <f>+VLOOKUP(PROVEEDORES[[#This Row],[PROVEEDOR]],TERCEROS_INFO[#All],2,FALSE)</f>
        <v>0</v>
      </c>
      <c r="D192" s="145">
        <f>+SUMIFS(PROVEEDORES[Total],PROVEEDORES[PROVEEDOR],PROVEEDORES[[#This Row],[PROVEEDOR]],PROVEEDORES[FECHA DE PAGO],"")</f>
        <v>181631</v>
      </c>
      <c r="E192" s="146"/>
      <c r="F192" s="144">
        <f>+VLOOKUP(PROVEEDORES[[#This Row],[PROVEEDOR]],
                       Terceros!$A:$G,
                       5,
                       FALSE)</f>
        <v>0</v>
      </c>
      <c r="G192" s="122">
        <v>45026</v>
      </c>
      <c r="H192" s="102" t="s">
        <v>383</v>
      </c>
      <c r="I192" s="122">
        <v>45017</v>
      </c>
      <c r="J192" s="103" t="s">
        <v>688</v>
      </c>
      <c r="K192" s="103" t="s">
        <v>1512</v>
      </c>
      <c r="L192" s="103"/>
      <c r="M192" s="105">
        <v>41729</v>
      </c>
      <c r="N192" s="147">
        <v>7928.51</v>
      </c>
      <c r="O192" s="147">
        <v>0</v>
      </c>
      <c r="P192" s="148">
        <v>0</v>
      </c>
      <c r="Q192" s="147">
        <v>0</v>
      </c>
      <c r="R192" s="149">
        <v>49657.51</v>
      </c>
      <c r="S1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" s="150">
        <f ca="1">+IF(PROVEEDORES[[#This Row],[FECHA DE PAGO]]=0,TODAY()-PROVEEDORES[[#This Row],[FECHA DE FACTURACIÓN]]-PROVEEDORES[[#This Row],[PLAZO Días]],0)</f>
        <v>0</v>
      </c>
      <c r="U192" s="150">
        <f>+VLOOKUP(PROVEEDORES[[#This Row],[PROVEEDOR]],Terceros!$A:$E,4,FALSE)</f>
        <v>0.19</v>
      </c>
      <c r="V192" s="150">
        <f>+YEAR(PROVEEDORES[[#This Row],[FECHA DE FACTURACIÓN]])</f>
        <v>2023</v>
      </c>
      <c r="W192" s="150">
        <f>+MATCH(PROVEEDORES[[#This Row],[año facturado]],Retenciones!$1:$1,0)</f>
        <v>6</v>
      </c>
      <c r="X192" s="151" t="e">
        <f>+VLOOKUP(PROVEEDORES[[#This Row],[ID RETENCION]],Retenciones!$A$1:$O$25,PROVEEDORES[[#This Row],[indicador de columna]],FALSE)</f>
        <v>#N/A</v>
      </c>
      <c r="Y192" s="152" t="e">
        <f>+VLOOKUP(PROVEEDORES[[#This Row],[ID RETENCION]],Retenciones!$A$1:$O$25,2,FALSE)</f>
        <v>#N/A</v>
      </c>
      <c r="Z192" s="153" t="b">
        <f>+OR(COUNTIF(PROVEEDORES[[#This Row],[PROVEEDOR]],"*"&amp;'Palabra que no opera y Listas d'!$A$2&amp;"*"))</f>
        <v>1</v>
      </c>
    </row>
    <row r="193" spans="1:26" ht="27.75" customHeight="1" x14ac:dyDescent="0.3">
      <c r="A193" s="144" t="str">
        <f>+IF(PROVEEDORES[[#This Row],[FECHA DE PAGO]]=PROVEEDORES[[#This Row],[FECHA DE FACTURACIÓN]],"DE CONTADO","CRÉDITO")</f>
        <v>CRÉDITO</v>
      </c>
      <c r="B193" s="144" t="str">
        <f>+IF((PROVEEDORES[[#This Row],[FECHA DE PAGO]]-PROVEEDORES[[#This Row],[FECHA DE FACTURACIÓN]])&gt;PROVEEDORES[[#This Row],[PLAZO Días]],"PAGO VENCIDO")</f>
        <v>PAGO VENCIDO</v>
      </c>
      <c r="C193" s="144">
        <f>+VLOOKUP(PROVEEDORES[[#This Row],[PROVEEDOR]],TERCEROS_INFO[#All],2,FALSE)</f>
        <v>0</v>
      </c>
      <c r="D193" s="145">
        <f>+SUMIFS(PROVEEDORES[Total],PROVEEDORES[PROVEEDOR],PROVEEDORES[[#This Row],[PROVEEDOR]],PROVEEDORES[FECHA DE PAGO],"")</f>
        <v>181631</v>
      </c>
      <c r="E193" s="146"/>
      <c r="F193" s="144">
        <f>+VLOOKUP(PROVEEDORES[[#This Row],[PROVEEDOR]],
                       Terceros!$A:$G,
                       5,
                       FALSE)</f>
        <v>0</v>
      </c>
      <c r="G193" s="122">
        <v>45026</v>
      </c>
      <c r="H193" s="102" t="s">
        <v>383</v>
      </c>
      <c r="I193" s="122">
        <v>45017</v>
      </c>
      <c r="J193" s="103" t="s">
        <v>686</v>
      </c>
      <c r="K193" s="103" t="s">
        <v>1512</v>
      </c>
      <c r="L193" s="103"/>
      <c r="M193" s="105">
        <v>908172</v>
      </c>
      <c r="N193" s="147">
        <v>172552.68</v>
      </c>
      <c r="O193" s="147">
        <v>0</v>
      </c>
      <c r="P193" s="148">
        <v>0</v>
      </c>
      <c r="Q193" s="147">
        <v>0</v>
      </c>
      <c r="R193" s="149">
        <v>1080724.68</v>
      </c>
      <c r="S1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" s="150">
        <f ca="1">+IF(PROVEEDORES[[#This Row],[FECHA DE PAGO]]=0,TODAY()-PROVEEDORES[[#This Row],[FECHA DE FACTURACIÓN]]-PROVEEDORES[[#This Row],[PLAZO Días]],0)</f>
        <v>0</v>
      </c>
      <c r="U193" s="150">
        <f>+VLOOKUP(PROVEEDORES[[#This Row],[PROVEEDOR]],Terceros!$A:$E,4,FALSE)</f>
        <v>0.19</v>
      </c>
      <c r="V193" s="150">
        <f>+YEAR(PROVEEDORES[[#This Row],[FECHA DE FACTURACIÓN]])</f>
        <v>2023</v>
      </c>
      <c r="W193" s="150">
        <f>+MATCH(PROVEEDORES[[#This Row],[año facturado]],Retenciones!$1:$1,0)</f>
        <v>6</v>
      </c>
      <c r="X193" s="151" t="e">
        <f>+VLOOKUP(PROVEEDORES[[#This Row],[ID RETENCION]],Retenciones!$A$1:$O$25,PROVEEDORES[[#This Row],[indicador de columna]],FALSE)</f>
        <v>#N/A</v>
      </c>
      <c r="Y193" s="152" t="e">
        <f>+VLOOKUP(PROVEEDORES[[#This Row],[ID RETENCION]],Retenciones!$A$1:$O$25,2,FALSE)</f>
        <v>#N/A</v>
      </c>
      <c r="Z193" s="153" t="b">
        <f>+OR(COUNTIF(PROVEEDORES[[#This Row],[PROVEEDOR]],"*"&amp;'Palabra que no opera y Listas d'!$A$2&amp;"*"))</f>
        <v>1</v>
      </c>
    </row>
    <row r="194" spans="1:26" ht="27.75" customHeight="1" x14ac:dyDescent="0.3">
      <c r="A194" s="144" t="str">
        <f>+IF(PROVEEDORES[[#This Row],[FECHA DE PAGO]]=PROVEEDORES[[#This Row],[FECHA DE FACTURACIÓN]],"DE CONTADO","CRÉDITO")</f>
        <v>CRÉDITO</v>
      </c>
      <c r="B194" s="144" t="str">
        <f>+IF((PROVEEDORES[[#This Row],[FECHA DE PAGO]]-PROVEEDORES[[#This Row],[FECHA DE FACTURACIÓN]])&gt;PROVEEDORES[[#This Row],[PLAZO Días]],"PAGO VENCIDO")</f>
        <v>PAGO VENCIDO</v>
      </c>
      <c r="C194" s="144">
        <f>+VLOOKUP(PROVEEDORES[[#This Row],[PROVEEDOR]],TERCEROS_INFO[#All],2,FALSE)</f>
        <v>0</v>
      </c>
      <c r="D194" s="145">
        <f>+SUMIFS(PROVEEDORES[Total],PROVEEDORES[PROVEEDOR],PROVEEDORES[[#This Row],[PROVEEDOR]],PROVEEDORES[FECHA DE PAGO],"")</f>
        <v>181631</v>
      </c>
      <c r="E194" s="146"/>
      <c r="F194" s="144">
        <f>+VLOOKUP(PROVEEDORES[[#This Row],[PROVEEDOR]],
                       Terceros!$A:$G,
                       5,
                       FALSE)</f>
        <v>0</v>
      </c>
      <c r="G194" s="122">
        <v>45026</v>
      </c>
      <c r="H194" s="102" t="s">
        <v>383</v>
      </c>
      <c r="I194" s="122">
        <v>45017</v>
      </c>
      <c r="J194" s="103" t="s">
        <v>685</v>
      </c>
      <c r="K194" s="103" t="s">
        <v>1512</v>
      </c>
      <c r="L194" s="103"/>
      <c r="M194" s="105">
        <v>3792544</v>
      </c>
      <c r="N194" s="147">
        <v>720583.36</v>
      </c>
      <c r="O194" s="147">
        <v>0</v>
      </c>
      <c r="P194" s="148">
        <v>0</v>
      </c>
      <c r="Q194" s="147">
        <v>0</v>
      </c>
      <c r="R194" s="149">
        <v>4513127.3600000003</v>
      </c>
      <c r="S1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" s="150">
        <f ca="1">+IF(PROVEEDORES[[#This Row],[FECHA DE PAGO]]=0,TODAY()-PROVEEDORES[[#This Row],[FECHA DE FACTURACIÓN]]-PROVEEDORES[[#This Row],[PLAZO Días]],0)</f>
        <v>0</v>
      </c>
      <c r="U194" s="150">
        <f>+VLOOKUP(PROVEEDORES[[#This Row],[PROVEEDOR]],Terceros!$A:$E,4,FALSE)</f>
        <v>0.19</v>
      </c>
      <c r="V194" s="150">
        <f>+YEAR(PROVEEDORES[[#This Row],[FECHA DE FACTURACIÓN]])</f>
        <v>2023</v>
      </c>
      <c r="W194" s="150">
        <f>+MATCH(PROVEEDORES[[#This Row],[año facturado]],Retenciones!$1:$1,0)</f>
        <v>6</v>
      </c>
      <c r="X194" s="151" t="e">
        <f>+VLOOKUP(PROVEEDORES[[#This Row],[ID RETENCION]],Retenciones!$A$1:$O$25,PROVEEDORES[[#This Row],[indicador de columna]],FALSE)</f>
        <v>#N/A</v>
      </c>
      <c r="Y194" s="152" t="e">
        <f>+VLOOKUP(PROVEEDORES[[#This Row],[ID RETENCION]],Retenciones!$A$1:$O$25,2,FALSE)</f>
        <v>#N/A</v>
      </c>
      <c r="Z194" s="153" t="b">
        <f>+OR(COUNTIF(PROVEEDORES[[#This Row],[PROVEEDOR]],"*"&amp;'Palabra que no opera y Listas d'!$A$2&amp;"*"))</f>
        <v>1</v>
      </c>
    </row>
    <row r="195" spans="1:26" ht="27.75" customHeight="1" x14ac:dyDescent="0.3">
      <c r="A195" s="144" t="str">
        <f>+IF(PROVEEDORES[[#This Row],[FECHA DE PAGO]]=PROVEEDORES[[#This Row],[FECHA DE FACTURACIÓN]],"DE CONTADO","CRÉDITO")</f>
        <v>CRÉDITO</v>
      </c>
      <c r="B195" s="144" t="str">
        <f>+IF((PROVEEDORES[[#This Row],[FECHA DE PAGO]]-PROVEEDORES[[#This Row],[FECHA DE FACTURACIÓN]])&gt;PROVEEDORES[[#This Row],[PLAZO Días]],"PAGO VENCIDO")</f>
        <v>PAGO VENCIDO</v>
      </c>
      <c r="C195" s="144">
        <f>+VLOOKUP(PROVEEDORES[[#This Row],[PROVEEDOR]],TERCEROS_INFO[#All],2,FALSE)</f>
        <v>0</v>
      </c>
      <c r="D195" s="145">
        <f>+SUMIFS(PROVEEDORES[Total],PROVEEDORES[PROVEEDOR],PROVEEDORES[[#This Row],[PROVEEDOR]],PROVEEDORES[FECHA DE PAGO],"")</f>
        <v>0</v>
      </c>
      <c r="E195" s="146"/>
      <c r="F195" s="144">
        <f>+VLOOKUP(PROVEEDORES[[#This Row],[PROVEEDOR]],
                       Terceros!$A:$G,
                       5,
                       FALSE)</f>
        <v>0</v>
      </c>
      <c r="G195" s="122">
        <v>45026</v>
      </c>
      <c r="H195" s="102" t="s">
        <v>497</v>
      </c>
      <c r="I195" s="122">
        <v>45017</v>
      </c>
      <c r="J195" s="103" t="s">
        <v>683</v>
      </c>
      <c r="K195" s="103" t="s">
        <v>1512</v>
      </c>
      <c r="L195" s="103"/>
      <c r="M195" s="105">
        <v>4730000</v>
      </c>
      <c r="N195" s="147">
        <v>898700</v>
      </c>
      <c r="O195" s="147">
        <v>0</v>
      </c>
      <c r="P195" s="148">
        <v>0</v>
      </c>
      <c r="Q195" s="147">
        <v>0</v>
      </c>
      <c r="R195" s="149">
        <v>5628700</v>
      </c>
      <c r="S1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" s="150">
        <f ca="1">+IF(PROVEEDORES[[#This Row],[FECHA DE PAGO]]=0,TODAY()-PROVEEDORES[[#This Row],[FECHA DE FACTURACIÓN]]-PROVEEDORES[[#This Row],[PLAZO Días]],0)</f>
        <v>0</v>
      </c>
      <c r="U195" s="150">
        <f>+VLOOKUP(PROVEEDORES[[#This Row],[PROVEEDOR]],Terceros!$A:$E,4,FALSE)</f>
        <v>0.19</v>
      </c>
      <c r="V195" s="150">
        <f>+YEAR(PROVEEDORES[[#This Row],[FECHA DE FACTURACIÓN]])</f>
        <v>2023</v>
      </c>
      <c r="W195" s="150">
        <f>+MATCH(PROVEEDORES[[#This Row],[año facturado]],Retenciones!$1:$1,0)</f>
        <v>6</v>
      </c>
      <c r="X195" s="151" t="e">
        <f>+VLOOKUP(PROVEEDORES[[#This Row],[ID RETENCION]],Retenciones!$A$1:$O$25,PROVEEDORES[[#This Row],[indicador de columna]],FALSE)</f>
        <v>#N/A</v>
      </c>
      <c r="Y195" s="152" t="e">
        <f>+VLOOKUP(PROVEEDORES[[#This Row],[ID RETENCION]],Retenciones!$A$1:$O$25,2,FALSE)</f>
        <v>#N/A</v>
      </c>
      <c r="Z195" s="153" t="b">
        <f>+OR(COUNTIF(PROVEEDORES[[#This Row],[PROVEEDOR]],"*"&amp;'Palabra que no opera y Listas d'!$A$2&amp;"*"))</f>
        <v>1</v>
      </c>
    </row>
    <row r="196" spans="1:26" ht="27.75" customHeight="1" x14ac:dyDescent="0.3">
      <c r="A196" s="144" t="str">
        <f>+IF(PROVEEDORES[[#This Row],[FECHA DE PAGO]]=PROVEEDORES[[#This Row],[FECHA DE FACTURACIÓN]],"DE CONTADO","CRÉDITO")</f>
        <v>CRÉDITO</v>
      </c>
      <c r="B196" s="144" t="str">
        <f>+IF((PROVEEDORES[[#This Row],[FECHA DE PAGO]]-PROVEEDORES[[#This Row],[FECHA DE FACTURACIÓN]])&gt;PROVEEDORES[[#This Row],[PLAZO Días]],"PAGO VENCIDO")</f>
        <v>PAGO VENCIDO</v>
      </c>
      <c r="C196" s="144">
        <f>+VLOOKUP(PROVEEDORES[[#This Row],[PROVEEDOR]],TERCEROS_INFO[#All],2,FALSE)</f>
        <v>0</v>
      </c>
      <c r="D196" s="145">
        <f>+SUMIFS(PROVEEDORES[Total],PROVEEDORES[PROVEEDOR],PROVEEDORES[[#This Row],[PROVEEDOR]],PROVEEDORES[FECHA DE PAGO],"")</f>
        <v>0</v>
      </c>
      <c r="E196" s="146"/>
      <c r="F196" s="144">
        <f>+VLOOKUP(PROVEEDORES[[#This Row],[PROVEEDOR]],
                       Terceros!$A:$G,
                       5,
                       FALSE)</f>
        <v>0</v>
      </c>
      <c r="G196" s="122">
        <v>45027</v>
      </c>
      <c r="H196" s="102" t="s">
        <v>1779</v>
      </c>
      <c r="I196" s="122">
        <v>44928</v>
      </c>
      <c r="J196" s="103">
        <v>2739</v>
      </c>
      <c r="K196" s="103" t="s">
        <v>1512</v>
      </c>
      <c r="L196" s="103"/>
      <c r="M196" s="105">
        <v>2244350</v>
      </c>
      <c r="N196" s="147">
        <v>0</v>
      </c>
      <c r="O196" s="147">
        <v>0</v>
      </c>
      <c r="P196" s="148">
        <v>0</v>
      </c>
      <c r="Q196" s="147">
        <v>0</v>
      </c>
      <c r="R196" s="149">
        <v>2244350</v>
      </c>
      <c r="S1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" s="150">
        <f ca="1">+IF(PROVEEDORES[[#This Row],[FECHA DE PAGO]]=0,TODAY()-PROVEEDORES[[#This Row],[FECHA DE FACTURACIÓN]]-PROVEEDORES[[#This Row],[PLAZO Días]],0)</f>
        <v>0</v>
      </c>
      <c r="U196" s="150">
        <f>+VLOOKUP(PROVEEDORES[[#This Row],[PROVEEDOR]],Terceros!$A:$E,4,FALSE)</f>
        <v>0</v>
      </c>
      <c r="V196" s="150">
        <f>+YEAR(PROVEEDORES[[#This Row],[FECHA DE FACTURACIÓN]])</f>
        <v>2023</v>
      </c>
      <c r="W196" s="150">
        <f>+MATCH(PROVEEDORES[[#This Row],[año facturado]],Retenciones!$1:$1,0)</f>
        <v>6</v>
      </c>
      <c r="X196" s="151">
        <f>+VLOOKUP(PROVEEDORES[[#This Row],[ID RETENCION]],Retenciones!$A$1:$O$25,PROVEEDORES[[#This Row],[indicador de columna]],FALSE)</f>
        <v>0</v>
      </c>
      <c r="Y196" s="152">
        <f>+VLOOKUP(PROVEEDORES[[#This Row],[ID RETENCION]],Retenciones!$A$1:$O$25,2,FALSE)</f>
        <v>0</v>
      </c>
      <c r="Z196" s="153" t="b">
        <f>+OR(COUNTIF(PROVEEDORES[[#This Row],[PROVEEDOR]],"*"&amp;'Palabra que no opera y Listas d'!$A$2&amp;"*"))</f>
        <v>0</v>
      </c>
    </row>
    <row r="197" spans="1:26" ht="27.75" customHeight="1" x14ac:dyDescent="0.3">
      <c r="A197" s="144" t="str">
        <f>+IF(PROVEEDORES[[#This Row],[FECHA DE PAGO]]=PROVEEDORES[[#This Row],[FECHA DE FACTURACIÓN]],"DE CONTADO","CRÉDITO")</f>
        <v>CRÉDITO</v>
      </c>
      <c r="B197" s="144" t="str">
        <f>+IF((PROVEEDORES[[#This Row],[FECHA DE PAGO]]-PROVEEDORES[[#This Row],[FECHA DE FACTURACIÓN]])&gt;PROVEEDORES[[#This Row],[PLAZO Días]],"PAGO VENCIDO")</f>
        <v>PAGO VENCIDO</v>
      </c>
      <c r="C197" s="144">
        <f>+VLOOKUP(PROVEEDORES[[#This Row],[PROVEEDOR]],TERCEROS_INFO[#All],2,FALSE)</f>
        <v>0</v>
      </c>
      <c r="D197" s="145">
        <f>+SUMIFS(PROVEEDORES[Total],PROVEEDORES[PROVEEDOR],PROVEEDORES[[#This Row],[PROVEEDOR]],PROVEEDORES[FECHA DE PAGO],"")</f>
        <v>3130000</v>
      </c>
      <c r="E197" s="146"/>
      <c r="F197" s="144">
        <f>+VLOOKUP(PROVEEDORES[[#This Row],[PROVEEDOR]],
                       Terceros!$A:$G,
                       5,
                       FALSE)</f>
        <v>0</v>
      </c>
      <c r="G197" s="122">
        <v>45027</v>
      </c>
      <c r="H197" s="102" t="s">
        <v>487</v>
      </c>
      <c r="I197" s="122">
        <v>44992</v>
      </c>
      <c r="J197" s="103">
        <v>9740</v>
      </c>
      <c r="K197" s="103" t="s">
        <v>1512</v>
      </c>
      <c r="L197" s="103"/>
      <c r="M197" s="105">
        <v>1237000</v>
      </c>
      <c r="N197" s="147">
        <v>0</v>
      </c>
      <c r="O197" s="147">
        <v>0</v>
      </c>
      <c r="P197" s="148">
        <v>0</v>
      </c>
      <c r="Q197" s="147">
        <v>0</v>
      </c>
      <c r="R197" s="149">
        <v>1237000</v>
      </c>
      <c r="S1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" s="150">
        <f ca="1">+IF(PROVEEDORES[[#This Row],[FECHA DE PAGO]]=0,TODAY()-PROVEEDORES[[#This Row],[FECHA DE FACTURACIÓN]]-PROVEEDORES[[#This Row],[PLAZO Días]],0)</f>
        <v>0</v>
      </c>
      <c r="U197" s="150">
        <f>+VLOOKUP(PROVEEDORES[[#This Row],[PROVEEDOR]],Terceros!$A:$E,4,FALSE)</f>
        <v>0</v>
      </c>
      <c r="V197" s="150">
        <f>+YEAR(PROVEEDORES[[#This Row],[FECHA DE FACTURACIÓN]])</f>
        <v>2023</v>
      </c>
      <c r="W197" s="150">
        <f>+MATCH(PROVEEDORES[[#This Row],[año facturado]],Retenciones!$1:$1,0)</f>
        <v>6</v>
      </c>
      <c r="X197" s="151">
        <f>+VLOOKUP(PROVEEDORES[[#This Row],[ID RETENCION]],Retenciones!$A$1:$O$25,PROVEEDORES[[#This Row],[indicador de columna]],FALSE)</f>
        <v>0</v>
      </c>
      <c r="Y197" s="152">
        <f>+VLOOKUP(PROVEEDORES[[#This Row],[ID RETENCION]],Retenciones!$A$1:$O$25,2,FALSE)</f>
        <v>0</v>
      </c>
      <c r="Z197" s="153" t="b">
        <f>+OR(COUNTIF(PROVEEDORES[[#This Row],[PROVEEDOR]],"*"&amp;'Palabra que no opera y Listas d'!$A$2&amp;"*"))</f>
        <v>0</v>
      </c>
    </row>
    <row r="198" spans="1:26" ht="27.75" customHeight="1" x14ac:dyDescent="0.3">
      <c r="A198" s="144" t="str">
        <f>+IF(PROVEEDORES[[#This Row],[FECHA DE PAGO]]=PROVEEDORES[[#This Row],[FECHA DE FACTURACIÓN]],"DE CONTADO","CRÉDITO")</f>
        <v>CRÉDITO</v>
      </c>
      <c r="B198" s="144" t="str">
        <f>+IF((PROVEEDORES[[#This Row],[FECHA DE PAGO]]-PROVEEDORES[[#This Row],[FECHA DE FACTURACIÓN]])&gt;PROVEEDORES[[#This Row],[PLAZO Días]],"PAGO VENCIDO")</f>
        <v>PAGO VENCIDO</v>
      </c>
      <c r="C198" s="144">
        <f>+VLOOKUP(PROVEEDORES[[#This Row],[PROVEEDOR]],TERCEROS_INFO[#All],2,FALSE)</f>
        <v>0</v>
      </c>
      <c r="D198" s="145">
        <f>+SUMIFS(PROVEEDORES[Total],PROVEEDORES[PROVEEDOR],PROVEEDORES[[#This Row],[PROVEEDOR]],PROVEEDORES[FECHA DE PAGO],"")</f>
        <v>0</v>
      </c>
      <c r="E198" s="146"/>
      <c r="F198" s="144">
        <f>+VLOOKUP(PROVEEDORES[[#This Row],[PROVEEDOR]],
                       Terceros!$A:$G,
                       5,
                       FALSE)</f>
        <v>0</v>
      </c>
      <c r="G198" s="122">
        <v>45027</v>
      </c>
      <c r="H198" s="102" t="s">
        <v>507</v>
      </c>
      <c r="I198" s="122">
        <v>45002</v>
      </c>
      <c r="J198" s="103">
        <v>420</v>
      </c>
      <c r="K198" s="103" t="s">
        <v>1512</v>
      </c>
      <c r="L198" s="103"/>
      <c r="M198" s="105">
        <v>468000</v>
      </c>
      <c r="N198" s="147">
        <v>0</v>
      </c>
      <c r="O198" s="147">
        <v>0</v>
      </c>
      <c r="P198" s="148">
        <v>0</v>
      </c>
      <c r="Q198" s="147">
        <v>0</v>
      </c>
      <c r="R198" s="149">
        <v>468000</v>
      </c>
      <c r="S1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" s="150">
        <f ca="1">+IF(PROVEEDORES[[#This Row],[FECHA DE PAGO]]=0,TODAY()-PROVEEDORES[[#This Row],[FECHA DE FACTURACIÓN]]-PROVEEDORES[[#This Row],[PLAZO Días]],0)</f>
        <v>0</v>
      </c>
      <c r="U198" s="150">
        <f>+VLOOKUP(PROVEEDORES[[#This Row],[PROVEEDOR]],Terceros!$A:$E,4,FALSE)</f>
        <v>0</v>
      </c>
      <c r="V198" s="150">
        <f>+YEAR(PROVEEDORES[[#This Row],[FECHA DE FACTURACIÓN]])</f>
        <v>2023</v>
      </c>
      <c r="W198" s="150">
        <f>+MATCH(PROVEEDORES[[#This Row],[año facturado]],Retenciones!$1:$1,0)</f>
        <v>6</v>
      </c>
      <c r="X198" s="151">
        <f>+VLOOKUP(PROVEEDORES[[#This Row],[ID RETENCION]],Retenciones!$A$1:$O$25,PROVEEDORES[[#This Row],[indicador de columna]],FALSE)</f>
        <v>0</v>
      </c>
      <c r="Y198" s="152">
        <f>+VLOOKUP(PROVEEDORES[[#This Row],[ID RETENCION]],Retenciones!$A$1:$O$25,2,FALSE)</f>
        <v>0</v>
      </c>
      <c r="Z198" s="153" t="b">
        <f>+OR(COUNTIF(PROVEEDORES[[#This Row],[PROVEEDOR]],"*"&amp;'Palabra que no opera y Listas d'!$A$2&amp;"*"))</f>
        <v>0</v>
      </c>
    </row>
    <row r="199" spans="1:26" ht="27.75" customHeight="1" x14ac:dyDescent="0.3">
      <c r="A199" s="144" t="str">
        <f>+IF(PROVEEDORES[[#This Row],[FECHA DE PAGO]]=PROVEEDORES[[#This Row],[FECHA DE FACTURACIÓN]],"DE CONTADO","CRÉDITO")</f>
        <v>CRÉDITO</v>
      </c>
      <c r="B199" s="144" t="str">
        <f>+IF((PROVEEDORES[[#This Row],[FECHA DE PAGO]]-PROVEEDORES[[#This Row],[FECHA DE FACTURACIÓN]])&gt;PROVEEDORES[[#This Row],[PLAZO Días]],"PAGO VENCIDO")</f>
        <v>PAGO VENCIDO</v>
      </c>
      <c r="C199" s="144">
        <f>+VLOOKUP(PROVEEDORES[[#This Row],[PROVEEDOR]],TERCEROS_INFO[#All],2,FALSE)</f>
        <v>0</v>
      </c>
      <c r="D199" s="145">
        <f>+SUMIFS(PROVEEDORES[Total],PROVEEDORES[PROVEEDOR],PROVEEDORES[[#This Row],[PROVEEDOR]],PROVEEDORES[FECHA DE PAGO],"")</f>
        <v>0</v>
      </c>
      <c r="E199" s="146"/>
      <c r="F199" s="144">
        <f>+VLOOKUP(PROVEEDORES[[#This Row],[PROVEEDOR]],
                       Terceros!$A:$G,
                       5,
                       FALSE)</f>
        <v>0</v>
      </c>
      <c r="G199" s="122">
        <v>45027</v>
      </c>
      <c r="H199" s="102" t="s">
        <v>507</v>
      </c>
      <c r="I199" s="122">
        <v>45014</v>
      </c>
      <c r="J199" s="103">
        <v>423</v>
      </c>
      <c r="K199" s="103" t="s">
        <v>1512</v>
      </c>
      <c r="L199" s="103"/>
      <c r="M199" s="105">
        <v>468000</v>
      </c>
      <c r="N199" s="147">
        <v>0</v>
      </c>
      <c r="O199" s="147">
        <v>0</v>
      </c>
      <c r="P199" s="148">
        <v>0</v>
      </c>
      <c r="Q199" s="147">
        <v>0</v>
      </c>
      <c r="R199" s="149">
        <v>468000</v>
      </c>
      <c r="S1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" s="150">
        <f ca="1">+IF(PROVEEDORES[[#This Row],[FECHA DE PAGO]]=0,TODAY()-PROVEEDORES[[#This Row],[FECHA DE FACTURACIÓN]]-PROVEEDORES[[#This Row],[PLAZO Días]],0)</f>
        <v>0</v>
      </c>
      <c r="U199" s="150">
        <f>+VLOOKUP(PROVEEDORES[[#This Row],[PROVEEDOR]],Terceros!$A:$E,4,FALSE)</f>
        <v>0</v>
      </c>
      <c r="V199" s="150">
        <f>+YEAR(PROVEEDORES[[#This Row],[FECHA DE FACTURACIÓN]])</f>
        <v>2023</v>
      </c>
      <c r="W199" s="150">
        <f>+MATCH(PROVEEDORES[[#This Row],[año facturado]],Retenciones!$1:$1,0)</f>
        <v>6</v>
      </c>
      <c r="X199" s="151">
        <f>+VLOOKUP(PROVEEDORES[[#This Row],[ID RETENCION]],Retenciones!$A$1:$O$25,PROVEEDORES[[#This Row],[indicador de columna]],FALSE)</f>
        <v>0</v>
      </c>
      <c r="Y199" s="152">
        <f>+VLOOKUP(PROVEEDORES[[#This Row],[ID RETENCION]],Retenciones!$A$1:$O$25,2,FALSE)</f>
        <v>0</v>
      </c>
      <c r="Z199" s="153" t="b">
        <f>+OR(COUNTIF(PROVEEDORES[[#This Row],[PROVEEDOR]],"*"&amp;'Palabra que no opera y Listas d'!$A$2&amp;"*"))</f>
        <v>0</v>
      </c>
    </row>
    <row r="200" spans="1:26" ht="27.75" customHeight="1" x14ac:dyDescent="0.3">
      <c r="A200" s="144" t="str">
        <f>+IF(PROVEEDORES[[#This Row],[FECHA DE PAGO]]=PROVEEDORES[[#This Row],[FECHA DE FACTURACIÓN]],"DE CONTADO","CRÉDITO")</f>
        <v>CRÉDITO</v>
      </c>
      <c r="B200" s="144" t="str">
        <f>+IF((PROVEEDORES[[#This Row],[FECHA DE PAGO]]-PROVEEDORES[[#This Row],[FECHA DE FACTURACIÓN]])&gt;PROVEEDORES[[#This Row],[PLAZO Días]],"PAGO VENCIDO")</f>
        <v>PAGO VENCIDO</v>
      </c>
      <c r="C200" s="144">
        <f>+VLOOKUP(PROVEEDORES[[#This Row],[PROVEEDOR]],TERCEROS_INFO[#All],2,FALSE)</f>
        <v>0</v>
      </c>
      <c r="D200" s="145">
        <f>+SUMIFS(PROVEEDORES[Total],PROVEEDORES[PROVEEDOR],PROVEEDORES[[#This Row],[PROVEEDOR]],PROVEEDORES[FECHA DE PAGO],"")</f>
        <v>0</v>
      </c>
      <c r="E200" s="146"/>
      <c r="F200" s="144" t="str">
        <f>+VLOOKUP(PROVEEDORES[[#This Row],[PROVEEDOR]],
                       Terceros!$A:$G,
                       5,
                       FALSE)</f>
        <v>3,5% sin base</v>
      </c>
      <c r="G200" s="122">
        <v>45027</v>
      </c>
      <c r="H200" s="102" t="s">
        <v>409</v>
      </c>
      <c r="I200" s="122">
        <v>45017</v>
      </c>
      <c r="J200" s="103" t="s">
        <v>701</v>
      </c>
      <c r="K200" s="103" t="s">
        <v>1512</v>
      </c>
      <c r="L200" s="103"/>
      <c r="M200" s="105">
        <v>243611</v>
      </c>
      <c r="N200" s="147">
        <v>46286.090000000004</v>
      </c>
      <c r="O200" s="147">
        <v>0</v>
      </c>
      <c r="P200" s="148">
        <v>3.5000000000000003E-2</v>
      </c>
      <c r="Q200" s="147">
        <v>8526.3850000000002</v>
      </c>
      <c r="R200" s="149">
        <v>281370.70500000002</v>
      </c>
      <c r="S2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" s="150">
        <f ca="1">+IF(PROVEEDORES[[#This Row],[FECHA DE PAGO]]=0,TODAY()-PROVEEDORES[[#This Row],[FECHA DE FACTURACIÓN]]-PROVEEDORES[[#This Row],[PLAZO Días]],0)</f>
        <v>0</v>
      </c>
      <c r="U200" s="150">
        <f>+VLOOKUP(PROVEEDORES[[#This Row],[PROVEEDOR]],Terceros!$A:$E,4,FALSE)</f>
        <v>0.19</v>
      </c>
      <c r="V200" s="150">
        <f>+YEAR(PROVEEDORES[[#This Row],[FECHA DE FACTURACIÓN]])</f>
        <v>2023</v>
      </c>
      <c r="W200" s="150">
        <f>+MATCH(PROVEEDORES[[#This Row],[año facturado]],Retenciones!$1:$1,0)</f>
        <v>6</v>
      </c>
      <c r="X200" s="151" t="e">
        <f>+VLOOKUP(PROVEEDORES[[#This Row],[ID RETENCION]],Retenciones!$A$1:$O$25,PROVEEDORES[[#This Row],[indicador de columna]],FALSE)</f>
        <v>#N/A</v>
      </c>
      <c r="Y200" s="152" t="e">
        <f>+VLOOKUP(PROVEEDORES[[#This Row],[ID RETENCION]],Retenciones!$A$1:$O$25,2,FALSE)</f>
        <v>#N/A</v>
      </c>
      <c r="Z200" s="153" t="b">
        <f>+OR(COUNTIF(PROVEEDORES[[#This Row],[PROVEEDOR]],"*"&amp;'Palabra que no opera y Listas d'!$A$2&amp;"*"))</f>
        <v>1</v>
      </c>
    </row>
    <row r="201" spans="1:26" ht="27.75" customHeight="1" x14ac:dyDescent="0.3">
      <c r="A201" s="144" t="str">
        <f>+IF(PROVEEDORES[[#This Row],[FECHA DE PAGO]]=PROVEEDORES[[#This Row],[FECHA DE FACTURACIÓN]],"DE CONTADO","CRÉDITO")</f>
        <v>CRÉDITO</v>
      </c>
      <c r="B201" s="144" t="str">
        <f>+IF((PROVEEDORES[[#This Row],[FECHA DE PAGO]]-PROVEEDORES[[#This Row],[FECHA DE FACTURACIÓN]])&gt;PROVEEDORES[[#This Row],[PLAZO Días]],"PAGO VENCIDO")</f>
        <v>PAGO VENCIDO</v>
      </c>
      <c r="C201" s="144">
        <f>+VLOOKUP(PROVEEDORES[[#This Row],[PROVEEDOR]],TERCEROS_INFO[#All],2,FALSE)</f>
        <v>0</v>
      </c>
      <c r="D201" s="145">
        <f>+SUMIFS(PROVEEDORES[Total],PROVEEDORES[PROVEEDOR],PROVEEDORES[[#This Row],[PROVEEDOR]],PROVEEDORES[FECHA DE PAGO],"")</f>
        <v>0</v>
      </c>
      <c r="E201" s="146"/>
      <c r="F201" s="144">
        <f>+VLOOKUP(PROVEEDORES[[#This Row],[PROVEEDOR]],
                       Terceros!$A:$G,
                       5,
                       FALSE)</f>
        <v>0</v>
      </c>
      <c r="G201" s="122">
        <v>45027</v>
      </c>
      <c r="H201" s="102" t="s">
        <v>490</v>
      </c>
      <c r="I201" s="122">
        <v>45017</v>
      </c>
      <c r="J201" s="103">
        <v>6724</v>
      </c>
      <c r="K201" s="103" t="s">
        <v>1512</v>
      </c>
      <c r="L201" s="103"/>
      <c r="M201" s="105">
        <v>300000</v>
      </c>
      <c r="N201" s="147">
        <v>0</v>
      </c>
      <c r="O201" s="147">
        <v>0</v>
      </c>
      <c r="P201" s="148">
        <v>0</v>
      </c>
      <c r="Q201" s="147">
        <v>0</v>
      </c>
      <c r="R201" s="149">
        <v>300000</v>
      </c>
      <c r="S2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" s="150">
        <f ca="1">+IF(PROVEEDORES[[#This Row],[FECHA DE PAGO]]=0,TODAY()-PROVEEDORES[[#This Row],[FECHA DE FACTURACIÓN]]-PROVEEDORES[[#This Row],[PLAZO Días]],0)</f>
        <v>0</v>
      </c>
      <c r="U201" s="150">
        <f>+VLOOKUP(PROVEEDORES[[#This Row],[PROVEEDOR]],Terceros!$A:$E,4,FALSE)</f>
        <v>0</v>
      </c>
      <c r="V201" s="150">
        <f>+YEAR(PROVEEDORES[[#This Row],[FECHA DE FACTURACIÓN]])</f>
        <v>2023</v>
      </c>
      <c r="W201" s="150">
        <f>+MATCH(PROVEEDORES[[#This Row],[año facturado]],Retenciones!$1:$1,0)</f>
        <v>6</v>
      </c>
      <c r="X201" s="151">
        <f>+VLOOKUP(PROVEEDORES[[#This Row],[ID RETENCION]],Retenciones!$A$1:$O$25,PROVEEDORES[[#This Row],[indicador de columna]],FALSE)</f>
        <v>0</v>
      </c>
      <c r="Y201" s="152">
        <f>+VLOOKUP(PROVEEDORES[[#This Row],[ID RETENCION]],Retenciones!$A$1:$O$25,2,FALSE)</f>
        <v>0</v>
      </c>
      <c r="Z201" s="153" t="b">
        <f>+OR(COUNTIF(PROVEEDORES[[#This Row],[PROVEEDOR]],"*"&amp;'Palabra que no opera y Listas d'!$A$2&amp;"*"))</f>
        <v>0</v>
      </c>
    </row>
    <row r="202" spans="1:26" ht="27.75" customHeight="1" x14ac:dyDescent="0.3">
      <c r="A202" s="144" t="str">
        <f>+IF(PROVEEDORES[[#This Row],[FECHA DE PAGO]]=PROVEEDORES[[#This Row],[FECHA DE FACTURACIÓN]],"DE CONTADO","CRÉDITO")</f>
        <v>CRÉDITO</v>
      </c>
      <c r="B202" s="144" t="str">
        <f>+IF((PROVEEDORES[[#This Row],[FECHA DE PAGO]]-PROVEEDORES[[#This Row],[FECHA DE FACTURACIÓN]])&gt;PROVEEDORES[[#This Row],[PLAZO Días]],"PAGO VENCIDO")</f>
        <v>PAGO VENCIDO</v>
      </c>
      <c r="C202" s="144">
        <f>+VLOOKUP(PROVEEDORES[[#This Row],[PROVEEDOR]],TERCEROS_INFO[#All],2,FALSE)</f>
        <v>0</v>
      </c>
      <c r="D202" s="145">
        <f>+SUMIFS(PROVEEDORES[Total],PROVEEDORES[PROVEEDOR],PROVEEDORES[[#This Row],[PROVEEDOR]],PROVEEDORES[FECHA DE PAGO],"")</f>
        <v>0</v>
      </c>
      <c r="E202" s="146"/>
      <c r="F202" s="144" t="str">
        <f>+VLOOKUP(PROVEEDORES[[#This Row],[PROVEEDOR]],
                       Terceros!$A:$G,
                       5,
                       FALSE)</f>
        <v>1% con base</v>
      </c>
      <c r="G202" s="122">
        <v>45027</v>
      </c>
      <c r="H202" s="102" t="s">
        <v>463</v>
      </c>
      <c r="I202" s="122">
        <v>45026</v>
      </c>
      <c r="J202" s="103" t="s">
        <v>702</v>
      </c>
      <c r="K202" s="103" t="s">
        <v>1512</v>
      </c>
      <c r="L202" s="103"/>
      <c r="M202" s="105">
        <v>300000</v>
      </c>
      <c r="N202" s="147">
        <v>0</v>
      </c>
      <c r="O202" s="147">
        <v>0</v>
      </c>
      <c r="P202" s="148">
        <v>0.01</v>
      </c>
      <c r="Q202" s="147">
        <v>3000</v>
      </c>
      <c r="R202" s="149">
        <v>297000</v>
      </c>
      <c r="S2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" s="150">
        <f ca="1">+IF(PROVEEDORES[[#This Row],[FECHA DE PAGO]]=0,TODAY()-PROVEEDORES[[#This Row],[FECHA DE FACTURACIÓN]]-PROVEEDORES[[#This Row],[PLAZO Días]],0)</f>
        <v>0</v>
      </c>
      <c r="U202" s="150">
        <f>+VLOOKUP(PROVEEDORES[[#This Row],[PROVEEDOR]],Terceros!$A:$E,4,FALSE)</f>
        <v>0</v>
      </c>
      <c r="V202" s="150">
        <f>+YEAR(PROVEEDORES[[#This Row],[FECHA DE FACTURACIÓN]])</f>
        <v>2023</v>
      </c>
      <c r="W202" s="150">
        <f>+MATCH(PROVEEDORES[[#This Row],[año facturado]],Retenciones!$1:$1,0)</f>
        <v>6</v>
      </c>
      <c r="X202" s="151">
        <f>+VLOOKUP(PROVEEDORES[[#This Row],[ID RETENCION]],Retenciones!$A$1:$O$25,PROVEEDORES[[#This Row],[indicador de columna]],FALSE)</f>
        <v>0</v>
      </c>
      <c r="Y202" s="152">
        <f>+VLOOKUP(PROVEEDORES[[#This Row],[ID RETENCION]],Retenciones!$A$1:$O$25,2,FALSE)</f>
        <v>0</v>
      </c>
      <c r="Z202" s="153" t="b">
        <f>+OR(COUNTIF(PROVEEDORES[[#This Row],[PROVEEDOR]],"*"&amp;'Palabra que no opera y Listas d'!$A$2&amp;"*"))</f>
        <v>0</v>
      </c>
    </row>
    <row r="203" spans="1:26" ht="27.75" customHeight="1" x14ac:dyDescent="0.3">
      <c r="A203" s="144" t="str">
        <f>+IF(PROVEEDORES[[#This Row],[FECHA DE PAGO]]=PROVEEDORES[[#This Row],[FECHA DE FACTURACIÓN]],"DE CONTADO","CRÉDITO")</f>
        <v>CRÉDITO</v>
      </c>
      <c r="B203" s="144" t="str">
        <f>+IF((PROVEEDORES[[#This Row],[FECHA DE PAGO]]-PROVEEDORES[[#This Row],[FECHA DE FACTURACIÓN]])&gt;PROVEEDORES[[#This Row],[PLAZO Días]],"PAGO VENCIDO")</f>
        <v>PAGO VENCIDO</v>
      </c>
      <c r="C203" s="144">
        <f>+VLOOKUP(PROVEEDORES[[#This Row],[PROVEEDOR]],TERCEROS_INFO[#All],2,FALSE)</f>
        <v>0</v>
      </c>
      <c r="D203" s="145">
        <f>+SUMIFS(PROVEEDORES[Total],PROVEEDORES[PROVEEDOR],PROVEEDORES[[#This Row],[PROVEEDOR]],PROVEEDORES[FECHA DE PAGO],"")</f>
        <v>0</v>
      </c>
      <c r="E203" s="146"/>
      <c r="F203" s="144">
        <f>+VLOOKUP(PROVEEDORES[[#This Row],[PROVEEDOR]],
                       Terceros!$A:$G,
                       5,
                       FALSE)</f>
        <v>0</v>
      </c>
      <c r="G203" s="122">
        <v>45027</v>
      </c>
      <c r="H203" s="102" t="s">
        <v>496</v>
      </c>
      <c r="I203" s="122">
        <v>45026</v>
      </c>
      <c r="J203" s="103" t="s">
        <v>729</v>
      </c>
      <c r="K203" s="103" t="s">
        <v>1512</v>
      </c>
      <c r="L203" s="103"/>
      <c r="M203" s="105">
        <v>5304000</v>
      </c>
      <c r="N203" s="147">
        <v>0</v>
      </c>
      <c r="O203" s="147">
        <v>0</v>
      </c>
      <c r="P203" s="148">
        <v>0</v>
      </c>
      <c r="Q203" s="147">
        <v>0</v>
      </c>
      <c r="R203" s="149">
        <v>5304000</v>
      </c>
      <c r="S2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" s="150">
        <f ca="1">+IF(PROVEEDORES[[#This Row],[FECHA DE PAGO]]=0,TODAY()-PROVEEDORES[[#This Row],[FECHA DE FACTURACIÓN]]-PROVEEDORES[[#This Row],[PLAZO Días]],0)</f>
        <v>0</v>
      </c>
      <c r="U203" s="150">
        <f>+VLOOKUP(PROVEEDORES[[#This Row],[PROVEEDOR]],Terceros!$A:$E,4,FALSE)</f>
        <v>0</v>
      </c>
      <c r="V203" s="150">
        <f>+YEAR(PROVEEDORES[[#This Row],[FECHA DE FACTURACIÓN]])</f>
        <v>2023</v>
      </c>
      <c r="W203" s="150">
        <f>+MATCH(PROVEEDORES[[#This Row],[año facturado]],Retenciones!$1:$1,0)</f>
        <v>6</v>
      </c>
      <c r="X203" s="151">
        <f>+VLOOKUP(PROVEEDORES[[#This Row],[ID RETENCION]],Retenciones!$A$1:$O$25,PROVEEDORES[[#This Row],[indicador de columna]],FALSE)</f>
        <v>0</v>
      </c>
      <c r="Y203" s="152">
        <f>+VLOOKUP(PROVEEDORES[[#This Row],[ID RETENCION]],Retenciones!$A$1:$O$25,2,FALSE)</f>
        <v>0</v>
      </c>
      <c r="Z203" s="153" t="b">
        <f>+OR(COUNTIF(PROVEEDORES[[#This Row],[PROVEEDOR]],"*"&amp;'Palabra que no opera y Listas d'!$A$2&amp;"*"))</f>
        <v>0</v>
      </c>
    </row>
    <row r="204" spans="1:26" ht="27.75" customHeight="1" x14ac:dyDescent="0.3">
      <c r="A204" s="144" t="str">
        <f>+IF(PROVEEDORES[[#This Row],[FECHA DE PAGO]]=PROVEEDORES[[#This Row],[FECHA DE FACTURACIÓN]],"DE CONTADO","CRÉDITO")</f>
        <v>CRÉDITO</v>
      </c>
      <c r="B204" s="144" t="str">
        <f>+IF((PROVEEDORES[[#This Row],[FECHA DE PAGO]]-PROVEEDORES[[#This Row],[FECHA DE FACTURACIÓN]])&gt;PROVEEDORES[[#This Row],[PLAZO Días]],"PAGO VENCIDO")</f>
        <v>PAGO VENCIDO</v>
      </c>
      <c r="C204" s="144">
        <f>+VLOOKUP(PROVEEDORES[[#This Row],[PROVEEDOR]],TERCEROS_INFO[#All],2,FALSE)</f>
        <v>0</v>
      </c>
      <c r="D204" s="145">
        <f>+SUMIFS(PROVEEDORES[Total],PROVEEDORES[PROVEEDOR],PROVEEDORES[[#This Row],[PROVEEDOR]],PROVEEDORES[FECHA DE PAGO],"")</f>
        <v>0</v>
      </c>
      <c r="E204" s="146"/>
      <c r="F204" s="144">
        <f>+VLOOKUP(PROVEEDORES[[#This Row],[PROVEEDOR]],
                       Terceros!$A:$G,
                       5,
                       FALSE)</f>
        <v>0</v>
      </c>
      <c r="G204" s="122">
        <v>45027</v>
      </c>
      <c r="H204" s="102" t="s">
        <v>1783</v>
      </c>
      <c r="I204" s="122">
        <v>45026</v>
      </c>
      <c r="J204" s="103">
        <v>408</v>
      </c>
      <c r="K204" s="103" t="s">
        <v>1512</v>
      </c>
      <c r="L204" s="103"/>
      <c r="M204" s="105">
        <v>470000</v>
      </c>
      <c r="N204" s="147">
        <v>0</v>
      </c>
      <c r="O204" s="147">
        <v>0</v>
      </c>
      <c r="P204" s="148">
        <v>0</v>
      </c>
      <c r="Q204" s="147">
        <v>0</v>
      </c>
      <c r="R204" s="149">
        <v>470000</v>
      </c>
      <c r="S2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" s="150">
        <f ca="1">+IF(PROVEEDORES[[#This Row],[FECHA DE PAGO]]=0,TODAY()-PROVEEDORES[[#This Row],[FECHA DE FACTURACIÓN]]-PROVEEDORES[[#This Row],[PLAZO Días]],0)</f>
        <v>0</v>
      </c>
      <c r="U204" s="150">
        <f>+VLOOKUP(PROVEEDORES[[#This Row],[PROVEEDOR]],Terceros!$A:$E,4,FALSE)</f>
        <v>0</v>
      </c>
      <c r="V204" s="150">
        <f>+YEAR(PROVEEDORES[[#This Row],[FECHA DE FACTURACIÓN]])</f>
        <v>2023</v>
      </c>
      <c r="W204" s="150">
        <f>+MATCH(PROVEEDORES[[#This Row],[año facturado]],Retenciones!$1:$1,0)</f>
        <v>6</v>
      </c>
      <c r="X204" s="151">
        <f>+VLOOKUP(PROVEEDORES[[#This Row],[ID RETENCION]],Retenciones!$A$1:$O$25,PROVEEDORES[[#This Row],[indicador de columna]],FALSE)</f>
        <v>0</v>
      </c>
      <c r="Y204" s="152">
        <f>+VLOOKUP(PROVEEDORES[[#This Row],[ID RETENCION]],Retenciones!$A$1:$O$25,2,FALSE)</f>
        <v>0</v>
      </c>
      <c r="Z204" s="153" t="b">
        <f>+OR(COUNTIF(PROVEEDORES[[#This Row],[PROVEEDOR]],"*"&amp;'Palabra que no opera y Listas d'!$A$2&amp;"*"))</f>
        <v>0</v>
      </c>
    </row>
    <row r="205" spans="1:26" ht="27.75" customHeight="1" x14ac:dyDescent="0.3">
      <c r="A205" s="144" t="str">
        <f>+IF(PROVEEDORES[[#This Row],[FECHA DE PAGO]]=PROVEEDORES[[#This Row],[FECHA DE FACTURACIÓN]],"DE CONTADO","CRÉDITO")</f>
        <v>DE CONTADO</v>
      </c>
      <c r="B205" s="144" t="b">
        <f>+IF((PROVEEDORES[[#This Row],[FECHA DE PAGO]]-PROVEEDORES[[#This Row],[FECHA DE FACTURACIÓN]])&gt;PROVEEDORES[[#This Row],[PLAZO Días]],"PAGO VENCIDO")</f>
        <v>0</v>
      </c>
      <c r="C205" s="144">
        <f>+VLOOKUP(PROVEEDORES[[#This Row],[PROVEEDOR]],TERCEROS_INFO[#All],2,FALSE)</f>
        <v>0</v>
      </c>
      <c r="D205" s="145">
        <f>+SUMIFS(PROVEEDORES[Total],PROVEEDORES[PROVEEDOR],PROVEEDORES[[#This Row],[PROVEEDOR]],PROVEEDORES[FECHA DE PAGO],"")</f>
        <v>0</v>
      </c>
      <c r="E205" s="146"/>
      <c r="F205" s="144">
        <f>+VLOOKUP(PROVEEDORES[[#This Row],[PROVEEDOR]],
                       Terceros!$A:$G,
                       5,
                       FALSE)</f>
        <v>0</v>
      </c>
      <c r="G205" s="122">
        <v>45027</v>
      </c>
      <c r="H205" s="102" t="s">
        <v>439</v>
      </c>
      <c r="I205" s="122">
        <v>45027</v>
      </c>
      <c r="J205" s="103">
        <v>20549</v>
      </c>
      <c r="K205" s="103" t="s">
        <v>1512</v>
      </c>
      <c r="L205" s="103"/>
      <c r="M205" s="105">
        <v>240000</v>
      </c>
      <c r="N205" s="147">
        <v>45600</v>
      </c>
      <c r="O205" s="147">
        <v>0</v>
      </c>
      <c r="P205" s="148">
        <v>0</v>
      </c>
      <c r="Q205" s="147">
        <v>0</v>
      </c>
      <c r="R205" s="149">
        <v>285600</v>
      </c>
      <c r="S2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" s="150">
        <f ca="1">+IF(PROVEEDORES[[#This Row],[FECHA DE PAGO]]=0,TODAY()-PROVEEDORES[[#This Row],[FECHA DE FACTURACIÓN]]-PROVEEDORES[[#This Row],[PLAZO Días]],0)</f>
        <v>0</v>
      </c>
      <c r="U205" s="150">
        <f>+VLOOKUP(PROVEEDORES[[#This Row],[PROVEEDOR]],Terceros!$A:$E,4,FALSE)</f>
        <v>0.19</v>
      </c>
      <c r="V205" s="150">
        <f>+YEAR(PROVEEDORES[[#This Row],[FECHA DE FACTURACIÓN]])</f>
        <v>2023</v>
      </c>
      <c r="W205" s="150">
        <f>+MATCH(PROVEEDORES[[#This Row],[año facturado]],Retenciones!$1:$1,0)</f>
        <v>6</v>
      </c>
      <c r="X205" s="151" t="e">
        <f>+VLOOKUP(PROVEEDORES[[#This Row],[ID RETENCION]],Retenciones!$A$1:$O$25,PROVEEDORES[[#This Row],[indicador de columna]],FALSE)</f>
        <v>#N/A</v>
      </c>
      <c r="Y205" s="152" t="e">
        <f>+VLOOKUP(PROVEEDORES[[#This Row],[ID RETENCION]],Retenciones!$A$1:$O$25,2,FALSE)</f>
        <v>#N/A</v>
      </c>
      <c r="Z205" s="153" t="b">
        <f>+OR(COUNTIF(PROVEEDORES[[#This Row],[PROVEEDOR]],"*"&amp;'Palabra que no opera y Listas d'!$A$2&amp;"*"))</f>
        <v>1</v>
      </c>
    </row>
    <row r="206" spans="1:26" ht="27.75" customHeight="1" x14ac:dyDescent="0.3">
      <c r="A206" s="144" t="str">
        <f>+IF(PROVEEDORES[[#This Row],[FECHA DE PAGO]]=PROVEEDORES[[#This Row],[FECHA DE FACTURACIÓN]],"DE CONTADO","CRÉDITO")</f>
        <v>CRÉDITO</v>
      </c>
      <c r="B206" s="144" t="str">
        <f>+IF((PROVEEDORES[[#This Row],[FECHA DE PAGO]]-PROVEEDORES[[#This Row],[FECHA DE FACTURACIÓN]])&gt;PROVEEDORES[[#This Row],[PLAZO Días]],"PAGO VENCIDO")</f>
        <v>PAGO VENCIDO</v>
      </c>
      <c r="C206" s="144">
        <f>+VLOOKUP(PROVEEDORES[[#This Row],[PROVEEDOR]],TERCEROS_INFO[#All],2,FALSE)</f>
        <v>0</v>
      </c>
      <c r="D206" s="145">
        <f>+SUMIFS(PROVEEDORES[Total],PROVEEDORES[PROVEEDOR],PROVEEDORES[[#This Row],[PROVEEDOR]],PROVEEDORES[FECHA DE PAGO],"")</f>
        <v>0</v>
      </c>
      <c r="E206" s="146"/>
      <c r="F206" s="144" t="str">
        <f>+VLOOKUP(PROVEEDORES[[#This Row],[PROVEEDOR]],
                       Terceros!$A:$G,
                       5,
                       FALSE)</f>
        <v>2,5% con base</v>
      </c>
      <c r="G206" s="122">
        <v>45028</v>
      </c>
      <c r="H206" s="102" t="s">
        <v>30</v>
      </c>
      <c r="I206" s="122">
        <v>44967</v>
      </c>
      <c r="J206" s="103" t="s">
        <v>580</v>
      </c>
      <c r="K206" s="103" t="s">
        <v>1512</v>
      </c>
      <c r="L206" s="103"/>
      <c r="M206" s="105">
        <v>4044034</v>
      </c>
      <c r="N206" s="147">
        <v>768366.46</v>
      </c>
      <c r="O206" s="147">
        <v>0</v>
      </c>
      <c r="P206" s="148">
        <v>2.5000000000000001E-2</v>
      </c>
      <c r="Q206" s="147">
        <v>101100.85</v>
      </c>
      <c r="R206" s="149">
        <v>4711299.6100000003</v>
      </c>
      <c r="S2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" s="150">
        <f ca="1">+IF(PROVEEDORES[[#This Row],[FECHA DE PAGO]]=0,TODAY()-PROVEEDORES[[#This Row],[FECHA DE FACTURACIÓN]]-PROVEEDORES[[#This Row],[PLAZO Días]],0)</f>
        <v>0</v>
      </c>
      <c r="U206" s="150">
        <f>+VLOOKUP(PROVEEDORES[[#This Row],[PROVEEDOR]],Terceros!$A:$E,4,FALSE)</f>
        <v>0.19</v>
      </c>
      <c r="V206" s="150">
        <f>+YEAR(PROVEEDORES[[#This Row],[FECHA DE FACTURACIÓN]])</f>
        <v>2023</v>
      </c>
      <c r="W206" s="150">
        <f>+MATCH(PROVEEDORES[[#This Row],[año facturado]],Retenciones!$1:$1,0)</f>
        <v>6</v>
      </c>
      <c r="X206" s="151" t="e">
        <f>+VLOOKUP(PROVEEDORES[[#This Row],[ID RETENCION]],Retenciones!$A$1:$O$25,PROVEEDORES[[#This Row],[indicador de columna]],FALSE)</f>
        <v>#N/A</v>
      </c>
      <c r="Y206" s="152" t="e">
        <f>+VLOOKUP(PROVEEDORES[[#This Row],[ID RETENCION]],Retenciones!$A$1:$O$25,2,FALSE)</f>
        <v>#N/A</v>
      </c>
      <c r="Z206" s="153" t="b">
        <f>+OR(COUNTIF(PROVEEDORES[[#This Row],[PROVEEDOR]],"*"&amp;'Palabra que no opera y Listas d'!$A$2&amp;"*"))</f>
        <v>0</v>
      </c>
    </row>
    <row r="207" spans="1:26" ht="27.75" customHeight="1" x14ac:dyDescent="0.3">
      <c r="A207" s="144" t="str">
        <f>+IF(PROVEEDORES[[#This Row],[FECHA DE PAGO]]=PROVEEDORES[[#This Row],[FECHA DE FACTURACIÓN]],"DE CONTADO","CRÉDITO")</f>
        <v>CRÉDITO</v>
      </c>
      <c r="B207" s="144" t="str">
        <f>+IF((PROVEEDORES[[#This Row],[FECHA DE PAGO]]-PROVEEDORES[[#This Row],[FECHA DE FACTURACIÓN]])&gt;PROVEEDORES[[#This Row],[PLAZO Días]],"PAGO VENCIDO")</f>
        <v>PAGO VENCIDO</v>
      </c>
      <c r="C207" s="144">
        <f>+VLOOKUP(PROVEEDORES[[#This Row],[PROVEEDOR]],TERCEROS_INFO[#All],2,FALSE)</f>
        <v>0</v>
      </c>
      <c r="D207" s="145">
        <f>+SUMIFS(PROVEEDORES[Total],PROVEEDORES[PROVEEDOR],PROVEEDORES[[#This Row],[PROVEEDOR]],PROVEEDORES[FECHA DE PAGO],"")</f>
        <v>2095000</v>
      </c>
      <c r="E207" s="146"/>
      <c r="F207" s="144">
        <f>+VLOOKUP(PROVEEDORES[[#This Row],[PROVEEDOR]],
                       Terceros!$A:$G,
                       5,
                       FALSE)</f>
        <v>0</v>
      </c>
      <c r="G207" s="122">
        <v>45028</v>
      </c>
      <c r="H207" s="102" t="s">
        <v>1781</v>
      </c>
      <c r="I207" s="122">
        <v>44983</v>
      </c>
      <c r="J207" s="103" t="s">
        <v>605</v>
      </c>
      <c r="K207" s="103" t="s">
        <v>1512</v>
      </c>
      <c r="L207" s="103"/>
      <c r="M207" s="105">
        <v>2550000</v>
      </c>
      <c r="N207" s="147">
        <v>0</v>
      </c>
      <c r="O207" s="147">
        <v>0</v>
      </c>
      <c r="P207" s="148">
        <v>0</v>
      </c>
      <c r="Q207" s="147">
        <v>0</v>
      </c>
      <c r="R207" s="149">
        <v>2550000</v>
      </c>
      <c r="S2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" s="150">
        <f ca="1">+IF(PROVEEDORES[[#This Row],[FECHA DE PAGO]]=0,TODAY()-PROVEEDORES[[#This Row],[FECHA DE FACTURACIÓN]]-PROVEEDORES[[#This Row],[PLAZO Días]],0)</f>
        <v>0</v>
      </c>
      <c r="U207" s="150">
        <f>+VLOOKUP(PROVEEDORES[[#This Row],[PROVEEDOR]],Terceros!$A:$E,4,FALSE)</f>
        <v>0</v>
      </c>
      <c r="V207" s="150">
        <f>+YEAR(PROVEEDORES[[#This Row],[FECHA DE FACTURACIÓN]])</f>
        <v>2023</v>
      </c>
      <c r="W207" s="150">
        <f>+MATCH(PROVEEDORES[[#This Row],[año facturado]],Retenciones!$1:$1,0)</f>
        <v>6</v>
      </c>
      <c r="X207" s="151">
        <f>+VLOOKUP(PROVEEDORES[[#This Row],[ID RETENCION]],Retenciones!$A$1:$O$25,PROVEEDORES[[#This Row],[indicador de columna]],FALSE)</f>
        <v>0</v>
      </c>
      <c r="Y207" s="152">
        <f>+VLOOKUP(PROVEEDORES[[#This Row],[ID RETENCION]],Retenciones!$A$1:$O$25,2,FALSE)</f>
        <v>0</v>
      </c>
      <c r="Z207" s="153" t="b">
        <f>+OR(COUNTIF(PROVEEDORES[[#This Row],[PROVEEDOR]],"*"&amp;'Palabra que no opera y Listas d'!$A$2&amp;"*"))</f>
        <v>0</v>
      </c>
    </row>
    <row r="208" spans="1:26" ht="27.75" customHeight="1" x14ac:dyDescent="0.3">
      <c r="A208" s="144" t="str">
        <f>+IF(PROVEEDORES[[#This Row],[FECHA DE PAGO]]=PROVEEDORES[[#This Row],[FECHA DE FACTURACIÓN]],"DE CONTADO","CRÉDITO")</f>
        <v>CRÉDITO</v>
      </c>
      <c r="B208" s="144" t="str">
        <f>+IF((PROVEEDORES[[#This Row],[FECHA DE PAGO]]-PROVEEDORES[[#This Row],[FECHA DE FACTURACIÓN]])&gt;PROVEEDORES[[#This Row],[PLAZO Días]],"PAGO VENCIDO")</f>
        <v>PAGO VENCIDO</v>
      </c>
      <c r="C208" s="144">
        <f>+VLOOKUP(PROVEEDORES[[#This Row],[PROVEEDOR]],TERCEROS_INFO[#All],2,FALSE)</f>
        <v>0</v>
      </c>
      <c r="D208" s="145">
        <f>+SUMIFS(PROVEEDORES[Total],PROVEEDORES[PROVEEDOR],PROVEEDORES[[#This Row],[PROVEEDOR]],PROVEEDORES[FECHA DE PAGO],"")</f>
        <v>0</v>
      </c>
      <c r="E208" s="146"/>
      <c r="F208" s="144">
        <f>+VLOOKUP(PROVEEDORES[[#This Row],[PROVEEDOR]],
                       Terceros!$A:$G,
                       5,
                       FALSE)</f>
        <v>0</v>
      </c>
      <c r="G208" s="122">
        <v>45029</v>
      </c>
      <c r="H208" s="102" t="s">
        <v>512</v>
      </c>
      <c r="I208" s="122">
        <v>44929</v>
      </c>
      <c r="J208" s="103">
        <v>2740</v>
      </c>
      <c r="K208" s="103" t="s">
        <v>1512</v>
      </c>
      <c r="L208" s="103"/>
      <c r="M208" s="105">
        <v>2348000</v>
      </c>
      <c r="N208" s="147">
        <v>0</v>
      </c>
      <c r="O208" s="147">
        <v>0</v>
      </c>
      <c r="P208" s="148">
        <v>0</v>
      </c>
      <c r="Q208" s="147">
        <v>0</v>
      </c>
      <c r="R208" s="149">
        <v>2348000</v>
      </c>
      <c r="S2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" s="150">
        <f ca="1">+IF(PROVEEDORES[[#This Row],[FECHA DE PAGO]]=0,TODAY()-PROVEEDORES[[#This Row],[FECHA DE FACTURACIÓN]]-PROVEEDORES[[#This Row],[PLAZO Días]],0)</f>
        <v>0</v>
      </c>
      <c r="U208" s="150">
        <f>+VLOOKUP(PROVEEDORES[[#This Row],[PROVEEDOR]],Terceros!$A:$E,4,FALSE)</f>
        <v>0</v>
      </c>
      <c r="V208" s="150">
        <f>+YEAR(PROVEEDORES[[#This Row],[FECHA DE FACTURACIÓN]])</f>
        <v>2023</v>
      </c>
      <c r="W208" s="150">
        <f>+MATCH(PROVEEDORES[[#This Row],[año facturado]],Retenciones!$1:$1,0)</f>
        <v>6</v>
      </c>
      <c r="X208" s="151">
        <f>+VLOOKUP(PROVEEDORES[[#This Row],[ID RETENCION]],Retenciones!$A$1:$O$25,PROVEEDORES[[#This Row],[indicador de columna]],FALSE)</f>
        <v>0</v>
      </c>
      <c r="Y208" s="152">
        <f>+VLOOKUP(PROVEEDORES[[#This Row],[ID RETENCION]],Retenciones!$A$1:$O$25,2,FALSE)</f>
        <v>0</v>
      </c>
      <c r="Z208" s="153" t="b">
        <f>+OR(COUNTIF(PROVEEDORES[[#This Row],[PROVEEDOR]],"*"&amp;'Palabra que no opera y Listas d'!$A$2&amp;"*"))</f>
        <v>0</v>
      </c>
    </row>
    <row r="209" spans="1:26" ht="27.75" customHeight="1" x14ac:dyDescent="0.3">
      <c r="A209" s="144" t="str">
        <f>+IF(PROVEEDORES[[#This Row],[FECHA DE PAGO]]=PROVEEDORES[[#This Row],[FECHA DE FACTURACIÓN]],"DE CONTADO","CRÉDITO")</f>
        <v>CRÉDITO</v>
      </c>
      <c r="B209" s="144" t="str">
        <f>+IF((PROVEEDORES[[#This Row],[FECHA DE PAGO]]-PROVEEDORES[[#This Row],[FECHA DE FACTURACIÓN]])&gt;PROVEEDORES[[#This Row],[PLAZO Días]],"PAGO VENCIDO")</f>
        <v>PAGO VENCIDO</v>
      </c>
      <c r="C209" s="144">
        <f>+VLOOKUP(PROVEEDORES[[#This Row],[PROVEEDOR]],TERCEROS_INFO[#All],2,FALSE)</f>
        <v>0</v>
      </c>
      <c r="D209" s="145">
        <f>+SUMIFS(PROVEEDORES[Total],PROVEEDORES[PROVEEDOR],PROVEEDORES[[#This Row],[PROVEEDOR]],PROVEEDORES[FECHA DE PAGO],"")</f>
        <v>0</v>
      </c>
      <c r="E209" s="146"/>
      <c r="F209" s="144">
        <f>+VLOOKUP(PROVEEDORES[[#This Row],[PROVEEDOR]],
                       Terceros!$A:$G,
                       5,
                       FALSE)</f>
        <v>0</v>
      </c>
      <c r="G209" s="122">
        <v>45029</v>
      </c>
      <c r="H209" s="102" t="s">
        <v>537</v>
      </c>
      <c r="I209" s="122">
        <v>44942</v>
      </c>
      <c r="J209" s="103" t="s">
        <v>533</v>
      </c>
      <c r="K209" s="103" t="s">
        <v>1512</v>
      </c>
      <c r="L209" s="103"/>
      <c r="M209" s="105">
        <v>258684</v>
      </c>
      <c r="N209" s="147">
        <v>0</v>
      </c>
      <c r="O209" s="147">
        <v>0</v>
      </c>
      <c r="P209" s="148">
        <v>0</v>
      </c>
      <c r="Q209" s="147">
        <v>0</v>
      </c>
      <c r="R209" s="149">
        <v>258684</v>
      </c>
      <c r="S2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" s="150">
        <f ca="1">+IF(PROVEEDORES[[#This Row],[FECHA DE PAGO]]=0,TODAY()-PROVEEDORES[[#This Row],[FECHA DE FACTURACIÓN]]-PROVEEDORES[[#This Row],[PLAZO Días]],0)</f>
        <v>0</v>
      </c>
      <c r="U209" s="150">
        <f>+VLOOKUP(PROVEEDORES[[#This Row],[PROVEEDOR]],Terceros!$A:$E,4,FALSE)</f>
        <v>0</v>
      </c>
      <c r="V209" s="150">
        <f>+YEAR(PROVEEDORES[[#This Row],[FECHA DE FACTURACIÓN]])</f>
        <v>2023</v>
      </c>
      <c r="W209" s="150">
        <f>+MATCH(PROVEEDORES[[#This Row],[año facturado]],Retenciones!$1:$1,0)</f>
        <v>6</v>
      </c>
      <c r="X209" s="151">
        <f>+VLOOKUP(PROVEEDORES[[#This Row],[ID RETENCION]],Retenciones!$A$1:$O$25,PROVEEDORES[[#This Row],[indicador de columna]],FALSE)</f>
        <v>0</v>
      </c>
      <c r="Y209" s="152">
        <f>+VLOOKUP(PROVEEDORES[[#This Row],[ID RETENCION]],Retenciones!$A$1:$O$25,2,FALSE)</f>
        <v>0</v>
      </c>
      <c r="Z209" s="153" t="b">
        <f>+OR(COUNTIF(PROVEEDORES[[#This Row],[PROVEEDOR]],"*"&amp;'Palabra que no opera y Listas d'!$A$2&amp;"*"))</f>
        <v>0</v>
      </c>
    </row>
    <row r="210" spans="1:26" ht="27.75" customHeight="1" x14ac:dyDescent="0.3">
      <c r="A210" s="144" t="str">
        <f>+IF(PROVEEDORES[[#This Row],[FECHA DE PAGO]]=PROVEEDORES[[#This Row],[FECHA DE FACTURACIÓN]],"DE CONTADO","CRÉDITO")</f>
        <v>CRÉDITO</v>
      </c>
      <c r="B210" s="144" t="str">
        <f>+IF((PROVEEDORES[[#This Row],[FECHA DE PAGO]]-PROVEEDORES[[#This Row],[FECHA DE FACTURACIÓN]])&gt;PROVEEDORES[[#This Row],[PLAZO Días]],"PAGO VENCIDO")</f>
        <v>PAGO VENCIDO</v>
      </c>
      <c r="C210" s="144">
        <f>+VLOOKUP(PROVEEDORES[[#This Row],[PROVEEDOR]],TERCEROS_INFO[#All],2,FALSE)</f>
        <v>0</v>
      </c>
      <c r="D210" s="145">
        <f>+SUMIFS(PROVEEDORES[Total],PROVEEDORES[PROVEEDOR],PROVEEDORES[[#This Row],[PROVEEDOR]],PROVEEDORES[FECHA DE PAGO],"")</f>
        <v>0</v>
      </c>
      <c r="E210" s="146"/>
      <c r="F210" s="144">
        <f>+VLOOKUP(PROVEEDORES[[#This Row],[PROVEEDOR]],
                       Terceros!$A:$G,
                       5,
                       FALSE)</f>
        <v>0</v>
      </c>
      <c r="G210" s="122">
        <v>45029</v>
      </c>
      <c r="H210" s="102" t="s">
        <v>1785</v>
      </c>
      <c r="I210" s="122">
        <v>44953</v>
      </c>
      <c r="J210" s="103" t="s">
        <v>544</v>
      </c>
      <c r="K210" s="103" t="s">
        <v>1512</v>
      </c>
      <c r="L210" s="103"/>
      <c r="M210" s="105">
        <v>1808800</v>
      </c>
      <c r="N210" s="147">
        <v>0</v>
      </c>
      <c r="O210" s="147">
        <v>0</v>
      </c>
      <c r="P210" s="148">
        <v>0</v>
      </c>
      <c r="Q210" s="147">
        <v>0</v>
      </c>
      <c r="R210" s="149">
        <v>1808800</v>
      </c>
      <c r="S2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" s="150">
        <f ca="1">+IF(PROVEEDORES[[#This Row],[FECHA DE PAGO]]=0,TODAY()-PROVEEDORES[[#This Row],[FECHA DE FACTURACIÓN]]-PROVEEDORES[[#This Row],[PLAZO Días]],0)</f>
        <v>0</v>
      </c>
      <c r="U210" s="150">
        <f>+VLOOKUP(PROVEEDORES[[#This Row],[PROVEEDOR]],Terceros!$A:$E,4,FALSE)</f>
        <v>0</v>
      </c>
      <c r="V210" s="150">
        <f>+YEAR(PROVEEDORES[[#This Row],[FECHA DE FACTURACIÓN]])</f>
        <v>2023</v>
      </c>
      <c r="W210" s="150">
        <f>+MATCH(PROVEEDORES[[#This Row],[año facturado]],Retenciones!$1:$1,0)</f>
        <v>6</v>
      </c>
      <c r="X210" s="151">
        <f>+VLOOKUP(PROVEEDORES[[#This Row],[ID RETENCION]],Retenciones!$A$1:$O$25,PROVEEDORES[[#This Row],[indicador de columna]],FALSE)</f>
        <v>0</v>
      </c>
      <c r="Y210" s="152">
        <f>+VLOOKUP(PROVEEDORES[[#This Row],[ID RETENCION]],Retenciones!$A$1:$O$25,2,FALSE)</f>
        <v>0</v>
      </c>
      <c r="Z210" s="153" t="b">
        <f>+OR(COUNTIF(PROVEEDORES[[#This Row],[PROVEEDOR]],"*"&amp;'Palabra que no opera y Listas d'!$A$2&amp;"*"))</f>
        <v>0</v>
      </c>
    </row>
    <row r="211" spans="1:26" ht="27.75" customHeight="1" x14ac:dyDescent="0.3">
      <c r="A211" s="144" t="str">
        <f>+IF(PROVEEDORES[[#This Row],[FECHA DE PAGO]]=PROVEEDORES[[#This Row],[FECHA DE FACTURACIÓN]],"DE CONTADO","CRÉDITO")</f>
        <v>CRÉDITO</v>
      </c>
      <c r="B211" s="144" t="str">
        <f>+IF((PROVEEDORES[[#This Row],[FECHA DE PAGO]]-PROVEEDORES[[#This Row],[FECHA DE FACTURACIÓN]])&gt;PROVEEDORES[[#This Row],[PLAZO Días]],"PAGO VENCIDO")</f>
        <v>PAGO VENCIDO</v>
      </c>
      <c r="C211" s="144">
        <f>+VLOOKUP(PROVEEDORES[[#This Row],[PROVEEDOR]],TERCEROS_INFO[#All],2,FALSE)</f>
        <v>0</v>
      </c>
      <c r="D211" s="145">
        <f>+SUMIFS(PROVEEDORES[Total],PROVEEDORES[PROVEEDOR],PROVEEDORES[[#This Row],[PROVEEDOR]],PROVEEDORES[FECHA DE PAGO],"")</f>
        <v>0</v>
      </c>
      <c r="E211" s="146"/>
      <c r="F211" s="144">
        <f>+VLOOKUP(PROVEEDORES[[#This Row],[PROVEEDOR]],
                       Terceros!$A:$G,
                       5,
                       FALSE)</f>
        <v>0</v>
      </c>
      <c r="G211" s="122">
        <v>45029</v>
      </c>
      <c r="H211" s="102" t="s">
        <v>1789</v>
      </c>
      <c r="I211" s="122">
        <v>44986</v>
      </c>
      <c r="J211" s="103" t="s">
        <v>667</v>
      </c>
      <c r="K211" s="103" t="s">
        <v>1512</v>
      </c>
      <c r="L211" s="103"/>
      <c r="M211" s="105">
        <v>764000</v>
      </c>
      <c r="N211" s="147">
        <v>0</v>
      </c>
      <c r="O211" s="147">
        <v>0</v>
      </c>
      <c r="P211" s="148">
        <v>0</v>
      </c>
      <c r="Q211" s="147">
        <v>0</v>
      </c>
      <c r="R211" s="149">
        <v>764000</v>
      </c>
      <c r="S2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" s="150">
        <f ca="1">+IF(PROVEEDORES[[#This Row],[FECHA DE PAGO]]=0,TODAY()-PROVEEDORES[[#This Row],[FECHA DE FACTURACIÓN]]-PROVEEDORES[[#This Row],[PLAZO Días]],0)</f>
        <v>0</v>
      </c>
      <c r="U211" s="150">
        <f>+VLOOKUP(PROVEEDORES[[#This Row],[PROVEEDOR]],Terceros!$A:$E,4,FALSE)</f>
        <v>0</v>
      </c>
      <c r="V211" s="150">
        <f>+YEAR(PROVEEDORES[[#This Row],[FECHA DE FACTURACIÓN]])</f>
        <v>2023</v>
      </c>
      <c r="W211" s="150">
        <f>+MATCH(PROVEEDORES[[#This Row],[año facturado]],Retenciones!$1:$1,0)</f>
        <v>6</v>
      </c>
      <c r="X211" s="151">
        <f>+VLOOKUP(PROVEEDORES[[#This Row],[ID RETENCION]],Retenciones!$A$1:$O$25,PROVEEDORES[[#This Row],[indicador de columna]],FALSE)</f>
        <v>0</v>
      </c>
      <c r="Y211" s="152">
        <f>+VLOOKUP(PROVEEDORES[[#This Row],[ID RETENCION]],Retenciones!$A$1:$O$25,2,FALSE)</f>
        <v>0</v>
      </c>
      <c r="Z211" s="153" t="b">
        <f>+OR(COUNTIF(PROVEEDORES[[#This Row],[PROVEEDOR]],"*"&amp;'Palabra que no opera y Listas d'!$A$2&amp;"*"))</f>
        <v>0</v>
      </c>
    </row>
    <row r="212" spans="1:26" ht="27.75" customHeight="1" x14ac:dyDescent="0.3">
      <c r="A212" s="144" t="str">
        <f>+IF(PROVEEDORES[[#This Row],[FECHA DE PAGO]]=PROVEEDORES[[#This Row],[FECHA DE FACTURACIÓN]],"DE CONTADO","CRÉDITO")</f>
        <v>DE CONTADO</v>
      </c>
      <c r="B212" s="144" t="b">
        <f>+IF((PROVEEDORES[[#This Row],[FECHA DE PAGO]]-PROVEEDORES[[#This Row],[FECHA DE FACTURACIÓN]])&gt;PROVEEDORES[[#This Row],[PLAZO Días]],"PAGO VENCIDO")</f>
        <v>0</v>
      </c>
      <c r="C212" s="144">
        <f>+VLOOKUP(PROVEEDORES[[#This Row],[PROVEEDOR]],TERCEROS_INFO[#All],2,FALSE)</f>
        <v>0</v>
      </c>
      <c r="D212" s="145">
        <f>+SUMIFS(PROVEEDORES[Total],PROVEEDORES[PROVEEDOR],PROVEEDORES[[#This Row],[PROVEEDOR]],PROVEEDORES[FECHA DE PAGO],"")</f>
        <v>0</v>
      </c>
      <c r="E212" s="146"/>
      <c r="F212" s="144" t="str">
        <f>+VLOOKUP(PROVEEDORES[[#This Row],[PROVEEDOR]],
                       Terceros!$A:$G,
                       5,
                       FALSE)</f>
        <v>2,5% con base</v>
      </c>
      <c r="G212" s="122">
        <v>45029</v>
      </c>
      <c r="H212" s="102" t="s">
        <v>175</v>
      </c>
      <c r="I212" s="122">
        <v>45029</v>
      </c>
      <c r="J212" s="103" t="s">
        <v>743</v>
      </c>
      <c r="K212" s="103" t="s">
        <v>1512</v>
      </c>
      <c r="L212" s="103"/>
      <c r="M212" s="105">
        <v>175456</v>
      </c>
      <c r="N212" s="147">
        <v>33336.639999999999</v>
      </c>
      <c r="O212" s="147">
        <v>0</v>
      </c>
      <c r="P212" s="148">
        <v>0</v>
      </c>
      <c r="Q212" s="147">
        <v>0</v>
      </c>
      <c r="R212" s="149">
        <v>208792.64</v>
      </c>
      <c r="S2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" s="150">
        <f ca="1">+IF(PROVEEDORES[[#This Row],[FECHA DE PAGO]]=0,TODAY()-PROVEEDORES[[#This Row],[FECHA DE FACTURACIÓN]]-PROVEEDORES[[#This Row],[PLAZO Días]],0)</f>
        <v>0</v>
      </c>
      <c r="U212" s="150">
        <f>+VLOOKUP(PROVEEDORES[[#This Row],[PROVEEDOR]],Terceros!$A:$E,4,FALSE)</f>
        <v>0.19</v>
      </c>
      <c r="V212" s="150">
        <f>+YEAR(PROVEEDORES[[#This Row],[FECHA DE FACTURACIÓN]])</f>
        <v>2023</v>
      </c>
      <c r="W212" s="150">
        <f>+MATCH(PROVEEDORES[[#This Row],[año facturado]],Retenciones!$1:$1,0)</f>
        <v>6</v>
      </c>
      <c r="X212" s="151" t="e">
        <f>+VLOOKUP(PROVEEDORES[[#This Row],[ID RETENCION]],Retenciones!$A$1:$O$25,PROVEEDORES[[#This Row],[indicador de columna]],FALSE)</f>
        <v>#N/A</v>
      </c>
      <c r="Y212" s="152" t="e">
        <f>+VLOOKUP(PROVEEDORES[[#This Row],[ID RETENCION]],Retenciones!$A$1:$O$25,2,FALSE)</f>
        <v>#N/A</v>
      </c>
      <c r="Z212" s="153" t="b">
        <f>+OR(COUNTIF(PROVEEDORES[[#This Row],[PROVEEDOR]],"*"&amp;'Palabra que no opera y Listas d'!$A$2&amp;"*"))</f>
        <v>0</v>
      </c>
    </row>
    <row r="213" spans="1:26" ht="27.75" customHeight="1" x14ac:dyDescent="0.3">
      <c r="A213" s="144" t="str">
        <f>+IF(PROVEEDORES[[#This Row],[FECHA DE PAGO]]=PROVEEDORES[[#This Row],[FECHA DE FACTURACIÓN]],"DE CONTADO","CRÉDITO")</f>
        <v>CRÉDITO</v>
      </c>
      <c r="B213" s="144" t="str">
        <f>+IF((PROVEEDORES[[#This Row],[FECHA DE PAGO]]-PROVEEDORES[[#This Row],[FECHA DE FACTURACIÓN]])&gt;PROVEEDORES[[#This Row],[PLAZO Días]],"PAGO VENCIDO")</f>
        <v>PAGO VENCIDO</v>
      </c>
      <c r="C213" s="144">
        <f>+VLOOKUP(PROVEEDORES[[#This Row],[PROVEEDOR]],TERCEROS_INFO[#All],2,FALSE)</f>
        <v>0</v>
      </c>
      <c r="D213" s="145">
        <f>+SUMIFS(PROVEEDORES[Total],PROVEEDORES[PROVEEDOR],PROVEEDORES[[#This Row],[PROVEEDOR]],PROVEEDORES[FECHA DE PAGO],"")</f>
        <v>12082215</v>
      </c>
      <c r="E213" s="146"/>
      <c r="F213" s="144" t="str">
        <f>+VLOOKUP(PROVEEDORES[[#This Row],[PROVEEDOR]],
                       Terceros!$A:$G,
                       5,
                       FALSE)</f>
        <v>2,5% con base</v>
      </c>
      <c r="G213" s="122">
        <v>45030</v>
      </c>
      <c r="H213" s="102" t="s">
        <v>31</v>
      </c>
      <c r="I213" s="122">
        <v>44964</v>
      </c>
      <c r="J213" s="103" t="s">
        <v>577</v>
      </c>
      <c r="K213" s="103" t="s">
        <v>1512</v>
      </c>
      <c r="L213" s="103"/>
      <c r="M213" s="105">
        <v>8898000</v>
      </c>
      <c r="N213" s="147">
        <v>1690620</v>
      </c>
      <c r="O213" s="147">
        <v>0</v>
      </c>
      <c r="P213" s="148">
        <v>2.5000000000000001E-2</v>
      </c>
      <c r="Q213" s="147">
        <v>222450</v>
      </c>
      <c r="R213" s="149">
        <v>10366170</v>
      </c>
      <c r="S2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" s="150">
        <f ca="1">+IF(PROVEEDORES[[#This Row],[FECHA DE PAGO]]=0,TODAY()-PROVEEDORES[[#This Row],[FECHA DE FACTURACIÓN]]-PROVEEDORES[[#This Row],[PLAZO Días]],0)</f>
        <v>0</v>
      </c>
      <c r="U213" s="150">
        <f>+VLOOKUP(PROVEEDORES[[#This Row],[PROVEEDOR]],Terceros!$A:$E,4,FALSE)</f>
        <v>0.19</v>
      </c>
      <c r="V213" s="150">
        <f>+YEAR(PROVEEDORES[[#This Row],[FECHA DE FACTURACIÓN]])</f>
        <v>2023</v>
      </c>
      <c r="W213" s="150">
        <f>+MATCH(PROVEEDORES[[#This Row],[año facturado]],Retenciones!$1:$1,0)</f>
        <v>6</v>
      </c>
      <c r="X213" s="151" t="e">
        <f>+VLOOKUP(PROVEEDORES[[#This Row],[ID RETENCION]],Retenciones!$A$1:$O$25,PROVEEDORES[[#This Row],[indicador de columna]],FALSE)</f>
        <v>#N/A</v>
      </c>
      <c r="Y213" s="152" t="e">
        <f>+VLOOKUP(PROVEEDORES[[#This Row],[ID RETENCION]],Retenciones!$A$1:$O$25,2,FALSE)</f>
        <v>#N/A</v>
      </c>
      <c r="Z213" s="153" t="b">
        <f>+OR(COUNTIF(PROVEEDORES[[#This Row],[PROVEEDOR]],"*"&amp;'Palabra que no opera y Listas d'!$A$2&amp;"*"))</f>
        <v>0</v>
      </c>
    </row>
    <row r="214" spans="1:26" ht="27.75" customHeight="1" x14ac:dyDescent="0.3">
      <c r="A214" s="144" t="str">
        <f>+IF(PROVEEDORES[[#This Row],[FECHA DE PAGO]]=PROVEEDORES[[#This Row],[FECHA DE FACTURACIÓN]],"DE CONTADO","CRÉDITO")</f>
        <v>CRÉDITO</v>
      </c>
      <c r="B214" s="144" t="str">
        <f>+IF((PROVEEDORES[[#This Row],[FECHA DE PAGO]]-PROVEEDORES[[#This Row],[FECHA DE FACTURACIÓN]])&gt;PROVEEDORES[[#This Row],[PLAZO Días]],"PAGO VENCIDO")</f>
        <v>PAGO VENCIDO</v>
      </c>
      <c r="C214" s="144">
        <f>+VLOOKUP(PROVEEDORES[[#This Row],[PROVEEDOR]],TERCEROS_INFO[#All],2,FALSE)</f>
        <v>0</v>
      </c>
      <c r="D214" s="145">
        <f>+SUMIFS(PROVEEDORES[Total],PROVEEDORES[PROVEEDOR],PROVEEDORES[[#This Row],[PROVEEDOR]],PROVEEDORES[FECHA DE PAGO],"")</f>
        <v>0</v>
      </c>
      <c r="E214" s="146"/>
      <c r="F214" s="144">
        <f>+VLOOKUP(PROVEEDORES[[#This Row],[PROVEEDOR]],
                       Terceros!$A:$G,
                       5,
                       FALSE)</f>
        <v>0</v>
      </c>
      <c r="G214" s="122">
        <v>45030</v>
      </c>
      <c r="H214" s="102" t="s">
        <v>1788</v>
      </c>
      <c r="I214" s="122">
        <v>44978</v>
      </c>
      <c r="J214" s="103" t="s">
        <v>609</v>
      </c>
      <c r="K214" s="103" t="s">
        <v>1512</v>
      </c>
      <c r="L214" s="103"/>
      <c r="M214" s="105">
        <v>1395000</v>
      </c>
      <c r="N214" s="147">
        <v>0</v>
      </c>
      <c r="O214" s="147">
        <v>0</v>
      </c>
      <c r="P214" s="148">
        <v>0</v>
      </c>
      <c r="Q214" s="147">
        <v>0</v>
      </c>
      <c r="R214" s="149">
        <v>1395000</v>
      </c>
      <c r="S2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" s="150">
        <f ca="1">+IF(PROVEEDORES[[#This Row],[FECHA DE PAGO]]=0,TODAY()-PROVEEDORES[[#This Row],[FECHA DE FACTURACIÓN]]-PROVEEDORES[[#This Row],[PLAZO Días]],0)</f>
        <v>0</v>
      </c>
      <c r="U214" s="150">
        <f>+VLOOKUP(PROVEEDORES[[#This Row],[PROVEEDOR]],Terceros!$A:$E,4,FALSE)</f>
        <v>0</v>
      </c>
      <c r="V214" s="150">
        <f>+YEAR(PROVEEDORES[[#This Row],[FECHA DE FACTURACIÓN]])</f>
        <v>2023</v>
      </c>
      <c r="W214" s="150">
        <f>+MATCH(PROVEEDORES[[#This Row],[año facturado]],Retenciones!$1:$1,0)</f>
        <v>6</v>
      </c>
      <c r="X214" s="151">
        <f>+VLOOKUP(PROVEEDORES[[#This Row],[ID RETENCION]],Retenciones!$A$1:$O$25,PROVEEDORES[[#This Row],[indicador de columna]],FALSE)</f>
        <v>0</v>
      </c>
      <c r="Y214" s="152">
        <f>+VLOOKUP(PROVEEDORES[[#This Row],[ID RETENCION]],Retenciones!$A$1:$O$25,2,FALSE)</f>
        <v>0</v>
      </c>
      <c r="Z214" s="153" t="b">
        <f>+OR(COUNTIF(PROVEEDORES[[#This Row],[PROVEEDOR]],"*"&amp;'Palabra que no opera y Listas d'!$A$2&amp;"*"))</f>
        <v>0</v>
      </c>
    </row>
    <row r="215" spans="1:26" ht="27.75" customHeight="1" x14ac:dyDescent="0.3">
      <c r="A215" s="144" t="str">
        <f>+IF(PROVEEDORES[[#This Row],[FECHA DE PAGO]]=PROVEEDORES[[#This Row],[FECHA DE FACTURACIÓN]],"DE CONTADO","CRÉDITO")</f>
        <v>CRÉDITO</v>
      </c>
      <c r="B215" s="144" t="str">
        <f>+IF((PROVEEDORES[[#This Row],[FECHA DE PAGO]]-PROVEEDORES[[#This Row],[FECHA DE FACTURACIÓN]])&gt;PROVEEDORES[[#This Row],[PLAZO Días]],"PAGO VENCIDO")</f>
        <v>PAGO VENCIDO</v>
      </c>
      <c r="C215" s="144">
        <f>+VLOOKUP(PROVEEDORES[[#This Row],[PROVEEDOR]],TERCEROS_INFO[#All],2,FALSE)</f>
        <v>0</v>
      </c>
      <c r="D215" s="145">
        <f>+SUMIFS(PROVEEDORES[Total],PROVEEDORES[PROVEEDOR],PROVEEDORES[[#This Row],[PROVEEDOR]],PROVEEDORES[FECHA DE PAGO],"")</f>
        <v>0</v>
      </c>
      <c r="E215" s="146"/>
      <c r="F215" s="144">
        <f>+VLOOKUP(PROVEEDORES[[#This Row],[PROVEEDOR]],
                       Terceros!$A:$G,
                       5,
                       FALSE)</f>
        <v>0</v>
      </c>
      <c r="G215" s="122">
        <v>45030</v>
      </c>
      <c r="H215" s="102" t="s">
        <v>388</v>
      </c>
      <c r="I215" s="122">
        <v>45019</v>
      </c>
      <c r="J215" s="103" t="s">
        <v>697</v>
      </c>
      <c r="K215" s="103" t="s">
        <v>1512</v>
      </c>
      <c r="L215" s="103"/>
      <c r="M215" s="105">
        <v>1840056</v>
      </c>
      <c r="N215" s="147">
        <v>0</v>
      </c>
      <c r="O215" s="147">
        <v>0</v>
      </c>
      <c r="P215" s="148">
        <v>0</v>
      </c>
      <c r="Q215" s="147">
        <v>0</v>
      </c>
      <c r="R215" s="149">
        <v>1840056</v>
      </c>
      <c r="S2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" s="150">
        <f ca="1">+IF(PROVEEDORES[[#This Row],[FECHA DE PAGO]]=0,TODAY()-PROVEEDORES[[#This Row],[FECHA DE FACTURACIÓN]]-PROVEEDORES[[#This Row],[PLAZO Días]],0)</f>
        <v>0</v>
      </c>
      <c r="U215" s="150">
        <f>+VLOOKUP(PROVEEDORES[[#This Row],[PROVEEDOR]],Terceros!$A:$E,4,FALSE)</f>
        <v>0</v>
      </c>
      <c r="V215" s="150">
        <f>+YEAR(PROVEEDORES[[#This Row],[FECHA DE FACTURACIÓN]])</f>
        <v>2023</v>
      </c>
      <c r="W215" s="150">
        <f>+MATCH(PROVEEDORES[[#This Row],[año facturado]],Retenciones!$1:$1,0)</f>
        <v>6</v>
      </c>
      <c r="X215" s="151">
        <f>+VLOOKUP(PROVEEDORES[[#This Row],[ID RETENCION]],Retenciones!$A$1:$O$25,PROVEEDORES[[#This Row],[indicador de columna]],FALSE)</f>
        <v>0</v>
      </c>
      <c r="Y215" s="152">
        <f>+VLOOKUP(PROVEEDORES[[#This Row],[ID RETENCION]],Retenciones!$A$1:$O$25,2,FALSE)</f>
        <v>0</v>
      </c>
      <c r="Z215" s="153" t="b">
        <f>+OR(COUNTIF(PROVEEDORES[[#This Row],[PROVEEDOR]],"*"&amp;'Palabra que no opera y Listas d'!$A$2&amp;"*"))</f>
        <v>1</v>
      </c>
    </row>
    <row r="216" spans="1:26" ht="27.75" customHeight="1" x14ac:dyDescent="0.3">
      <c r="A216" s="144" t="str">
        <f>+IF(PROVEEDORES[[#This Row],[FECHA DE PAGO]]=PROVEEDORES[[#This Row],[FECHA DE FACTURACIÓN]],"DE CONTADO","CRÉDITO")</f>
        <v>CRÉDITO</v>
      </c>
      <c r="B216" s="144" t="str">
        <f>+IF((PROVEEDORES[[#This Row],[FECHA DE PAGO]]-PROVEEDORES[[#This Row],[FECHA DE FACTURACIÓN]])&gt;PROVEEDORES[[#This Row],[PLAZO Días]],"PAGO VENCIDO")</f>
        <v>PAGO VENCIDO</v>
      </c>
      <c r="C216" s="144">
        <f>+VLOOKUP(PROVEEDORES[[#This Row],[PROVEEDOR]],TERCEROS_INFO[#All],2,FALSE)</f>
        <v>0</v>
      </c>
      <c r="D216" s="145">
        <f>+SUMIFS(PROVEEDORES[Total],PROVEEDORES[PROVEEDOR],PROVEEDORES[[#This Row],[PROVEEDOR]],PROVEEDORES[FECHA DE PAGO],"")</f>
        <v>0</v>
      </c>
      <c r="E216" s="146"/>
      <c r="F216" s="144">
        <f>+VLOOKUP(PROVEEDORES[[#This Row],[PROVEEDOR]],
                       Terceros!$A:$G,
                       5,
                       FALSE)</f>
        <v>0</v>
      </c>
      <c r="G216" s="122">
        <v>45030</v>
      </c>
      <c r="H216" s="102" t="s">
        <v>496</v>
      </c>
      <c r="I216" s="122">
        <v>45029</v>
      </c>
      <c r="J216" s="103" t="s">
        <v>738</v>
      </c>
      <c r="K216" s="103" t="s">
        <v>1512</v>
      </c>
      <c r="L216" s="103"/>
      <c r="M216" s="105">
        <v>2877000</v>
      </c>
      <c r="N216" s="147">
        <v>0</v>
      </c>
      <c r="O216" s="147">
        <v>0</v>
      </c>
      <c r="P216" s="148">
        <v>0</v>
      </c>
      <c r="Q216" s="147">
        <v>0</v>
      </c>
      <c r="R216" s="149">
        <v>2877000</v>
      </c>
      <c r="S2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" s="150">
        <f ca="1">+IF(PROVEEDORES[[#This Row],[FECHA DE PAGO]]=0,TODAY()-PROVEEDORES[[#This Row],[FECHA DE FACTURACIÓN]]-PROVEEDORES[[#This Row],[PLAZO Días]],0)</f>
        <v>0</v>
      </c>
      <c r="U216" s="150">
        <f>+VLOOKUP(PROVEEDORES[[#This Row],[PROVEEDOR]],Terceros!$A:$E,4,FALSE)</f>
        <v>0</v>
      </c>
      <c r="V216" s="150">
        <f>+YEAR(PROVEEDORES[[#This Row],[FECHA DE FACTURACIÓN]])</f>
        <v>2023</v>
      </c>
      <c r="W216" s="150">
        <f>+MATCH(PROVEEDORES[[#This Row],[año facturado]],Retenciones!$1:$1,0)</f>
        <v>6</v>
      </c>
      <c r="X216" s="151">
        <f>+VLOOKUP(PROVEEDORES[[#This Row],[ID RETENCION]],Retenciones!$A$1:$O$25,PROVEEDORES[[#This Row],[indicador de columna]],FALSE)</f>
        <v>0</v>
      </c>
      <c r="Y216" s="152">
        <f>+VLOOKUP(PROVEEDORES[[#This Row],[ID RETENCION]],Retenciones!$A$1:$O$25,2,FALSE)</f>
        <v>0</v>
      </c>
      <c r="Z216" s="153" t="b">
        <f>+OR(COUNTIF(PROVEEDORES[[#This Row],[PROVEEDOR]],"*"&amp;'Palabra que no opera y Listas d'!$A$2&amp;"*"))</f>
        <v>0</v>
      </c>
    </row>
    <row r="217" spans="1:26" ht="27.75" customHeight="1" x14ac:dyDescent="0.3">
      <c r="A217" s="144" t="str">
        <f>+IF(PROVEEDORES[[#This Row],[FECHA DE PAGO]]=PROVEEDORES[[#This Row],[FECHA DE FACTURACIÓN]],"DE CONTADO","CRÉDITO")</f>
        <v>DE CONTADO</v>
      </c>
      <c r="B217" s="144" t="b">
        <f>+IF((PROVEEDORES[[#This Row],[FECHA DE PAGO]]-PROVEEDORES[[#This Row],[FECHA DE FACTURACIÓN]])&gt;PROVEEDORES[[#This Row],[PLAZO Días]],"PAGO VENCIDO")</f>
        <v>0</v>
      </c>
      <c r="C217" s="144">
        <f>+VLOOKUP(PROVEEDORES[[#This Row],[PROVEEDOR]],TERCEROS_INFO[#All],2,FALSE)</f>
        <v>0</v>
      </c>
      <c r="D217" s="145">
        <f>+SUMIFS(PROVEEDORES[Total],PROVEEDORES[PROVEEDOR],PROVEEDORES[[#This Row],[PROVEEDOR]],PROVEEDORES[FECHA DE PAGO],"")</f>
        <v>0</v>
      </c>
      <c r="E217" s="146"/>
      <c r="F217" s="144">
        <f>+VLOOKUP(PROVEEDORES[[#This Row],[PROVEEDOR]],
                       Terceros!$A:$G,
                       5,
                       FALSE)</f>
        <v>0</v>
      </c>
      <c r="G217" s="122">
        <v>45030</v>
      </c>
      <c r="H217" s="102" t="s">
        <v>1785</v>
      </c>
      <c r="I217" s="122">
        <v>45030</v>
      </c>
      <c r="J217" s="103" t="s">
        <v>1054</v>
      </c>
      <c r="K217" s="103" t="s">
        <v>1512</v>
      </c>
      <c r="L217" s="103"/>
      <c r="M217" s="105">
        <v>89000</v>
      </c>
      <c r="N217" s="147">
        <v>0</v>
      </c>
      <c r="O217" s="147">
        <v>0</v>
      </c>
      <c r="P217" s="148">
        <v>0</v>
      </c>
      <c r="Q217" s="147">
        <v>0</v>
      </c>
      <c r="R217" s="149">
        <v>89000</v>
      </c>
      <c r="S2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" s="150">
        <f ca="1">+IF(PROVEEDORES[[#This Row],[FECHA DE PAGO]]=0,TODAY()-PROVEEDORES[[#This Row],[FECHA DE FACTURACIÓN]]-PROVEEDORES[[#This Row],[PLAZO Días]],0)</f>
        <v>0</v>
      </c>
      <c r="U217" s="150">
        <f>+VLOOKUP(PROVEEDORES[[#This Row],[PROVEEDOR]],Terceros!$A:$E,4,FALSE)</f>
        <v>0</v>
      </c>
      <c r="V217" s="150">
        <f>+YEAR(PROVEEDORES[[#This Row],[FECHA DE FACTURACIÓN]])</f>
        <v>2023</v>
      </c>
      <c r="W217" s="150">
        <f>+MATCH(PROVEEDORES[[#This Row],[año facturado]],Retenciones!$1:$1,0)</f>
        <v>6</v>
      </c>
      <c r="X217" s="151">
        <f>+VLOOKUP(PROVEEDORES[[#This Row],[ID RETENCION]],Retenciones!$A$1:$O$25,PROVEEDORES[[#This Row],[indicador de columna]],FALSE)</f>
        <v>0</v>
      </c>
      <c r="Y217" s="152">
        <f>+VLOOKUP(PROVEEDORES[[#This Row],[ID RETENCION]],Retenciones!$A$1:$O$25,2,FALSE)</f>
        <v>0</v>
      </c>
      <c r="Z217" s="153" t="b">
        <f>+OR(COUNTIF(PROVEEDORES[[#This Row],[PROVEEDOR]],"*"&amp;'Palabra que no opera y Listas d'!$A$2&amp;"*"))</f>
        <v>0</v>
      </c>
    </row>
    <row r="218" spans="1:26" ht="27.75" customHeight="1" x14ac:dyDescent="0.3">
      <c r="A218" s="144" t="str">
        <f>+IF(PROVEEDORES[[#This Row],[FECHA DE PAGO]]=PROVEEDORES[[#This Row],[FECHA DE FACTURACIÓN]],"DE CONTADO","CRÉDITO")</f>
        <v>DE CONTADO</v>
      </c>
      <c r="B218" s="144" t="b">
        <f>+IF((PROVEEDORES[[#This Row],[FECHA DE PAGO]]-PROVEEDORES[[#This Row],[FECHA DE FACTURACIÓN]])&gt;PROVEEDORES[[#This Row],[PLAZO Días]],"PAGO VENCIDO")</f>
        <v>0</v>
      </c>
      <c r="C218" s="144">
        <f>+VLOOKUP(PROVEEDORES[[#This Row],[PROVEEDOR]],TERCEROS_INFO[#All],2,FALSE)</f>
        <v>0</v>
      </c>
      <c r="D218" s="145">
        <f>+SUMIFS(PROVEEDORES[Total],PROVEEDORES[PROVEEDOR],PROVEEDORES[[#This Row],[PROVEEDOR]],PROVEEDORES[FECHA DE PAGO],"")</f>
        <v>0</v>
      </c>
      <c r="E218" s="146"/>
      <c r="F218" s="144">
        <f>+VLOOKUP(PROVEEDORES[[#This Row],[PROVEEDOR]],
                       Terceros!$A:$G,
                       5,
                       FALSE)</f>
        <v>0</v>
      </c>
      <c r="G218" s="122">
        <v>45030</v>
      </c>
      <c r="H218" s="102" t="s">
        <v>537</v>
      </c>
      <c r="I218" s="122">
        <v>45030</v>
      </c>
      <c r="J218" s="103" t="s">
        <v>732</v>
      </c>
      <c r="K218" s="103" t="s">
        <v>1512</v>
      </c>
      <c r="L218" s="103"/>
      <c r="M218" s="105">
        <v>90000</v>
      </c>
      <c r="N218" s="147">
        <v>0</v>
      </c>
      <c r="O218" s="147">
        <v>0</v>
      </c>
      <c r="P218" s="148">
        <v>0</v>
      </c>
      <c r="Q218" s="147">
        <v>0</v>
      </c>
      <c r="R218" s="149">
        <v>90000</v>
      </c>
      <c r="S2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" s="150">
        <f ca="1">+IF(PROVEEDORES[[#This Row],[FECHA DE PAGO]]=0,TODAY()-PROVEEDORES[[#This Row],[FECHA DE FACTURACIÓN]]-PROVEEDORES[[#This Row],[PLAZO Días]],0)</f>
        <v>0</v>
      </c>
      <c r="U218" s="150">
        <f>+VLOOKUP(PROVEEDORES[[#This Row],[PROVEEDOR]],Terceros!$A:$E,4,FALSE)</f>
        <v>0</v>
      </c>
      <c r="V218" s="150">
        <f>+YEAR(PROVEEDORES[[#This Row],[FECHA DE FACTURACIÓN]])</f>
        <v>2023</v>
      </c>
      <c r="W218" s="150">
        <f>+MATCH(PROVEEDORES[[#This Row],[año facturado]],Retenciones!$1:$1,0)</f>
        <v>6</v>
      </c>
      <c r="X218" s="151">
        <f>+VLOOKUP(PROVEEDORES[[#This Row],[ID RETENCION]],Retenciones!$A$1:$O$25,PROVEEDORES[[#This Row],[indicador de columna]],FALSE)</f>
        <v>0</v>
      </c>
      <c r="Y218" s="152">
        <f>+VLOOKUP(PROVEEDORES[[#This Row],[ID RETENCION]],Retenciones!$A$1:$O$25,2,FALSE)</f>
        <v>0</v>
      </c>
      <c r="Z218" s="153" t="b">
        <f>+OR(COUNTIF(PROVEEDORES[[#This Row],[PROVEEDOR]],"*"&amp;'Palabra que no opera y Listas d'!$A$2&amp;"*"))</f>
        <v>0</v>
      </c>
    </row>
    <row r="219" spans="1:26" ht="27.75" customHeight="1" x14ac:dyDescent="0.3">
      <c r="A219" s="144" t="str">
        <f>+IF(PROVEEDORES[[#This Row],[FECHA DE PAGO]]=PROVEEDORES[[#This Row],[FECHA DE FACTURACIÓN]],"DE CONTADO","CRÉDITO")</f>
        <v>CRÉDITO</v>
      </c>
      <c r="B219" s="144" t="str">
        <f>+IF((PROVEEDORES[[#This Row],[FECHA DE PAGO]]-PROVEEDORES[[#This Row],[FECHA DE FACTURACIÓN]])&gt;PROVEEDORES[[#This Row],[PLAZO Días]],"PAGO VENCIDO")</f>
        <v>PAGO VENCIDO</v>
      </c>
      <c r="C219" s="144">
        <f>+VLOOKUP(PROVEEDORES[[#This Row],[PROVEEDOR]],TERCEROS_INFO[#All],2,FALSE)</f>
        <v>0</v>
      </c>
      <c r="D219" s="145">
        <f>+SUMIFS(PROVEEDORES[Total],PROVEEDORES[PROVEEDOR],PROVEEDORES[[#This Row],[PROVEEDOR]],PROVEEDORES[FECHA DE PAGO],"")</f>
        <v>0</v>
      </c>
      <c r="E219" s="146"/>
      <c r="F219" s="144">
        <f>+VLOOKUP(PROVEEDORES[[#This Row],[PROVEEDOR]],
                       Terceros!$A:$G,
                       5,
                       FALSE)</f>
        <v>0</v>
      </c>
      <c r="G219" s="122">
        <v>45031</v>
      </c>
      <c r="H219" s="102" t="s">
        <v>191</v>
      </c>
      <c r="I219" s="122">
        <v>44957</v>
      </c>
      <c r="J219" s="103">
        <v>532</v>
      </c>
      <c r="K219" s="103" t="s">
        <v>1512</v>
      </c>
      <c r="L219" s="103"/>
      <c r="M219" s="105">
        <v>67538</v>
      </c>
      <c r="N219" s="147">
        <v>0</v>
      </c>
      <c r="O219" s="147">
        <v>0</v>
      </c>
      <c r="P219" s="148">
        <v>0</v>
      </c>
      <c r="Q219" s="147">
        <v>0</v>
      </c>
      <c r="R219" s="149">
        <v>67538</v>
      </c>
      <c r="S2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" s="150">
        <f ca="1">+IF(PROVEEDORES[[#This Row],[FECHA DE PAGO]]=0,TODAY()-PROVEEDORES[[#This Row],[FECHA DE FACTURACIÓN]]-PROVEEDORES[[#This Row],[PLAZO Días]],0)</f>
        <v>0</v>
      </c>
      <c r="U219" s="150">
        <f>+VLOOKUP(PROVEEDORES[[#This Row],[PROVEEDOR]],Terceros!$A:$E,4,FALSE)</f>
        <v>0</v>
      </c>
      <c r="V219" s="150">
        <f>+YEAR(PROVEEDORES[[#This Row],[FECHA DE FACTURACIÓN]])</f>
        <v>2023</v>
      </c>
      <c r="W219" s="150">
        <f>+MATCH(PROVEEDORES[[#This Row],[año facturado]],Retenciones!$1:$1,0)</f>
        <v>6</v>
      </c>
      <c r="X219" s="151">
        <f>+VLOOKUP(PROVEEDORES[[#This Row],[ID RETENCION]],Retenciones!$A$1:$O$25,PROVEEDORES[[#This Row],[indicador de columna]],FALSE)</f>
        <v>0</v>
      </c>
      <c r="Y219" s="152">
        <f>+VLOOKUP(PROVEEDORES[[#This Row],[ID RETENCION]],Retenciones!$A$1:$O$25,2,FALSE)</f>
        <v>0</v>
      </c>
      <c r="Z219" s="153" t="b">
        <f>+OR(COUNTIF(PROVEEDORES[[#This Row],[PROVEEDOR]],"*"&amp;'Palabra que no opera y Listas d'!$A$2&amp;"*"))</f>
        <v>0</v>
      </c>
    </row>
    <row r="220" spans="1:26" ht="27.75" customHeight="1" x14ac:dyDescent="0.3">
      <c r="A220" s="144" t="str">
        <f>+IF(PROVEEDORES[[#This Row],[FECHA DE PAGO]]=PROVEEDORES[[#This Row],[FECHA DE FACTURACIÓN]],"DE CONTADO","CRÉDITO")</f>
        <v>CRÉDITO</v>
      </c>
      <c r="B220" s="144" t="str">
        <f>+IF((PROVEEDORES[[#This Row],[FECHA DE PAGO]]-PROVEEDORES[[#This Row],[FECHA DE FACTURACIÓN]])&gt;PROVEEDORES[[#This Row],[PLAZO Días]],"PAGO VENCIDO")</f>
        <v>PAGO VENCIDO</v>
      </c>
      <c r="C220" s="144">
        <f>+VLOOKUP(PROVEEDORES[[#This Row],[PROVEEDOR]],TERCEROS_INFO[#All],2,FALSE)</f>
        <v>0</v>
      </c>
      <c r="D220" s="145">
        <f>+SUMIFS(PROVEEDORES[Total],PROVEEDORES[PROVEEDOR],PROVEEDORES[[#This Row],[PROVEEDOR]],PROVEEDORES[FECHA DE PAGO],"")</f>
        <v>0</v>
      </c>
      <c r="E220" s="146"/>
      <c r="F220" s="144">
        <f>+VLOOKUP(PROVEEDORES[[#This Row],[PROVEEDOR]],
                       Terceros!$A:$G,
                       5,
                       FALSE)</f>
        <v>0</v>
      </c>
      <c r="G220" s="122">
        <v>45031</v>
      </c>
      <c r="H220" s="102" t="s">
        <v>191</v>
      </c>
      <c r="I220" s="122">
        <v>45008</v>
      </c>
      <c r="J220" s="103">
        <v>559</v>
      </c>
      <c r="K220" s="103" t="s">
        <v>1512</v>
      </c>
      <c r="L220" s="103"/>
      <c r="M220" s="105">
        <v>0</v>
      </c>
      <c r="N220" s="147">
        <v>0</v>
      </c>
      <c r="O220" s="147">
        <v>0</v>
      </c>
      <c r="P220" s="148">
        <v>0</v>
      </c>
      <c r="Q220" s="147">
        <v>0</v>
      </c>
      <c r="R220" s="149">
        <v>0</v>
      </c>
      <c r="S2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" s="150">
        <f ca="1">+IF(PROVEEDORES[[#This Row],[FECHA DE PAGO]]=0,TODAY()-PROVEEDORES[[#This Row],[FECHA DE FACTURACIÓN]]-PROVEEDORES[[#This Row],[PLAZO Días]],0)</f>
        <v>0</v>
      </c>
      <c r="U220" s="150">
        <f>+VLOOKUP(PROVEEDORES[[#This Row],[PROVEEDOR]],Terceros!$A:$E,4,FALSE)</f>
        <v>0</v>
      </c>
      <c r="V220" s="150">
        <f>+YEAR(PROVEEDORES[[#This Row],[FECHA DE FACTURACIÓN]])</f>
        <v>2023</v>
      </c>
      <c r="W220" s="150">
        <f>+MATCH(PROVEEDORES[[#This Row],[año facturado]],Retenciones!$1:$1,0)</f>
        <v>6</v>
      </c>
      <c r="X220" s="151">
        <f>+VLOOKUP(PROVEEDORES[[#This Row],[ID RETENCION]],Retenciones!$A$1:$O$25,PROVEEDORES[[#This Row],[indicador de columna]],FALSE)</f>
        <v>0</v>
      </c>
      <c r="Y220" s="152">
        <f>+VLOOKUP(PROVEEDORES[[#This Row],[ID RETENCION]],Retenciones!$A$1:$O$25,2,FALSE)</f>
        <v>0</v>
      </c>
      <c r="Z220" s="153" t="b">
        <f>+OR(COUNTIF(PROVEEDORES[[#This Row],[PROVEEDOR]],"*"&amp;'Palabra que no opera y Listas d'!$A$2&amp;"*"))</f>
        <v>0</v>
      </c>
    </row>
    <row r="221" spans="1:26" ht="27.75" customHeight="1" x14ac:dyDescent="0.3">
      <c r="A221" s="144" t="str">
        <f>+IF(PROVEEDORES[[#This Row],[FECHA DE PAGO]]=PROVEEDORES[[#This Row],[FECHA DE FACTURACIÓN]],"DE CONTADO","CRÉDITO")</f>
        <v>CRÉDITO</v>
      </c>
      <c r="B221" s="144" t="str">
        <f>+IF((PROVEEDORES[[#This Row],[FECHA DE PAGO]]-PROVEEDORES[[#This Row],[FECHA DE FACTURACIÓN]])&gt;PROVEEDORES[[#This Row],[PLAZO Días]],"PAGO VENCIDO")</f>
        <v>PAGO VENCIDO</v>
      </c>
      <c r="C221" s="144">
        <f>+VLOOKUP(PROVEEDORES[[#This Row],[PROVEEDOR]],TERCEROS_INFO[#All],2,FALSE)</f>
        <v>0</v>
      </c>
      <c r="D221" s="145">
        <f>+SUMIFS(PROVEEDORES[Total],PROVEEDORES[PROVEEDOR],PROVEEDORES[[#This Row],[PROVEEDOR]],PROVEEDORES[FECHA DE PAGO],"")</f>
        <v>0</v>
      </c>
      <c r="E221" s="146"/>
      <c r="F221" s="144">
        <f>+VLOOKUP(PROVEEDORES[[#This Row],[PROVEEDOR]],
                       Terceros!$A:$G,
                       5,
                       FALSE)</f>
        <v>0</v>
      </c>
      <c r="G221" s="122">
        <v>45031</v>
      </c>
      <c r="H221" s="102" t="s">
        <v>191</v>
      </c>
      <c r="I221" s="122">
        <v>45009</v>
      </c>
      <c r="J221" s="103">
        <v>560</v>
      </c>
      <c r="K221" s="103" t="s">
        <v>1512</v>
      </c>
      <c r="L221" s="103"/>
      <c r="M221" s="105">
        <v>32039</v>
      </c>
      <c r="N221" s="147">
        <v>0</v>
      </c>
      <c r="O221" s="147">
        <v>0</v>
      </c>
      <c r="P221" s="148">
        <v>0</v>
      </c>
      <c r="Q221" s="147">
        <v>0</v>
      </c>
      <c r="R221" s="149">
        <v>32039</v>
      </c>
      <c r="S2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" s="150">
        <f ca="1">+IF(PROVEEDORES[[#This Row],[FECHA DE PAGO]]=0,TODAY()-PROVEEDORES[[#This Row],[FECHA DE FACTURACIÓN]]-PROVEEDORES[[#This Row],[PLAZO Días]],0)</f>
        <v>0</v>
      </c>
      <c r="U221" s="150">
        <f>+VLOOKUP(PROVEEDORES[[#This Row],[PROVEEDOR]],Terceros!$A:$E,4,FALSE)</f>
        <v>0</v>
      </c>
      <c r="V221" s="150">
        <f>+YEAR(PROVEEDORES[[#This Row],[FECHA DE FACTURACIÓN]])</f>
        <v>2023</v>
      </c>
      <c r="W221" s="150">
        <f>+MATCH(PROVEEDORES[[#This Row],[año facturado]],Retenciones!$1:$1,0)</f>
        <v>6</v>
      </c>
      <c r="X221" s="151">
        <f>+VLOOKUP(PROVEEDORES[[#This Row],[ID RETENCION]],Retenciones!$A$1:$O$25,PROVEEDORES[[#This Row],[indicador de columna]],FALSE)</f>
        <v>0</v>
      </c>
      <c r="Y221" s="152">
        <f>+VLOOKUP(PROVEEDORES[[#This Row],[ID RETENCION]],Retenciones!$A$1:$O$25,2,FALSE)</f>
        <v>0</v>
      </c>
      <c r="Z221" s="153" t="b">
        <f>+OR(COUNTIF(PROVEEDORES[[#This Row],[PROVEEDOR]],"*"&amp;'Palabra que no opera y Listas d'!$A$2&amp;"*"))</f>
        <v>0</v>
      </c>
    </row>
    <row r="222" spans="1:26" ht="27.75" customHeight="1" x14ac:dyDescent="0.3">
      <c r="A222" s="144" t="str">
        <f>+IF(PROVEEDORES[[#This Row],[FECHA DE PAGO]]=PROVEEDORES[[#This Row],[FECHA DE FACTURACIÓN]],"DE CONTADO","CRÉDITO")</f>
        <v>CRÉDITO</v>
      </c>
      <c r="B222" s="144" t="str">
        <f>+IF((PROVEEDORES[[#This Row],[FECHA DE PAGO]]-PROVEEDORES[[#This Row],[FECHA DE FACTURACIÓN]])&gt;PROVEEDORES[[#This Row],[PLAZO Días]],"PAGO VENCIDO")</f>
        <v>PAGO VENCIDO</v>
      </c>
      <c r="C222" s="144">
        <f>+VLOOKUP(PROVEEDORES[[#This Row],[PROVEEDOR]],TERCEROS_INFO[#All],2,FALSE)</f>
        <v>0</v>
      </c>
      <c r="D222" s="145">
        <f>+SUMIFS(PROVEEDORES[Total],PROVEEDORES[PROVEEDOR],PROVEEDORES[[#This Row],[PROVEEDOR]],PROVEEDORES[FECHA DE PAGO],"")</f>
        <v>0</v>
      </c>
      <c r="E222" s="146"/>
      <c r="F222" s="144">
        <f>+VLOOKUP(PROVEEDORES[[#This Row],[PROVEEDOR]],
                       Terceros!$A:$G,
                       5,
                       FALSE)</f>
        <v>0</v>
      </c>
      <c r="G222" s="122">
        <v>45031</v>
      </c>
      <c r="H222" s="102" t="s">
        <v>191</v>
      </c>
      <c r="I222" s="122">
        <v>45022</v>
      </c>
      <c r="J222" s="103" t="s">
        <v>506</v>
      </c>
      <c r="K222" s="103" t="s">
        <v>1512</v>
      </c>
      <c r="L222" s="103"/>
      <c r="M222" s="105">
        <v>-1008779</v>
      </c>
      <c r="N222" s="147">
        <v>0</v>
      </c>
      <c r="O222" s="147">
        <v>0</v>
      </c>
      <c r="P222" s="148">
        <v>0</v>
      </c>
      <c r="Q222" s="147">
        <v>0</v>
      </c>
      <c r="R222" s="149">
        <v>-1008779</v>
      </c>
      <c r="S2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" s="150">
        <f ca="1">+IF(PROVEEDORES[[#This Row],[FECHA DE PAGO]]=0,TODAY()-PROVEEDORES[[#This Row],[FECHA DE FACTURACIÓN]]-PROVEEDORES[[#This Row],[PLAZO Días]],0)</f>
        <v>0</v>
      </c>
      <c r="U222" s="150">
        <f>+VLOOKUP(PROVEEDORES[[#This Row],[PROVEEDOR]],Terceros!$A:$E,4,FALSE)</f>
        <v>0</v>
      </c>
      <c r="V222" s="150">
        <f>+YEAR(PROVEEDORES[[#This Row],[FECHA DE FACTURACIÓN]])</f>
        <v>2023</v>
      </c>
      <c r="W222" s="150">
        <f>+MATCH(PROVEEDORES[[#This Row],[año facturado]],Retenciones!$1:$1,0)</f>
        <v>6</v>
      </c>
      <c r="X222" s="151">
        <f>+VLOOKUP(PROVEEDORES[[#This Row],[ID RETENCION]],Retenciones!$A$1:$O$25,PROVEEDORES[[#This Row],[indicador de columna]],FALSE)</f>
        <v>0</v>
      </c>
      <c r="Y222" s="152">
        <f>+VLOOKUP(PROVEEDORES[[#This Row],[ID RETENCION]],Retenciones!$A$1:$O$25,2,FALSE)</f>
        <v>0</v>
      </c>
      <c r="Z222" s="153" t="b">
        <f>+OR(COUNTIF(PROVEEDORES[[#This Row],[PROVEEDOR]],"*"&amp;'Palabra que no opera y Listas d'!$A$2&amp;"*"))</f>
        <v>0</v>
      </c>
    </row>
    <row r="223" spans="1:26" ht="27.75" customHeight="1" x14ac:dyDescent="0.3">
      <c r="A223" s="144" t="str">
        <f>+IF(PROVEEDORES[[#This Row],[FECHA DE PAGO]]=PROVEEDORES[[#This Row],[FECHA DE FACTURACIÓN]],"DE CONTADO","CRÉDITO")</f>
        <v>CRÉDITO</v>
      </c>
      <c r="B223" s="144" t="str">
        <f>+IF((PROVEEDORES[[#This Row],[FECHA DE PAGO]]-PROVEEDORES[[#This Row],[FECHA DE FACTURACIÓN]])&gt;PROVEEDORES[[#This Row],[PLAZO Días]],"PAGO VENCIDO")</f>
        <v>PAGO VENCIDO</v>
      </c>
      <c r="C223" s="144">
        <f>+VLOOKUP(PROVEEDORES[[#This Row],[PROVEEDOR]],TERCEROS_INFO[#All],2,FALSE)</f>
        <v>0</v>
      </c>
      <c r="D223" s="145">
        <f>+SUMIFS(PROVEEDORES[Total],PROVEEDORES[PROVEEDOR],PROVEEDORES[[#This Row],[PROVEEDOR]],PROVEEDORES[FECHA DE PAGO],"")</f>
        <v>0</v>
      </c>
      <c r="E223" s="146"/>
      <c r="F223" s="144">
        <f>+VLOOKUP(PROVEEDORES[[#This Row],[PROVEEDOR]],
                       Terceros!$A:$G,
                       5,
                       FALSE)</f>
        <v>0</v>
      </c>
      <c r="G223" s="122">
        <v>45031</v>
      </c>
      <c r="H223" s="102" t="s">
        <v>85</v>
      </c>
      <c r="I223" s="122">
        <v>45026</v>
      </c>
      <c r="J223" s="103" t="s">
        <v>699</v>
      </c>
      <c r="K223" s="103" t="s">
        <v>1512</v>
      </c>
      <c r="L223" s="103"/>
      <c r="M223" s="105">
        <v>0</v>
      </c>
      <c r="N223" s="147">
        <v>0</v>
      </c>
      <c r="O223" s="147">
        <v>0</v>
      </c>
      <c r="P223" s="148">
        <v>0</v>
      </c>
      <c r="Q223" s="147">
        <v>0</v>
      </c>
      <c r="R223" s="149">
        <v>0</v>
      </c>
      <c r="S2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" s="150">
        <f ca="1">+IF(PROVEEDORES[[#This Row],[FECHA DE PAGO]]=0,TODAY()-PROVEEDORES[[#This Row],[FECHA DE FACTURACIÓN]]-PROVEEDORES[[#This Row],[PLAZO Días]],0)</f>
        <v>0</v>
      </c>
      <c r="U223" s="150">
        <f>+VLOOKUP(PROVEEDORES[[#This Row],[PROVEEDOR]],Terceros!$A:$E,4,FALSE)</f>
        <v>0</v>
      </c>
      <c r="V223" s="150">
        <f>+YEAR(PROVEEDORES[[#This Row],[FECHA DE FACTURACIÓN]])</f>
        <v>2023</v>
      </c>
      <c r="W223" s="150">
        <f>+MATCH(PROVEEDORES[[#This Row],[año facturado]],Retenciones!$1:$1,0)</f>
        <v>6</v>
      </c>
      <c r="X223" s="151">
        <f>+VLOOKUP(PROVEEDORES[[#This Row],[ID RETENCION]],Retenciones!$A$1:$O$25,PROVEEDORES[[#This Row],[indicador de columna]],FALSE)</f>
        <v>0</v>
      </c>
      <c r="Y223" s="152">
        <f>+VLOOKUP(PROVEEDORES[[#This Row],[ID RETENCION]],Retenciones!$A$1:$O$25,2,FALSE)</f>
        <v>0</v>
      </c>
      <c r="Z223" s="153" t="b">
        <f>+OR(COUNTIF(PROVEEDORES[[#This Row],[PROVEEDOR]],"*"&amp;'Palabra que no opera y Listas d'!$A$2&amp;"*"))</f>
        <v>0</v>
      </c>
    </row>
    <row r="224" spans="1:26" ht="27.75" customHeight="1" x14ac:dyDescent="0.3">
      <c r="A224" s="144" t="str">
        <f>+IF(PROVEEDORES[[#This Row],[FECHA DE PAGO]]=PROVEEDORES[[#This Row],[FECHA DE FACTURACIÓN]],"DE CONTADO","CRÉDITO")</f>
        <v>CRÉDITO</v>
      </c>
      <c r="B224" s="144" t="str">
        <f>+IF((PROVEEDORES[[#This Row],[FECHA DE PAGO]]-PROVEEDORES[[#This Row],[FECHA DE FACTURACIÓN]])&gt;PROVEEDORES[[#This Row],[PLAZO Días]],"PAGO VENCIDO")</f>
        <v>PAGO VENCIDO</v>
      </c>
      <c r="C224" s="144">
        <f>+VLOOKUP(PROVEEDORES[[#This Row],[PROVEEDOR]],TERCEROS_INFO[#All],2,FALSE)</f>
        <v>0</v>
      </c>
      <c r="D224" s="145">
        <f>+SUMIFS(PROVEEDORES[Total],PROVEEDORES[PROVEEDOR],PROVEEDORES[[#This Row],[PROVEEDOR]],PROVEEDORES[FECHA DE PAGO],"")</f>
        <v>0</v>
      </c>
      <c r="E224" s="146"/>
      <c r="F224" s="144">
        <f>+VLOOKUP(PROVEEDORES[[#This Row],[PROVEEDOR]],
                       Terceros!$A:$G,
                       5,
                       FALSE)</f>
        <v>0</v>
      </c>
      <c r="G224" s="122">
        <v>45031</v>
      </c>
      <c r="H224" s="102" t="s">
        <v>85</v>
      </c>
      <c r="I224" s="122">
        <v>45026</v>
      </c>
      <c r="J224" s="103" t="s">
        <v>700</v>
      </c>
      <c r="K224" s="103" t="s">
        <v>1512</v>
      </c>
      <c r="L224" s="103"/>
      <c r="M224" s="105">
        <v>16984</v>
      </c>
      <c r="N224" s="147">
        <v>0</v>
      </c>
      <c r="O224" s="147">
        <v>0</v>
      </c>
      <c r="P224" s="148">
        <v>0</v>
      </c>
      <c r="Q224" s="147">
        <v>0</v>
      </c>
      <c r="R224" s="149">
        <v>16984</v>
      </c>
      <c r="S2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" s="150">
        <f ca="1">+IF(PROVEEDORES[[#This Row],[FECHA DE PAGO]]=0,TODAY()-PROVEEDORES[[#This Row],[FECHA DE FACTURACIÓN]]-PROVEEDORES[[#This Row],[PLAZO Días]],0)</f>
        <v>0</v>
      </c>
      <c r="U224" s="150">
        <f>+VLOOKUP(PROVEEDORES[[#This Row],[PROVEEDOR]],Terceros!$A:$E,4,FALSE)</f>
        <v>0</v>
      </c>
      <c r="V224" s="150">
        <f>+YEAR(PROVEEDORES[[#This Row],[FECHA DE FACTURACIÓN]])</f>
        <v>2023</v>
      </c>
      <c r="W224" s="150">
        <f>+MATCH(PROVEEDORES[[#This Row],[año facturado]],Retenciones!$1:$1,0)</f>
        <v>6</v>
      </c>
      <c r="X224" s="151">
        <f>+VLOOKUP(PROVEEDORES[[#This Row],[ID RETENCION]],Retenciones!$A$1:$O$25,PROVEEDORES[[#This Row],[indicador de columna]],FALSE)</f>
        <v>0</v>
      </c>
      <c r="Y224" s="152">
        <f>+VLOOKUP(PROVEEDORES[[#This Row],[ID RETENCION]],Retenciones!$A$1:$O$25,2,FALSE)</f>
        <v>0</v>
      </c>
      <c r="Z224" s="153" t="b">
        <f>+OR(COUNTIF(PROVEEDORES[[#This Row],[PROVEEDOR]],"*"&amp;'Palabra que no opera y Listas d'!$A$2&amp;"*"))</f>
        <v>0</v>
      </c>
    </row>
    <row r="225" spans="1:26" ht="27.75" customHeight="1" x14ac:dyDescent="0.3">
      <c r="A225" s="144" t="str">
        <f>+IF(PROVEEDORES[[#This Row],[FECHA DE PAGO]]=PROVEEDORES[[#This Row],[FECHA DE FACTURACIÓN]],"DE CONTADO","CRÉDITO")</f>
        <v>CRÉDITO</v>
      </c>
      <c r="B225" s="144" t="str">
        <f>+IF((PROVEEDORES[[#This Row],[FECHA DE PAGO]]-PROVEEDORES[[#This Row],[FECHA DE FACTURACIÓN]])&gt;PROVEEDORES[[#This Row],[PLAZO Días]],"PAGO VENCIDO")</f>
        <v>PAGO VENCIDO</v>
      </c>
      <c r="C225" s="144">
        <f>+VLOOKUP(PROVEEDORES[[#This Row],[PROVEEDOR]],TERCEROS_INFO[#All],2,FALSE)</f>
        <v>0</v>
      </c>
      <c r="D225" s="145">
        <f>+SUMIFS(PROVEEDORES[Total],PROVEEDORES[PROVEEDOR],PROVEEDORES[[#This Row],[PROVEEDOR]],PROVEEDORES[FECHA DE PAGO],"")</f>
        <v>0</v>
      </c>
      <c r="E225" s="146"/>
      <c r="F225" s="144">
        <f>+VLOOKUP(PROVEEDORES[[#This Row],[PROVEEDOR]],
                       Terceros!$A:$G,
                       5,
                       FALSE)</f>
        <v>0</v>
      </c>
      <c r="G225" s="122">
        <v>45031</v>
      </c>
      <c r="H225" s="102" t="s">
        <v>191</v>
      </c>
      <c r="I225" s="122">
        <v>45027</v>
      </c>
      <c r="J225" s="103" t="s">
        <v>691</v>
      </c>
      <c r="K225" s="103" t="s">
        <v>1512</v>
      </c>
      <c r="L225" s="103"/>
      <c r="M225" s="105">
        <v>0</v>
      </c>
      <c r="N225" s="147">
        <v>0</v>
      </c>
      <c r="O225" s="147">
        <v>0</v>
      </c>
      <c r="P225" s="148">
        <v>0</v>
      </c>
      <c r="Q225" s="147">
        <v>0</v>
      </c>
      <c r="R225" s="149">
        <v>0</v>
      </c>
      <c r="S2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" s="150">
        <f ca="1">+IF(PROVEEDORES[[#This Row],[FECHA DE PAGO]]=0,TODAY()-PROVEEDORES[[#This Row],[FECHA DE FACTURACIÓN]]-PROVEEDORES[[#This Row],[PLAZO Días]],0)</f>
        <v>0</v>
      </c>
      <c r="U225" s="150">
        <f>+VLOOKUP(PROVEEDORES[[#This Row],[PROVEEDOR]],Terceros!$A:$E,4,FALSE)</f>
        <v>0</v>
      </c>
      <c r="V225" s="150">
        <f>+YEAR(PROVEEDORES[[#This Row],[FECHA DE FACTURACIÓN]])</f>
        <v>2023</v>
      </c>
      <c r="W225" s="150">
        <f>+MATCH(PROVEEDORES[[#This Row],[año facturado]],Retenciones!$1:$1,0)</f>
        <v>6</v>
      </c>
      <c r="X225" s="151">
        <f>+VLOOKUP(PROVEEDORES[[#This Row],[ID RETENCION]],Retenciones!$A$1:$O$25,PROVEEDORES[[#This Row],[indicador de columna]],FALSE)</f>
        <v>0</v>
      </c>
      <c r="Y225" s="152">
        <f>+VLOOKUP(PROVEEDORES[[#This Row],[ID RETENCION]],Retenciones!$A$1:$O$25,2,FALSE)</f>
        <v>0</v>
      </c>
      <c r="Z225" s="153" t="b">
        <f>+OR(COUNTIF(PROVEEDORES[[#This Row],[PROVEEDOR]],"*"&amp;'Palabra que no opera y Listas d'!$A$2&amp;"*"))</f>
        <v>0</v>
      </c>
    </row>
    <row r="226" spans="1:26" ht="27.75" customHeight="1" x14ac:dyDescent="0.3">
      <c r="A226" s="144" t="str">
        <f>+IF(PROVEEDORES[[#This Row],[FECHA DE PAGO]]=PROVEEDORES[[#This Row],[FECHA DE FACTURACIÓN]],"DE CONTADO","CRÉDITO")</f>
        <v>CRÉDITO</v>
      </c>
      <c r="B226" s="144" t="str">
        <f>+IF((PROVEEDORES[[#This Row],[FECHA DE PAGO]]-PROVEEDORES[[#This Row],[FECHA DE FACTURACIÓN]])&gt;PROVEEDORES[[#This Row],[PLAZO Días]],"PAGO VENCIDO")</f>
        <v>PAGO VENCIDO</v>
      </c>
      <c r="C226" s="144">
        <f>+VLOOKUP(PROVEEDORES[[#This Row],[PROVEEDOR]],TERCEROS_INFO[#All],2,FALSE)</f>
        <v>0</v>
      </c>
      <c r="D226" s="145">
        <f>+SUMIFS(PROVEEDORES[Total],PROVEEDORES[PROVEEDOR],PROVEEDORES[[#This Row],[PROVEEDOR]],PROVEEDORES[FECHA DE PAGO],"")</f>
        <v>0</v>
      </c>
      <c r="E226" s="146"/>
      <c r="F226" s="144">
        <f>+VLOOKUP(PROVEEDORES[[#This Row],[PROVEEDOR]],
                       Terceros!$A:$G,
                       5,
                       FALSE)</f>
        <v>0</v>
      </c>
      <c r="G226" s="122">
        <v>45031</v>
      </c>
      <c r="H226" s="102" t="s">
        <v>191</v>
      </c>
      <c r="I226" s="122">
        <v>45027</v>
      </c>
      <c r="J226" s="103" t="s">
        <v>692</v>
      </c>
      <c r="K226" s="103" t="s">
        <v>1512</v>
      </c>
      <c r="L226" s="103"/>
      <c r="M226" s="105">
        <v>146984</v>
      </c>
      <c r="N226" s="147">
        <v>0</v>
      </c>
      <c r="O226" s="147">
        <v>0</v>
      </c>
      <c r="P226" s="148">
        <v>0</v>
      </c>
      <c r="Q226" s="147">
        <v>0</v>
      </c>
      <c r="R226" s="149">
        <v>146984</v>
      </c>
      <c r="S2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" s="150">
        <f ca="1">+IF(PROVEEDORES[[#This Row],[FECHA DE PAGO]]=0,TODAY()-PROVEEDORES[[#This Row],[FECHA DE FACTURACIÓN]]-PROVEEDORES[[#This Row],[PLAZO Días]],0)</f>
        <v>0</v>
      </c>
      <c r="U226" s="150">
        <f>+VLOOKUP(PROVEEDORES[[#This Row],[PROVEEDOR]],Terceros!$A:$E,4,FALSE)</f>
        <v>0</v>
      </c>
      <c r="V226" s="150">
        <f>+YEAR(PROVEEDORES[[#This Row],[FECHA DE FACTURACIÓN]])</f>
        <v>2023</v>
      </c>
      <c r="W226" s="150">
        <f>+MATCH(PROVEEDORES[[#This Row],[año facturado]],Retenciones!$1:$1,0)</f>
        <v>6</v>
      </c>
      <c r="X226" s="151">
        <f>+VLOOKUP(PROVEEDORES[[#This Row],[ID RETENCION]],Retenciones!$A$1:$O$25,PROVEEDORES[[#This Row],[indicador de columna]],FALSE)</f>
        <v>0</v>
      </c>
      <c r="Y226" s="152">
        <f>+VLOOKUP(PROVEEDORES[[#This Row],[ID RETENCION]],Retenciones!$A$1:$O$25,2,FALSE)</f>
        <v>0</v>
      </c>
      <c r="Z226" s="153" t="b">
        <f>+OR(COUNTIF(PROVEEDORES[[#This Row],[PROVEEDOR]],"*"&amp;'Palabra que no opera y Listas d'!$A$2&amp;"*"))</f>
        <v>0</v>
      </c>
    </row>
    <row r="227" spans="1:26" ht="27.75" customHeight="1" x14ac:dyDescent="0.3">
      <c r="A227" s="144" t="str">
        <f>+IF(PROVEEDORES[[#This Row],[FECHA DE PAGO]]=PROVEEDORES[[#This Row],[FECHA DE FACTURACIÓN]],"DE CONTADO","CRÉDITO")</f>
        <v>CRÉDITO</v>
      </c>
      <c r="B227" s="144" t="str">
        <f>+IF((PROVEEDORES[[#This Row],[FECHA DE PAGO]]-PROVEEDORES[[#This Row],[FECHA DE FACTURACIÓN]])&gt;PROVEEDORES[[#This Row],[PLAZO Días]],"PAGO VENCIDO")</f>
        <v>PAGO VENCIDO</v>
      </c>
      <c r="C227" s="144">
        <f>+VLOOKUP(PROVEEDORES[[#This Row],[PROVEEDOR]],TERCEROS_INFO[#All],2,FALSE)</f>
        <v>0</v>
      </c>
      <c r="D227" s="145">
        <f>+SUMIFS(PROVEEDORES[Total],PROVEEDORES[PROVEEDOR],PROVEEDORES[[#This Row],[PROVEEDOR]],PROVEEDORES[FECHA DE PAGO],"")</f>
        <v>1503120</v>
      </c>
      <c r="E227" s="146"/>
      <c r="F227" s="144">
        <f>+VLOOKUP(PROVEEDORES[[#This Row],[PROVEEDOR]],
                       Terceros!$A:$G,
                       5,
                       FALSE)</f>
        <v>0</v>
      </c>
      <c r="G227" s="122">
        <v>45031</v>
      </c>
      <c r="H227" s="102" t="s">
        <v>1780</v>
      </c>
      <c r="I227" s="122">
        <v>45030</v>
      </c>
      <c r="J227" s="103">
        <v>681860</v>
      </c>
      <c r="K227" s="103" t="s">
        <v>1512</v>
      </c>
      <c r="L227" s="103"/>
      <c r="M227" s="105">
        <v>3556280</v>
      </c>
      <c r="N227" s="147">
        <v>0</v>
      </c>
      <c r="O227" s="147">
        <v>0</v>
      </c>
      <c r="P227" s="148">
        <v>0</v>
      </c>
      <c r="Q227" s="147">
        <v>0</v>
      </c>
      <c r="R227" s="149">
        <v>3556280</v>
      </c>
      <c r="S2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" s="150">
        <f ca="1">+IF(PROVEEDORES[[#This Row],[FECHA DE PAGO]]=0,TODAY()-PROVEEDORES[[#This Row],[FECHA DE FACTURACIÓN]]-PROVEEDORES[[#This Row],[PLAZO Días]],0)</f>
        <v>0</v>
      </c>
      <c r="U227" s="150">
        <f>+VLOOKUP(PROVEEDORES[[#This Row],[PROVEEDOR]],Terceros!$A:$E,4,FALSE)</f>
        <v>0</v>
      </c>
      <c r="V227" s="150">
        <f>+YEAR(PROVEEDORES[[#This Row],[FECHA DE FACTURACIÓN]])</f>
        <v>2023</v>
      </c>
      <c r="W227" s="150">
        <f>+MATCH(PROVEEDORES[[#This Row],[año facturado]],Retenciones!$1:$1,0)</f>
        <v>6</v>
      </c>
      <c r="X227" s="151">
        <f>+VLOOKUP(PROVEEDORES[[#This Row],[ID RETENCION]],Retenciones!$A$1:$O$25,PROVEEDORES[[#This Row],[indicador de columna]],FALSE)</f>
        <v>0</v>
      </c>
      <c r="Y227" s="152">
        <f>+VLOOKUP(PROVEEDORES[[#This Row],[ID RETENCION]],Retenciones!$A$1:$O$25,2,FALSE)</f>
        <v>0</v>
      </c>
      <c r="Z227" s="153" t="b">
        <f>+OR(COUNTIF(PROVEEDORES[[#This Row],[PROVEEDOR]],"*"&amp;'Palabra que no opera y Listas d'!$A$2&amp;"*"))</f>
        <v>0</v>
      </c>
    </row>
    <row r="228" spans="1:26" ht="27.75" customHeight="1" x14ac:dyDescent="0.3">
      <c r="A228" s="144" t="str">
        <f>+IF(PROVEEDORES[[#This Row],[FECHA DE PAGO]]=PROVEEDORES[[#This Row],[FECHA DE FACTURACIÓN]],"DE CONTADO","CRÉDITO")</f>
        <v>DE CONTADO</v>
      </c>
      <c r="B228" s="144" t="b">
        <f>+IF((PROVEEDORES[[#This Row],[FECHA DE PAGO]]-PROVEEDORES[[#This Row],[FECHA DE FACTURACIÓN]])&gt;PROVEEDORES[[#This Row],[PLAZO Días]],"PAGO VENCIDO")</f>
        <v>0</v>
      </c>
      <c r="C228" s="144">
        <f>+VLOOKUP(PROVEEDORES[[#This Row],[PROVEEDOR]],TERCEROS_INFO[#All],2,FALSE)</f>
        <v>0</v>
      </c>
      <c r="D228" s="145">
        <f>+SUMIFS(PROVEEDORES[Total],PROVEEDORES[PROVEEDOR],PROVEEDORES[[#This Row],[PROVEEDOR]],PROVEEDORES[FECHA DE PAGO],"")</f>
        <v>550000</v>
      </c>
      <c r="E228" s="146"/>
      <c r="F228" s="144">
        <f>+VLOOKUP(PROVEEDORES[[#This Row],[PROVEEDOR]],
                       Terceros!$A:$G,
                       5,
                       FALSE)</f>
        <v>0</v>
      </c>
      <c r="G228" s="122">
        <v>45031</v>
      </c>
      <c r="H228" s="102" t="s">
        <v>1784</v>
      </c>
      <c r="I228" s="122">
        <v>45031</v>
      </c>
      <c r="J228" s="103" t="s">
        <v>741</v>
      </c>
      <c r="K228" s="103" t="s">
        <v>1512</v>
      </c>
      <c r="L228" s="103"/>
      <c r="M228" s="105">
        <v>590000</v>
      </c>
      <c r="N228" s="147">
        <v>0</v>
      </c>
      <c r="O228" s="147">
        <v>0</v>
      </c>
      <c r="P228" s="148">
        <v>0</v>
      </c>
      <c r="Q228" s="147">
        <v>0</v>
      </c>
      <c r="R228" s="149">
        <v>590000</v>
      </c>
      <c r="S2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" s="150">
        <f ca="1">+IF(PROVEEDORES[[#This Row],[FECHA DE PAGO]]=0,TODAY()-PROVEEDORES[[#This Row],[FECHA DE FACTURACIÓN]]-PROVEEDORES[[#This Row],[PLAZO Días]],0)</f>
        <v>0</v>
      </c>
      <c r="U228" s="150">
        <f>+VLOOKUP(PROVEEDORES[[#This Row],[PROVEEDOR]],Terceros!$A:$E,4,FALSE)</f>
        <v>0</v>
      </c>
      <c r="V228" s="150">
        <f>+YEAR(PROVEEDORES[[#This Row],[FECHA DE FACTURACIÓN]])</f>
        <v>2023</v>
      </c>
      <c r="W228" s="150">
        <f>+MATCH(PROVEEDORES[[#This Row],[año facturado]],Retenciones!$1:$1,0)</f>
        <v>6</v>
      </c>
      <c r="X228" s="151">
        <f>+VLOOKUP(PROVEEDORES[[#This Row],[ID RETENCION]],Retenciones!$A$1:$O$25,PROVEEDORES[[#This Row],[indicador de columna]],FALSE)</f>
        <v>0</v>
      </c>
      <c r="Y228" s="152">
        <f>+VLOOKUP(PROVEEDORES[[#This Row],[ID RETENCION]],Retenciones!$A$1:$O$25,2,FALSE)</f>
        <v>0</v>
      </c>
      <c r="Z228" s="153" t="b">
        <f>+OR(COUNTIF(PROVEEDORES[[#This Row],[PROVEEDOR]],"*"&amp;'Palabra que no opera y Listas d'!$A$2&amp;"*"))</f>
        <v>0</v>
      </c>
    </row>
    <row r="229" spans="1:26" ht="27.75" customHeight="1" x14ac:dyDescent="0.3">
      <c r="A229" s="144" t="str">
        <f>+IF(PROVEEDORES[[#This Row],[FECHA DE PAGO]]=PROVEEDORES[[#This Row],[FECHA DE FACTURACIÓN]],"DE CONTADO","CRÉDITO")</f>
        <v>CRÉDITO</v>
      </c>
      <c r="B229" s="144" t="str">
        <f>+IF((PROVEEDORES[[#This Row],[FECHA DE PAGO]]-PROVEEDORES[[#This Row],[FECHA DE FACTURACIÓN]])&gt;PROVEEDORES[[#This Row],[PLAZO Días]],"PAGO VENCIDO")</f>
        <v>PAGO VENCIDO</v>
      </c>
      <c r="C229" s="144">
        <f>+VLOOKUP(PROVEEDORES[[#This Row],[PROVEEDOR]],TERCEROS_INFO[#All],2,FALSE)</f>
        <v>0</v>
      </c>
      <c r="D229" s="145">
        <f>+SUMIFS(PROVEEDORES[Total],PROVEEDORES[PROVEEDOR],PROVEEDORES[[#This Row],[PROVEEDOR]],PROVEEDORES[FECHA DE PAGO],"")</f>
        <v>0</v>
      </c>
      <c r="E229" s="146"/>
      <c r="F229" s="144" t="str">
        <f>+VLOOKUP(PROVEEDORES[[#This Row],[PROVEEDOR]],
                       Terceros!$A:$G,
                       5,
                       FALSE)</f>
        <v>2,5% con base</v>
      </c>
      <c r="G229" s="122">
        <v>45033</v>
      </c>
      <c r="H229" s="102" t="s">
        <v>222</v>
      </c>
      <c r="I229" s="122">
        <v>44988</v>
      </c>
      <c r="J229" s="103" t="s">
        <v>998</v>
      </c>
      <c r="K229" s="103" t="s">
        <v>1512</v>
      </c>
      <c r="L229" s="103"/>
      <c r="M229" s="105">
        <v>-1747500</v>
      </c>
      <c r="N229" s="147">
        <v>-332025</v>
      </c>
      <c r="O229" s="147">
        <v>0</v>
      </c>
      <c r="P229" s="148">
        <v>0</v>
      </c>
      <c r="Q229" s="147">
        <v>0</v>
      </c>
      <c r="R229" s="149">
        <v>-2079525</v>
      </c>
      <c r="S2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" s="150">
        <f ca="1">+IF(PROVEEDORES[[#This Row],[FECHA DE PAGO]]=0,TODAY()-PROVEEDORES[[#This Row],[FECHA DE FACTURACIÓN]]-PROVEEDORES[[#This Row],[PLAZO Días]],0)</f>
        <v>0</v>
      </c>
      <c r="U229" s="150">
        <f>+VLOOKUP(PROVEEDORES[[#This Row],[PROVEEDOR]],Terceros!$A:$E,4,FALSE)</f>
        <v>0.19</v>
      </c>
      <c r="V229" s="150">
        <f>+YEAR(PROVEEDORES[[#This Row],[FECHA DE FACTURACIÓN]])</f>
        <v>2023</v>
      </c>
      <c r="W229" s="150">
        <f>+MATCH(PROVEEDORES[[#This Row],[año facturado]],Retenciones!$1:$1,0)</f>
        <v>6</v>
      </c>
      <c r="X229" s="151" t="e">
        <f>+VLOOKUP(PROVEEDORES[[#This Row],[ID RETENCION]],Retenciones!$A$1:$O$25,PROVEEDORES[[#This Row],[indicador de columna]],FALSE)</f>
        <v>#N/A</v>
      </c>
      <c r="Y229" s="152" t="e">
        <f>+VLOOKUP(PROVEEDORES[[#This Row],[ID RETENCION]],Retenciones!$A$1:$O$25,2,FALSE)</f>
        <v>#N/A</v>
      </c>
      <c r="Z229" s="153" t="b">
        <f>+OR(COUNTIF(PROVEEDORES[[#This Row],[PROVEEDOR]],"*"&amp;'Palabra que no opera y Listas d'!$A$2&amp;"*"))</f>
        <v>0</v>
      </c>
    </row>
    <row r="230" spans="1:26" ht="27.75" customHeight="1" x14ac:dyDescent="0.3">
      <c r="A230" s="144" t="str">
        <f>+IF(PROVEEDORES[[#This Row],[FECHA DE PAGO]]=PROVEEDORES[[#This Row],[FECHA DE FACTURACIÓN]],"DE CONTADO","CRÉDITO")</f>
        <v>CRÉDITO</v>
      </c>
      <c r="B230" s="144" t="str">
        <f>+IF((PROVEEDORES[[#This Row],[FECHA DE PAGO]]-PROVEEDORES[[#This Row],[FECHA DE FACTURACIÓN]])&gt;PROVEEDORES[[#This Row],[PLAZO Días]],"PAGO VENCIDO")</f>
        <v>PAGO VENCIDO</v>
      </c>
      <c r="C230" s="144">
        <f>+VLOOKUP(PROVEEDORES[[#This Row],[PROVEEDOR]],TERCEROS_INFO[#All],2,FALSE)</f>
        <v>0</v>
      </c>
      <c r="D230" s="145">
        <f>+SUMIFS(PROVEEDORES[Total],PROVEEDORES[PROVEEDOR],PROVEEDORES[[#This Row],[PROVEEDOR]],PROVEEDORES[FECHA DE PAGO],"")</f>
        <v>31839627.134999998</v>
      </c>
      <c r="E230" s="146"/>
      <c r="F230" s="144" t="str">
        <f>+VLOOKUP(PROVEEDORES[[#This Row],[PROVEEDOR]],
                       Terceros!$A:$G,
                       5,
                       FALSE)</f>
        <v>2,5% con base</v>
      </c>
      <c r="G230" s="122">
        <v>45035</v>
      </c>
      <c r="H230" s="102" t="s">
        <v>17</v>
      </c>
      <c r="I230" s="122">
        <v>44968</v>
      </c>
      <c r="J230" s="103" t="s">
        <v>660</v>
      </c>
      <c r="K230" s="103" t="s">
        <v>1512</v>
      </c>
      <c r="L230" s="103"/>
      <c r="M230" s="105">
        <v>-327731</v>
      </c>
      <c r="N230" s="147">
        <v>-62268.89</v>
      </c>
      <c r="O230" s="147">
        <v>0</v>
      </c>
      <c r="P230" s="148">
        <v>0</v>
      </c>
      <c r="Q230" s="147">
        <v>0</v>
      </c>
      <c r="R230" s="149">
        <v>-389999.89</v>
      </c>
      <c r="S2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" s="150">
        <f ca="1">+IF(PROVEEDORES[[#This Row],[FECHA DE PAGO]]=0,TODAY()-PROVEEDORES[[#This Row],[FECHA DE FACTURACIÓN]]-PROVEEDORES[[#This Row],[PLAZO Días]],0)</f>
        <v>0</v>
      </c>
      <c r="U230" s="150">
        <f>+VLOOKUP(PROVEEDORES[[#This Row],[PROVEEDOR]],Terceros!$A:$E,4,FALSE)</f>
        <v>0.19</v>
      </c>
      <c r="V230" s="150">
        <f>+YEAR(PROVEEDORES[[#This Row],[FECHA DE FACTURACIÓN]])</f>
        <v>2023</v>
      </c>
      <c r="W230" s="150">
        <f>+MATCH(PROVEEDORES[[#This Row],[año facturado]],Retenciones!$1:$1,0)</f>
        <v>6</v>
      </c>
      <c r="X230" s="151" t="e">
        <f>+VLOOKUP(PROVEEDORES[[#This Row],[ID RETENCION]],Retenciones!$A$1:$O$25,PROVEEDORES[[#This Row],[indicador de columna]],FALSE)</f>
        <v>#N/A</v>
      </c>
      <c r="Y230" s="152" t="e">
        <f>+VLOOKUP(PROVEEDORES[[#This Row],[ID RETENCION]],Retenciones!$A$1:$O$25,2,FALSE)</f>
        <v>#N/A</v>
      </c>
      <c r="Z230" s="153" t="b">
        <f>+OR(COUNTIF(PROVEEDORES[[#This Row],[PROVEEDOR]],"*"&amp;'Palabra que no opera y Listas d'!$A$2&amp;"*"))</f>
        <v>0</v>
      </c>
    </row>
    <row r="231" spans="1:26" ht="27.75" customHeight="1" x14ac:dyDescent="0.3">
      <c r="A231" s="144" t="str">
        <f>+IF(PROVEEDORES[[#This Row],[FECHA DE PAGO]]=PROVEEDORES[[#This Row],[FECHA DE FACTURACIÓN]],"DE CONTADO","CRÉDITO")</f>
        <v>CRÉDITO</v>
      </c>
      <c r="B231" s="144" t="str">
        <f>+IF((PROVEEDORES[[#This Row],[FECHA DE PAGO]]-PROVEEDORES[[#This Row],[FECHA DE FACTURACIÓN]])&gt;PROVEEDORES[[#This Row],[PLAZO Días]],"PAGO VENCIDO")</f>
        <v>PAGO VENCIDO</v>
      </c>
      <c r="C231" s="144">
        <f>+VLOOKUP(PROVEEDORES[[#This Row],[PROVEEDOR]],TERCEROS_INFO[#All],2,FALSE)</f>
        <v>0</v>
      </c>
      <c r="D231" s="145">
        <f>+SUMIFS(PROVEEDORES[Total],PROVEEDORES[PROVEEDOR],PROVEEDORES[[#This Row],[PROVEEDOR]],PROVEEDORES[FECHA DE PAGO],"")</f>
        <v>31839627.134999998</v>
      </c>
      <c r="E231" s="146"/>
      <c r="F231" s="144" t="str">
        <f>+VLOOKUP(PROVEEDORES[[#This Row],[PROVEEDOR]],
                       Terceros!$A:$G,
                       5,
                       FALSE)</f>
        <v>2,5% con base</v>
      </c>
      <c r="G231" s="122">
        <v>45035</v>
      </c>
      <c r="H231" s="102" t="s">
        <v>17</v>
      </c>
      <c r="I231" s="122">
        <v>44993</v>
      </c>
      <c r="J231" s="103" t="s">
        <v>635</v>
      </c>
      <c r="K231" s="103" t="s">
        <v>1512</v>
      </c>
      <c r="L231" s="103"/>
      <c r="M231" s="105">
        <v>1263526</v>
      </c>
      <c r="N231" s="147">
        <v>240069.94</v>
      </c>
      <c r="O231" s="147">
        <v>0</v>
      </c>
      <c r="P231" s="148">
        <v>2.5000000000000001E-2</v>
      </c>
      <c r="Q231" s="147">
        <v>31588.15</v>
      </c>
      <c r="R231" s="149">
        <v>1472007.79</v>
      </c>
      <c r="S2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" s="150">
        <f ca="1">+IF(PROVEEDORES[[#This Row],[FECHA DE PAGO]]=0,TODAY()-PROVEEDORES[[#This Row],[FECHA DE FACTURACIÓN]]-PROVEEDORES[[#This Row],[PLAZO Días]],0)</f>
        <v>0</v>
      </c>
      <c r="U231" s="150">
        <f>+VLOOKUP(PROVEEDORES[[#This Row],[PROVEEDOR]],Terceros!$A:$E,4,FALSE)</f>
        <v>0.19</v>
      </c>
      <c r="V231" s="150">
        <f>+YEAR(PROVEEDORES[[#This Row],[FECHA DE FACTURACIÓN]])</f>
        <v>2023</v>
      </c>
      <c r="W231" s="150">
        <f>+MATCH(PROVEEDORES[[#This Row],[año facturado]],Retenciones!$1:$1,0)</f>
        <v>6</v>
      </c>
      <c r="X231" s="151" t="e">
        <f>+VLOOKUP(PROVEEDORES[[#This Row],[ID RETENCION]],Retenciones!$A$1:$O$25,PROVEEDORES[[#This Row],[indicador de columna]],FALSE)</f>
        <v>#N/A</v>
      </c>
      <c r="Y231" s="152" t="e">
        <f>+VLOOKUP(PROVEEDORES[[#This Row],[ID RETENCION]],Retenciones!$A$1:$O$25,2,FALSE)</f>
        <v>#N/A</v>
      </c>
      <c r="Z231" s="153" t="b">
        <f>+OR(COUNTIF(PROVEEDORES[[#This Row],[PROVEEDOR]],"*"&amp;'Palabra que no opera y Listas d'!$A$2&amp;"*"))</f>
        <v>0</v>
      </c>
    </row>
    <row r="232" spans="1:26" ht="27.75" customHeight="1" x14ac:dyDescent="0.3">
      <c r="A232" s="144" t="str">
        <f>+IF(PROVEEDORES[[#This Row],[FECHA DE PAGO]]=PROVEEDORES[[#This Row],[FECHA DE FACTURACIÓN]],"DE CONTADO","CRÉDITO")</f>
        <v>CRÉDITO</v>
      </c>
      <c r="B232" s="144" t="str">
        <f>+IF((PROVEEDORES[[#This Row],[FECHA DE PAGO]]-PROVEEDORES[[#This Row],[FECHA DE FACTURACIÓN]])&gt;PROVEEDORES[[#This Row],[PLAZO Días]],"PAGO VENCIDO")</f>
        <v>PAGO VENCIDO</v>
      </c>
      <c r="C232" s="144">
        <f>+VLOOKUP(PROVEEDORES[[#This Row],[PROVEEDOR]],TERCEROS_INFO[#All],2,FALSE)</f>
        <v>0</v>
      </c>
      <c r="D232" s="145">
        <f>+SUMIFS(PROVEEDORES[Total],PROVEEDORES[PROVEEDOR],PROVEEDORES[[#This Row],[PROVEEDOR]],PROVEEDORES[FECHA DE PAGO],"")</f>
        <v>5820290</v>
      </c>
      <c r="E232" s="146"/>
      <c r="F232" s="144">
        <f>+VLOOKUP(PROVEEDORES[[#This Row],[PROVEEDOR]],
                       Terceros!$A:$G,
                       5,
                       FALSE)</f>
        <v>0</v>
      </c>
      <c r="G232" s="122">
        <v>45035</v>
      </c>
      <c r="H232" s="102" t="s">
        <v>461</v>
      </c>
      <c r="I232" s="122">
        <v>44994</v>
      </c>
      <c r="J232" s="103" t="s">
        <v>629</v>
      </c>
      <c r="K232" s="103" t="s">
        <v>1512</v>
      </c>
      <c r="L232" s="103"/>
      <c r="M232" s="105">
        <v>6944000</v>
      </c>
      <c r="N232" s="147">
        <v>1319360</v>
      </c>
      <c r="O232" s="147">
        <v>0</v>
      </c>
      <c r="P232" s="148">
        <v>0</v>
      </c>
      <c r="Q232" s="147">
        <v>0</v>
      </c>
      <c r="R232" s="149">
        <v>8263360</v>
      </c>
      <c r="S2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" s="150">
        <f ca="1">+IF(PROVEEDORES[[#This Row],[FECHA DE PAGO]]=0,TODAY()-PROVEEDORES[[#This Row],[FECHA DE FACTURACIÓN]]-PROVEEDORES[[#This Row],[PLAZO Días]],0)</f>
        <v>0</v>
      </c>
      <c r="U232" s="150">
        <f>+VLOOKUP(PROVEEDORES[[#This Row],[PROVEEDOR]],Terceros!$A:$E,4,FALSE)</f>
        <v>0.19</v>
      </c>
      <c r="V232" s="150">
        <f>+YEAR(PROVEEDORES[[#This Row],[FECHA DE FACTURACIÓN]])</f>
        <v>2023</v>
      </c>
      <c r="W232" s="150">
        <f>+MATCH(PROVEEDORES[[#This Row],[año facturado]],Retenciones!$1:$1,0)</f>
        <v>6</v>
      </c>
      <c r="X232" s="151" t="e">
        <f>+VLOOKUP(PROVEEDORES[[#This Row],[ID RETENCION]],Retenciones!$A$1:$O$25,PROVEEDORES[[#This Row],[indicador de columna]],FALSE)</f>
        <v>#N/A</v>
      </c>
      <c r="Y232" s="152" t="e">
        <f>+VLOOKUP(PROVEEDORES[[#This Row],[ID RETENCION]],Retenciones!$A$1:$O$25,2,FALSE)</f>
        <v>#N/A</v>
      </c>
      <c r="Z232" s="153" t="b">
        <f>+OR(COUNTIF(PROVEEDORES[[#This Row],[PROVEEDOR]],"*"&amp;'Palabra que no opera y Listas d'!$A$2&amp;"*"))</f>
        <v>0</v>
      </c>
    </row>
    <row r="233" spans="1:26" ht="27.75" customHeight="1" x14ac:dyDescent="0.3">
      <c r="A233" s="144" t="str">
        <f>+IF(PROVEEDORES[[#This Row],[FECHA DE PAGO]]=PROVEEDORES[[#This Row],[FECHA DE FACTURACIÓN]],"DE CONTADO","CRÉDITO")</f>
        <v>CRÉDITO</v>
      </c>
      <c r="B233" s="144" t="str">
        <f>+IF((PROVEEDORES[[#This Row],[FECHA DE PAGO]]-PROVEEDORES[[#This Row],[FECHA DE FACTURACIÓN]])&gt;PROVEEDORES[[#This Row],[PLAZO Días]],"PAGO VENCIDO")</f>
        <v>PAGO VENCIDO</v>
      </c>
      <c r="C233" s="144">
        <f>+VLOOKUP(PROVEEDORES[[#This Row],[PROVEEDOR]],TERCEROS_INFO[#All],2,FALSE)</f>
        <v>0</v>
      </c>
      <c r="D233" s="145">
        <f>+SUMIFS(PROVEEDORES[Total],PROVEEDORES[PROVEEDOR],PROVEEDORES[[#This Row],[PROVEEDOR]],PROVEEDORES[FECHA DE PAGO],"")</f>
        <v>31839627.134999998</v>
      </c>
      <c r="E233" s="146"/>
      <c r="F233" s="144" t="str">
        <f>+VLOOKUP(PROVEEDORES[[#This Row],[PROVEEDOR]],
                       Terceros!$A:$G,
                       5,
                       FALSE)</f>
        <v>2,5% con base</v>
      </c>
      <c r="G233" s="122">
        <v>45035</v>
      </c>
      <c r="H233" s="102" t="s">
        <v>17</v>
      </c>
      <c r="I233" s="122">
        <v>44998</v>
      </c>
      <c r="J233" s="103" t="s">
        <v>633</v>
      </c>
      <c r="K233" s="103" t="s">
        <v>1512</v>
      </c>
      <c r="L233" s="103"/>
      <c r="M233" s="105">
        <v>1306660</v>
      </c>
      <c r="N233" s="147">
        <v>248265.4</v>
      </c>
      <c r="O233" s="147">
        <v>0</v>
      </c>
      <c r="P233" s="148">
        <v>2.5000000000000001E-2</v>
      </c>
      <c r="Q233" s="147">
        <v>32666.5</v>
      </c>
      <c r="R233" s="149">
        <v>1522258.9</v>
      </c>
      <c r="S2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" s="150">
        <f ca="1">+IF(PROVEEDORES[[#This Row],[FECHA DE PAGO]]=0,TODAY()-PROVEEDORES[[#This Row],[FECHA DE FACTURACIÓN]]-PROVEEDORES[[#This Row],[PLAZO Días]],0)</f>
        <v>0</v>
      </c>
      <c r="U233" s="150">
        <f>+VLOOKUP(PROVEEDORES[[#This Row],[PROVEEDOR]],Terceros!$A:$E,4,FALSE)</f>
        <v>0.19</v>
      </c>
      <c r="V233" s="150">
        <f>+YEAR(PROVEEDORES[[#This Row],[FECHA DE FACTURACIÓN]])</f>
        <v>2023</v>
      </c>
      <c r="W233" s="150">
        <f>+MATCH(PROVEEDORES[[#This Row],[año facturado]],Retenciones!$1:$1,0)</f>
        <v>6</v>
      </c>
      <c r="X233" s="151" t="e">
        <f>+VLOOKUP(PROVEEDORES[[#This Row],[ID RETENCION]],Retenciones!$A$1:$O$25,PROVEEDORES[[#This Row],[indicador de columna]],FALSE)</f>
        <v>#N/A</v>
      </c>
      <c r="Y233" s="152" t="e">
        <f>+VLOOKUP(PROVEEDORES[[#This Row],[ID RETENCION]],Retenciones!$A$1:$O$25,2,FALSE)</f>
        <v>#N/A</v>
      </c>
      <c r="Z233" s="153" t="b">
        <f>+OR(COUNTIF(PROVEEDORES[[#This Row],[PROVEEDOR]],"*"&amp;'Palabra que no opera y Listas d'!$A$2&amp;"*"))</f>
        <v>0</v>
      </c>
    </row>
    <row r="234" spans="1:26" ht="27.75" customHeight="1" x14ac:dyDescent="0.3">
      <c r="A234" s="144" t="str">
        <f>+IF(PROVEEDORES[[#This Row],[FECHA DE PAGO]]=PROVEEDORES[[#This Row],[FECHA DE FACTURACIÓN]],"DE CONTADO","CRÉDITO")</f>
        <v>CRÉDITO</v>
      </c>
      <c r="B234" s="144" t="str">
        <f>+IF((PROVEEDORES[[#This Row],[FECHA DE PAGO]]-PROVEEDORES[[#This Row],[FECHA DE FACTURACIÓN]])&gt;PROVEEDORES[[#This Row],[PLAZO Días]],"PAGO VENCIDO")</f>
        <v>PAGO VENCIDO</v>
      </c>
      <c r="C234" s="144">
        <f>+VLOOKUP(PROVEEDORES[[#This Row],[PROVEEDOR]],TERCEROS_INFO[#All],2,FALSE)</f>
        <v>0</v>
      </c>
      <c r="D234" s="145">
        <f>+SUMIFS(PROVEEDORES[Total],PROVEEDORES[PROVEEDOR],PROVEEDORES[[#This Row],[PROVEEDOR]],PROVEEDORES[FECHA DE PAGO],"")</f>
        <v>31839627.134999998</v>
      </c>
      <c r="E234" s="146"/>
      <c r="F234" s="144" t="str">
        <f>+VLOOKUP(PROVEEDORES[[#This Row],[PROVEEDOR]],
                       Terceros!$A:$G,
                       5,
                       FALSE)</f>
        <v>2,5% con base</v>
      </c>
      <c r="G234" s="122">
        <v>45035</v>
      </c>
      <c r="H234" s="102" t="s">
        <v>17</v>
      </c>
      <c r="I234" s="122">
        <v>44998</v>
      </c>
      <c r="J234" s="103" t="s">
        <v>634</v>
      </c>
      <c r="K234" s="103" t="s">
        <v>1512</v>
      </c>
      <c r="L234" s="103"/>
      <c r="M234" s="105">
        <v>922647</v>
      </c>
      <c r="N234" s="147">
        <v>175302.93</v>
      </c>
      <c r="O234" s="147">
        <v>0</v>
      </c>
      <c r="P234" s="148">
        <v>0</v>
      </c>
      <c r="Q234" s="147">
        <v>0</v>
      </c>
      <c r="R234" s="149">
        <v>1097949.93</v>
      </c>
      <c r="S2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" s="150">
        <f ca="1">+IF(PROVEEDORES[[#This Row],[FECHA DE PAGO]]=0,TODAY()-PROVEEDORES[[#This Row],[FECHA DE FACTURACIÓN]]-PROVEEDORES[[#This Row],[PLAZO Días]],0)</f>
        <v>0</v>
      </c>
      <c r="U234" s="150">
        <f>+VLOOKUP(PROVEEDORES[[#This Row],[PROVEEDOR]],Terceros!$A:$E,4,FALSE)</f>
        <v>0.19</v>
      </c>
      <c r="V234" s="150">
        <f>+YEAR(PROVEEDORES[[#This Row],[FECHA DE FACTURACIÓN]])</f>
        <v>2023</v>
      </c>
      <c r="W234" s="150">
        <f>+MATCH(PROVEEDORES[[#This Row],[año facturado]],Retenciones!$1:$1,0)</f>
        <v>6</v>
      </c>
      <c r="X234" s="151" t="e">
        <f>+VLOOKUP(PROVEEDORES[[#This Row],[ID RETENCION]],Retenciones!$A$1:$O$25,PROVEEDORES[[#This Row],[indicador de columna]],FALSE)</f>
        <v>#N/A</v>
      </c>
      <c r="Y234" s="152" t="e">
        <f>+VLOOKUP(PROVEEDORES[[#This Row],[ID RETENCION]],Retenciones!$A$1:$O$25,2,FALSE)</f>
        <v>#N/A</v>
      </c>
      <c r="Z234" s="153" t="b">
        <f>+OR(COUNTIF(PROVEEDORES[[#This Row],[PROVEEDOR]],"*"&amp;'Palabra que no opera y Listas d'!$A$2&amp;"*"))</f>
        <v>0</v>
      </c>
    </row>
    <row r="235" spans="1:26" ht="27.75" customHeight="1" x14ac:dyDescent="0.3">
      <c r="A235" s="144" t="str">
        <f>+IF(PROVEEDORES[[#This Row],[FECHA DE PAGO]]=PROVEEDORES[[#This Row],[FECHA DE FACTURACIÓN]],"DE CONTADO","CRÉDITO")</f>
        <v>CRÉDITO</v>
      </c>
      <c r="B235" s="144" t="str">
        <f>+IF((PROVEEDORES[[#This Row],[FECHA DE PAGO]]-PROVEEDORES[[#This Row],[FECHA DE FACTURACIÓN]])&gt;PROVEEDORES[[#This Row],[PLAZO Días]],"PAGO VENCIDO")</f>
        <v>PAGO VENCIDO</v>
      </c>
      <c r="C235" s="144">
        <f>+VLOOKUP(PROVEEDORES[[#This Row],[PROVEEDOR]],TERCEROS_INFO[#All],2,FALSE)</f>
        <v>0</v>
      </c>
      <c r="D235" s="145">
        <f>+SUMIFS(PROVEEDORES[Total],PROVEEDORES[PROVEEDOR],PROVEEDORES[[#This Row],[PROVEEDOR]],PROVEEDORES[FECHA DE PAGO],"")</f>
        <v>0</v>
      </c>
      <c r="E235" s="146"/>
      <c r="F235" s="144">
        <f>+VLOOKUP(PROVEEDORES[[#This Row],[PROVEEDOR]],
                       Terceros!$A:$G,
                       5,
                       FALSE)</f>
        <v>0</v>
      </c>
      <c r="G235" s="122">
        <v>45035</v>
      </c>
      <c r="H235" s="102" t="s">
        <v>391</v>
      </c>
      <c r="I235" s="122">
        <v>45017</v>
      </c>
      <c r="J235" s="103" t="s">
        <v>703</v>
      </c>
      <c r="K235" s="103" t="s">
        <v>1512</v>
      </c>
      <c r="L235" s="103"/>
      <c r="M235" s="105">
        <v>277194</v>
      </c>
      <c r="N235" s="147">
        <v>0</v>
      </c>
      <c r="O235" s="147">
        <v>0</v>
      </c>
      <c r="P235" s="148">
        <v>0</v>
      </c>
      <c r="Q235" s="147">
        <v>0</v>
      </c>
      <c r="R235" s="149">
        <v>277194</v>
      </c>
      <c r="S2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" s="150">
        <f ca="1">+IF(PROVEEDORES[[#This Row],[FECHA DE PAGO]]=0,TODAY()-PROVEEDORES[[#This Row],[FECHA DE FACTURACIÓN]]-PROVEEDORES[[#This Row],[PLAZO Días]],0)</f>
        <v>0</v>
      </c>
      <c r="U235" s="150">
        <f>+VLOOKUP(PROVEEDORES[[#This Row],[PROVEEDOR]],Terceros!$A:$E,4,FALSE)</f>
        <v>0</v>
      </c>
      <c r="V235" s="150">
        <f>+YEAR(PROVEEDORES[[#This Row],[FECHA DE FACTURACIÓN]])</f>
        <v>2023</v>
      </c>
      <c r="W235" s="150">
        <f>+MATCH(PROVEEDORES[[#This Row],[año facturado]],Retenciones!$1:$1,0)</f>
        <v>6</v>
      </c>
      <c r="X235" s="151">
        <f>+VLOOKUP(PROVEEDORES[[#This Row],[ID RETENCION]],Retenciones!$A$1:$O$25,PROVEEDORES[[#This Row],[indicador de columna]],FALSE)</f>
        <v>0</v>
      </c>
      <c r="Y235" s="152">
        <f>+VLOOKUP(PROVEEDORES[[#This Row],[ID RETENCION]],Retenciones!$A$1:$O$25,2,FALSE)</f>
        <v>0</v>
      </c>
      <c r="Z235" s="153" t="b">
        <f>+OR(COUNTIF(PROVEEDORES[[#This Row],[PROVEEDOR]],"*"&amp;'Palabra que no opera y Listas d'!$A$2&amp;"*"))</f>
        <v>1</v>
      </c>
    </row>
    <row r="236" spans="1:26" ht="27.75" customHeight="1" x14ac:dyDescent="0.3">
      <c r="A236" s="144" t="str">
        <f>+IF(PROVEEDORES[[#This Row],[FECHA DE PAGO]]=PROVEEDORES[[#This Row],[FECHA DE FACTURACIÓN]],"DE CONTADO","CRÉDITO")</f>
        <v>CRÉDITO</v>
      </c>
      <c r="B236" s="144" t="str">
        <f>+IF((PROVEEDORES[[#This Row],[FECHA DE PAGO]]-PROVEEDORES[[#This Row],[FECHA DE FACTURACIÓN]])&gt;PROVEEDORES[[#This Row],[PLAZO Días]],"PAGO VENCIDO")</f>
        <v>PAGO VENCIDO</v>
      </c>
      <c r="C236" s="144">
        <f>+VLOOKUP(PROVEEDORES[[#This Row],[PROVEEDOR]],TERCEROS_INFO[#All],2,FALSE)</f>
        <v>0</v>
      </c>
      <c r="D236" s="145">
        <f>+SUMIFS(PROVEEDORES[Total],PROVEEDORES[PROVEEDOR],PROVEEDORES[[#This Row],[PROVEEDOR]],PROVEEDORES[FECHA DE PAGO],"")</f>
        <v>0</v>
      </c>
      <c r="E236" s="146"/>
      <c r="F236" s="144" t="str">
        <f>+VLOOKUP(PROVEEDORES[[#This Row],[PROVEEDOR]],
                       Terceros!$A:$G,
                       5,
                       FALSE)</f>
        <v>2,5% con base</v>
      </c>
      <c r="G236" s="122">
        <v>45036</v>
      </c>
      <c r="H236" s="102" t="s">
        <v>71</v>
      </c>
      <c r="I236" s="122">
        <v>44974</v>
      </c>
      <c r="J236" s="103" t="s">
        <v>600</v>
      </c>
      <c r="K236" s="103" t="s">
        <v>1512</v>
      </c>
      <c r="L236" s="103"/>
      <c r="M236" s="105">
        <v>4204800</v>
      </c>
      <c r="N236" s="147">
        <v>798912</v>
      </c>
      <c r="O236" s="147">
        <v>0</v>
      </c>
      <c r="P236" s="148">
        <v>2.5000000000000001E-2</v>
      </c>
      <c r="Q236" s="147">
        <v>105120</v>
      </c>
      <c r="R236" s="149">
        <v>4898592</v>
      </c>
      <c r="S2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" s="150">
        <f ca="1">+IF(PROVEEDORES[[#This Row],[FECHA DE PAGO]]=0,TODAY()-PROVEEDORES[[#This Row],[FECHA DE FACTURACIÓN]]-PROVEEDORES[[#This Row],[PLAZO Días]],0)</f>
        <v>0</v>
      </c>
      <c r="U236" s="150">
        <f>+VLOOKUP(PROVEEDORES[[#This Row],[PROVEEDOR]],Terceros!$A:$E,4,FALSE)</f>
        <v>0.19</v>
      </c>
      <c r="V236" s="150">
        <f>+YEAR(PROVEEDORES[[#This Row],[FECHA DE FACTURACIÓN]])</f>
        <v>2023</v>
      </c>
      <c r="W236" s="150">
        <f>+MATCH(PROVEEDORES[[#This Row],[año facturado]],Retenciones!$1:$1,0)</f>
        <v>6</v>
      </c>
      <c r="X236" s="151" t="e">
        <f>+VLOOKUP(PROVEEDORES[[#This Row],[ID RETENCION]],Retenciones!$A$1:$O$25,PROVEEDORES[[#This Row],[indicador de columna]],FALSE)</f>
        <v>#N/A</v>
      </c>
      <c r="Y236" s="152" t="e">
        <f>+VLOOKUP(PROVEEDORES[[#This Row],[ID RETENCION]],Retenciones!$A$1:$O$25,2,FALSE)</f>
        <v>#N/A</v>
      </c>
      <c r="Z236" s="153" t="b">
        <f>+OR(COUNTIF(PROVEEDORES[[#This Row],[PROVEEDOR]],"*"&amp;'Palabra que no opera y Listas d'!$A$2&amp;"*"))</f>
        <v>0</v>
      </c>
    </row>
    <row r="237" spans="1:26" ht="27.75" customHeight="1" x14ac:dyDescent="0.3">
      <c r="A237" s="144" t="str">
        <f>+IF(PROVEEDORES[[#This Row],[FECHA DE PAGO]]=PROVEEDORES[[#This Row],[FECHA DE FACTURACIÓN]],"DE CONTADO","CRÉDITO")</f>
        <v>CRÉDITO</v>
      </c>
      <c r="B237" s="144" t="str">
        <f>+IF((PROVEEDORES[[#This Row],[FECHA DE PAGO]]-PROVEEDORES[[#This Row],[FECHA DE FACTURACIÓN]])&gt;PROVEEDORES[[#This Row],[PLAZO Días]],"PAGO VENCIDO")</f>
        <v>PAGO VENCIDO</v>
      </c>
      <c r="C237" s="144">
        <f>+VLOOKUP(PROVEEDORES[[#This Row],[PROVEEDOR]],TERCEROS_INFO[#All],2,FALSE)</f>
        <v>0</v>
      </c>
      <c r="D237" s="145">
        <f>+SUMIFS(PROVEEDORES[Total],PROVEEDORES[PROVEEDOR],PROVEEDORES[[#This Row],[PROVEEDOR]],PROVEEDORES[FECHA DE PAGO],"")</f>
        <v>0</v>
      </c>
      <c r="E237" s="146"/>
      <c r="F237" s="144" t="str">
        <f>+VLOOKUP(PROVEEDORES[[#This Row],[PROVEEDOR]],
                       Terceros!$A:$G,
                       5,
                       FALSE)</f>
        <v>2,5% con base</v>
      </c>
      <c r="G237" s="122">
        <v>45036</v>
      </c>
      <c r="H237" s="102" t="s">
        <v>71</v>
      </c>
      <c r="I237" s="122">
        <v>44978</v>
      </c>
      <c r="J237" s="103" t="s">
        <v>601</v>
      </c>
      <c r="K237" s="103" t="s">
        <v>1512</v>
      </c>
      <c r="L237" s="103"/>
      <c r="M237" s="105">
        <v>1536000</v>
      </c>
      <c r="N237" s="147">
        <v>291840</v>
      </c>
      <c r="O237" s="147">
        <v>0</v>
      </c>
      <c r="P237" s="148">
        <v>2.5000000000000001E-2</v>
      </c>
      <c r="Q237" s="147">
        <v>38400</v>
      </c>
      <c r="R237" s="149">
        <v>1789440</v>
      </c>
      <c r="S2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" s="150">
        <f ca="1">+IF(PROVEEDORES[[#This Row],[FECHA DE PAGO]]=0,TODAY()-PROVEEDORES[[#This Row],[FECHA DE FACTURACIÓN]]-PROVEEDORES[[#This Row],[PLAZO Días]],0)</f>
        <v>0</v>
      </c>
      <c r="U237" s="150">
        <f>+VLOOKUP(PROVEEDORES[[#This Row],[PROVEEDOR]],Terceros!$A:$E,4,FALSE)</f>
        <v>0.19</v>
      </c>
      <c r="V237" s="150">
        <f>+YEAR(PROVEEDORES[[#This Row],[FECHA DE FACTURACIÓN]])</f>
        <v>2023</v>
      </c>
      <c r="W237" s="150">
        <f>+MATCH(PROVEEDORES[[#This Row],[año facturado]],Retenciones!$1:$1,0)</f>
        <v>6</v>
      </c>
      <c r="X237" s="151" t="e">
        <f>+VLOOKUP(PROVEEDORES[[#This Row],[ID RETENCION]],Retenciones!$A$1:$O$25,PROVEEDORES[[#This Row],[indicador de columna]],FALSE)</f>
        <v>#N/A</v>
      </c>
      <c r="Y237" s="152" t="e">
        <f>+VLOOKUP(PROVEEDORES[[#This Row],[ID RETENCION]],Retenciones!$A$1:$O$25,2,FALSE)</f>
        <v>#N/A</v>
      </c>
      <c r="Z237" s="153" t="b">
        <f>+OR(COUNTIF(PROVEEDORES[[#This Row],[PROVEEDOR]],"*"&amp;'Palabra que no opera y Listas d'!$A$2&amp;"*"))</f>
        <v>0</v>
      </c>
    </row>
    <row r="238" spans="1:26" ht="27.75" customHeight="1" x14ac:dyDescent="0.3">
      <c r="A238" s="144" t="str">
        <f>+IF(PROVEEDORES[[#This Row],[FECHA DE PAGO]]=PROVEEDORES[[#This Row],[FECHA DE FACTURACIÓN]],"DE CONTADO","CRÉDITO")</f>
        <v>CRÉDITO</v>
      </c>
      <c r="B238" s="144" t="str">
        <f>+IF((PROVEEDORES[[#This Row],[FECHA DE PAGO]]-PROVEEDORES[[#This Row],[FECHA DE FACTURACIÓN]])&gt;PROVEEDORES[[#This Row],[PLAZO Días]],"PAGO VENCIDO")</f>
        <v>PAGO VENCIDO</v>
      </c>
      <c r="C238" s="144">
        <f>+VLOOKUP(PROVEEDORES[[#This Row],[PROVEEDOR]],TERCEROS_INFO[#All],2,FALSE)</f>
        <v>0</v>
      </c>
      <c r="D238" s="145">
        <f>+SUMIFS(PROVEEDORES[Total],PROVEEDORES[PROVEEDOR],PROVEEDORES[[#This Row],[PROVEEDOR]],PROVEEDORES[FECHA DE PAGO],"")</f>
        <v>0</v>
      </c>
      <c r="E238" s="146"/>
      <c r="F238" s="144" t="str">
        <f>+VLOOKUP(PROVEEDORES[[#This Row],[PROVEEDOR]],
                       Terceros!$A:$G,
                       5,
                       FALSE)</f>
        <v>2,5% con base</v>
      </c>
      <c r="G238" s="122">
        <v>45036</v>
      </c>
      <c r="H238" s="102" t="s">
        <v>467</v>
      </c>
      <c r="I238" s="122">
        <v>44994</v>
      </c>
      <c r="J238" s="103" t="s">
        <v>625</v>
      </c>
      <c r="K238" s="103" t="s">
        <v>1512</v>
      </c>
      <c r="L238" s="103"/>
      <c r="M238" s="105">
        <v>1487397</v>
      </c>
      <c r="N238" s="147">
        <v>282605.43</v>
      </c>
      <c r="O238" s="147">
        <v>0</v>
      </c>
      <c r="P238" s="148">
        <v>2.5000000000000001E-2</v>
      </c>
      <c r="Q238" s="147">
        <v>37184.925000000003</v>
      </c>
      <c r="R238" s="149">
        <v>1732817.5049999999</v>
      </c>
      <c r="S2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" s="150">
        <f ca="1">+IF(PROVEEDORES[[#This Row],[FECHA DE PAGO]]=0,TODAY()-PROVEEDORES[[#This Row],[FECHA DE FACTURACIÓN]]-PROVEEDORES[[#This Row],[PLAZO Días]],0)</f>
        <v>0</v>
      </c>
      <c r="U238" s="150">
        <f>+VLOOKUP(PROVEEDORES[[#This Row],[PROVEEDOR]],Terceros!$A:$E,4,FALSE)</f>
        <v>0.19</v>
      </c>
      <c r="V238" s="150">
        <f>+YEAR(PROVEEDORES[[#This Row],[FECHA DE FACTURACIÓN]])</f>
        <v>2023</v>
      </c>
      <c r="W238" s="150">
        <f>+MATCH(PROVEEDORES[[#This Row],[año facturado]],Retenciones!$1:$1,0)</f>
        <v>6</v>
      </c>
      <c r="X238" s="151" t="e">
        <f>+VLOOKUP(PROVEEDORES[[#This Row],[ID RETENCION]],Retenciones!$A$1:$O$25,PROVEEDORES[[#This Row],[indicador de columna]],FALSE)</f>
        <v>#N/A</v>
      </c>
      <c r="Y238" s="152" t="e">
        <f>+VLOOKUP(PROVEEDORES[[#This Row],[ID RETENCION]],Retenciones!$A$1:$O$25,2,FALSE)</f>
        <v>#N/A</v>
      </c>
      <c r="Z238" s="153" t="b">
        <f>+OR(COUNTIF(PROVEEDORES[[#This Row],[PROVEEDOR]],"*"&amp;'Palabra que no opera y Listas d'!$A$2&amp;"*"))</f>
        <v>0</v>
      </c>
    </row>
    <row r="239" spans="1:26" ht="27.75" customHeight="1" x14ac:dyDescent="0.3">
      <c r="A239" s="144" t="str">
        <f>+IF(PROVEEDORES[[#This Row],[FECHA DE PAGO]]=PROVEEDORES[[#This Row],[FECHA DE FACTURACIÓN]],"DE CONTADO","CRÉDITO")</f>
        <v>DE CONTADO</v>
      </c>
      <c r="B239" s="144" t="b">
        <f>+IF((PROVEEDORES[[#This Row],[FECHA DE PAGO]]-PROVEEDORES[[#This Row],[FECHA DE FACTURACIÓN]])&gt;PROVEEDORES[[#This Row],[PLAZO Días]],"PAGO VENCIDO")</f>
        <v>0</v>
      </c>
      <c r="C239" s="144">
        <f>+VLOOKUP(PROVEEDORES[[#This Row],[PROVEEDOR]],TERCEROS_INFO[#All],2,FALSE)</f>
        <v>0</v>
      </c>
      <c r="D239" s="145">
        <f>+SUMIFS(PROVEEDORES[Total],PROVEEDORES[PROVEEDOR],PROVEEDORES[[#This Row],[PROVEEDOR]],PROVEEDORES[FECHA DE PAGO],"")</f>
        <v>550000</v>
      </c>
      <c r="E239" s="146"/>
      <c r="F239" s="144">
        <f>+VLOOKUP(PROVEEDORES[[#This Row],[PROVEEDOR]],
                       Terceros!$A:$G,
                       5,
                       FALSE)</f>
        <v>0</v>
      </c>
      <c r="G239" s="122">
        <v>45038</v>
      </c>
      <c r="H239" s="102" t="s">
        <v>1784</v>
      </c>
      <c r="I239" s="122">
        <v>45038</v>
      </c>
      <c r="J239" s="103" t="s">
        <v>742</v>
      </c>
      <c r="K239" s="103" t="s">
        <v>1512</v>
      </c>
      <c r="L239" s="103"/>
      <c r="M239" s="105">
        <v>1070000</v>
      </c>
      <c r="N239" s="147">
        <v>0</v>
      </c>
      <c r="O239" s="147">
        <v>0</v>
      </c>
      <c r="P239" s="148">
        <v>0</v>
      </c>
      <c r="Q239" s="147">
        <v>0</v>
      </c>
      <c r="R239" s="149">
        <v>1070000</v>
      </c>
      <c r="S2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" s="150">
        <f ca="1">+IF(PROVEEDORES[[#This Row],[FECHA DE PAGO]]=0,TODAY()-PROVEEDORES[[#This Row],[FECHA DE FACTURACIÓN]]-PROVEEDORES[[#This Row],[PLAZO Días]],0)</f>
        <v>0</v>
      </c>
      <c r="U239" s="150">
        <f>+VLOOKUP(PROVEEDORES[[#This Row],[PROVEEDOR]],Terceros!$A:$E,4,FALSE)</f>
        <v>0</v>
      </c>
      <c r="V239" s="150">
        <f>+YEAR(PROVEEDORES[[#This Row],[FECHA DE FACTURACIÓN]])</f>
        <v>2023</v>
      </c>
      <c r="W239" s="150">
        <f>+MATCH(PROVEEDORES[[#This Row],[año facturado]],Retenciones!$1:$1,0)</f>
        <v>6</v>
      </c>
      <c r="X239" s="151">
        <f>+VLOOKUP(PROVEEDORES[[#This Row],[ID RETENCION]],Retenciones!$A$1:$O$25,PROVEEDORES[[#This Row],[indicador de columna]],FALSE)</f>
        <v>0</v>
      </c>
      <c r="Y239" s="152">
        <f>+VLOOKUP(PROVEEDORES[[#This Row],[ID RETENCION]],Retenciones!$A$1:$O$25,2,FALSE)</f>
        <v>0</v>
      </c>
      <c r="Z239" s="153" t="b">
        <f>+OR(COUNTIF(PROVEEDORES[[#This Row],[PROVEEDOR]],"*"&amp;'Palabra que no opera y Listas d'!$A$2&amp;"*"))</f>
        <v>0</v>
      </c>
    </row>
    <row r="240" spans="1:26" ht="27.75" customHeight="1" x14ac:dyDescent="0.3">
      <c r="A240" s="144" t="str">
        <f>+IF(PROVEEDORES[[#This Row],[FECHA DE PAGO]]=PROVEEDORES[[#This Row],[FECHA DE FACTURACIÓN]],"DE CONTADO","CRÉDITO")</f>
        <v>CRÉDITO</v>
      </c>
      <c r="B240" s="144" t="str">
        <f>+IF((PROVEEDORES[[#This Row],[FECHA DE PAGO]]-PROVEEDORES[[#This Row],[FECHA DE FACTURACIÓN]])&gt;PROVEEDORES[[#This Row],[PLAZO Días]],"PAGO VENCIDO")</f>
        <v>PAGO VENCIDO</v>
      </c>
      <c r="C240" s="144">
        <f>+VLOOKUP(PROVEEDORES[[#This Row],[PROVEEDOR]],TERCEROS_INFO[#All],2,FALSE)</f>
        <v>0</v>
      </c>
      <c r="D240" s="145">
        <f>+SUMIFS(PROVEEDORES[Total],PROVEEDORES[PROVEEDOR],PROVEEDORES[[#This Row],[PROVEEDOR]],PROVEEDORES[FECHA DE PAGO],"")</f>
        <v>7281829.8799999999</v>
      </c>
      <c r="E240" s="146"/>
      <c r="F240" s="144" t="str">
        <f>+VLOOKUP(PROVEEDORES[[#This Row],[PROVEEDOR]],
                       Terceros!$A:$G,
                       5,
                       FALSE)</f>
        <v>2,5% con base</v>
      </c>
      <c r="G240" s="122">
        <v>45040</v>
      </c>
      <c r="H240" s="102" t="s">
        <v>1445</v>
      </c>
      <c r="I240" s="122">
        <v>44988</v>
      </c>
      <c r="J240" s="103" t="s">
        <v>707</v>
      </c>
      <c r="K240" s="103" t="s">
        <v>1512</v>
      </c>
      <c r="L240" s="103"/>
      <c r="M240" s="105">
        <v>93570</v>
      </c>
      <c r="N240" s="147">
        <v>17778.3</v>
      </c>
      <c r="O240" s="147">
        <v>0</v>
      </c>
      <c r="P240" s="148">
        <v>0</v>
      </c>
      <c r="Q240" s="147">
        <v>0</v>
      </c>
      <c r="R240" s="149">
        <v>111348.3</v>
      </c>
      <c r="S2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" s="150">
        <f ca="1">+IF(PROVEEDORES[[#This Row],[FECHA DE PAGO]]=0,TODAY()-PROVEEDORES[[#This Row],[FECHA DE FACTURACIÓN]]-PROVEEDORES[[#This Row],[PLAZO Días]],0)</f>
        <v>0</v>
      </c>
      <c r="U240" s="150">
        <f>+VLOOKUP(PROVEEDORES[[#This Row],[PROVEEDOR]],Terceros!$A:$E,4,FALSE)</f>
        <v>0.19</v>
      </c>
      <c r="V240" s="150">
        <f>+YEAR(PROVEEDORES[[#This Row],[FECHA DE FACTURACIÓN]])</f>
        <v>2023</v>
      </c>
      <c r="W240" s="150">
        <f>+MATCH(PROVEEDORES[[#This Row],[año facturado]],Retenciones!$1:$1,0)</f>
        <v>6</v>
      </c>
      <c r="X240" s="151" t="e">
        <f>+VLOOKUP(PROVEEDORES[[#This Row],[ID RETENCION]],Retenciones!$A$1:$O$25,PROVEEDORES[[#This Row],[indicador de columna]],FALSE)</f>
        <v>#N/A</v>
      </c>
      <c r="Y240" s="152" t="e">
        <f>+VLOOKUP(PROVEEDORES[[#This Row],[ID RETENCION]],Retenciones!$A$1:$O$25,2,FALSE)</f>
        <v>#N/A</v>
      </c>
      <c r="Z240" s="153" t="b">
        <f>+OR(COUNTIF(PROVEEDORES[[#This Row],[PROVEEDOR]],"*"&amp;'Palabra que no opera y Listas d'!$A$2&amp;"*"))</f>
        <v>0</v>
      </c>
    </row>
    <row r="241" spans="1:26" ht="27.75" customHeight="1" x14ac:dyDescent="0.3">
      <c r="A241" s="144" t="str">
        <f>+IF(PROVEEDORES[[#This Row],[FECHA DE PAGO]]=PROVEEDORES[[#This Row],[FECHA DE FACTURACIÓN]],"DE CONTADO","CRÉDITO")</f>
        <v>CRÉDITO</v>
      </c>
      <c r="B241" s="144" t="str">
        <f>+IF((PROVEEDORES[[#This Row],[FECHA DE PAGO]]-PROVEEDORES[[#This Row],[FECHA DE FACTURACIÓN]])&gt;PROVEEDORES[[#This Row],[PLAZO Días]],"PAGO VENCIDO")</f>
        <v>PAGO VENCIDO</v>
      </c>
      <c r="C241" s="144">
        <f>+VLOOKUP(PROVEEDORES[[#This Row],[PROVEEDOR]],TERCEROS_INFO[#All],2,FALSE)</f>
        <v>0</v>
      </c>
      <c r="D241" s="145">
        <f>+SUMIFS(PROVEEDORES[Total],PROVEEDORES[PROVEEDOR],PROVEEDORES[[#This Row],[PROVEEDOR]],PROVEEDORES[FECHA DE PAGO],"")</f>
        <v>7281829.8799999999</v>
      </c>
      <c r="E241" s="146"/>
      <c r="F241" s="144" t="str">
        <f>+VLOOKUP(PROVEEDORES[[#This Row],[PROVEEDOR]],
                       Terceros!$A:$G,
                       5,
                       FALSE)</f>
        <v>2,5% con base</v>
      </c>
      <c r="G241" s="122">
        <v>45040</v>
      </c>
      <c r="H241" s="102" t="s">
        <v>1445</v>
      </c>
      <c r="I241" s="122">
        <v>45006</v>
      </c>
      <c r="J241" s="103" t="s">
        <v>711</v>
      </c>
      <c r="K241" s="103" t="s">
        <v>1512</v>
      </c>
      <c r="L241" s="103"/>
      <c r="M241" s="105">
        <v>2780070</v>
      </c>
      <c r="N241" s="147">
        <v>528213.30000000005</v>
      </c>
      <c r="O241" s="147">
        <v>0</v>
      </c>
      <c r="P241" s="148">
        <v>2.5000000000000001E-2</v>
      </c>
      <c r="Q241" s="147">
        <v>69501.75</v>
      </c>
      <c r="R241" s="149">
        <v>3238781.55</v>
      </c>
      <c r="S2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" s="150">
        <f ca="1">+IF(PROVEEDORES[[#This Row],[FECHA DE PAGO]]=0,TODAY()-PROVEEDORES[[#This Row],[FECHA DE FACTURACIÓN]]-PROVEEDORES[[#This Row],[PLAZO Días]],0)</f>
        <v>0</v>
      </c>
      <c r="U241" s="150">
        <f>+VLOOKUP(PROVEEDORES[[#This Row],[PROVEEDOR]],Terceros!$A:$E,4,FALSE)</f>
        <v>0.19</v>
      </c>
      <c r="V241" s="150">
        <f>+YEAR(PROVEEDORES[[#This Row],[FECHA DE FACTURACIÓN]])</f>
        <v>2023</v>
      </c>
      <c r="W241" s="150">
        <f>+MATCH(PROVEEDORES[[#This Row],[año facturado]],Retenciones!$1:$1,0)</f>
        <v>6</v>
      </c>
      <c r="X241" s="151" t="e">
        <f>+VLOOKUP(PROVEEDORES[[#This Row],[ID RETENCION]],Retenciones!$A$1:$O$25,PROVEEDORES[[#This Row],[indicador de columna]],FALSE)</f>
        <v>#N/A</v>
      </c>
      <c r="Y241" s="152" t="e">
        <f>+VLOOKUP(PROVEEDORES[[#This Row],[ID RETENCION]],Retenciones!$A$1:$O$25,2,FALSE)</f>
        <v>#N/A</v>
      </c>
      <c r="Z241" s="153" t="b">
        <f>+OR(COUNTIF(PROVEEDORES[[#This Row],[PROVEEDOR]],"*"&amp;'Palabra que no opera y Listas d'!$A$2&amp;"*"))</f>
        <v>0</v>
      </c>
    </row>
    <row r="242" spans="1:26" ht="27.75" customHeight="1" x14ac:dyDescent="0.3">
      <c r="A242" s="144" t="str">
        <f>+IF(PROVEEDORES[[#This Row],[FECHA DE PAGO]]=PROVEEDORES[[#This Row],[FECHA DE FACTURACIÓN]],"DE CONTADO","CRÉDITO")</f>
        <v>CRÉDITO</v>
      </c>
      <c r="B242" s="144" t="str">
        <f>+IF((PROVEEDORES[[#This Row],[FECHA DE PAGO]]-PROVEEDORES[[#This Row],[FECHA DE FACTURACIÓN]])&gt;PROVEEDORES[[#This Row],[PLAZO Días]],"PAGO VENCIDO")</f>
        <v>PAGO VENCIDO</v>
      </c>
      <c r="C242" s="144">
        <f>+VLOOKUP(PROVEEDORES[[#This Row],[PROVEEDOR]],TERCEROS_INFO[#All],2,FALSE)</f>
        <v>0</v>
      </c>
      <c r="D242" s="145">
        <f>+SUMIFS(PROVEEDORES[Total],PROVEEDORES[PROVEEDOR],PROVEEDORES[[#This Row],[PROVEEDOR]],PROVEEDORES[FECHA DE PAGO],"")</f>
        <v>0</v>
      </c>
      <c r="E242" s="146"/>
      <c r="F242" s="144" t="str">
        <f>+VLOOKUP(PROVEEDORES[[#This Row],[PROVEEDOR]],
                       Terceros!$A:$G,
                       5,
                       FALSE)</f>
        <v>3,5% sin base</v>
      </c>
      <c r="G242" s="122">
        <v>45041</v>
      </c>
      <c r="H242" s="102" t="s">
        <v>395</v>
      </c>
      <c r="I242" s="122">
        <v>45034</v>
      </c>
      <c r="J242" s="103" t="s">
        <v>734</v>
      </c>
      <c r="K242" s="103" t="s">
        <v>1512</v>
      </c>
      <c r="L242" s="103"/>
      <c r="M242" s="105">
        <v>3456200</v>
      </c>
      <c r="N242" s="147">
        <v>0</v>
      </c>
      <c r="O242" s="147">
        <v>0</v>
      </c>
      <c r="P242" s="148">
        <v>3.5000000000000003E-2</v>
      </c>
      <c r="Q242" s="147">
        <v>120967.00000000001</v>
      </c>
      <c r="R242" s="149">
        <v>3335233</v>
      </c>
      <c r="S2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" s="150">
        <f ca="1">+IF(PROVEEDORES[[#This Row],[FECHA DE PAGO]]=0,TODAY()-PROVEEDORES[[#This Row],[FECHA DE FACTURACIÓN]]-PROVEEDORES[[#This Row],[PLAZO Días]],0)</f>
        <v>0</v>
      </c>
      <c r="U242" s="150">
        <f>+VLOOKUP(PROVEEDORES[[#This Row],[PROVEEDOR]],Terceros!$A:$E,4,FALSE)</f>
        <v>0</v>
      </c>
      <c r="V242" s="150">
        <f>+YEAR(PROVEEDORES[[#This Row],[FECHA DE FACTURACIÓN]])</f>
        <v>2023</v>
      </c>
      <c r="W242" s="150">
        <f>+MATCH(PROVEEDORES[[#This Row],[año facturado]],Retenciones!$1:$1,0)</f>
        <v>6</v>
      </c>
      <c r="X242" s="151">
        <f>+VLOOKUP(PROVEEDORES[[#This Row],[ID RETENCION]],Retenciones!$A$1:$O$25,PROVEEDORES[[#This Row],[indicador de columna]],FALSE)</f>
        <v>0</v>
      </c>
      <c r="Y242" s="152">
        <f>+VLOOKUP(PROVEEDORES[[#This Row],[ID RETENCION]],Retenciones!$A$1:$O$25,2,FALSE)</f>
        <v>0</v>
      </c>
      <c r="Z242" s="153" t="b">
        <f>+OR(COUNTIF(PROVEEDORES[[#This Row],[PROVEEDOR]],"*"&amp;'Palabra que no opera y Listas d'!$A$2&amp;"*"))</f>
        <v>1</v>
      </c>
    </row>
    <row r="243" spans="1:26" ht="27.75" customHeight="1" x14ac:dyDescent="0.3">
      <c r="A243" s="144" t="str">
        <f>+IF(PROVEEDORES[[#This Row],[FECHA DE PAGO]]=PROVEEDORES[[#This Row],[FECHA DE FACTURACIÓN]],"DE CONTADO","CRÉDITO")</f>
        <v>CRÉDITO</v>
      </c>
      <c r="B243" s="144" t="str">
        <f>+IF((PROVEEDORES[[#This Row],[FECHA DE PAGO]]-PROVEEDORES[[#This Row],[FECHA DE FACTURACIÓN]])&gt;PROVEEDORES[[#This Row],[PLAZO Días]],"PAGO VENCIDO")</f>
        <v>PAGO VENCIDO</v>
      </c>
      <c r="C243" s="144">
        <f>+VLOOKUP(PROVEEDORES[[#This Row],[PROVEEDOR]],TERCEROS_INFO[#All],2,FALSE)</f>
        <v>0</v>
      </c>
      <c r="D243" s="145">
        <f>+SUMIFS(PROVEEDORES[Total],PROVEEDORES[PROVEEDOR],PROVEEDORES[[#This Row],[PROVEEDOR]],PROVEEDORES[FECHA DE PAGO],"")</f>
        <v>0</v>
      </c>
      <c r="E243" s="146"/>
      <c r="F243" s="144">
        <f>+VLOOKUP(PROVEEDORES[[#This Row],[PROVEEDOR]],
                       Terceros!$A:$G,
                       5,
                       FALSE)</f>
        <v>0</v>
      </c>
      <c r="G243" s="122">
        <v>45043</v>
      </c>
      <c r="H243" s="102" t="s">
        <v>496</v>
      </c>
      <c r="I243" s="122">
        <v>45042</v>
      </c>
      <c r="J243" s="103" t="s">
        <v>737</v>
      </c>
      <c r="K243" s="103" t="s">
        <v>1512</v>
      </c>
      <c r="L243" s="103"/>
      <c r="M243" s="105">
        <v>3656000</v>
      </c>
      <c r="N243" s="147">
        <v>0</v>
      </c>
      <c r="O243" s="147">
        <v>0</v>
      </c>
      <c r="P243" s="148">
        <v>0</v>
      </c>
      <c r="Q243" s="147">
        <v>0</v>
      </c>
      <c r="R243" s="149">
        <v>3656000</v>
      </c>
      <c r="S2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" s="150">
        <f ca="1">+IF(PROVEEDORES[[#This Row],[FECHA DE PAGO]]=0,TODAY()-PROVEEDORES[[#This Row],[FECHA DE FACTURACIÓN]]-PROVEEDORES[[#This Row],[PLAZO Días]],0)</f>
        <v>0</v>
      </c>
      <c r="U243" s="150">
        <f>+VLOOKUP(PROVEEDORES[[#This Row],[PROVEEDOR]],Terceros!$A:$E,4,FALSE)</f>
        <v>0</v>
      </c>
      <c r="V243" s="150">
        <f>+YEAR(PROVEEDORES[[#This Row],[FECHA DE FACTURACIÓN]])</f>
        <v>2023</v>
      </c>
      <c r="W243" s="150">
        <f>+MATCH(PROVEEDORES[[#This Row],[año facturado]],Retenciones!$1:$1,0)</f>
        <v>6</v>
      </c>
      <c r="X243" s="151">
        <f>+VLOOKUP(PROVEEDORES[[#This Row],[ID RETENCION]],Retenciones!$A$1:$O$25,PROVEEDORES[[#This Row],[indicador de columna]],FALSE)</f>
        <v>0</v>
      </c>
      <c r="Y243" s="152">
        <f>+VLOOKUP(PROVEEDORES[[#This Row],[ID RETENCION]],Retenciones!$A$1:$O$25,2,FALSE)</f>
        <v>0</v>
      </c>
      <c r="Z243" s="153" t="b">
        <f>+OR(COUNTIF(PROVEEDORES[[#This Row],[PROVEEDOR]],"*"&amp;'Palabra que no opera y Listas d'!$A$2&amp;"*"))</f>
        <v>0</v>
      </c>
    </row>
    <row r="244" spans="1:26" ht="27.75" customHeight="1" x14ac:dyDescent="0.3">
      <c r="A244" s="144" t="str">
        <f>+IF(PROVEEDORES[[#This Row],[FECHA DE PAGO]]=PROVEEDORES[[#This Row],[FECHA DE FACTURACIÓN]],"DE CONTADO","CRÉDITO")</f>
        <v>CRÉDITO</v>
      </c>
      <c r="B244" s="144" t="str">
        <f>+IF((PROVEEDORES[[#This Row],[FECHA DE PAGO]]-PROVEEDORES[[#This Row],[FECHA DE FACTURACIÓN]])&gt;PROVEEDORES[[#This Row],[PLAZO Días]],"PAGO VENCIDO")</f>
        <v>PAGO VENCIDO</v>
      </c>
      <c r="C244" s="144">
        <f>+VLOOKUP(PROVEEDORES[[#This Row],[PROVEEDOR]],TERCEROS_INFO[#All],2,FALSE)</f>
        <v>0</v>
      </c>
      <c r="D244" s="145">
        <f>+SUMIFS(PROVEEDORES[Total],PROVEEDORES[PROVEEDOR],PROVEEDORES[[#This Row],[PROVEEDOR]],PROVEEDORES[FECHA DE PAGO],"")</f>
        <v>0</v>
      </c>
      <c r="E244" s="146"/>
      <c r="F244" s="144" t="str">
        <f>+VLOOKUP(PROVEEDORES[[#This Row],[PROVEEDOR]],
                       Terceros!$A:$G,
                       5,
                       FALSE)</f>
        <v>2,5% con base</v>
      </c>
      <c r="G244" s="122">
        <v>45044</v>
      </c>
      <c r="H244" s="102" t="s">
        <v>19</v>
      </c>
      <c r="I244" s="122">
        <v>44999</v>
      </c>
      <c r="J244" s="103" t="s">
        <v>640</v>
      </c>
      <c r="K244" s="103" t="s">
        <v>1512</v>
      </c>
      <c r="L244" s="103"/>
      <c r="M244" s="105">
        <v>1312210</v>
      </c>
      <c r="N244" s="147">
        <v>249319.9</v>
      </c>
      <c r="O244" s="147">
        <v>0</v>
      </c>
      <c r="P244" s="148">
        <v>2.5000000000000001E-2</v>
      </c>
      <c r="Q244" s="147">
        <v>32805.25</v>
      </c>
      <c r="R244" s="149">
        <v>1528724.65</v>
      </c>
      <c r="S2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" s="150">
        <f ca="1">+IF(PROVEEDORES[[#This Row],[FECHA DE PAGO]]=0,TODAY()-PROVEEDORES[[#This Row],[FECHA DE FACTURACIÓN]]-PROVEEDORES[[#This Row],[PLAZO Días]],0)</f>
        <v>0</v>
      </c>
      <c r="U244" s="150">
        <f>+VLOOKUP(PROVEEDORES[[#This Row],[PROVEEDOR]],Terceros!$A:$E,4,FALSE)</f>
        <v>0.19</v>
      </c>
      <c r="V244" s="150">
        <f>+YEAR(PROVEEDORES[[#This Row],[FECHA DE FACTURACIÓN]])</f>
        <v>2023</v>
      </c>
      <c r="W244" s="150">
        <f>+MATCH(PROVEEDORES[[#This Row],[año facturado]],Retenciones!$1:$1,0)</f>
        <v>6</v>
      </c>
      <c r="X244" s="151" t="e">
        <f>+VLOOKUP(PROVEEDORES[[#This Row],[ID RETENCION]],Retenciones!$A$1:$O$25,PROVEEDORES[[#This Row],[indicador de columna]],FALSE)</f>
        <v>#N/A</v>
      </c>
      <c r="Y244" s="152" t="e">
        <f>+VLOOKUP(PROVEEDORES[[#This Row],[ID RETENCION]],Retenciones!$A$1:$O$25,2,FALSE)</f>
        <v>#N/A</v>
      </c>
      <c r="Z244" s="153" t="b">
        <f>+OR(COUNTIF(PROVEEDORES[[#This Row],[PROVEEDOR]],"*"&amp;'Palabra que no opera y Listas d'!$A$2&amp;"*"))</f>
        <v>0</v>
      </c>
    </row>
    <row r="245" spans="1:26" ht="27.75" customHeight="1" x14ac:dyDescent="0.3">
      <c r="A245" s="144" t="str">
        <f>+IF(PROVEEDORES[[#This Row],[FECHA DE PAGO]]=PROVEEDORES[[#This Row],[FECHA DE FACTURACIÓN]],"DE CONTADO","CRÉDITO")</f>
        <v>CRÉDITO</v>
      </c>
      <c r="B245" s="144" t="str">
        <f>+IF((PROVEEDORES[[#This Row],[FECHA DE PAGO]]-PROVEEDORES[[#This Row],[FECHA DE FACTURACIÓN]])&gt;PROVEEDORES[[#This Row],[PLAZO Días]],"PAGO VENCIDO")</f>
        <v>PAGO VENCIDO</v>
      </c>
      <c r="C245" s="144">
        <f>+VLOOKUP(PROVEEDORES[[#This Row],[PROVEEDOR]],TERCEROS_INFO[#All],2,FALSE)</f>
        <v>0</v>
      </c>
      <c r="D245" s="145">
        <f>+SUMIFS(PROVEEDORES[Total],PROVEEDORES[PROVEEDOR],PROVEEDORES[[#This Row],[PROVEEDOR]],PROVEEDORES[FECHA DE PAGO],"")</f>
        <v>0</v>
      </c>
      <c r="E245" s="146"/>
      <c r="F245" s="144" t="str">
        <f>+VLOOKUP(PROVEEDORES[[#This Row],[PROVEEDOR]],
                       Terceros!$A:$G,
                       5,
                       FALSE)</f>
        <v>2,5% con base</v>
      </c>
      <c r="G245" s="122">
        <v>45044</v>
      </c>
      <c r="H245" s="102" t="s">
        <v>44</v>
      </c>
      <c r="I245" s="122">
        <v>44999</v>
      </c>
      <c r="J245" s="103" t="s">
        <v>708</v>
      </c>
      <c r="K245" s="103" t="s">
        <v>1512</v>
      </c>
      <c r="L245" s="103"/>
      <c r="M245" s="105">
        <v>563025</v>
      </c>
      <c r="N245" s="147">
        <v>106974.75</v>
      </c>
      <c r="O245" s="147">
        <v>0</v>
      </c>
      <c r="P245" s="148">
        <v>0</v>
      </c>
      <c r="Q245" s="147">
        <v>0</v>
      </c>
      <c r="R245" s="149">
        <v>669999.75</v>
      </c>
      <c r="S2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5" s="150">
        <f ca="1">+IF(PROVEEDORES[[#This Row],[FECHA DE PAGO]]=0,TODAY()-PROVEEDORES[[#This Row],[FECHA DE FACTURACIÓN]]-PROVEEDORES[[#This Row],[PLAZO Días]],0)</f>
        <v>0</v>
      </c>
      <c r="U245" s="150">
        <f>+VLOOKUP(PROVEEDORES[[#This Row],[PROVEEDOR]],Terceros!$A:$E,4,FALSE)</f>
        <v>0.19</v>
      </c>
      <c r="V245" s="150">
        <f>+YEAR(PROVEEDORES[[#This Row],[FECHA DE FACTURACIÓN]])</f>
        <v>2023</v>
      </c>
      <c r="W245" s="150">
        <f>+MATCH(PROVEEDORES[[#This Row],[año facturado]],Retenciones!$1:$1,0)</f>
        <v>6</v>
      </c>
      <c r="X245" s="151" t="e">
        <f>+VLOOKUP(PROVEEDORES[[#This Row],[ID RETENCION]],Retenciones!$A$1:$O$25,PROVEEDORES[[#This Row],[indicador de columna]],FALSE)</f>
        <v>#N/A</v>
      </c>
      <c r="Y245" s="152" t="e">
        <f>+VLOOKUP(PROVEEDORES[[#This Row],[ID RETENCION]],Retenciones!$A$1:$O$25,2,FALSE)</f>
        <v>#N/A</v>
      </c>
      <c r="Z245" s="153" t="b">
        <f>+OR(COUNTIF(PROVEEDORES[[#This Row],[PROVEEDOR]],"*"&amp;'Palabra que no opera y Listas d'!$A$2&amp;"*"))</f>
        <v>0</v>
      </c>
    </row>
    <row r="246" spans="1:26" ht="27.75" customHeight="1" x14ac:dyDescent="0.3">
      <c r="A246" s="144" t="str">
        <f>+IF(PROVEEDORES[[#This Row],[FECHA DE PAGO]]=PROVEEDORES[[#This Row],[FECHA DE FACTURACIÓN]],"DE CONTADO","CRÉDITO")</f>
        <v>DE CONTADO</v>
      </c>
      <c r="B246" s="144" t="b">
        <f>+IF((PROVEEDORES[[#This Row],[FECHA DE PAGO]]-PROVEEDORES[[#This Row],[FECHA DE FACTURACIÓN]])&gt;PROVEEDORES[[#This Row],[PLAZO Días]],"PAGO VENCIDO")</f>
        <v>0</v>
      </c>
      <c r="C246" s="144">
        <f>+VLOOKUP(PROVEEDORES[[#This Row],[PROVEEDOR]],TERCEROS_INFO[#All],2,FALSE)</f>
        <v>0</v>
      </c>
      <c r="D246" s="145">
        <f>+SUMIFS(PROVEEDORES[Total],PROVEEDORES[PROVEEDOR],PROVEEDORES[[#This Row],[PROVEEDOR]],PROVEEDORES[FECHA DE PAGO],"")</f>
        <v>0</v>
      </c>
      <c r="E246" s="146"/>
      <c r="F246" s="144">
        <f>+VLOOKUP(PROVEEDORES[[#This Row],[PROVEEDOR]],
                       Terceros!$A:$G,
                       5,
                       FALSE)</f>
        <v>0</v>
      </c>
      <c r="G246" s="122">
        <v>45044</v>
      </c>
      <c r="H246" s="102" t="s">
        <v>191</v>
      </c>
      <c r="I246" s="122">
        <v>45044</v>
      </c>
      <c r="J246" s="103" t="s">
        <v>785</v>
      </c>
      <c r="K246" s="103" t="s">
        <v>1512</v>
      </c>
      <c r="L246" s="103"/>
      <c r="M246" s="105">
        <v>1615000</v>
      </c>
      <c r="N246" s="147">
        <v>0</v>
      </c>
      <c r="O246" s="147">
        <v>0</v>
      </c>
      <c r="P246" s="148">
        <v>0</v>
      </c>
      <c r="Q246" s="147">
        <v>0</v>
      </c>
      <c r="R246" s="149">
        <v>1615000</v>
      </c>
      <c r="S2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6" s="150">
        <f ca="1">+IF(PROVEEDORES[[#This Row],[FECHA DE PAGO]]=0,TODAY()-PROVEEDORES[[#This Row],[FECHA DE FACTURACIÓN]]-PROVEEDORES[[#This Row],[PLAZO Días]],0)</f>
        <v>0</v>
      </c>
      <c r="U246" s="150">
        <f>+VLOOKUP(PROVEEDORES[[#This Row],[PROVEEDOR]],Terceros!$A:$E,4,FALSE)</f>
        <v>0</v>
      </c>
      <c r="V246" s="150">
        <f>+YEAR(PROVEEDORES[[#This Row],[FECHA DE FACTURACIÓN]])</f>
        <v>2023</v>
      </c>
      <c r="W246" s="150">
        <f>+MATCH(PROVEEDORES[[#This Row],[año facturado]],Retenciones!$1:$1,0)</f>
        <v>6</v>
      </c>
      <c r="X246" s="151">
        <f>+VLOOKUP(PROVEEDORES[[#This Row],[ID RETENCION]],Retenciones!$A$1:$O$25,PROVEEDORES[[#This Row],[indicador de columna]],FALSE)</f>
        <v>0</v>
      </c>
      <c r="Y246" s="152">
        <f>+VLOOKUP(PROVEEDORES[[#This Row],[ID RETENCION]],Retenciones!$A$1:$O$25,2,FALSE)</f>
        <v>0</v>
      </c>
      <c r="Z246" s="153" t="b">
        <f>+OR(COUNTIF(PROVEEDORES[[#This Row],[PROVEEDOR]],"*"&amp;'Palabra que no opera y Listas d'!$A$2&amp;"*"))</f>
        <v>0</v>
      </c>
    </row>
    <row r="247" spans="1:26" ht="27.75" customHeight="1" x14ac:dyDescent="0.3">
      <c r="A247" s="144" t="str">
        <f>+IF(PROVEEDORES[[#This Row],[FECHA DE PAGO]]=PROVEEDORES[[#This Row],[FECHA DE FACTURACIÓN]],"DE CONTADO","CRÉDITO")</f>
        <v>DE CONTADO</v>
      </c>
      <c r="B247" s="144" t="b">
        <f>+IF((PROVEEDORES[[#This Row],[FECHA DE PAGO]]-PROVEEDORES[[#This Row],[FECHA DE FACTURACIÓN]])&gt;PROVEEDORES[[#This Row],[PLAZO Días]],"PAGO VENCIDO")</f>
        <v>0</v>
      </c>
      <c r="C247" s="144">
        <f>+VLOOKUP(PROVEEDORES[[#This Row],[PROVEEDOR]],TERCEROS_INFO[#All],2,FALSE)</f>
        <v>0</v>
      </c>
      <c r="D247" s="145">
        <f>+SUMIFS(PROVEEDORES[Total],PROVEEDORES[PROVEEDOR],PROVEEDORES[[#This Row],[PROVEEDOR]],PROVEEDORES[FECHA DE PAGO],"")</f>
        <v>0</v>
      </c>
      <c r="E247" s="146"/>
      <c r="F247" s="144">
        <f>+VLOOKUP(PROVEEDORES[[#This Row],[PROVEEDOR]],
                       Terceros!$A:$G,
                       5,
                       FALSE)</f>
        <v>0</v>
      </c>
      <c r="G247" s="122">
        <v>45046</v>
      </c>
      <c r="H247" s="102" t="s">
        <v>537</v>
      </c>
      <c r="I247" s="122">
        <v>45046</v>
      </c>
      <c r="J247" s="103" t="s">
        <v>493</v>
      </c>
      <c r="K247" s="103" t="s">
        <v>1512</v>
      </c>
      <c r="L247" s="103"/>
      <c r="M247" s="105">
        <v>40000</v>
      </c>
      <c r="N247" s="147">
        <v>0</v>
      </c>
      <c r="O247" s="147">
        <v>0</v>
      </c>
      <c r="P247" s="148">
        <v>0</v>
      </c>
      <c r="Q247" s="147">
        <v>0</v>
      </c>
      <c r="R247" s="149">
        <v>40000</v>
      </c>
      <c r="S2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7" s="150">
        <f ca="1">+IF(PROVEEDORES[[#This Row],[FECHA DE PAGO]]=0,TODAY()-PROVEEDORES[[#This Row],[FECHA DE FACTURACIÓN]]-PROVEEDORES[[#This Row],[PLAZO Días]],0)</f>
        <v>0</v>
      </c>
      <c r="U247" s="150">
        <f>+VLOOKUP(PROVEEDORES[[#This Row],[PROVEEDOR]],Terceros!$A:$E,4,FALSE)</f>
        <v>0</v>
      </c>
      <c r="V247" s="150">
        <f>+YEAR(PROVEEDORES[[#This Row],[FECHA DE FACTURACIÓN]])</f>
        <v>2023</v>
      </c>
      <c r="W247" s="150">
        <f>+MATCH(PROVEEDORES[[#This Row],[año facturado]],Retenciones!$1:$1,0)</f>
        <v>6</v>
      </c>
      <c r="X247" s="151">
        <f>+VLOOKUP(PROVEEDORES[[#This Row],[ID RETENCION]],Retenciones!$A$1:$O$25,PROVEEDORES[[#This Row],[indicador de columna]],FALSE)</f>
        <v>0</v>
      </c>
      <c r="Y247" s="152">
        <f>+VLOOKUP(PROVEEDORES[[#This Row],[ID RETENCION]],Retenciones!$A$1:$O$25,2,FALSE)</f>
        <v>0</v>
      </c>
      <c r="Z247" s="153" t="b">
        <f>+OR(COUNTIF(PROVEEDORES[[#This Row],[PROVEEDOR]],"*"&amp;'Palabra que no opera y Listas d'!$A$2&amp;"*"))</f>
        <v>0</v>
      </c>
    </row>
    <row r="248" spans="1:26" ht="27.75" customHeight="1" x14ac:dyDescent="0.3">
      <c r="A248" s="144" t="str">
        <f>+IF(PROVEEDORES[[#This Row],[FECHA DE PAGO]]=PROVEEDORES[[#This Row],[FECHA DE FACTURACIÓN]],"DE CONTADO","CRÉDITO")</f>
        <v>DE CONTADO</v>
      </c>
      <c r="B248" s="144" t="b">
        <f>+IF((PROVEEDORES[[#This Row],[FECHA DE PAGO]]-PROVEEDORES[[#This Row],[FECHA DE FACTURACIÓN]])&gt;PROVEEDORES[[#This Row],[PLAZO Días]],"PAGO VENCIDO")</f>
        <v>0</v>
      </c>
      <c r="C248" s="144">
        <f>+VLOOKUP(PROVEEDORES[[#This Row],[PROVEEDOR]],TERCEROS_INFO[#All],2,FALSE)</f>
        <v>0</v>
      </c>
      <c r="D248" s="145">
        <f>+SUMIFS(PROVEEDORES[Total],PROVEEDORES[PROVEEDOR],PROVEEDORES[[#This Row],[PROVEEDOR]],PROVEEDORES[FECHA DE PAGO],"")</f>
        <v>0</v>
      </c>
      <c r="E248" s="146"/>
      <c r="F248" s="144">
        <f>+VLOOKUP(PROVEEDORES[[#This Row],[PROVEEDOR]],
                       Terceros!$A:$G,
                       5,
                       FALSE)</f>
        <v>0</v>
      </c>
      <c r="G248" s="122">
        <v>45046</v>
      </c>
      <c r="H248" s="102" t="s">
        <v>537</v>
      </c>
      <c r="I248" s="122">
        <v>45046</v>
      </c>
      <c r="J248" s="103" t="s">
        <v>514</v>
      </c>
      <c r="K248" s="103" t="s">
        <v>1512</v>
      </c>
      <c r="L248" s="103"/>
      <c r="M248" s="105">
        <v>69000</v>
      </c>
      <c r="N248" s="147">
        <v>0</v>
      </c>
      <c r="O248" s="147">
        <v>0</v>
      </c>
      <c r="P248" s="148">
        <v>0</v>
      </c>
      <c r="Q248" s="147">
        <v>0</v>
      </c>
      <c r="R248" s="149">
        <v>69000</v>
      </c>
      <c r="S2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8" s="150">
        <f ca="1">+IF(PROVEEDORES[[#This Row],[FECHA DE PAGO]]=0,TODAY()-PROVEEDORES[[#This Row],[FECHA DE FACTURACIÓN]]-PROVEEDORES[[#This Row],[PLAZO Días]],0)</f>
        <v>0</v>
      </c>
      <c r="U248" s="150">
        <f>+VLOOKUP(PROVEEDORES[[#This Row],[PROVEEDOR]],Terceros!$A:$E,4,FALSE)</f>
        <v>0</v>
      </c>
      <c r="V248" s="150">
        <f>+YEAR(PROVEEDORES[[#This Row],[FECHA DE FACTURACIÓN]])</f>
        <v>2023</v>
      </c>
      <c r="W248" s="150">
        <f>+MATCH(PROVEEDORES[[#This Row],[año facturado]],Retenciones!$1:$1,0)</f>
        <v>6</v>
      </c>
      <c r="X248" s="151">
        <f>+VLOOKUP(PROVEEDORES[[#This Row],[ID RETENCION]],Retenciones!$A$1:$O$25,PROVEEDORES[[#This Row],[indicador de columna]],FALSE)</f>
        <v>0</v>
      </c>
      <c r="Y248" s="152">
        <f>+VLOOKUP(PROVEEDORES[[#This Row],[ID RETENCION]],Retenciones!$A$1:$O$25,2,FALSE)</f>
        <v>0</v>
      </c>
      <c r="Z248" s="153" t="b">
        <f>+OR(COUNTIF(PROVEEDORES[[#This Row],[PROVEEDOR]],"*"&amp;'Palabra que no opera y Listas d'!$A$2&amp;"*"))</f>
        <v>0</v>
      </c>
    </row>
    <row r="249" spans="1:26" ht="27.75" customHeight="1" x14ac:dyDescent="0.3">
      <c r="A249" s="144" t="str">
        <f>+IF(PROVEEDORES[[#This Row],[FECHA DE PAGO]]=PROVEEDORES[[#This Row],[FECHA DE FACTURACIÓN]],"DE CONTADO","CRÉDITO")</f>
        <v>DE CONTADO</v>
      </c>
      <c r="B249" s="144" t="b">
        <f>+IF((PROVEEDORES[[#This Row],[FECHA DE PAGO]]-PROVEEDORES[[#This Row],[FECHA DE FACTURACIÓN]])&gt;PROVEEDORES[[#This Row],[PLAZO Días]],"PAGO VENCIDO")</f>
        <v>0</v>
      </c>
      <c r="C249" s="144">
        <f>+VLOOKUP(PROVEEDORES[[#This Row],[PROVEEDOR]],TERCEROS_INFO[#All],2,FALSE)</f>
        <v>0</v>
      </c>
      <c r="D249" s="145">
        <f>+SUMIFS(PROVEEDORES[Total],PROVEEDORES[PROVEEDOR],PROVEEDORES[[#This Row],[PROVEEDOR]],PROVEEDORES[FECHA DE PAGO],"")</f>
        <v>0</v>
      </c>
      <c r="E249" s="146"/>
      <c r="F249" s="144">
        <f>+VLOOKUP(PROVEEDORES[[#This Row],[PROVEEDOR]],
                       Terceros!$A:$G,
                       5,
                       FALSE)</f>
        <v>0</v>
      </c>
      <c r="G249" s="122">
        <v>45046</v>
      </c>
      <c r="H249" s="102" t="s">
        <v>537</v>
      </c>
      <c r="I249" s="122">
        <v>45046</v>
      </c>
      <c r="J249" s="103" t="s">
        <v>491</v>
      </c>
      <c r="K249" s="103" t="s">
        <v>1512</v>
      </c>
      <c r="L249" s="103"/>
      <c r="M249" s="105">
        <v>200800</v>
      </c>
      <c r="N249" s="147">
        <v>0</v>
      </c>
      <c r="O249" s="147">
        <v>0</v>
      </c>
      <c r="P249" s="148">
        <v>0</v>
      </c>
      <c r="Q249" s="147">
        <v>0</v>
      </c>
      <c r="R249" s="149">
        <v>200800</v>
      </c>
      <c r="S2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9" s="150">
        <f ca="1">+IF(PROVEEDORES[[#This Row],[FECHA DE PAGO]]=0,TODAY()-PROVEEDORES[[#This Row],[FECHA DE FACTURACIÓN]]-PROVEEDORES[[#This Row],[PLAZO Días]],0)</f>
        <v>0</v>
      </c>
      <c r="U249" s="150">
        <f>+VLOOKUP(PROVEEDORES[[#This Row],[PROVEEDOR]],Terceros!$A:$E,4,FALSE)</f>
        <v>0</v>
      </c>
      <c r="V249" s="150">
        <f>+YEAR(PROVEEDORES[[#This Row],[FECHA DE FACTURACIÓN]])</f>
        <v>2023</v>
      </c>
      <c r="W249" s="150">
        <f>+MATCH(PROVEEDORES[[#This Row],[año facturado]],Retenciones!$1:$1,0)</f>
        <v>6</v>
      </c>
      <c r="X249" s="151">
        <f>+VLOOKUP(PROVEEDORES[[#This Row],[ID RETENCION]],Retenciones!$A$1:$O$25,PROVEEDORES[[#This Row],[indicador de columna]],FALSE)</f>
        <v>0</v>
      </c>
      <c r="Y249" s="152">
        <f>+VLOOKUP(PROVEEDORES[[#This Row],[ID RETENCION]],Retenciones!$A$1:$O$25,2,FALSE)</f>
        <v>0</v>
      </c>
      <c r="Z249" s="153" t="b">
        <f>+OR(COUNTIF(PROVEEDORES[[#This Row],[PROVEEDOR]],"*"&amp;'Palabra que no opera y Listas d'!$A$2&amp;"*"))</f>
        <v>0</v>
      </c>
    </row>
    <row r="250" spans="1:26" ht="27.75" customHeight="1" x14ac:dyDescent="0.3">
      <c r="A250" s="144" t="str">
        <f>+IF(PROVEEDORES[[#This Row],[FECHA DE PAGO]]=PROVEEDORES[[#This Row],[FECHA DE FACTURACIÓN]],"DE CONTADO","CRÉDITO")</f>
        <v>DE CONTADO</v>
      </c>
      <c r="B250" s="144" t="b">
        <f>+IF((PROVEEDORES[[#This Row],[FECHA DE PAGO]]-PROVEEDORES[[#This Row],[FECHA DE FACTURACIÓN]])&gt;PROVEEDORES[[#This Row],[PLAZO Días]],"PAGO VENCIDO")</f>
        <v>0</v>
      </c>
      <c r="C250" s="144">
        <f>+VLOOKUP(PROVEEDORES[[#This Row],[PROVEEDOR]],TERCEROS_INFO[#All],2,FALSE)</f>
        <v>0</v>
      </c>
      <c r="D250" s="145">
        <f>+SUMIFS(PROVEEDORES[Total],PROVEEDORES[PROVEEDOR],PROVEEDORES[[#This Row],[PROVEEDOR]],PROVEEDORES[FECHA DE PAGO],"")</f>
        <v>0</v>
      </c>
      <c r="E250" s="146"/>
      <c r="F250" s="144">
        <f>+VLOOKUP(PROVEEDORES[[#This Row],[PROVEEDOR]],
                       Terceros!$A:$G,
                       5,
                       FALSE)</f>
        <v>0</v>
      </c>
      <c r="G250" s="122">
        <v>45046</v>
      </c>
      <c r="H250" s="102" t="s">
        <v>537</v>
      </c>
      <c r="I250" s="122">
        <v>45046</v>
      </c>
      <c r="J250" s="103" t="s">
        <v>495</v>
      </c>
      <c r="K250" s="103" t="s">
        <v>1512</v>
      </c>
      <c r="L250" s="103"/>
      <c r="M250" s="105">
        <v>450600</v>
      </c>
      <c r="N250" s="147">
        <v>0</v>
      </c>
      <c r="O250" s="147">
        <v>0</v>
      </c>
      <c r="P250" s="148">
        <v>0</v>
      </c>
      <c r="Q250" s="147">
        <v>0</v>
      </c>
      <c r="R250" s="149">
        <v>450600</v>
      </c>
      <c r="S2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0" s="150">
        <f ca="1">+IF(PROVEEDORES[[#This Row],[FECHA DE PAGO]]=0,TODAY()-PROVEEDORES[[#This Row],[FECHA DE FACTURACIÓN]]-PROVEEDORES[[#This Row],[PLAZO Días]],0)</f>
        <v>0</v>
      </c>
      <c r="U250" s="150">
        <f>+VLOOKUP(PROVEEDORES[[#This Row],[PROVEEDOR]],Terceros!$A:$E,4,FALSE)</f>
        <v>0</v>
      </c>
      <c r="V250" s="150">
        <f>+YEAR(PROVEEDORES[[#This Row],[FECHA DE FACTURACIÓN]])</f>
        <v>2023</v>
      </c>
      <c r="W250" s="150">
        <f>+MATCH(PROVEEDORES[[#This Row],[año facturado]],Retenciones!$1:$1,0)</f>
        <v>6</v>
      </c>
      <c r="X250" s="151">
        <f>+VLOOKUP(PROVEEDORES[[#This Row],[ID RETENCION]],Retenciones!$A$1:$O$25,PROVEEDORES[[#This Row],[indicador de columna]],FALSE)</f>
        <v>0</v>
      </c>
      <c r="Y250" s="152">
        <f>+VLOOKUP(PROVEEDORES[[#This Row],[ID RETENCION]],Retenciones!$A$1:$O$25,2,FALSE)</f>
        <v>0</v>
      </c>
      <c r="Z250" s="153" t="b">
        <f>+OR(COUNTIF(PROVEEDORES[[#This Row],[PROVEEDOR]],"*"&amp;'Palabra que no opera y Listas d'!$A$2&amp;"*"))</f>
        <v>0</v>
      </c>
    </row>
    <row r="251" spans="1:26" ht="27.75" customHeight="1" x14ac:dyDescent="0.3">
      <c r="A251" s="144" t="str">
        <f>+IF(PROVEEDORES[[#This Row],[FECHA DE PAGO]]=PROVEEDORES[[#This Row],[FECHA DE FACTURACIÓN]],"DE CONTADO","CRÉDITO")</f>
        <v>DE CONTADO</v>
      </c>
      <c r="B251" s="144" t="b">
        <f>+IF((PROVEEDORES[[#This Row],[FECHA DE PAGO]]-PROVEEDORES[[#This Row],[FECHA DE FACTURACIÓN]])&gt;PROVEEDORES[[#This Row],[PLAZO Días]],"PAGO VENCIDO")</f>
        <v>0</v>
      </c>
      <c r="C251" s="144">
        <f>+VLOOKUP(PROVEEDORES[[#This Row],[PROVEEDOR]],TERCEROS_INFO[#All],2,FALSE)</f>
        <v>0</v>
      </c>
      <c r="D251" s="145">
        <f>+SUMIFS(PROVEEDORES[Total],PROVEEDORES[PROVEEDOR],PROVEEDORES[[#This Row],[PROVEEDOR]],PROVEEDORES[FECHA DE PAGO],"")</f>
        <v>0</v>
      </c>
      <c r="E251" s="146"/>
      <c r="F251" s="144">
        <f>+VLOOKUP(PROVEEDORES[[#This Row],[PROVEEDOR]],
                       Terceros!$A:$G,
                       5,
                       FALSE)</f>
        <v>0</v>
      </c>
      <c r="G251" s="122">
        <v>45046</v>
      </c>
      <c r="H251" s="102" t="s">
        <v>537</v>
      </c>
      <c r="I251" s="122">
        <v>45046</v>
      </c>
      <c r="J251" s="103" t="s">
        <v>492</v>
      </c>
      <c r="K251" s="103" t="s">
        <v>1512</v>
      </c>
      <c r="L251" s="103"/>
      <c r="M251" s="105">
        <v>954000</v>
      </c>
      <c r="N251" s="147">
        <v>0</v>
      </c>
      <c r="O251" s="147">
        <v>0</v>
      </c>
      <c r="P251" s="148">
        <v>0</v>
      </c>
      <c r="Q251" s="147">
        <v>0</v>
      </c>
      <c r="R251" s="149">
        <v>954000</v>
      </c>
      <c r="S2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1" s="150">
        <f ca="1">+IF(PROVEEDORES[[#This Row],[FECHA DE PAGO]]=0,TODAY()-PROVEEDORES[[#This Row],[FECHA DE FACTURACIÓN]]-PROVEEDORES[[#This Row],[PLAZO Días]],0)</f>
        <v>0</v>
      </c>
      <c r="U251" s="150">
        <f>+VLOOKUP(PROVEEDORES[[#This Row],[PROVEEDOR]],Terceros!$A:$E,4,FALSE)</f>
        <v>0</v>
      </c>
      <c r="V251" s="150">
        <f>+YEAR(PROVEEDORES[[#This Row],[FECHA DE FACTURACIÓN]])</f>
        <v>2023</v>
      </c>
      <c r="W251" s="150">
        <f>+MATCH(PROVEEDORES[[#This Row],[año facturado]],Retenciones!$1:$1,0)</f>
        <v>6</v>
      </c>
      <c r="X251" s="151">
        <f>+VLOOKUP(PROVEEDORES[[#This Row],[ID RETENCION]],Retenciones!$A$1:$O$25,PROVEEDORES[[#This Row],[indicador de columna]],FALSE)</f>
        <v>0</v>
      </c>
      <c r="Y251" s="152">
        <f>+VLOOKUP(PROVEEDORES[[#This Row],[ID RETENCION]],Retenciones!$A$1:$O$25,2,FALSE)</f>
        <v>0</v>
      </c>
      <c r="Z251" s="153" t="b">
        <f>+OR(COUNTIF(PROVEEDORES[[#This Row],[PROVEEDOR]],"*"&amp;'Palabra que no opera y Listas d'!$A$2&amp;"*"))</f>
        <v>0</v>
      </c>
    </row>
    <row r="252" spans="1:26" ht="27.75" customHeight="1" x14ac:dyDescent="0.3">
      <c r="A252" s="144" t="str">
        <f>+IF(PROVEEDORES[[#This Row],[FECHA DE PAGO]]=PROVEEDORES[[#This Row],[FECHA DE FACTURACIÓN]],"DE CONTADO","CRÉDITO")</f>
        <v>CRÉDITO</v>
      </c>
      <c r="B252" s="144" t="str">
        <f>+IF((PROVEEDORES[[#This Row],[FECHA DE PAGO]]-PROVEEDORES[[#This Row],[FECHA DE FACTURACIÓN]])&gt;PROVEEDORES[[#This Row],[PLAZO Días]],"PAGO VENCIDO")</f>
        <v>PAGO VENCIDO</v>
      </c>
      <c r="C252" s="144">
        <f>+VLOOKUP(PROVEEDORES[[#This Row],[PROVEEDOR]],TERCEROS_INFO[#All],2,FALSE)</f>
        <v>0</v>
      </c>
      <c r="D252" s="145">
        <f>+SUMIFS(PROVEEDORES[Total],PROVEEDORES[PROVEEDOR],PROVEEDORES[[#This Row],[PROVEEDOR]],PROVEEDORES[FECHA DE PAGO],"")</f>
        <v>8493745.8849999998</v>
      </c>
      <c r="E252" s="146"/>
      <c r="F252" s="144" t="str">
        <f>+VLOOKUP(PROVEEDORES[[#This Row],[PROVEEDOR]],
                       Terceros!$A:$G,
                       5,
                       FALSE)</f>
        <v>2,5% con base</v>
      </c>
      <c r="G252" s="122">
        <v>45048</v>
      </c>
      <c r="H252" s="102" t="s">
        <v>10</v>
      </c>
      <c r="I252" s="122">
        <v>44994</v>
      </c>
      <c r="J252" s="103" t="s">
        <v>626</v>
      </c>
      <c r="K252" s="103" t="s">
        <v>1512</v>
      </c>
      <c r="L252" s="103"/>
      <c r="M252" s="105">
        <v>3405512</v>
      </c>
      <c r="N252" s="147">
        <v>647047.28</v>
      </c>
      <c r="O252" s="147">
        <v>0</v>
      </c>
      <c r="P252" s="148">
        <v>2.5000000000000001E-2</v>
      </c>
      <c r="Q252" s="147">
        <v>85137.8</v>
      </c>
      <c r="R252" s="149">
        <v>3967421.4800000004</v>
      </c>
      <c r="S2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2" s="150">
        <f ca="1">+IF(PROVEEDORES[[#This Row],[FECHA DE PAGO]]=0,TODAY()-PROVEEDORES[[#This Row],[FECHA DE FACTURACIÓN]]-PROVEEDORES[[#This Row],[PLAZO Días]],0)</f>
        <v>0</v>
      </c>
      <c r="U252" s="150">
        <f>+VLOOKUP(PROVEEDORES[[#This Row],[PROVEEDOR]],Terceros!$A:$E,4,FALSE)</f>
        <v>0.19</v>
      </c>
      <c r="V252" s="150">
        <f>+YEAR(PROVEEDORES[[#This Row],[FECHA DE FACTURACIÓN]])</f>
        <v>2023</v>
      </c>
      <c r="W252" s="150">
        <f>+MATCH(PROVEEDORES[[#This Row],[año facturado]],Retenciones!$1:$1,0)</f>
        <v>6</v>
      </c>
      <c r="X252" s="151" t="e">
        <f>+VLOOKUP(PROVEEDORES[[#This Row],[ID RETENCION]],Retenciones!$A$1:$O$25,PROVEEDORES[[#This Row],[indicador de columna]],FALSE)</f>
        <v>#N/A</v>
      </c>
      <c r="Y252" s="152" t="e">
        <f>+VLOOKUP(PROVEEDORES[[#This Row],[ID RETENCION]],Retenciones!$A$1:$O$25,2,FALSE)</f>
        <v>#N/A</v>
      </c>
      <c r="Z252" s="153" t="b">
        <f>+OR(COUNTIF(PROVEEDORES[[#This Row],[PROVEEDOR]],"*"&amp;'Palabra que no opera y Listas d'!$A$2&amp;"*"))</f>
        <v>0</v>
      </c>
    </row>
    <row r="253" spans="1:26" ht="27.75" customHeight="1" x14ac:dyDescent="0.3">
      <c r="A253" s="144" t="str">
        <f>+IF(PROVEEDORES[[#This Row],[FECHA DE PAGO]]=PROVEEDORES[[#This Row],[FECHA DE FACTURACIÓN]],"DE CONTADO","CRÉDITO")</f>
        <v>CRÉDITO</v>
      </c>
      <c r="B253" s="144" t="str">
        <f>+IF((PROVEEDORES[[#This Row],[FECHA DE PAGO]]-PROVEEDORES[[#This Row],[FECHA DE FACTURACIÓN]])&gt;PROVEEDORES[[#This Row],[PLAZO Días]],"PAGO VENCIDO")</f>
        <v>PAGO VENCIDO</v>
      </c>
      <c r="C253" s="144">
        <f>+VLOOKUP(PROVEEDORES[[#This Row],[PROVEEDOR]],TERCEROS_INFO[#All],2,FALSE)</f>
        <v>0</v>
      </c>
      <c r="D253" s="145">
        <f>+SUMIFS(PROVEEDORES[Total],PROVEEDORES[PROVEEDOR],PROVEEDORES[[#This Row],[PROVEEDOR]],PROVEEDORES[FECHA DE PAGO],"")</f>
        <v>5813868.5099999998</v>
      </c>
      <c r="E253" s="146"/>
      <c r="F253" s="144" t="str">
        <f>+VLOOKUP(PROVEEDORES[[#This Row],[PROVEEDOR]],
                       Terceros!$A:$G,
                       5,
                       FALSE)</f>
        <v>2,5% con base</v>
      </c>
      <c r="G253" s="122">
        <v>45048</v>
      </c>
      <c r="H253" s="102" t="s">
        <v>23</v>
      </c>
      <c r="I253" s="122">
        <v>44996</v>
      </c>
      <c r="J253" s="103" t="s">
        <v>630</v>
      </c>
      <c r="K253" s="103" t="s">
        <v>516</v>
      </c>
      <c r="L253" s="103"/>
      <c r="M253" s="105">
        <v>10188720</v>
      </c>
      <c r="N253" s="147">
        <v>1935856.8</v>
      </c>
      <c r="O253" s="147">
        <v>0</v>
      </c>
      <c r="P253" s="148">
        <v>2.5000000000000001E-2</v>
      </c>
      <c r="Q253" s="147">
        <v>254718</v>
      </c>
      <c r="R253" s="149">
        <v>11869858.800000001</v>
      </c>
      <c r="S2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3" s="150">
        <f ca="1">+IF(PROVEEDORES[[#This Row],[FECHA DE PAGO]]=0,TODAY()-PROVEEDORES[[#This Row],[FECHA DE FACTURACIÓN]]-PROVEEDORES[[#This Row],[PLAZO Días]],0)</f>
        <v>0</v>
      </c>
      <c r="U253" s="150">
        <f>+VLOOKUP(PROVEEDORES[[#This Row],[PROVEEDOR]],Terceros!$A:$E,4,FALSE)</f>
        <v>0.19</v>
      </c>
      <c r="V253" s="150">
        <f>+YEAR(PROVEEDORES[[#This Row],[FECHA DE FACTURACIÓN]])</f>
        <v>2023</v>
      </c>
      <c r="W253" s="150">
        <f>+MATCH(PROVEEDORES[[#This Row],[año facturado]],Retenciones!$1:$1,0)</f>
        <v>6</v>
      </c>
      <c r="X253" s="151" t="e">
        <f>+VLOOKUP(PROVEEDORES[[#This Row],[ID RETENCION]],Retenciones!$A$1:$O$25,PROVEEDORES[[#This Row],[indicador de columna]],FALSE)</f>
        <v>#N/A</v>
      </c>
      <c r="Y253" s="152" t="e">
        <f>+VLOOKUP(PROVEEDORES[[#This Row],[ID RETENCION]],Retenciones!$A$1:$O$25,2,FALSE)</f>
        <v>#N/A</v>
      </c>
      <c r="Z253" s="153" t="b">
        <f>+OR(COUNTIF(PROVEEDORES[[#This Row],[PROVEEDOR]],"*"&amp;'Palabra que no opera y Listas d'!$A$2&amp;"*"))</f>
        <v>0</v>
      </c>
    </row>
    <row r="254" spans="1:26" ht="27.75" customHeight="1" x14ac:dyDescent="0.3">
      <c r="A254" s="144" t="str">
        <f>+IF(PROVEEDORES[[#This Row],[FECHA DE PAGO]]=PROVEEDORES[[#This Row],[FECHA DE FACTURACIÓN]],"DE CONTADO","CRÉDITO")</f>
        <v>CRÉDITO</v>
      </c>
      <c r="B254" s="144" t="str">
        <f>+IF((PROVEEDORES[[#This Row],[FECHA DE PAGO]]-PROVEEDORES[[#This Row],[FECHA DE FACTURACIÓN]])&gt;PROVEEDORES[[#This Row],[PLAZO Días]],"PAGO VENCIDO")</f>
        <v>PAGO VENCIDO</v>
      </c>
      <c r="C254" s="144">
        <f>+VLOOKUP(PROVEEDORES[[#This Row],[PROVEEDOR]],TERCEROS_INFO[#All],2,FALSE)</f>
        <v>0</v>
      </c>
      <c r="D254" s="145">
        <f>+SUMIFS(PROVEEDORES[Total],PROVEEDORES[PROVEEDOR],PROVEEDORES[[#This Row],[PROVEEDOR]],PROVEEDORES[FECHA DE PAGO],"")</f>
        <v>224000</v>
      </c>
      <c r="E254" s="146"/>
      <c r="F254" s="144">
        <f>+VLOOKUP(PROVEEDORES[[#This Row],[PROVEEDOR]],
                       Terceros!$A:$G,
                       5,
                       FALSE)</f>
        <v>0</v>
      </c>
      <c r="G254" s="122">
        <v>45049</v>
      </c>
      <c r="H254" s="102" t="s">
        <v>539</v>
      </c>
      <c r="I254" s="122">
        <v>44968</v>
      </c>
      <c r="J254" s="103">
        <v>36</v>
      </c>
      <c r="K254" s="103" t="s">
        <v>1512</v>
      </c>
      <c r="L254" s="103"/>
      <c r="M254" s="105">
        <v>89000</v>
      </c>
      <c r="N254" s="147">
        <v>0</v>
      </c>
      <c r="O254" s="147">
        <v>0</v>
      </c>
      <c r="P254" s="148">
        <v>0</v>
      </c>
      <c r="Q254" s="147">
        <v>0</v>
      </c>
      <c r="R254" s="149">
        <v>89000</v>
      </c>
      <c r="S2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4" s="150">
        <f ca="1">+IF(PROVEEDORES[[#This Row],[FECHA DE PAGO]]=0,TODAY()-PROVEEDORES[[#This Row],[FECHA DE FACTURACIÓN]]-PROVEEDORES[[#This Row],[PLAZO Días]],0)</f>
        <v>0</v>
      </c>
      <c r="U254" s="150">
        <f>+VLOOKUP(PROVEEDORES[[#This Row],[PROVEEDOR]],Terceros!$A:$E,4,FALSE)</f>
        <v>0</v>
      </c>
      <c r="V254" s="150">
        <f>+YEAR(PROVEEDORES[[#This Row],[FECHA DE FACTURACIÓN]])</f>
        <v>2023</v>
      </c>
      <c r="W254" s="150">
        <f>+MATCH(PROVEEDORES[[#This Row],[año facturado]],Retenciones!$1:$1,0)</f>
        <v>6</v>
      </c>
      <c r="X254" s="151">
        <f>+VLOOKUP(PROVEEDORES[[#This Row],[ID RETENCION]],Retenciones!$A$1:$O$25,PROVEEDORES[[#This Row],[indicador de columna]],FALSE)</f>
        <v>0</v>
      </c>
      <c r="Y254" s="152">
        <f>+VLOOKUP(PROVEEDORES[[#This Row],[ID RETENCION]],Retenciones!$A$1:$O$25,2,FALSE)</f>
        <v>0</v>
      </c>
      <c r="Z254" s="153" t="b">
        <f>+OR(COUNTIF(PROVEEDORES[[#This Row],[PROVEEDOR]],"*"&amp;'Palabra que no opera y Listas d'!$A$2&amp;"*"))</f>
        <v>0</v>
      </c>
    </row>
    <row r="255" spans="1:26" ht="27.75" customHeight="1" x14ac:dyDescent="0.3">
      <c r="A255" s="144" t="str">
        <f>+IF(PROVEEDORES[[#This Row],[FECHA DE PAGO]]=PROVEEDORES[[#This Row],[FECHA DE FACTURACIÓN]],"DE CONTADO","CRÉDITO")</f>
        <v>CRÉDITO</v>
      </c>
      <c r="B255" s="144" t="str">
        <f>+IF((PROVEEDORES[[#This Row],[FECHA DE PAGO]]-PROVEEDORES[[#This Row],[FECHA DE FACTURACIÓN]])&gt;PROVEEDORES[[#This Row],[PLAZO Días]],"PAGO VENCIDO")</f>
        <v>PAGO VENCIDO</v>
      </c>
      <c r="C255" s="144">
        <f>+VLOOKUP(PROVEEDORES[[#This Row],[PROVEEDOR]],TERCEROS_INFO[#All],2,FALSE)</f>
        <v>0</v>
      </c>
      <c r="D255" s="145">
        <f>+SUMIFS(PROVEEDORES[Total],PROVEEDORES[PROVEEDOR],PROVEEDORES[[#This Row],[PROVEEDOR]],PROVEEDORES[FECHA DE PAGO],"")</f>
        <v>224000</v>
      </c>
      <c r="E255" s="146"/>
      <c r="F255" s="144">
        <f>+VLOOKUP(PROVEEDORES[[#This Row],[PROVEEDOR]],
                       Terceros!$A:$G,
                       5,
                       FALSE)</f>
        <v>0</v>
      </c>
      <c r="G255" s="122">
        <v>45049</v>
      </c>
      <c r="H255" s="102" t="s">
        <v>539</v>
      </c>
      <c r="I255" s="122">
        <v>44975</v>
      </c>
      <c r="J255" s="103">
        <v>37</v>
      </c>
      <c r="K255" s="103" t="s">
        <v>1512</v>
      </c>
      <c r="L255" s="103"/>
      <c r="M255" s="105">
        <v>78000</v>
      </c>
      <c r="N255" s="147">
        <v>0</v>
      </c>
      <c r="O255" s="147">
        <v>0</v>
      </c>
      <c r="P255" s="148">
        <v>0</v>
      </c>
      <c r="Q255" s="147">
        <v>0</v>
      </c>
      <c r="R255" s="149">
        <v>78000</v>
      </c>
      <c r="S2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5" s="150">
        <f ca="1">+IF(PROVEEDORES[[#This Row],[FECHA DE PAGO]]=0,TODAY()-PROVEEDORES[[#This Row],[FECHA DE FACTURACIÓN]]-PROVEEDORES[[#This Row],[PLAZO Días]],0)</f>
        <v>0</v>
      </c>
      <c r="U255" s="150">
        <f>+VLOOKUP(PROVEEDORES[[#This Row],[PROVEEDOR]],Terceros!$A:$E,4,FALSE)</f>
        <v>0</v>
      </c>
      <c r="V255" s="150">
        <f>+YEAR(PROVEEDORES[[#This Row],[FECHA DE FACTURACIÓN]])</f>
        <v>2023</v>
      </c>
      <c r="W255" s="150">
        <f>+MATCH(PROVEEDORES[[#This Row],[año facturado]],Retenciones!$1:$1,0)</f>
        <v>6</v>
      </c>
      <c r="X255" s="151">
        <f>+VLOOKUP(PROVEEDORES[[#This Row],[ID RETENCION]],Retenciones!$A$1:$O$25,PROVEEDORES[[#This Row],[indicador de columna]],FALSE)</f>
        <v>0</v>
      </c>
      <c r="Y255" s="152">
        <f>+VLOOKUP(PROVEEDORES[[#This Row],[ID RETENCION]],Retenciones!$A$1:$O$25,2,FALSE)</f>
        <v>0</v>
      </c>
      <c r="Z255" s="153" t="b">
        <f>+OR(COUNTIF(PROVEEDORES[[#This Row],[PROVEEDOR]],"*"&amp;'Palabra que no opera y Listas d'!$A$2&amp;"*"))</f>
        <v>0</v>
      </c>
    </row>
    <row r="256" spans="1:26" ht="27.75" customHeight="1" x14ac:dyDescent="0.3">
      <c r="A256" s="144" t="str">
        <f>+IF(PROVEEDORES[[#This Row],[FECHA DE PAGO]]=PROVEEDORES[[#This Row],[FECHA DE FACTURACIÓN]],"DE CONTADO","CRÉDITO")</f>
        <v>CRÉDITO</v>
      </c>
      <c r="B256" s="144" t="str">
        <f>+IF((PROVEEDORES[[#This Row],[FECHA DE PAGO]]-PROVEEDORES[[#This Row],[FECHA DE FACTURACIÓN]])&gt;PROVEEDORES[[#This Row],[PLAZO Días]],"PAGO VENCIDO")</f>
        <v>PAGO VENCIDO</v>
      </c>
      <c r="C256" s="144">
        <f>+VLOOKUP(PROVEEDORES[[#This Row],[PROVEEDOR]],TERCEROS_INFO[#All],2,FALSE)</f>
        <v>0</v>
      </c>
      <c r="D256" s="145">
        <f>+SUMIFS(PROVEEDORES[Total],PROVEEDORES[PROVEEDOR],PROVEEDORES[[#This Row],[PROVEEDOR]],PROVEEDORES[FECHA DE PAGO],"")</f>
        <v>224000</v>
      </c>
      <c r="E256" s="146"/>
      <c r="F256" s="144">
        <f>+VLOOKUP(PROVEEDORES[[#This Row],[PROVEEDOR]],
                       Terceros!$A:$G,
                       5,
                       FALSE)</f>
        <v>0</v>
      </c>
      <c r="G256" s="122">
        <v>45049</v>
      </c>
      <c r="H256" s="102" t="s">
        <v>539</v>
      </c>
      <c r="I256" s="122">
        <v>44978</v>
      </c>
      <c r="J256" s="103">
        <v>38</v>
      </c>
      <c r="K256" s="103" t="s">
        <v>1512</v>
      </c>
      <c r="L256" s="103"/>
      <c r="M256" s="105">
        <v>102000</v>
      </c>
      <c r="N256" s="147">
        <v>0</v>
      </c>
      <c r="O256" s="147">
        <v>0</v>
      </c>
      <c r="P256" s="148">
        <v>0</v>
      </c>
      <c r="Q256" s="147">
        <v>0</v>
      </c>
      <c r="R256" s="149">
        <v>102000</v>
      </c>
      <c r="S2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6" s="150">
        <f ca="1">+IF(PROVEEDORES[[#This Row],[FECHA DE PAGO]]=0,TODAY()-PROVEEDORES[[#This Row],[FECHA DE FACTURACIÓN]]-PROVEEDORES[[#This Row],[PLAZO Días]],0)</f>
        <v>0</v>
      </c>
      <c r="U256" s="150">
        <f>+VLOOKUP(PROVEEDORES[[#This Row],[PROVEEDOR]],Terceros!$A:$E,4,FALSE)</f>
        <v>0</v>
      </c>
      <c r="V256" s="150">
        <f>+YEAR(PROVEEDORES[[#This Row],[FECHA DE FACTURACIÓN]])</f>
        <v>2023</v>
      </c>
      <c r="W256" s="150">
        <f>+MATCH(PROVEEDORES[[#This Row],[año facturado]],Retenciones!$1:$1,0)</f>
        <v>6</v>
      </c>
      <c r="X256" s="151">
        <f>+VLOOKUP(PROVEEDORES[[#This Row],[ID RETENCION]],Retenciones!$A$1:$O$25,PROVEEDORES[[#This Row],[indicador de columna]],FALSE)</f>
        <v>0</v>
      </c>
      <c r="Y256" s="152">
        <f>+VLOOKUP(PROVEEDORES[[#This Row],[ID RETENCION]],Retenciones!$A$1:$O$25,2,FALSE)</f>
        <v>0</v>
      </c>
      <c r="Z256" s="153" t="b">
        <f>+OR(COUNTIF(PROVEEDORES[[#This Row],[PROVEEDOR]],"*"&amp;'Palabra que no opera y Listas d'!$A$2&amp;"*"))</f>
        <v>0</v>
      </c>
    </row>
    <row r="257" spans="1:26" ht="27.75" customHeight="1" x14ac:dyDescent="0.3">
      <c r="A257" s="144" t="str">
        <f>+IF(PROVEEDORES[[#This Row],[FECHA DE PAGO]]=PROVEEDORES[[#This Row],[FECHA DE FACTURACIÓN]],"DE CONTADO","CRÉDITO")</f>
        <v>CRÉDITO</v>
      </c>
      <c r="B257" s="144" t="str">
        <f>+IF((PROVEEDORES[[#This Row],[FECHA DE PAGO]]-PROVEEDORES[[#This Row],[FECHA DE FACTURACIÓN]])&gt;PROVEEDORES[[#This Row],[PLAZO Días]],"PAGO VENCIDO")</f>
        <v>PAGO VENCIDO</v>
      </c>
      <c r="C257" s="144">
        <f>+VLOOKUP(PROVEEDORES[[#This Row],[PROVEEDOR]],TERCEROS_INFO[#All],2,FALSE)</f>
        <v>0</v>
      </c>
      <c r="D257" s="145">
        <f>+SUMIFS(PROVEEDORES[Total],PROVEEDORES[PROVEEDOR],PROVEEDORES[[#This Row],[PROVEEDOR]],PROVEEDORES[FECHA DE PAGO],"")</f>
        <v>224000</v>
      </c>
      <c r="E257" s="146"/>
      <c r="F257" s="144">
        <f>+VLOOKUP(PROVEEDORES[[#This Row],[PROVEEDOR]],
                       Terceros!$A:$G,
                       5,
                       FALSE)</f>
        <v>0</v>
      </c>
      <c r="G257" s="122">
        <v>45049</v>
      </c>
      <c r="H257" s="102" t="s">
        <v>539</v>
      </c>
      <c r="I257" s="122">
        <v>44982</v>
      </c>
      <c r="J257" s="103">
        <v>39</v>
      </c>
      <c r="K257" s="103" t="s">
        <v>1512</v>
      </c>
      <c r="L257" s="103"/>
      <c r="M257" s="105">
        <v>26600</v>
      </c>
      <c r="N257" s="147">
        <v>0</v>
      </c>
      <c r="O257" s="147">
        <v>0</v>
      </c>
      <c r="P257" s="148">
        <v>0</v>
      </c>
      <c r="Q257" s="147">
        <v>0</v>
      </c>
      <c r="R257" s="149">
        <v>26600</v>
      </c>
      <c r="S2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7" s="150">
        <f ca="1">+IF(PROVEEDORES[[#This Row],[FECHA DE PAGO]]=0,TODAY()-PROVEEDORES[[#This Row],[FECHA DE FACTURACIÓN]]-PROVEEDORES[[#This Row],[PLAZO Días]],0)</f>
        <v>0</v>
      </c>
      <c r="U257" s="150">
        <f>+VLOOKUP(PROVEEDORES[[#This Row],[PROVEEDOR]],Terceros!$A:$E,4,FALSE)</f>
        <v>0</v>
      </c>
      <c r="V257" s="150">
        <f>+YEAR(PROVEEDORES[[#This Row],[FECHA DE FACTURACIÓN]])</f>
        <v>2023</v>
      </c>
      <c r="W257" s="150">
        <f>+MATCH(PROVEEDORES[[#This Row],[año facturado]],Retenciones!$1:$1,0)</f>
        <v>6</v>
      </c>
      <c r="X257" s="151">
        <f>+VLOOKUP(PROVEEDORES[[#This Row],[ID RETENCION]],Retenciones!$A$1:$O$25,PROVEEDORES[[#This Row],[indicador de columna]],FALSE)</f>
        <v>0</v>
      </c>
      <c r="Y257" s="152">
        <f>+VLOOKUP(PROVEEDORES[[#This Row],[ID RETENCION]],Retenciones!$A$1:$O$25,2,FALSE)</f>
        <v>0</v>
      </c>
      <c r="Z257" s="153" t="b">
        <f>+OR(COUNTIF(PROVEEDORES[[#This Row],[PROVEEDOR]],"*"&amp;'Palabra que no opera y Listas d'!$A$2&amp;"*"))</f>
        <v>0</v>
      </c>
    </row>
    <row r="258" spans="1:26" ht="27.75" customHeight="1" x14ac:dyDescent="0.3">
      <c r="A258" s="144" t="str">
        <f>+IF(PROVEEDORES[[#This Row],[FECHA DE PAGO]]=PROVEEDORES[[#This Row],[FECHA DE FACTURACIÓN]],"DE CONTADO","CRÉDITO")</f>
        <v>CRÉDITO</v>
      </c>
      <c r="B258" s="144" t="str">
        <f>+IF((PROVEEDORES[[#This Row],[FECHA DE PAGO]]-PROVEEDORES[[#This Row],[FECHA DE FACTURACIÓN]])&gt;PROVEEDORES[[#This Row],[PLAZO Días]],"PAGO VENCIDO")</f>
        <v>PAGO VENCIDO</v>
      </c>
      <c r="C258" s="144">
        <f>+VLOOKUP(PROVEEDORES[[#This Row],[PROVEEDOR]],TERCEROS_INFO[#All],2,FALSE)</f>
        <v>0</v>
      </c>
      <c r="D258" s="145">
        <f>+SUMIFS(PROVEEDORES[Total],PROVEEDORES[PROVEEDOR],PROVEEDORES[[#This Row],[PROVEEDOR]],PROVEEDORES[FECHA DE PAGO],"")</f>
        <v>224000</v>
      </c>
      <c r="E258" s="146"/>
      <c r="F258" s="144">
        <f>+VLOOKUP(PROVEEDORES[[#This Row],[PROVEEDOR]],
                       Terceros!$A:$G,
                       5,
                       FALSE)</f>
        <v>0</v>
      </c>
      <c r="G258" s="122">
        <v>45049</v>
      </c>
      <c r="H258" s="102" t="s">
        <v>539</v>
      </c>
      <c r="I258" s="122">
        <v>44985</v>
      </c>
      <c r="J258" s="103">
        <v>40</v>
      </c>
      <c r="K258" s="103" t="s">
        <v>1512</v>
      </c>
      <c r="L258" s="103"/>
      <c r="M258" s="105">
        <v>113000</v>
      </c>
      <c r="N258" s="147">
        <v>0</v>
      </c>
      <c r="O258" s="147">
        <v>0</v>
      </c>
      <c r="P258" s="148">
        <v>0</v>
      </c>
      <c r="Q258" s="147">
        <v>0</v>
      </c>
      <c r="R258" s="149">
        <v>113000</v>
      </c>
      <c r="S2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8" s="150">
        <f ca="1">+IF(PROVEEDORES[[#This Row],[FECHA DE PAGO]]=0,TODAY()-PROVEEDORES[[#This Row],[FECHA DE FACTURACIÓN]]-PROVEEDORES[[#This Row],[PLAZO Días]],0)</f>
        <v>0</v>
      </c>
      <c r="U258" s="150">
        <f>+VLOOKUP(PROVEEDORES[[#This Row],[PROVEEDOR]],Terceros!$A:$E,4,FALSE)</f>
        <v>0</v>
      </c>
      <c r="V258" s="150">
        <f>+YEAR(PROVEEDORES[[#This Row],[FECHA DE FACTURACIÓN]])</f>
        <v>2023</v>
      </c>
      <c r="W258" s="150">
        <f>+MATCH(PROVEEDORES[[#This Row],[año facturado]],Retenciones!$1:$1,0)</f>
        <v>6</v>
      </c>
      <c r="X258" s="151">
        <f>+VLOOKUP(PROVEEDORES[[#This Row],[ID RETENCION]],Retenciones!$A$1:$O$25,PROVEEDORES[[#This Row],[indicador de columna]],FALSE)</f>
        <v>0</v>
      </c>
      <c r="Y258" s="152">
        <f>+VLOOKUP(PROVEEDORES[[#This Row],[ID RETENCION]],Retenciones!$A$1:$O$25,2,FALSE)</f>
        <v>0</v>
      </c>
      <c r="Z258" s="153" t="b">
        <f>+OR(COUNTIF(PROVEEDORES[[#This Row],[PROVEEDOR]],"*"&amp;'Palabra que no opera y Listas d'!$A$2&amp;"*"))</f>
        <v>0</v>
      </c>
    </row>
    <row r="259" spans="1:26" ht="27.75" customHeight="1" x14ac:dyDescent="0.3">
      <c r="A259" s="144" t="str">
        <f>+IF(PROVEEDORES[[#This Row],[FECHA DE PAGO]]=PROVEEDORES[[#This Row],[FECHA DE FACTURACIÓN]],"DE CONTADO","CRÉDITO")</f>
        <v>CRÉDITO</v>
      </c>
      <c r="B259" s="144" t="str">
        <f>+IF((PROVEEDORES[[#This Row],[FECHA DE PAGO]]-PROVEEDORES[[#This Row],[FECHA DE FACTURACIÓN]])&gt;PROVEEDORES[[#This Row],[PLAZO Días]],"PAGO VENCIDO")</f>
        <v>PAGO VENCIDO</v>
      </c>
      <c r="C259" s="144">
        <f>+VLOOKUP(PROVEEDORES[[#This Row],[PROVEEDOR]],TERCEROS_INFO[#All],2,FALSE)</f>
        <v>0</v>
      </c>
      <c r="D259" s="145">
        <f>+SUMIFS(PROVEEDORES[Total],PROVEEDORES[PROVEEDOR],PROVEEDORES[[#This Row],[PROVEEDOR]],PROVEEDORES[FECHA DE PAGO],"")</f>
        <v>224000</v>
      </c>
      <c r="E259" s="146"/>
      <c r="F259" s="144">
        <f>+VLOOKUP(PROVEEDORES[[#This Row],[PROVEEDOR]],
                       Terceros!$A:$G,
                       5,
                       FALSE)</f>
        <v>0</v>
      </c>
      <c r="G259" s="122">
        <v>45049</v>
      </c>
      <c r="H259" s="102" t="s">
        <v>539</v>
      </c>
      <c r="I259" s="122">
        <v>44993</v>
      </c>
      <c r="J259" s="103">
        <v>41</v>
      </c>
      <c r="K259" s="103" t="s">
        <v>1512</v>
      </c>
      <c r="L259" s="103"/>
      <c r="M259" s="105">
        <v>468000</v>
      </c>
      <c r="N259" s="147">
        <v>0</v>
      </c>
      <c r="O259" s="147">
        <v>0</v>
      </c>
      <c r="P259" s="148">
        <v>0</v>
      </c>
      <c r="Q259" s="147">
        <v>0</v>
      </c>
      <c r="R259" s="149">
        <v>468000</v>
      </c>
      <c r="S2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9" s="150">
        <f ca="1">+IF(PROVEEDORES[[#This Row],[FECHA DE PAGO]]=0,TODAY()-PROVEEDORES[[#This Row],[FECHA DE FACTURACIÓN]]-PROVEEDORES[[#This Row],[PLAZO Días]],0)</f>
        <v>0</v>
      </c>
      <c r="U259" s="150">
        <f>+VLOOKUP(PROVEEDORES[[#This Row],[PROVEEDOR]],Terceros!$A:$E,4,FALSE)</f>
        <v>0</v>
      </c>
      <c r="V259" s="150">
        <f>+YEAR(PROVEEDORES[[#This Row],[FECHA DE FACTURACIÓN]])</f>
        <v>2023</v>
      </c>
      <c r="W259" s="150">
        <f>+MATCH(PROVEEDORES[[#This Row],[año facturado]],Retenciones!$1:$1,0)</f>
        <v>6</v>
      </c>
      <c r="X259" s="151">
        <f>+VLOOKUP(PROVEEDORES[[#This Row],[ID RETENCION]],Retenciones!$A$1:$O$25,PROVEEDORES[[#This Row],[indicador de columna]],FALSE)</f>
        <v>0</v>
      </c>
      <c r="Y259" s="152">
        <f>+VLOOKUP(PROVEEDORES[[#This Row],[ID RETENCION]],Retenciones!$A$1:$O$25,2,FALSE)</f>
        <v>0</v>
      </c>
      <c r="Z259" s="153" t="b">
        <f>+OR(COUNTIF(PROVEEDORES[[#This Row],[PROVEEDOR]],"*"&amp;'Palabra que no opera y Listas d'!$A$2&amp;"*"))</f>
        <v>0</v>
      </c>
    </row>
    <row r="260" spans="1:26" ht="27.75" customHeight="1" x14ac:dyDescent="0.3">
      <c r="A260" s="144" t="str">
        <f>+IF(PROVEEDORES[[#This Row],[FECHA DE PAGO]]=PROVEEDORES[[#This Row],[FECHA DE FACTURACIÓN]],"DE CONTADO","CRÉDITO")</f>
        <v>CRÉDITO</v>
      </c>
      <c r="B260" s="144" t="str">
        <f>+IF((PROVEEDORES[[#This Row],[FECHA DE PAGO]]-PROVEEDORES[[#This Row],[FECHA DE FACTURACIÓN]])&gt;PROVEEDORES[[#This Row],[PLAZO Días]],"PAGO VENCIDO")</f>
        <v>PAGO VENCIDO</v>
      </c>
      <c r="C260" s="144">
        <f>+VLOOKUP(PROVEEDORES[[#This Row],[PROVEEDOR]],TERCEROS_INFO[#All],2,FALSE)</f>
        <v>0</v>
      </c>
      <c r="D260" s="145">
        <f>+SUMIFS(PROVEEDORES[Total],PROVEEDORES[PROVEEDOR],PROVEEDORES[[#This Row],[PROVEEDOR]],PROVEEDORES[FECHA DE PAGO],"")</f>
        <v>224000</v>
      </c>
      <c r="E260" s="146"/>
      <c r="F260" s="144">
        <f>+VLOOKUP(PROVEEDORES[[#This Row],[PROVEEDOR]],
                       Terceros!$A:$G,
                       5,
                       FALSE)</f>
        <v>0</v>
      </c>
      <c r="G260" s="122">
        <v>45049</v>
      </c>
      <c r="H260" s="102" t="s">
        <v>539</v>
      </c>
      <c r="I260" s="122">
        <v>44999</v>
      </c>
      <c r="J260" s="103">
        <v>42</v>
      </c>
      <c r="K260" s="103" t="s">
        <v>1512</v>
      </c>
      <c r="L260" s="103"/>
      <c r="M260" s="105">
        <v>86000</v>
      </c>
      <c r="N260" s="147">
        <v>0</v>
      </c>
      <c r="O260" s="147">
        <v>0</v>
      </c>
      <c r="P260" s="148">
        <v>0</v>
      </c>
      <c r="Q260" s="147">
        <v>0</v>
      </c>
      <c r="R260" s="149">
        <v>86000</v>
      </c>
      <c r="S2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0" s="150">
        <f ca="1">+IF(PROVEEDORES[[#This Row],[FECHA DE PAGO]]=0,TODAY()-PROVEEDORES[[#This Row],[FECHA DE FACTURACIÓN]]-PROVEEDORES[[#This Row],[PLAZO Días]],0)</f>
        <v>0</v>
      </c>
      <c r="U260" s="150">
        <f>+VLOOKUP(PROVEEDORES[[#This Row],[PROVEEDOR]],Terceros!$A:$E,4,FALSE)</f>
        <v>0</v>
      </c>
      <c r="V260" s="150">
        <f>+YEAR(PROVEEDORES[[#This Row],[FECHA DE FACTURACIÓN]])</f>
        <v>2023</v>
      </c>
      <c r="W260" s="150">
        <f>+MATCH(PROVEEDORES[[#This Row],[año facturado]],Retenciones!$1:$1,0)</f>
        <v>6</v>
      </c>
      <c r="X260" s="151">
        <f>+VLOOKUP(PROVEEDORES[[#This Row],[ID RETENCION]],Retenciones!$A$1:$O$25,PROVEEDORES[[#This Row],[indicador de columna]],FALSE)</f>
        <v>0</v>
      </c>
      <c r="Y260" s="152">
        <f>+VLOOKUP(PROVEEDORES[[#This Row],[ID RETENCION]],Retenciones!$A$1:$O$25,2,FALSE)</f>
        <v>0</v>
      </c>
      <c r="Z260" s="153" t="b">
        <f>+OR(COUNTIF(PROVEEDORES[[#This Row],[PROVEEDOR]],"*"&amp;'Palabra que no opera y Listas d'!$A$2&amp;"*"))</f>
        <v>0</v>
      </c>
    </row>
    <row r="261" spans="1:26" ht="27.75" customHeight="1" x14ac:dyDescent="0.3">
      <c r="A261" s="144" t="str">
        <f>+IF(PROVEEDORES[[#This Row],[FECHA DE PAGO]]=PROVEEDORES[[#This Row],[FECHA DE FACTURACIÓN]],"DE CONTADO","CRÉDITO")</f>
        <v>CRÉDITO</v>
      </c>
      <c r="B261" s="144" t="str">
        <f>+IF((PROVEEDORES[[#This Row],[FECHA DE PAGO]]-PROVEEDORES[[#This Row],[FECHA DE FACTURACIÓN]])&gt;PROVEEDORES[[#This Row],[PLAZO Días]],"PAGO VENCIDO")</f>
        <v>PAGO VENCIDO</v>
      </c>
      <c r="C261" s="144">
        <f>+VLOOKUP(PROVEEDORES[[#This Row],[PROVEEDOR]],TERCEROS_INFO[#All],2,FALSE)</f>
        <v>0</v>
      </c>
      <c r="D261" s="145">
        <f>+SUMIFS(PROVEEDORES[Total],PROVEEDORES[PROVEEDOR],PROVEEDORES[[#This Row],[PROVEEDOR]],PROVEEDORES[FECHA DE PAGO],"")</f>
        <v>0</v>
      </c>
      <c r="E261" s="146"/>
      <c r="F261" s="144">
        <f>+VLOOKUP(PROVEEDORES[[#This Row],[PROVEEDOR]],
                       Terceros!$A:$G,
                       5,
                       FALSE)</f>
        <v>0</v>
      </c>
      <c r="G261" s="122">
        <v>45049</v>
      </c>
      <c r="H261" s="102" t="s">
        <v>1788</v>
      </c>
      <c r="I261" s="122">
        <v>45008</v>
      </c>
      <c r="J261" s="103" t="s">
        <v>670</v>
      </c>
      <c r="K261" s="103" t="s">
        <v>1512</v>
      </c>
      <c r="L261" s="103"/>
      <c r="M261" s="105">
        <v>4835000</v>
      </c>
      <c r="N261" s="147">
        <v>0</v>
      </c>
      <c r="O261" s="147">
        <v>0</v>
      </c>
      <c r="P261" s="148">
        <v>0</v>
      </c>
      <c r="Q261" s="147">
        <v>0</v>
      </c>
      <c r="R261" s="149">
        <v>4835000</v>
      </c>
      <c r="S2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1" s="150">
        <f ca="1">+IF(PROVEEDORES[[#This Row],[FECHA DE PAGO]]=0,TODAY()-PROVEEDORES[[#This Row],[FECHA DE FACTURACIÓN]]-PROVEEDORES[[#This Row],[PLAZO Días]],0)</f>
        <v>0</v>
      </c>
      <c r="U261" s="150">
        <f>+VLOOKUP(PROVEEDORES[[#This Row],[PROVEEDOR]],Terceros!$A:$E,4,FALSE)</f>
        <v>0</v>
      </c>
      <c r="V261" s="150">
        <f>+YEAR(PROVEEDORES[[#This Row],[FECHA DE FACTURACIÓN]])</f>
        <v>2023</v>
      </c>
      <c r="W261" s="150">
        <f>+MATCH(PROVEEDORES[[#This Row],[año facturado]],Retenciones!$1:$1,0)</f>
        <v>6</v>
      </c>
      <c r="X261" s="151">
        <f>+VLOOKUP(PROVEEDORES[[#This Row],[ID RETENCION]],Retenciones!$A$1:$O$25,PROVEEDORES[[#This Row],[indicador de columna]],FALSE)</f>
        <v>0</v>
      </c>
      <c r="Y261" s="152">
        <f>+VLOOKUP(PROVEEDORES[[#This Row],[ID RETENCION]],Retenciones!$A$1:$O$25,2,FALSE)</f>
        <v>0</v>
      </c>
      <c r="Z261" s="153" t="b">
        <f>+OR(COUNTIF(PROVEEDORES[[#This Row],[PROVEEDOR]],"*"&amp;'Palabra que no opera y Listas d'!$A$2&amp;"*"))</f>
        <v>0</v>
      </c>
    </row>
    <row r="262" spans="1:26" ht="27.75" customHeight="1" x14ac:dyDescent="0.3">
      <c r="A262" s="144" t="str">
        <f>+IF(PROVEEDORES[[#This Row],[FECHA DE PAGO]]=PROVEEDORES[[#This Row],[FECHA DE FACTURACIÓN]],"DE CONTADO","CRÉDITO")</f>
        <v>CRÉDITO</v>
      </c>
      <c r="B262" s="144" t="str">
        <f>+IF((PROVEEDORES[[#This Row],[FECHA DE PAGO]]-PROVEEDORES[[#This Row],[FECHA DE FACTURACIÓN]])&gt;PROVEEDORES[[#This Row],[PLAZO Días]],"PAGO VENCIDO")</f>
        <v>PAGO VENCIDO</v>
      </c>
      <c r="C262" s="144">
        <f>+VLOOKUP(PROVEEDORES[[#This Row],[PROVEEDOR]],TERCEROS_INFO[#All],2,FALSE)</f>
        <v>0</v>
      </c>
      <c r="D262" s="145">
        <f>+SUMIFS(PROVEEDORES[Total],PROVEEDORES[PROVEEDOR],PROVEEDORES[[#This Row],[PROVEEDOR]],PROVEEDORES[FECHA DE PAGO],"")</f>
        <v>3130000</v>
      </c>
      <c r="E262" s="146"/>
      <c r="F262" s="144">
        <f>+VLOOKUP(PROVEEDORES[[#This Row],[PROVEEDOR]],
                       Terceros!$A:$G,
                       5,
                       FALSE)</f>
        <v>0</v>
      </c>
      <c r="G262" s="122">
        <v>45049</v>
      </c>
      <c r="H262" s="102" t="s">
        <v>487</v>
      </c>
      <c r="I262" s="122">
        <v>45013</v>
      </c>
      <c r="J262" s="103">
        <v>10379</v>
      </c>
      <c r="K262" s="103" t="s">
        <v>1512</v>
      </c>
      <c r="L262" s="103"/>
      <c r="M262" s="105">
        <v>525000</v>
      </c>
      <c r="N262" s="147">
        <v>0</v>
      </c>
      <c r="O262" s="147">
        <v>0</v>
      </c>
      <c r="P262" s="148">
        <v>0</v>
      </c>
      <c r="Q262" s="147">
        <v>0</v>
      </c>
      <c r="R262" s="149">
        <v>525000</v>
      </c>
      <c r="S2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2" s="150">
        <f ca="1">+IF(PROVEEDORES[[#This Row],[FECHA DE PAGO]]=0,TODAY()-PROVEEDORES[[#This Row],[FECHA DE FACTURACIÓN]]-PROVEEDORES[[#This Row],[PLAZO Días]],0)</f>
        <v>0</v>
      </c>
      <c r="U262" s="150">
        <f>+VLOOKUP(PROVEEDORES[[#This Row],[PROVEEDOR]],Terceros!$A:$E,4,FALSE)</f>
        <v>0</v>
      </c>
      <c r="V262" s="150">
        <f>+YEAR(PROVEEDORES[[#This Row],[FECHA DE FACTURACIÓN]])</f>
        <v>2023</v>
      </c>
      <c r="W262" s="150">
        <f>+MATCH(PROVEEDORES[[#This Row],[año facturado]],Retenciones!$1:$1,0)</f>
        <v>6</v>
      </c>
      <c r="X262" s="151">
        <f>+VLOOKUP(PROVEEDORES[[#This Row],[ID RETENCION]],Retenciones!$A$1:$O$25,PROVEEDORES[[#This Row],[indicador de columna]],FALSE)</f>
        <v>0</v>
      </c>
      <c r="Y262" s="152">
        <f>+VLOOKUP(PROVEEDORES[[#This Row],[ID RETENCION]],Retenciones!$A$1:$O$25,2,FALSE)</f>
        <v>0</v>
      </c>
      <c r="Z262" s="153" t="b">
        <f>+OR(COUNTIF(PROVEEDORES[[#This Row],[PROVEEDOR]],"*"&amp;'Palabra que no opera y Listas d'!$A$2&amp;"*"))</f>
        <v>0</v>
      </c>
    </row>
    <row r="263" spans="1:26" ht="27.75" customHeight="1" x14ac:dyDescent="0.3">
      <c r="A263" s="144" t="str">
        <f>+IF(PROVEEDORES[[#This Row],[FECHA DE PAGO]]=PROVEEDORES[[#This Row],[FECHA DE FACTURACIÓN]],"DE CONTADO","CRÉDITO")</f>
        <v>CRÉDITO</v>
      </c>
      <c r="B263" s="144" t="str">
        <f>+IF((PROVEEDORES[[#This Row],[FECHA DE PAGO]]-PROVEEDORES[[#This Row],[FECHA DE FACTURACIÓN]])&gt;PROVEEDORES[[#This Row],[PLAZO Días]],"PAGO VENCIDO")</f>
        <v>PAGO VENCIDO</v>
      </c>
      <c r="C263" s="144">
        <f>+VLOOKUP(PROVEEDORES[[#This Row],[PROVEEDOR]],TERCEROS_INFO[#All],2,FALSE)</f>
        <v>0</v>
      </c>
      <c r="D263" s="145">
        <f>+SUMIFS(PROVEEDORES[Total],PROVEEDORES[PROVEEDOR],PROVEEDORES[[#This Row],[PROVEEDOR]],PROVEEDORES[FECHA DE PAGO],"")</f>
        <v>224000</v>
      </c>
      <c r="E263" s="146"/>
      <c r="F263" s="144">
        <f>+VLOOKUP(PROVEEDORES[[#This Row],[PROVEEDOR]],
                       Terceros!$A:$G,
                       5,
                       FALSE)</f>
        <v>0</v>
      </c>
      <c r="G263" s="122">
        <v>45049</v>
      </c>
      <c r="H263" s="102" t="s">
        <v>539</v>
      </c>
      <c r="I263" s="122">
        <v>45013</v>
      </c>
      <c r="J263" s="103">
        <v>43</v>
      </c>
      <c r="K263" s="103" t="s">
        <v>1512</v>
      </c>
      <c r="L263" s="103"/>
      <c r="M263" s="105">
        <v>226000</v>
      </c>
      <c r="N263" s="147">
        <v>0</v>
      </c>
      <c r="O263" s="147">
        <v>0</v>
      </c>
      <c r="P263" s="148">
        <v>0</v>
      </c>
      <c r="Q263" s="147">
        <v>0</v>
      </c>
      <c r="R263" s="149">
        <v>226000</v>
      </c>
      <c r="S2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3" s="150">
        <f ca="1">+IF(PROVEEDORES[[#This Row],[FECHA DE PAGO]]=0,TODAY()-PROVEEDORES[[#This Row],[FECHA DE FACTURACIÓN]]-PROVEEDORES[[#This Row],[PLAZO Días]],0)</f>
        <v>0</v>
      </c>
      <c r="U263" s="150">
        <f>+VLOOKUP(PROVEEDORES[[#This Row],[PROVEEDOR]],Terceros!$A:$E,4,FALSE)</f>
        <v>0</v>
      </c>
      <c r="V263" s="150">
        <f>+YEAR(PROVEEDORES[[#This Row],[FECHA DE FACTURACIÓN]])</f>
        <v>2023</v>
      </c>
      <c r="W263" s="150">
        <f>+MATCH(PROVEEDORES[[#This Row],[año facturado]],Retenciones!$1:$1,0)</f>
        <v>6</v>
      </c>
      <c r="X263" s="151">
        <f>+VLOOKUP(PROVEEDORES[[#This Row],[ID RETENCION]],Retenciones!$A$1:$O$25,PROVEEDORES[[#This Row],[indicador de columna]],FALSE)</f>
        <v>0</v>
      </c>
      <c r="Y263" s="152">
        <f>+VLOOKUP(PROVEEDORES[[#This Row],[ID RETENCION]],Retenciones!$A$1:$O$25,2,FALSE)</f>
        <v>0</v>
      </c>
      <c r="Z263" s="153" t="b">
        <f>+OR(COUNTIF(PROVEEDORES[[#This Row],[PROVEEDOR]],"*"&amp;'Palabra que no opera y Listas d'!$A$2&amp;"*"))</f>
        <v>0</v>
      </c>
    </row>
    <row r="264" spans="1:26" ht="27.75" customHeight="1" x14ac:dyDescent="0.3">
      <c r="A264" s="144" t="str">
        <f>+IF(PROVEEDORES[[#This Row],[FECHA DE PAGO]]=PROVEEDORES[[#This Row],[FECHA DE FACTURACIÓN]],"DE CONTADO","CRÉDITO")</f>
        <v>DE CONTADO</v>
      </c>
      <c r="B264" s="144" t="b">
        <f>+IF((PROVEEDORES[[#This Row],[FECHA DE PAGO]]-PROVEEDORES[[#This Row],[FECHA DE FACTURACIÓN]])&gt;PROVEEDORES[[#This Row],[PLAZO Días]],"PAGO VENCIDO")</f>
        <v>0</v>
      </c>
      <c r="C264" s="144">
        <f>+VLOOKUP(PROVEEDORES[[#This Row],[PROVEEDOR]],TERCEROS_INFO[#All],2,FALSE)</f>
        <v>0</v>
      </c>
      <c r="D264" s="145">
        <f>+SUMIFS(PROVEEDORES[Total],PROVEEDORES[PROVEEDOR],PROVEEDORES[[#This Row],[PROVEEDOR]],PROVEEDORES[FECHA DE PAGO],"")</f>
        <v>0</v>
      </c>
      <c r="E264" s="146"/>
      <c r="F264" s="144">
        <f>+VLOOKUP(PROVEEDORES[[#This Row],[PROVEEDOR]],
                       Terceros!$A:$G,
                       5,
                       FALSE)</f>
        <v>0</v>
      </c>
      <c r="G264" s="122">
        <v>45049</v>
      </c>
      <c r="H264" s="102" t="s">
        <v>191</v>
      </c>
      <c r="I264" s="122">
        <v>45049</v>
      </c>
      <c r="J264" s="103" t="s">
        <v>800</v>
      </c>
      <c r="K264" s="103" t="s">
        <v>1512</v>
      </c>
      <c r="L264" s="103"/>
      <c r="M264" s="105">
        <v>1740000</v>
      </c>
      <c r="N264" s="147">
        <v>0</v>
      </c>
      <c r="O264" s="147">
        <v>0</v>
      </c>
      <c r="P264" s="148">
        <v>0</v>
      </c>
      <c r="Q264" s="147">
        <v>0</v>
      </c>
      <c r="R264" s="149">
        <v>1740000</v>
      </c>
      <c r="S2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4" s="150">
        <f ca="1">+IF(PROVEEDORES[[#This Row],[FECHA DE PAGO]]=0,TODAY()-PROVEEDORES[[#This Row],[FECHA DE FACTURACIÓN]]-PROVEEDORES[[#This Row],[PLAZO Días]],0)</f>
        <v>0</v>
      </c>
      <c r="U264" s="150">
        <f>+VLOOKUP(PROVEEDORES[[#This Row],[PROVEEDOR]],Terceros!$A:$E,4,FALSE)</f>
        <v>0</v>
      </c>
      <c r="V264" s="150">
        <f>+YEAR(PROVEEDORES[[#This Row],[FECHA DE FACTURACIÓN]])</f>
        <v>2023</v>
      </c>
      <c r="W264" s="150">
        <f>+MATCH(PROVEEDORES[[#This Row],[año facturado]],Retenciones!$1:$1,0)</f>
        <v>6</v>
      </c>
      <c r="X264" s="151">
        <f>+VLOOKUP(PROVEEDORES[[#This Row],[ID RETENCION]],Retenciones!$A$1:$O$25,PROVEEDORES[[#This Row],[indicador de columna]],FALSE)</f>
        <v>0</v>
      </c>
      <c r="Y264" s="152">
        <f>+VLOOKUP(PROVEEDORES[[#This Row],[ID RETENCION]],Retenciones!$A$1:$O$25,2,FALSE)</f>
        <v>0</v>
      </c>
      <c r="Z264" s="153" t="b">
        <f>+OR(COUNTIF(PROVEEDORES[[#This Row],[PROVEEDOR]],"*"&amp;'Palabra que no opera y Listas d'!$A$2&amp;"*"))</f>
        <v>0</v>
      </c>
    </row>
    <row r="265" spans="1:26" ht="27.75" customHeight="1" x14ac:dyDescent="0.3">
      <c r="A265" s="144" t="str">
        <f>+IF(PROVEEDORES[[#This Row],[FECHA DE PAGO]]=PROVEEDORES[[#This Row],[FECHA DE FACTURACIÓN]],"DE CONTADO","CRÉDITO")</f>
        <v>CRÉDITO</v>
      </c>
      <c r="B265" s="144" t="str">
        <f>+IF((PROVEEDORES[[#This Row],[FECHA DE PAGO]]-PROVEEDORES[[#This Row],[FECHA DE FACTURACIÓN]])&gt;PROVEEDORES[[#This Row],[PLAZO Días]],"PAGO VENCIDO")</f>
        <v>PAGO VENCIDO</v>
      </c>
      <c r="C265" s="144">
        <f>+VLOOKUP(PROVEEDORES[[#This Row],[PROVEEDOR]],TERCEROS_INFO[#All],2,FALSE)</f>
        <v>0</v>
      </c>
      <c r="D265" s="145">
        <f>+SUMIFS(PROVEEDORES[Total],PROVEEDORES[PROVEEDOR],PROVEEDORES[[#This Row],[PROVEEDOR]],PROVEEDORES[FECHA DE PAGO],"")</f>
        <v>26134091.5</v>
      </c>
      <c r="E265" s="146"/>
      <c r="F265" s="144">
        <f>+VLOOKUP(PROVEEDORES[[#This Row],[PROVEEDOR]],
                       Terceros!$A:$G,
                       5,
                       FALSE)</f>
        <v>0</v>
      </c>
      <c r="G265" s="122">
        <v>45051</v>
      </c>
      <c r="H265" s="102" t="s">
        <v>238</v>
      </c>
      <c r="I265" s="122">
        <v>45017</v>
      </c>
      <c r="J265" s="103" t="s">
        <v>690</v>
      </c>
      <c r="K265" s="103" t="s">
        <v>1512</v>
      </c>
      <c r="L265" s="103"/>
      <c r="M265" s="105">
        <v>169670</v>
      </c>
      <c r="N265" s="147">
        <v>0</v>
      </c>
      <c r="O265" s="147">
        <v>0</v>
      </c>
      <c r="P265" s="148">
        <v>0</v>
      </c>
      <c r="Q265" s="147">
        <v>0</v>
      </c>
      <c r="R265" s="149">
        <v>169670</v>
      </c>
      <c r="S2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5" s="150">
        <f ca="1">+IF(PROVEEDORES[[#This Row],[FECHA DE PAGO]]=0,TODAY()-PROVEEDORES[[#This Row],[FECHA DE FACTURACIÓN]]-PROVEEDORES[[#This Row],[PLAZO Días]],0)</f>
        <v>0</v>
      </c>
      <c r="U265" s="150">
        <f>+VLOOKUP(PROVEEDORES[[#This Row],[PROVEEDOR]],Terceros!$A:$E,4,FALSE)</f>
        <v>0</v>
      </c>
      <c r="V265" s="150">
        <f>+YEAR(PROVEEDORES[[#This Row],[FECHA DE FACTURACIÓN]])</f>
        <v>2023</v>
      </c>
      <c r="W265" s="150">
        <f>+MATCH(PROVEEDORES[[#This Row],[año facturado]],Retenciones!$1:$1,0)</f>
        <v>6</v>
      </c>
      <c r="X265" s="151">
        <f>+VLOOKUP(PROVEEDORES[[#This Row],[ID RETENCION]],Retenciones!$A$1:$O$25,PROVEEDORES[[#This Row],[indicador de columna]],FALSE)</f>
        <v>0</v>
      </c>
      <c r="Y265" s="152">
        <f>+VLOOKUP(PROVEEDORES[[#This Row],[ID RETENCION]],Retenciones!$A$1:$O$25,2,FALSE)</f>
        <v>0</v>
      </c>
      <c r="Z265" s="153" t="b">
        <f>+OR(COUNTIF(PROVEEDORES[[#This Row],[PROVEEDOR]],"*"&amp;'Palabra que no opera y Listas d'!$A$2&amp;"*"))</f>
        <v>0</v>
      </c>
    </row>
    <row r="266" spans="1:26" ht="27.75" customHeight="1" x14ac:dyDescent="0.3">
      <c r="A266" s="144" t="str">
        <f>+IF(PROVEEDORES[[#This Row],[FECHA DE PAGO]]=PROVEEDORES[[#This Row],[FECHA DE FACTURACIÓN]],"DE CONTADO","CRÉDITO")</f>
        <v>CRÉDITO</v>
      </c>
      <c r="B266" s="144" t="str">
        <f>+IF((PROVEEDORES[[#This Row],[FECHA DE PAGO]]-PROVEEDORES[[#This Row],[FECHA DE FACTURACIÓN]])&gt;PROVEEDORES[[#This Row],[PLAZO Días]],"PAGO VENCIDO")</f>
        <v>PAGO VENCIDO</v>
      </c>
      <c r="C266" s="144">
        <f>+VLOOKUP(PROVEEDORES[[#This Row],[PROVEEDOR]],TERCEROS_INFO[#All],2,FALSE)</f>
        <v>0</v>
      </c>
      <c r="D266" s="145">
        <f>+SUMIFS(PROVEEDORES[Total],PROVEEDORES[PROVEEDOR],PROVEEDORES[[#This Row],[PROVEEDOR]],PROVEEDORES[FECHA DE PAGO],"")</f>
        <v>0</v>
      </c>
      <c r="E266" s="146"/>
      <c r="F266" s="144">
        <f>+VLOOKUP(PROVEEDORES[[#This Row],[PROVEEDOR]],
                       Terceros!$A:$G,
                       5,
                       FALSE)</f>
        <v>0</v>
      </c>
      <c r="G266" s="122">
        <v>45051</v>
      </c>
      <c r="H266" s="102" t="s">
        <v>240</v>
      </c>
      <c r="I266" s="122">
        <v>45017</v>
      </c>
      <c r="J266" s="103">
        <v>1647</v>
      </c>
      <c r="K266" s="103" t="s">
        <v>1512</v>
      </c>
      <c r="L266" s="103"/>
      <c r="M266" s="105">
        <v>1853680</v>
      </c>
      <c r="N266" s="147">
        <v>0</v>
      </c>
      <c r="O266" s="147">
        <v>0</v>
      </c>
      <c r="P266" s="148">
        <v>0</v>
      </c>
      <c r="Q266" s="147">
        <v>0</v>
      </c>
      <c r="R266" s="149">
        <v>1853680</v>
      </c>
      <c r="S2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6" s="150">
        <f ca="1">+IF(PROVEEDORES[[#This Row],[FECHA DE PAGO]]=0,TODAY()-PROVEEDORES[[#This Row],[FECHA DE FACTURACIÓN]]-PROVEEDORES[[#This Row],[PLAZO Días]],0)</f>
        <v>0</v>
      </c>
      <c r="U266" s="150">
        <f>+VLOOKUP(PROVEEDORES[[#This Row],[PROVEEDOR]],Terceros!$A:$E,4,FALSE)</f>
        <v>0</v>
      </c>
      <c r="V266" s="150">
        <f>+YEAR(PROVEEDORES[[#This Row],[FECHA DE FACTURACIÓN]])</f>
        <v>2023</v>
      </c>
      <c r="W266" s="150">
        <f>+MATCH(PROVEEDORES[[#This Row],[año facturado]],Retenciones!$1:$1,0)</f>
        <v>6</v>
      </c>
      <c r="X266" s="151">
        <f>+VLOOKUP(PROVEEDORES[[#This Row],[ID RETENCION]],Retenciones!$A$1:$O$25,PROVEEDORES[[#This Row],[indicador de columna]],FALSE)</f>
        <v>0</v>
      </c>
      <c r="Y266" s="152">
        <f>+VLOOKUP(PROVEEDORES[[#This Row],[ID RETENCION]],Retenciones!$A$1:$O$25,2,FALSE)</f>
        <v>0</v>
      </c>
      <c r="Z266" s="153" t="b">
        <f>+OR(COUNTIF(PROVEEDORES[[#This Row],[PROVEEDOR]],"*"&amp;'Palabra que no opera y Listas d'!$A$2&amp;"*"))</f>
        <v>0</v>
      </c>
    </row>
    <row r="267" spans="1:26" ht="27.75" customHeight="1" x14ac:dyDescent="0.3">
      <c r="A267" s="144" t="str">
        <f>+IF(PROVEEDORES[[#This Row],[FECHA DE PAGO]]=PROVEEDORES[[#This Row],[FECHA DE FACTURACIÓN]],"DE CONTADO","CRÉDITO")</f>
        <v>CRÉDITO</v>
      </c>
      <c r="B267" s="144" t="str">
        <f>+IF((PROVEEDORES[[#This Row],[FECHA DE PAGO]]-PROVEEDORES[[#This Row],[FECHA DE FACTURACIÓN]])&gt;PROVEEDORES[[#This Row],[PLAZO Días]],"PAGO VENCIDO")</f>
        <v>PAGO VENCIDO</v>
      </c>
      <c r="C267" s="144">
        <f>+VLOOKUP(PROVEEDORES[[#This Row],[PROVEEDOR]],TERCEROS_INFO[#All],2,FALSE)</f>
        <v>0</v>
      </c>
      <c r="D267" s="145">
        <f>+SUMIFS(PROVEEDORES[Total],PROVEEDORES[PROVEEDOR],PROVEEDORES[[#This Row],[PROVEEDOR]],PROVEEDORES[FECHA DE PAGO],"")</f>
        <v>26134091.5</v>
      </c>
      <c r="E267" s="146"/>
      <c r="F267" s="144">
        <f>+VLOOKUP(PROVEEDORES[[#This Row],[PROVEEDOR]],
                       Terceros!$A:$G,
                       5,
                       FALSE)</f>
        <v>0</v>
      </c>
      <c r="G267" s="122">
        <v>45051</v>
      </c>
      <c r="H267" s="102" t="s">
        <v>238</v>
      </c>
      <c r="I267" s="122">
        <v>45022</v>
      </c>
      <c r="J267" s="103">
        <v>1649</v>
      </c>
      <c r="K267" s="103" t="s">
        <v>1512</v>
      </c>
      <c r="L267" s="103"/>
      <c r="M267" s="105">
        <v>319600</v>
      </c>
      <c r="N267" s="147">
        <v>0</v>
      </c>
      <c r="O267" s="147">
        <v>0</v>
      </c>
      <c r="P267" s="148">
        <v>0</v>
      </c>
      <c r="Q267" s="147">
        <v>0</v>
      </c>
      <c r="R267" s="149">
        <v>319600</v>
      </c>
      <c r="S2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7" s="150">
        <f ca="1">+IF(PROVEEDORES[[#This Row],[FECHA DE PAGO]]=0,TODAY()-PROVEEDORES[[#This Row],[FECHA DE FACTURACIÓN]]-PROVEEDORES[[#This Row],[PLAZO Días]],0)</f>
        <v>0</v>
      </c>
      <c r="U267" s="150">
        <f>+VLOOKUP(PROVEEDORES[[#This Row],[PROVEEDOR]],Terceros!$A:$E,4,FALSE)</f>
        <v>0</v>
      </c>
      <c r="V267" s="150">
        <f>+YEAR(PROVEEDORES[[#This Row],[FECHA DE FACTURACIÓN]])</f>
        <v>2023</v>
      </c>
      <c r="W267" s="150">
        <f>+MATCH(PROVEEDORES[[#This Row],[año facturado]],Retenciones!$1:$1,0)</f>
        <v>6</v>
      </c>
      <c r="X267" s="151">
        <f>+VLOOKUP(PROVEEDORES[[#This Row],[ID RETENCION]],Retenciones!$A$1:$O$25,PROVEEDORES[[#This Row],[indicador de columna]],FALSE)</f>
        <v>0</v>
      </c>
      <c r="Y267" s="152">
        <f>+VLOOKUP(PROVEEDORES[[#This Row],[ID RETENCION]],Retenciones!$A$1:$O$25,2,FALSE)</f>
        <v>0</v>
      </c>
      <c r="Z267" s="153" t="b">
        <f>+OR(COUNTIF(PROVEEDORES[[#This Row],[PROVEEDOR]],"*"&amp;'Palabra que no opera y Listas d'!$A$2&amp;"*"))</f>
        <v>0</v>
      </c>
    </row>
    <row r="268" spans="1:26" ht="27.75" customHeight="1" x14ac:dyDescent="0.3">
      <c r="A268" s="144" t="str">
        <f>+IF(PROVEEDORES[[#This Row],[FECHA DE PAGO]]=PROVEEDORES[[#This Row],[FECHA DE FACTURACIÓN]],"DE CONTADO","CRÉDITO")</f>
        <v>CRÉDITO</v>
      </c>
      <c r="B268" s="144" t="str">
        <f>+IF((PROVEEDORES[[#This Row],[FECHA DE PAGO]]-PROVEEDORES[[#This Row],[FECHA DE FACTURACIÓN]])&gt;PROVEEDORES[[#This Row],[PLAZO Días]],"PAGO VENCIDO")</f>
        <v>PAGO VENCIDO</v>
      </c>
      <c r="C268" s="144">
        <f>+VLOOKUP(PROVEEDORES[[#This Row],[PROVEEDOR]],TERCEROS_INFO[#All],2,FALSE)</f>
        <v>0</v>
      </c>
      <c r="D268" s="145">
        <f>+SUMIFS(PROVEEDORES[Total],PROVEEDORES[PROVEEDOR],PROVEEDORES[[#This Row],[PROVEEDOR]],PROVEEDORES[FECHA DE PAGO],"")</f>
        <v>26134091.5</v>
      </c>
      <c r="E268" s="146"/>
      <c r="F268" s="144">
        <f>+VLOOKUP(PROVEEDORES[[#This Row],[PROVEEDOR]],
                       Terceros!$A:$G,
                       5,
                       FALSE)</f>
        <v>0</v>
      </c>
      <c r="G268" s="122">
        <v>45051</v>
      </c>
      <c r="H268" s="102" t="s">
        <v>238</v>
      </c>
      <c r="I268" s="122">
        <v>45022</v>
      </c>
      <c r="J268" s="103">
        <v>1650</v>
      </c>
      <c r="K268" s="103" t="s">
        <v>1512</v>
      </c>
      <c r="L268" s="103"/>
      <c r="M268" s="105">
        <v>338400</v>
      </c>
      <c r="N268" s="147">
        <v>0</v>
      </c>
      <c r="O268" s="147">
        <v>0</v>
      </c>
      <c r="P268" s="148">
        <v>0</v>
      </c>
      <c r="Q268" s="147">
        <v>0</v>
      </c>
      <c r="R268" s="149">
        <v>338400</v>
      </c>
      <c r="S2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8" s="150">
        <f ca="1">+IF(PROVEEDORES[[#This Row],[FECHA DE PAGO]]=0,TODAY()-PROVEEDORES[[#This Row],[FECHA DE FACTURACIÓN]]-PROVEEDORES[[#This Row],[PLAZO Días]],0)</f>
        <v>0</v>
      </c>
      <c r="U268" s="150">
        <f>+VLOOKUP(PROVEEDORES[[#This Row],[PROVEEDOR]],Terceros!$A:$E,4,FALSE)</f>
        <v>0</v>
      </c>
      <c r="V268" s="150">
        <f>+YEAR(PROVEEDORES[[#This Row],[FECHA DE FACTURACIÓN]])</f>
        <v>2023</v>
      </c>
      <c r="W268" s="150">
        <f>+MATCH(PROVEEDORES[[#This Row],[año facturado]],Retenciones!$1:$1,0)</f>
        <v>6</v>
      </c>
      <c r="X268" s="151">
        <f>+VLOOKUP(PROVEEDORES[[#This Row],[ID RETENCION]],Retenciones!$A$1:$O$25,PROVEEDORES[[#This Row],[indicador de columna]],FALSE)</f>
        <v>0</v>
      </c>
      <c r="Y268" s="152">
        <f>+VLOOKUP(PROVEEDORES[[#This Row],[ID RETENCION]],Retenciones!$A$1:$O$25,2,FALSE)</f>
        <v>0</v>
      </c>
      <c r="Z268" s="153" t="b">
        <f>+OR(COUNTIF(PROVEEDORES[[#This Row],[PROVEEDOR]],"*"&amp;'Palabra que no opera y Listas d'!$A$2&amp;"*"))</f>
        <v>0</v>
      </c>
    </row>
    <row r="269" spans="1:26" ht="27.75" customHeight="1" x14ac:dyDescent="0.3">
      <c r="A269" s="144" t="str">
        <f>+IF(PROVEEDORES[[#This Row],[FECHA DE PAGO]]=PROVEEDORES[[#This Row],[FECHA DE FACTURACIÓN]],"DE CONTADO","CRÉDITO")</f>
        <v>CRÉDITO</v>
      </c>
      <c r="B269" s="144" t="str">
        <f>+IF((PROVEEDORES[[#This Row],[FECHA DE PAGO]]-PROVEEDORES[[#This Row],[FECHA DE FACTURACIÓN]])&gt;PROVEEDORES[[#This Row],[PLAZO Días]],"PAGO VENCIDO")</f>
        <v>PAGO VENCIDO</v>
      </c>
      <c r="C269" s="144">
        <f>+VLOOKUP(PROVEEDORES[[#This Row],[PROVEEDOR]],TERCEROS_INFO[#All],2,FALSE)</f>
        <v>0</v>
      </c>
      <c r="D269" s="145">
        <f>+SUMIFS(PROVEEDORES[Total],PROVEEDORES[PROVEEDOR],PROVEEDORES[[#This Row],[PROVEEDOR]],PROVEEDORES[FECHA DE PAGO],"")</f>
        <v>26134091.5</v>
      </c>
      <c r="E269" s="146"/>
      <c r="F269" s="144">
        <f>+VLOOKUP(PROVEEDORES[[#This Row],[PROVEEDOR]],
                       Terceros!$A:$G,
                       5,
                       FALSE)</f>
        <v>0</v>
      </c>
      <c r="G269" s="122">
        <v>45051</v>
      </c>
      <c r="H269" s="102" t="s">
        <v>238</v>
      </c>
      <c r="I269" s="122">
        <v>45022</v>
      </c>
      <c r="J269" s="103">
        <v>1651</v>
      </c>
      <c r="K269" s="103" t="s">
        <v>1512</v>
      </c>
      <c r="L269" s="103"/>
      <c r="M269" s="105">
        <v>755290</v>
      </c>
      <c r="N269" s="147">
        <v>0</v>
      </c>
      <c r="O269" s="147">
        <v>0</v>
      </c>
      <c r="P269" s="148">
        <v>0</v>
      </c>
      <c r="Q269" s="147">
        <v>0</v>
      </c>
      <c r="R269" s="149">
        <v>755290</v>
      </c>
      <c r="S2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9" s="150">
        <f ca="1">+IF(PROVEEDORES[[#This Row],[FECHA DE PAGO]]=0,TODAY()-PROVEEDORES[[#This Row],[FECHA DE FACTURACIÓN]]-PROVEEDORES[[#This Row],[PLAZO Días]],0)</f>
        <v>0</v>
      </c>
      <c r="U269" s="150">
        <f>+VLOOKUP(PROVEEDORES[[#This Row],[PROVEEDOR]],Terceros!$A:$E,4,FALSE)</f>
        <v>0</v>
      </c>
      <c r="V269" s="150">
        <f>+YEAR(PROVEEDORES[[#This Row],[FECHA DE FACTURACIÓN]])</f>
        <v>2023</v>
      </c>
      <c r="W269" s="150">
        <f>+MATCH(PROVEEDORES[[#This Row],[año facturado]],Retenciones!$1:$1,0)</f>
        <v>6</v>
      </c>
      <c r="X269" s="151">
        <f>+VLOOKUP(PROVEEDORES[[#This Row],[ID RETENCION]],Retenciones!$A$1:$O$25,PROVEEDORES[[#This Row],[indicador de columna]],FALSE)</f>
        <v>0</v>
      </c>
      <c r="Y269" s="152">
        <f>+VLOOKUP(PROVEEDORES[[#This Row],[ID RETENCION]],Retenciones!$A$1:$O$25,2,FALSE)</f>
        <v>0</v>
      </c>
      <c r="Z269" s="153" t="b">
        <f>+OR(COUNTIF(PROVEEDORES[[#This Row],[PROVEEDOR]],"*"&amp;'Palabra que no opera y Listas d'!$A$2&amp;"*"))</f>
        <v>0</v>
      </c>
    </row>
    <row r="270" spans="1:26" ht="27.75" customHeight="1" x14ac:dyDescent="0.3">
      <c r="A270" s="144" t="str">
        <f>+IF(PROVEEDORES[[#This Row],[FECHA DE PAGO]]=PROVEEDORES[[#This Row],[FECHA DE FACTURACIÓN]],"DE CONTADO","CRÉDITO")</f>
        <v>CRÉDITO</v>
      </c>
      <c r="B270" s="144" t="str">
        <f>+IF((PROVEEDORES[[#This Row],[FECHA DE PAGO]]-PROVEEDORES[[#This Row],[FECHA DE FACTURACIÓN]])&gt;PROVEEDORES[[#This Row],[PLAZO Días]],"PAGO VENCIDO")</f>
        <v>PAGO VENCIDO</v>
      </c>
      <c r="C270" s="144">
        <f>+VLOOKUP(PROVEEDORES[[#This Row],[PROVEEDOR]],TERCEROS_INFO[#All],2,FALSE)</f>
        <v>0</v>
      </c>
      <c r="D270" s="145">
        <f>+SUMIFS(PROVEEDORES[Total],PROVEEDORES[PROVEEDOR],PROVEEDORES[[#This Row],[PROVEEDOR]],PROVEEDORES[FECHA DE PAGO],"")</f>
        <v>26134091.5</v>
      </c>
      <c r="E270" s="146"/>
      <c r="F270" s="144">
        <f>+VLOOKUP(PROVEEDORES[[#This Row],[PROVEEDOR]],
                       Terceros!$A:$G,
                       5,
                       FALSE)</f>
        <v>0</v>
      </c>
      <c r="G270" s="122">
        <v>45051</v>
      </c>
      <c r="H270" s="102" t="s">
        <v>238</v>
      </c>
      <c r="I270" s="122">
        <v>45037</v>
      </c>
      <c r="J270" s="103">
        <v>1662</v>
      </c>
      <c r="K270" s="103" t="s">
        <v>1512</v>
      </c>
      <c r="L270" s="103"/>
      <c r="M270" s="105">
        <v>188200</v>
      </c>
      <c r="N270" s="147">
        <v>0</v>
      </c>
      <c r="O270" s="147">
        <v>0</v>
      </c>
      <c r="P270" s="148">
        <v>0</v>
      </c>
      <c r="Q270" s="147">
        <v>0</v>
      </c>
      <c r="R270" s="149">
        <v>188200</v>
      </c>
      <c r="S2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0" s="150">
        <f ca="1">+IF(PROVEEDORES[[#This Row],[FECHA DE PAGO]]=0,TODAY()-PROVEEDORES[[#This Row],[FECHA DE FACTURACIÓN]]-PROVEEDORES[[#This Row],[PLAZO Días]],0)</f>
        <v>0</v>
      </c>
      <c r="U270" s="150">
        <f>+VLOOKUP(PROVEEDORES[[#This Row],[PROVEEDOR]],Terceros!$A:$E,4,FALSE)</f>
        <v>0</v>
      </c>
      <c r="V270" s="150">
        <f>+YEAR(PROVEEDORES[[#This Row],[FECHA DE FACTURACIÓN]])</f>
        <v>2023</v>
      </c>
      <c r="W270" s="150">
        <f>+MATCH(PROVEEDORES[[#This Row],[año facturado]],Retenciones!$1:$1,0)</f>
        <v>6</v>
      </c>
      <c r="X270" s="151">
        <f>+VLOOKUP(PROVEEDORES[[#This Row],[ID RETENCION]],Retenciones!$A$1:$O$25,PROVEEDORES[[#This Row],[indicador de columna]],FALSE)</f>
        <v>0</v>
      </c>
      <c r="Y270" s="152">
        <f>+VLOOKUP(PROVEEDORES[[#This Row],[ID RETENCION]],Retenciones!$A$1:$O$25,2,FALSE)</f>
        <v>0</v>
      </c>
      <c r="Z270" s="153" t="b">
        <f>+OR(COUNTIF(PROVEEDORES[[#This Row],[PROVEEDOR]],"*"&amp;'Palabra que no opera y Listas d'!$A$2&amp;"*"))</f>
        <v>0</v>
      </c>
    </row>
    <row r="271" spans="1:26" ht="27.75" customHeight="1" x14ac:dyDescent="0.3">
      <c r="A271" s="144" t="str">
        <f>+IF(PROVEEDORES[[#This Row],[FECHA DE PAGO]]=PROVEEDORES[[#This Row],[FECHA DE FACTURACIÓN]],"DE CONTADO","CRÉDITO")</f>
        <v>CRÉDITO</v>
      </c>
      <c r="B271" s="144" t="str">
        <f>+IF((PROVEEDORES[[#This Row],[FECHA DE PAGO]]-PROVEEDORES[[#This Row],[FECHA DE FACTURACIÓN]])&gt;PROVEEDORES[[#This Row],[PLAZO Días]],"PAGO VENCIDO")</f>
        <v>PAGO VENCIDO</v>
      </c>
      <c r="C271" s="144">
        <f>+VLOOKUP(PROVEEDORES[[#This Row],[PROVEEDOR]],TERCEROS_INFO[#All],2,FALSE)</f>
        <v>0</v>
      </c>
      <c r="D271" s="145">
        <f>+SUMIFS(PROVEEDORES[Total],PROVEEDORES[PROVEEDOR],PROVEEDORES[[#This Row],[PROVEEDOR]],PROVEEDORES[FECHA DE PAGO],"")</f>
        <v>26134091.5</v>
      </c>
      <c r="E271" s="146"/>
      <c r="F271" s="144">
        <f>+VLOOKUP(PROVEEDORES[[#This Row],[PROVEEDOR]],
                       Terceros!$A:$G,
                       5,
                       FALSE)</f>
        <v>0</v>
      </c>
      <c r="G271" s="122">
        <v>45051</v>
      </c>
      <c r="H271" s="102" t="s">
        <v>238</v>
      </c>
      <c r="I271" s="122">
        <v>45037</v>
      </c>
      <c r="J271" s="103">
        <v>1663</v>
      </c>
      <c r="K271" s="103" t="s">
        <v>1512</v>
      </c>
      <c r="L271" s="103"/>
      <c r="M271" s="105">
        <v>188200</v>
      </c>
      <c r="N271" s="147">
        <v>0</v>
      </c>
      <c r="O271" s="147">
        <v>0</v>
      </c>
      <c r="P271" s="148">
        <v>0</v>
      </c>
      <c r="Q271" s="147">
        <v>0</v>
      </c>
      <c r="R271" s="149">
        <v>188200</v>
      </c>
      <c r="S2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1" s="150">
        <f ca="1">+IF(PROVEEDORES[[#This Row],[FECHA DE PAGO]]=0,TODAY()-PROVEEDORES[[#This Row],[FECHA DE FACTURACIÓN]]-PROVEEDORES[[#This Row],[PLAZO Días]],0)</f>
        <v>0</v>
      </c>
      <c r="U271" s="150">
        <f>+VLOOKUP(PROVEEDORES[[#This Row],[PROVEEDOR]],Terceros!$A:$E,4,FALSE)</f>
        <v>0</v>
      </c>
      <c r="V271" s="150">
        <f>+YEAR(PROVEEDORES[[#This Row],[FECHA DE FACTURACIÓN]])</f>
        <v>2023</v>
      </c>
      <c r="W271" s="150">
        <f>+MATCH(PROVEEDORES[[#This Row],[año facturado]],Retenciones!$1:$1,0)</f>
        <v>6</v>
      </c>
      <c r="X271" s="151">
        <f>+VLOOKUP(PROVEEDORES[[#This Row],[ID RETENCION]],Retenciones!$A$1:$O$25,PROVEEDORES[[#This Row],[indicador de columna]],FALSE)</f>
        <v>0</v>
      </c>
      <c r="Y271" s="152">
        <f>+VLOOKUP(PROVEEDORES[[#This Row],[ID RETENCION]],Retenciones!$A$1:$O$25,2,FALSE)</f>
        <v>0</v>
      </c>
      <c r="Z271" s="153" t="b">
        <f>+OR(COUNTIF(PROVEEDORES[[#This Row],[PROVEEDOR]],"*"&amp;'Palabra que no opera y Listas d'!$A$2&amp;"*"))</f>
        <v>0</v>
      </c>
    </row>
    <row r="272" spans="1:26" ht="27.75" customHeight="1" x14ac:dyDescent="0.3">
      <c r="A272" s="144" t="str">
        <f>+IF(PROVEEDORES[[#This Row],[FECHA DE PAGO]]=PROVEEDORES[[#This Row],[FECHA DE FACTURACIÓN]],"DE CONTADO","CRÉDITO")</f>
        <v>CRÉDITO</v>
      </c>
      <c r="B272" s="144" t="str">
        <f>+IF((PROVEEDORES[[#This Row],[FECHA DE PAGO]]-PROVEEDORES[[#This Row],[FECHA DE FACTURACIÓN]])&gt;PROVEEDORES[[#This Row],[PLAZO Días]],"PAGO VENCIDO")</f>
        <v>PAGO VENCIDO</v>
      </c>
      <c r="C272" s="144">
        <f>+VLOOKUP(PROVEEDORES[[#This Row],[PROVEEDOR]],TERCEROS_INFO[#All],2,FALSE)</f>
        <v>0</v>
      </c>
      <c r="D272" s="145">
        <f>+SUMIFS(PROVEEDORES[Total],PROVEEDORES[PROVEEDOR],PROVEEDORES[[#This Row],[PROVEEDOR]],PROVEEDORES[FECHA DE PAGO],"")</f>
        <v>0</v>
      </c>
      <c r="E272" s="146"/>
      <c r="F272" s="144">
        <f>+VLOOKUP(PROVEEDORES[[#This Row],[PROVEEDOR]],
                       Terceros!$A:$G,
                       5,
                       FALSE)</f>
        <v>0</v>
      </c>
      <c r="G272" s="122">
        <v>45051</v>
      </c>
      <c r="H272" s="102" t="s">
        <v>240</v>
      </c>
      <c r="I272" s="122">
        <v>45044</v>
      </c>
      <c r="J272" s="103">
        <v>1666</v>
      </c>
      <c r="K272" s="103" t="s">
        <v>1512</v>
      </c>
      <c r="L272" s="103"/>
      <c r="M272" s="105">
        <v>3125500</v>
      </c>
      <c r="N272" s="147">
        <v>0</v>
      </c>
      <c r="O272" s="147">
        <v>0</v>
      </c>
      <c r="P272" s="148">
        <v>0</v>
      </c>
      <c r="Q272" s="147">
        <v>0</v>
      </c>
      <c r="R272" s="149">
        <v>3125500</v>
      </c>
      <c r="S2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2" s="150">
        <f ca="1">+IF(PROVEEDORES[[#This Row],[FECHA DE PAGO]]=0,TODAY()-PROVEEDORES[[#This Row],[FECHA DE FACTURACIÓN]]-PROVEEDORES[[#This Row],[PLAZO Días]],0)</f>
        <v>0</v>
      </c>
      <c r="U272" s="150">
        <f>+VLOOKUP(PROVEEDORES[[#This Row],[PROVEEDOR]],Terceros!$A:$E,4,FALSE)</f>
        <v>0</v>
      </c>
      <c r="V272" s="150">
        <f>+YEAR(PROVEEDORES[[#This Row],[FECHA DE FACTURACIÓN]])</f>
        <v>2023</v>
      </c>
      <c r="W272" s="150">
        <f>+MATCH(PROVEEDORES[[#This Row],[año facturado]],Retenciones!$1:$1,0)</f>
        <v>6</v>
      </c>
      <c r="X272" s="151">
        <f>+VLOOKUP(PROVEEDORES[[#This Row],[ID RETENCION]],Retenciones!$A$1:$O$25,PROVEEDORES[[#This Row],[indicador de columna]],FALSE)</f>
        <v>0</v>
      </c>
      <c r="Y272" s="152">
        <f>+VLOOKUP(PROVEEDORES[[#This Row],[ID RETENCION]],Retenciones!$A$1:$O$25,2,FALSE)</f>
        <v>0</v>
      </c>
      <c r="Z272" s="153" t="b">
        <f>+OR(COUNTIF(PROVEEDORES[[#This Row],[PROVEEDOR]],"*"&amp;'Palabra que no opera y Listas d'!$A$2&amp;"*"))</f>
        <v>0</v>
      </c>
    </row>
    <row r="273" spans="1:26" ht="27.75" customHeight="1" x14ac:dyDescent="0.3">
      <c r="A273" s="144" t="str">
        <f>+IF(PROVEEDORES[[#This Row],[FECHA DE PAGO]]=PROVEEDORES[[#This Row],[FECHA DE FACTURACIÓN]],"DE CONTADO","CRÉDITO")</f>
        <v>CRÉDITO</v>
      </c>
      <c r="B273" s="144" t="str">
        <f>+IF((PROVEEDORES[[#This Row],[FECHA DE PAGO]]-PROVEEDORES[[#This Row],[FECHA DE FACTURACIÓN]])&gt;PROVEEDORES[[#This Row],[PLAZO Días]],"PAGO VENCIDO")</f>
        <v>PAGO VENCIDO</v>
      </c>
      <c r="C273" s="144">
        <f>+VLOOKUP(PROVEEDORES[[#This Row],[PROVEEDOR]],TERCEROS_INFO[#All],2,FALSE)</f>
        <v>0</v>
      </c>
      <c r="D273" s="145">
        <f>+SUMIFS(PROVEEDORES[Total],PROVEEDORES[PROVEEDOR],PROVEEDORES[[#This Row],[PROVEEDOR]],PROVEEDORES[FECHA DE PAGO],"")</f>
        <v>0</v>
      </c>
      <c r="E273" s="146"/>
      <c r="F273" s="144">
        <f>+VLOOKUP(PROVEEDORES[[#This Row],[PROVEEDOR]],
                       Terceros!$A:$G,
                       5,
                       FALSE)</f>
        <v>0</v>
      </c>
      <c r="G273" s="122">
        <v>45051</v>
      </c>
      <c r="H273" s="102" t="s">
        <v>240</v>
      </c>
      <c r="I273" s="122">
        <v>45046</v>
      </c>
      <c r="J273" s="103">
        <v>1668</v>
      </c>
      <c r="K273" s="103" t="s">
        <v>1512</v>
      </c>
      <c r="L273" s="103"/>
      <c r="M273" s="105">
        <v>1880000</v>
      </c>
      <c r="N273" s="147">
        <v>0</v>
      </c>
      <c r="O273" s="147">
        <v>0</v>
      </c>
      <c r="P273" s="148">
        <v>0</v>
      </c>
      <c r="Q273" s="147">
        <v>0</v>
      </c>
      <c r="R273" s="149">
        <v>1880000</v>
      </c>
      <c r="S2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3" s="150">
        <f ca="1">+IF(PROVEEDORES[[#This Row],[FECHA DE PAGO]]=0,TODAY()-PROVEEDORES[[#This Row],[FECHA DE FACTURACIÓN]]-PROVEEDORES[[#This Row],[PLAZO Días]],0)</f>
        <v>0</v>
      </c>
      <c r="U273" s="150">
        <f>+VLOOKUP(PROVEEDORES[[#This Row],[PROVEEDOR]],Terceros!$A:$E,4,FALSE)</f>
        <v>0</v>
      </c>
      <c r="V273" s="150">
        <f>+YEAR(PROVEEDORES[[#This Row],[FECHA DE FACTURACIÓN]])</f>
        <v>2023</v>
      </c>
      <c r="W273" s="150">
        <f>+MATCH(PROVEEDORES[[#This Row],[año facturado]],Retenciones!$1:$1,0)</f>
        <v>6</v>
      </c>
      <c r="X273" s="151">
        <f>+VLOOKUP(PROVEEDORES[[#This Row],[ID RETENCION]],Retenciones!$A$1:$O$25,PROVEEDORES[[#This Row],[indicador de columna]],FALSE)</f>
        <v>0</v>
      </c>
      <c r="Y273" s="152">
        <f>+VLOOKUP(PROVEEDORES[[#This Row],[ID RETENCION]],Retenciones!$A$1:$O$25,2,FALSE)</f>
        <v>0</v>
      </c>
      <c r="Z273" s="153" t="b">
        <f>+OR(COUNTIF(PROVEEDORES[[#This Row],[PROVEEDOR]],"*"&amp;'Palabra que no opera y Listas d'!$A$2&amp;"*"))</f>
        <v>0</v>
      </c>
    </row>
    <row r="274" spans="1:26" ht="27.75" customHeight="1" x14ac:dyDescent="0.3">
      <c r="A274" s="144" t="str">
        <f>+IF(PROVEEDORES[[#This Row],[FECHA DE PAGO]]=PROVEEDORES[[#This Row],[FECHA DE FACTURACIÓN]],"DE CONTADO","CRÉDITO")</f>
        <v>CRÉDITO</v>
      </c>
      <c r="B274" s="144" t="str">
        <f>+IF((PROVEEDORES[[#This Row],[FECHA DE PAGO]]-PROVEEDORES[[#This Row],[FECHA DE FACTURACIÓN]])&gt;PROVEEDORES[[#This Row],[PLAZO Días]],"PAGO VENCIDO")</f>
        <v>PAGO VENCIDO</v>
      </c>
      <c r="C274" s="144">
        <f>+VLOOKUP(PROVEEDORES[[#This Row],[PROVEEDOR]],TERCEROS_INFO[#All],2,FALSE)</f>
        <v>0</v>
      </c>
      <c r="D274" s="145">
        <f>+SUMIFS(PROVEEDORES[Total],PROVEEDORES[PROVEEDOR],PROVEEDORES[[#This Row],[PROVEEDOR]],PROVEEDORES[FECHA DE PAGO],"")</f>
        <v>0</v>
      </c>
      <c r="E274" s="146"/>
      <c r="F274" s="144" t="str">
        <f>+VLOOKUP(PROVEEDORES[[#This Row],[PROVEEDOR]],
                       Terceros!$A:$G,
                       5,
                       FALSE)</f>
        <v>2,5% con base</v>
      </c>
      <c r="G274" s="122">
        <v>45052</v>
      </c>
      <c r="H274" s="102" t="s">
        <v>770</v>
      </c>
      <c r="I274" s="122">
        <v>45044</v>
      </c>
      <c r="J274" s="103" t="s">
        <v>771</v>
      </c>
      <c r="K274" s="103" t="s">
        <v>1512</v>
      </c>
      <c r="L274" s="103"/>
      <c r="M274" s="105">
        <v>800000</v>
      </c>
      <c r="N274" s="147">
        <v>152000</v>
      </c>
      <c r="O274" s="147">
        <v>0</v>
      </c>
      <c r="P274" s="148">
        <v>0</v>
      </c>
      <c r="Q274" s="147">
        <v>0</v>
      </c>
      <c r="R274" s="149">
        <v>952000</v>
      </c>
      <c r="S2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4" s="150">
        <f ca="1">+IF(PROVEEDORES[[#This Row],[FECHA DE PAGO]]=0,TODAY()-PROVEEDORES[[#This Row],[FECHA DE FACTURACIÓN]]-PROVEEDORES[[#This Row],[PLAZO Días]],0)</f>
        <v>0</v>
      </c>
      <c r="U274" s="150">
        <f>+VLOOKUP(PROVEEDORES[[#This Row],[PROVEEDOR]],Terceros!$A:$E,4,FALSE)</f>
        <v>0.19</v>
      </c>
      <c r="V274" s="150">
        <f>+YEAR(PROVEEDORES[[#This Row],[FECHA DE FACTURACIÓN]])</f>
        <v>2023</v>
      </c>
      <c r="W274" s="150">
        <f>+MATCH(PROVEEDORES[[#This Row],[año facturado]],Retenciones!$1:$1,0)</f>
        <v>6</v>
      </c>
      <c r="X274" s="151" t="e">
        <f>+VLOOKUP(PROVEEDORES[[#This Row],[ID RETENCION]],Retenciones!$A$1:$O$25,PROVEEDORES[[#This Row],[indicador de columna]],FALSE)</f>
        <v>#N/A</v>
      </c>
      <c r="Y274" s="152" t="e">
        <f>+VLOOKUP(PROVEEDORES[[#This Row],[ID RETENCION]],Retenciones!$A$1:$O$25,2,FALSE)</f>
        <v>#N/A</v>
      </c>
      <c r="Z274" s="153" t="b">
        <f>+OR(COUNTIF(PROVEEDORES[[#This Row],[PROVEEDOR]],"*"&amp;'Palabra que no opera y Listas d'!$A$2&amp;"*"))</f>
        <v>0</v>
      </c>
    </row>
    <row r="275" spans="1:26" ht="27.75" customHeight="1" x14ac:dyDescent="0.3">
      <c r="A275" s="144" t="str">
        <f>+IF(PROVEEDORES[[#This Row],[FECHA DE PAGO]]=PROVEEDORES[[#This Row],[FECHA DE FACTURACIÓN]],"DE CONTADO","CRÉDITO")</f>
        <v>CRÉDITO</v>
      </c>
      <c r="B275" s="144" t="str">
        <f>+IF((PROVEEDORES[[#This Row],[FECHA DE PAGO]]-PROVEEDORES[[#This Row],[FECHA DE FACTURACIÓN]])&gt;PROVEEDORES[[#This Row],[PLAZO Días]],"PAGO VENCIDO")</f>
        <v>PAGO VENCIDO</v>
      </c>
      <c r="C275" s="144">
        <f>+VLOOKUP(PROVEEDORES[[#This Row],[PROVEEDOR]],TERCEROS_INFO[#All],2,FALSE)</f>
        <v>0</v>
      </c>
      <c r="D275" s="145">
        <f>+SUMIFS(PROVEEDORES[Total],PROVEEDORES[PROVEEDOR],PROVEEDORES[[#This Row],[PROVEEDOR]],PROVEEDORES[FECHA DE PAGO],"")</f>
        <v>9349257.8100000005</v>
      </c>
      <c r="E275" s="146"/>
      <c r="F275" s="144" t="str">
        <f>+VLOOKUP(PROVEEDORES[[#This Row],[PROVEEDOR]],
                       Terceros!$A:$G,
                       5,
                       FALSE)</f>
        <v>2,5% con base</v>
      </c>
      <c r="G275" s="122">
        <v>45054</v>
      </c>
      <c r="H275" s="102" t="s">
        <v>242</v>
      </c>
      <c r="I275" s="122">
        <v>44992</v>
      </c>
      <c r="J275" s="103" t="s">
        <v>628</v>
      </c>
      <c r="K275" s="103" t="s">
        <v>1512</v>
      </c>
      <c r="L275" s="103"/>
      <c r="M275" s="105">
        <v>2463004</v>
      </c>
      <c r="N275" s="147">
        <v>467970.76</v>
      </c>
      <c r="O275" s="147">
        <v>0</v>
      </c>
      <c r="P275" s="148">
        <v>2.5000000000000001E-2</v>
      </c>
      <c r="Q275" s="147">
        <v>61575.100000000006</v>
      </c>
      <c r="R275" s="149">
        <v>2869399.6599999997</v>
      </c>
      <c r="S2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5" s="150">
        <f ca="1">+IF(PROVEEDORES[[#This Row],[FECHA DE PAGO]]=0,TODAY()-PROVEEDORES[[#This Row],[FECHA DE FACTURACIÓN]]-PROVEEDORES[[#This Row],[PLAZO Días]],0)</f>
        <v>0</v>
      </c>
      <c r="U275" s="150">
        <f>+VLOOKUP(PROVEEDORES[[#This Row],[PROVEEDOR]],Terceros!$A:$E,4,FALSE)</f>
        <v>0.19</v>
      </c>
      <c r="V275" s="150">
        <f>+YEAR(PROVEEDORES[[#This Row],[FECHA DE FACTURACIÓN]])</f>
        <v>2023</v>
      </c>
      <c r="W275" s="150">
        <f>+MATCH(PROVEEDORES[[#This Row],[año facturado]],Retenciones!$1:$1,0)</f>
        <v>6</v>
      </c>
      <c r="X275" s="151" t="e">
        <f>+VLOOKUP(PROVEEDORES[[#This Row],[ID RETENCION]],Retenciones!$A$1:$O$25,PROVEEDORES[[#This Row],[indicador de columna]],FALSE)</f>
        <v>#N/A</v>
      </c>
      <c r="Y275" s="152" t="e">
        <f>+VLOOKUP(PROVEEDORES[[#This Row],[ID RETENCION]],Retenciones!$A$1:$O$25,2,FALSE)</f>
        <v>#N/A</v>
      </c>
      <c r="Z275" s="153" t="b">
        <f>+OR(COUNTIF(PROVEEDORES[[#This Row],[PROVEEDOR]],"*"&amp;'Palabra que no opera y Listas d'!$A$2&amp;"*"))</f>
        <v>0</v>
      </c>
    </row>
    <row r="276" spans="1:26" ht="27.75" customHeight="1" x14ac:dyDescent="0.3">
      <c r="A276" s="144" t="str">
        <f>+IF(PROVEEDORES[[#This Row],[FECHA DE PAGO]]=PROVEEDORES[[#This Row],[FECHA DE FACTURACIÓN]],"DE CONTADO","CRÉDITO")</f>
        <v>CRÉDITO</v>
      </c>
      <c r="B276" s="144" t="str">
        <f>+IF((PROVEEDORES[[#This Row],[FECHA DE PAGO]]-PROVEEDORES[[#This Row],[FECHA DE FACTURACIÓN]])&gt;PROVEEDORES[[#This Row],[PLAZO Días]],"PAGO VENCIDO")</f>
        <v>PAGO VENCIDO</v>
      </c>
      <c r="C276" s="144">
        <f>+VLOOKUP(PROVEEDORES[[#This Row],[PROVEEDOR]],TERCEROS_INFO[#All],2,FALSE)</f>
        <v>0</v>
      </c>
      <c r="D276" s="145">
        <f>+SUMIFS(PROVEEDORES[Total],PROVEEDORES[PROVEEDOR],PROVEEDORES[[#This Row],[PROVEEDOR]],PROVEEDORES[FECHA DE PAGO],"")</f>
        <v>31839627.134999998</v>
      </c>
      <c r="E276" s="146"/>
      <c r="F276" s="144" t="str">
        <f>+VLOOKUP(PROVEEDORES[[#This Row],[PROVEEDOR]],
                       Terceros!$A:$G,
                       5,
                       FALSE)</f>
        <v>2,5% con base</v>
      </c>
      <c r="G276" s="122">
        <v>45054</v>
      </c>
      <c r="H276" s="102" t="s">
        <v>17</v>
      </c>
      <c r="I276" s="122">
        <v>45006</v>
      </c>
      <c r="J276" s="103">
        <v>1067479</v>
      </c>
      <c r="K276" s="103" t="s">
        <v>1512</v>
      </c>
      <c r="L276" s="103"/>
      <c r="M276" s="105">
        <v>3044342</v>
      </c>
      <c r="N276" s="147">
        <v>578424.98</v>
      </c>
      <c r="O276" s="147">
        <v>0</v>
      </c>
      <c r="P276" s="148">
        <v>2.5000000000000001E-2</v>
      </c>
      <c r="Q276" s="147">
        <v>76108.55</v>
      </c>
      <c r="R276" s="149">
        <v>3546658.43</v>
      </c>
      <c r="S2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6" s="150">
        <f ca="1">+IF(PROVEEDORES[[#This Row],[FECHA DE PAGO]]=0,TODAY()-PROVEEDORES[[#This Row],[FECHA DE FACTURACIÓN]]-PROVEEDORES[[#This Row],[PLAZO Días]],0)</f>
        <v>0</v>
      </c>
      <c r="U276" s="150">
        <f>+VLOOKUP(PROVEEDORES[[#This Row],[PROVEEDOR]],Terceros!$A:$E,4,FALSE)</f>
        <v>0.19</v>
      </c>
      <c r="V276" s="150">
        <f>+YEAR(PROVEEDORES[[#This Row],[FECHA DE FACTURACIÓN]])</f>
        <v>2023</v>
      </c>
      <c r="W276" s="150">
        <f>+MATCH(PROVEEDORES[[#This Row],[año facturado]],Retenciones!$1:$1,0)</f>
        <v>6</v>
      </c>
      <c r="X276" s="151" t="e">
        <f>+VLOOKUP(PROVEEDORES[[#This Row],[ID RETENCION]],Retenciones!$A$1:$O$25,PROVEEDORES[[#This Row],[indicador de columna]],FALSE)</f>
        <v>#N/A</v>
      </c>
      <c r="Y276" s="152" t="e">
        <f>+VLOOKUP(PROVEEDORES[[#This Row],[ID RETENCION]],Retenciones!$A$1:$O$25,2,FALSE)</f>
        <v>#N/A</v>
      </c>
      <c r="Z276" s="153" t="b">
        <f>+OR(COUNTIF(PROVEEDORES[[#This Row],[PROVEEDOR]],"*"&amp;'Palabra que no opera y Listas d'!$A$2&amp;"*"))</f>
        <v>0</v>
      </c>
    </row>
    <row r="277" spans="1:26" ht="27.75" customHeight="1" x14ac:dyDescent="0.3">
      <c r="A277" s="144" t="str">
        <f>+IF(PROVEEDORES[[#This Row],[FECHA DE PAGO]]=PROVEEDORES[[#This Row],[FECHA DE FACTURACIÓN]],"DE CONTADO","CRÉDITO")</f>
        <v>CRÉDITO</v>
      </c>
      <c r="B277" s="144" t="str">
        <f>+IF((PROVEEDORES[[#This Row],[FECHA DE PAGO]]-PROVEEDORES[[#This Row],[FECHA DE FACTURACIÓN]])&gt;PROVEEDORES[[#This Row],[PLAZO Días]],"PAGO VENCIDO")</f>
        <v>PAGO VENCIDO</v>
      </c>
      <c r="C277" s="144">
        <f>+VLOOKUP(PROVEEDORES[[#This Row],[PROVEEDOR]],TERCEROS_INFO[#All],2,FALSE)</f>
        <v>0</v>
      </c>
      <c r="D277" s="145">
        <f>+SUMIFS(PROVEEDORES[Total],PROVEEDORES[PROVEEDOR],PROVEEDORES[[#This Row],[PROVEEDOR]],PROVEEDORES[FECHA DE PAGO],"")</f>
        <v>0</v>
      </c>
      <c r="E277" s="146"/>
      <c r="F277" s="144" t="str">
        <f>+VLOOKUP(PROVEEDORES[[#This Row],[PROVEEDOR]],
                       Terceros!$A:$G,
                       5,
                       FALSE)</f>
        <v>2,5% con base</v>
      </c>
      <c r="G277" s="122">
        <v>45054</v>
      </c>
      <c r="H277" s="102" t="s">
        <v>19</v>
      </c>
      <c r="I277" s="122">
        <v>45006</v>
      </c>
      <c r="J277" s="103" t="s">
        <v>664</v>
      </c>
      <c r="K277" s="103" t="s">
        <v>1512</v>
      </c>
      <c r="L277" s="103"/>
      <c r="M277" s="105">
        <v>1745300</v>
      </c>
      <c r="N277" s="147">
        <v>331607</v>
      </c>
      <c r="O277" s="147">
        <v>0</v>
      </c>
      <c r="P277" s="148">
        <v>2.5000000000000001E-2</v>
      </c>
      <c r="Q277" s="147">
        <v>43632.5</v>
      </c>
      <c r="R277" s="149">
        <v>2033274.5</v>
      </c>
      <c r="S2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7" s="150">
        <f ca="1">+IF(PROVEEDORES[[#This Row],[FECHA DE PAGO]]=0,TODAY()-PROVEEDORES[[#This Row],[FECHA DE FACTURACIÓN]]-PROVEEDORES[[#This Row],[PLAZO Días]],0)</f>
        <v>0</v>
      </c>
      <c r="U277" s="150">
        <f>+VLOOKUP(PROVEEDORES[[#This Row],[PROVEEDOR]],Terceros!$A:$E,4,FALSE)</f>
        <v>0.19</v>
      </c>
      <c r="V277" s="150">
        <f>+YEAR(PROVEEDORES[[#This Row],[FECHA DE FACTURACIÓN]])</f>
        <v>2023</v>
      </c>
      <c r="W277" s="150">
        <f>+MATCH(PROVEEDORES[[#This Row],[año facturado]],Retenciones!$1:$1,0)</f>
        <v>6</v>
      </c>
      <c r="X277" s="151" t="e">
        <f>+VLOOKUP(PROVEEDORES[[#This Row],[ID RETENCION]],Retenciones!$A$1:$O$25,PROVEEDORES[[#This Row],[indicador de columna]],FALSE)</f>
        <v>#N/A</v>
      </c>
      <c r="Y277" s="152" t="e">
        <f>+VLOOKUP(PROVEEDORES[[#This Row],[ID RETENCION]],Retenciones!$A$1:$O$25,2,FALSE)</f>
        <v>#N/A</v>
      </c>
      <c r="Z277" s="153" t="b">
        <f>+OR(COUNTIF(PROVEEDORES[[#This Row],[PROVEEDOR]],"*"&amp;'Palabra que no opera y Listas d'!$A$2&amp;"*"))</f>
        <v>0</v>
      </c>
    </row>
    <row r="278" spans="1:26" ht="27.75" customHeight="1" x14ac:dyDescent="0.3">
      <c r="A278" s="144" t="str">
        <f>+IF(PROVEEDORES[[#This Row],[FECHA DE PAGO]]=PROVEEDORES[[#This Row],[FECHA DE FACTURACIÓN]],"DE CONTADO","CRÉDITO")</f>
        <v>CRÉDITO</v>
      </c>
      <c r="B278" s="144" t="str">
        <f>+IF((PROVEEDORES[[#This Row],[FECHA DE PAGO]]-PROVEEDORES[[#This Row],[FECHA DE FACTURACIÓN]])&gt;PROVEEDORES[[#This Row],[PLAZO Días]],"PAGO VENCIDO")</f>
        <v>PAGO VENCIDO</v>
      </c>
      <c r="C278" s="144">
        <f>+VLOOKUP(PROVEEDORES[[#This Row],[PROVEEDOR]],TERCEROS_INFO[#All],2,FALSE)</f>
        <v>0</v>
      </c>
      <c r="D278" s="145">
        <f>+SUMIFS(PROVEEDORES[Total],PROVEEDORES[PROVEEDOR],PROVEEDORES[[#This Row],[PROVEEDOR]],PROVEEDORES[FECHA DE PAGO],"")</f>
        <v>9349257.8100000005</v>
      </c>
      <c r="E278" s="146"/>
      <c r="F278" s="144" t="str">
        <f>+VLOOKUP(PROVEEDORES[[#This Row],[PROVEEDOR]],
                       Terceros!$A:$G,
                       5,
                       FALSE)</f>
        <v>2,5% con base</v>
      </c>
      <c r="G278" s="122">
        <v>45054</v>
      </c>
      <c r="H278" s="102" t="s">
        <v>242</v>
      </c>
      <c r="I278" s="122">
        <v>45006</v>
      </c>
      <c r="J278" s="103" t="s">
        <v>709</v>
      </c>
      <c r="K278" s="103" t="s">
        <v>1512</v>
      </c>
      <c r="L278" s="103"/>
      <c r="M278" s="105">
        <v>659490</v>
      </c>
      <c r="N278" s="147">
        <v>125303.1</v>
      </c>
      <c r="O278" s="147">
        <v>0</v>
      </c>
      <c r="P278" s="148">
        <v>0</v>
      </c>
      <c r="Q278" s="147">
        <v>0</v>
      </c>
      <c r="R278" s="149">
        <v>784793.1</v>
      </c>
      <c r="S2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8" s="150">
        <f ca="1">+IF(PROVEEDORES[[#This Row],[FECHA DE PAGO]]=0,TODAY()-PROVEEDORES[[#This Row],[FECHA DE FACTURACIÓN]]-PROVEEDORES[[#This Row],[PLAZO Días]],0)</f>
        <v>0</v>
      </c>
      <c r="U278" s="150">
        <f>+VLOOKUP(PROVEEDORES[[#This Row],[PROVEEDOR]],Terceros!$A:$E,4,FALSE)</f>
        <v>0.19</v>
      </c>
      <c r="V278" s="150">
        <f>+YEAR(PROVEEDORES[[#This Row],[FECHA DE FACTURACIÓN]])</f>
        <v>2023</v>
      </c>
      <c r="W278" s="150">
        <f>+MATCH(PROVEEDORES[[#This Row],[año facturado]],Retenciones!$1:$1,0)</f>
        <v>6</v>
      </c>
      <c r="X278" s="151" t="e">
        <f>+VLOOKUP(PROVEEDORES[[#This Row],[ID RETENCION]],Retenciones!$A$1:$O$25,PROVEEDORES[[#This Row],[indicador de columna]],FALSE)</f>
        <v>#N/A</v>
      </c>
      <c r="Y278" s="152" t="e">
        <f>+VLOOKUP(PROVEEDORES[[#This Row],[ID RETENCION]],Retenciones!$A$1:$O$25,2,FALSE)</f>
        <v>#N/A</v>
      </c>
      <c r="Z278" s="153" t="b">
        <f>+OR(COUNTIF(PROVEEDORES[[#This Row],[PROVEEDOR]],"*"&amp;'Palabra que no opera y Listas d'!$A$2&amp;"*"))</f>
        <v>0</v>
      </c>
    </row>
    <row r="279" spans="1:26" ht="27.75" customHeight="1" x14ac:dyDescent="0.3">
      <c r="A279" s="144" t="str">
        <f>+IF(PROVEEDORES[[#This Row],[FECHA DE PAGO]]=PROVEEDORES[[#This Row],[FECHA DE FACTURACIÓN]],"DE CONTADO","CRÉDITO")</f>
        <v>CRÉDITO</v>
      </c>
      <c r="B279" s="144" t="str">
        <f>+IF((PROVEEDORES[[#This Row],[FECHA DE PAGO]]-PROVEEDORES[[#This Row],[FECHA DE FACTURACIÓN]])&gt;PROVEEDORES[[#This Row],[PLAZO Días]],"PAGO VENCIDO")</f>
        <v>PAGO VENCIDO</v>
      </c>
      <c r="C279" s="144">
        <f>+VLOOKUP(PROVEEDORES[[#This Row],[PROVEEDOR]],TERCEROS_INFO[#All],2,FALSE)</f>
        <v>0</v>
      </c>
      <c r="D279" s="145">
        <f>+SUMIFS(PROVEEDORES[Total],PROVEEDORES[PROVEEDOR],PROVEEDORES[[#This Row],[PROVEEDOR]],PROVEEDORES[FECHA DE PAGO],"")</f>
        <v>3533418.74</v>
      </c>
      <c r="E279" s="146"/>
      <c r="F279" s="144">
        <f>+VLOOKUP(PROVEEDORES[[#This Row],[PROVEEDOR]],
                       Terceros!$A:$G,
                       5,
                       FALSE)</f>
        <v>0</v>
      </c>
      <c r="G279" s="122">
        <v>45054</v>
      </c>
      <c r="H279" s="102" t="s">
        <v>236</v>
      </c>
      <c r="I279" s="122">
        <v>45007</v>
      </c>
      <c r="J279" s="103" t="s">
        <v>1398</v>
      </c>
      <c r="K279" s="103" t="s">
        <v>1512</v>
      </c>
      <c r="L279" s="103"/>
      <c r="M279" s="105">
        <v>-240000</v>
      </c>
      <c r="N279" s="147">
        <v>-45600</v>
      </c>
      <c r="O279" s="147">
        <v>0</v>
      </c>
      <c r="P279" s="148">
        <v>0</v>
      </c>
      <c r="Q279" s="147">
        <v>0</v>
      </c>
      <c r="R279" s="149">
        <v>-285600</v>
      </c>
      <c r="S2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9" s="150">
        <f ca="1">+IF(PROVEEDORES[[#This Row],[FECHA DE PAGO]]=0,TODAY()-PROVEEDORES[[#This Row],[FECHA DE FACTURACIÓN]]-PROVEEDORES[[#This Row],[PLAZO Días]],0)</f>
        <v>0</v>
      </c>
      <c r="U279" s="150">
        <f>+VLOOKUP(PROVEEDORES[[#This Row],[PROVEEDOR]],Terceros!$A:$E,4,FALSE)</f>
        <v>0.19</v>
      </c>
      <c r="V279" s="150">
        <f>+YEAR(PROVEEDORES[[#This Row],[FECHA DE FACTURACIÓN]])</f>
        <v>2023</v>
      </c>
      <c r="W279" s="150">
        <f>+MATCH(PROVEEDORES[[#This Row],[año facturado]],Retenciones!$1:$1,0)</f>
        <v>6</v>
      </c>
      <c r="X279" s="151" t="e">
        <f>+VLOOKUP(PROVEEDORES[[#This Row],[ID RETENCION]],Retenciones!$A$1:$O$25,PROVEEDORES[[#This Row],[indicador de columna]],FALSE)</f>
        <v>#N/A</v>
      </c>
      <c r="Y279" s="152" t="e">
        <f>+VLOOKUP(PROVEEDORES[[#This Row],[ID RETENCION]],Retenciones!$A$1:$O$25,2,FALSE)</f>
        <v>#N/A</v>
      </c>
      <c r="Z279" s="153" t="b">
        <f>+OR(COUNTIF(PROVEEDORES[[#This Row],[PROVEEDOR]],"*"&amp;'Palabra que no opera y Listas d'!$A$2&amp;"*"))</f>
        <v>0</v>
      </c>
    </row>
    <row r="280" spans="1:26" ht="27.75" customHeight="1" x14ac:dyDescent="0.3">
      <c r="A280" s="144" t="str">
        <f>+IF(PROVEEDORES[[#This Row],[FECHA DE PAGO]]=PROVEEDORES[[#This Row],[FECHA DE FACTURACIÓN]],"DE CONTADO","CRÉDITO")</f>
        <v>CRÉDITO</v>
      </c>
      <c r="B280" s="144" t="str">
        <f>+IF((PROVEEDORES[[#This Row],[FECHA DE PAGO]]-PROVEEDORES[[#This Row],[FECHA DE FACTURACIÓN]])&gt;PROVEEDORES[[#This Row],[PLAZO Días]],"PAGO VENCIDO")</f>
        <v>PAGO VENCIDO</v>
      </c>
      <c r="C280" s="144">
        <f>+VLOOKUP(PROVEEDORES[[#This Row],[PROVEEDOR]],TERCEROS_INFO[#All],2,FALSE)</f>
        <v>0</v>
      </c>
      <c r="D280" s="145">
        <f>+SUMIFS(PROVEEDORES[Total],PROVEEDORES[PROVEEDOR],PROVEEDORES[[#This Row],[PROVEEDOR]],PROVEEDORES[FECHA DE PAGO],"")</f>
        <v>3533418.74</v>
      </c>
      <c r="E280" s="146"/>
      <c r="F280" s="144">
        <f>+VLOOKUP(PROVEEDORES[[#This Row],[PROVEEDOR]],
                       Terceros!$A:$G,
                       5,
                       FALSE)</f>
        <v>0</v>
      </c>
      <c r="G280" s="122">
        <v>45054</v>
      </c>
      <c r="H280" s="102" t="s">
        <v>236</v>
      </c>
      <c r="I280" s="122">
        <v>45007</v>
      </c>
      <c r="J280" s="103" t="s">
        <v>712</v>
      </c>
      <c r="K280" s="103" t="s">
        <v>1512</v>
      </c>
      <c r="L280" s="103"/>
      <c r="M280" s="105">
        <v>769800</v>
      </c>
      <c r="N280" s="147">
        <v>146262</v>
      </c>
      <c r="O280" s="147">
        <v>0</v>
      </c>
      <c r="P280" s="148">
        <v>0</v>
      </c>
      <c r="Q280" s="147">
        <v>0</v>
      </c>
      <c r="R280" s="149">
        <v>916062</v>
      </c>
      <c r="S2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0" s="150">
        <f ca="1">+IF(PROVEEDORES[[#This Row],[FECHA DE PAGO]]=0,TODAY()-PROVEEDORES[[#This Row],[FECHA DE FACTURACIÓN]]-PROVEEDORES[[#This Row],[PLAZO Días]],0)</f>
        <v>0</v>
      </c>
      <c r="U280" s="150">
        <f>+VLOOKUP(PROVEEDORES[[#This Row],[PROVEEDOR]],Terceros!$A:$E,4,FALSE)</f>
        <v>0.19</v>
      </c>
      <c r="V280" s="150">
        <f>+YEAR(PROVEEDORES[[#This Row],[FECHA DE FACTURACIÓN]])</f>
        <v>2023</v>
      </c>
      <c r="W280" s="150">
        <f>+MATCH(PROVEEDORES[[#This Row],[año facturado]],Retenciones!$1:$1,0)</f>
        <v>6</v>
      </c>
      <c r="X280" s="151" t="e">
        <f>+VLOOKUP(PROVEEDORES[[#This Row],[ID RETENCION]],Retenciones!$A$1:$O$25,PROVEEDORES[[#This Row],[indicador de columna]],FALSE)</f>
        <v>#N/A</v>
      </c>
      <c r="Y280" s="152" t="e">
        <f>+VLOOKUP(PROVEEDORES[[#This Row],[ID RETENCION]],Retenciones!$A$1:$O$25,2,FALSE)</f>
        <v>#N/A</v>
      </c>
      <c r="Z280" s="153" t="b">
        <f>+OR(COUNTIF(PROVEEDORES[[#This Row],[PROVEEDOR]],"*"&amp;'Palabra que no opera y Listas d'!$A$2&amp;"*"))</f>
        <v>0</v>
      </c>
    </row>
    <row r="281" spans="1:26" ht="27.75" customHeight="1" x14ac:dyDescent="0.3">
      <c r="A281" s="144" t="str">
        <f>+IF(PROVEEDORES[[#This Row],[FECHA DE PAGO]]=PROVEEDORES[[#This Row],[FECHA DE FACTURACIÓN]],"DE CONTADO","CRÉDITO")</f>
        <v>CRÉDITO</v>
      </c>
      <c r="B281" s="144" t="str">
        <f>+IF((PROVEEDORES[[#This Row],[FECHA DE PAGO]]-PROVEEDORES[[#This Row],[FECHA DE FACTURACIÓN]])&gt;PROVEEDORES[[#This Row],[PLAZO Días]],"PAGO VENCIDO")</f>
        <v>PAGO VENCIDO</v>
      </c>
      <c r="C281" s="144">
        <f>+VLOOKUP(PROVEEDORES[[#This Row],[PROVEEDOR]],TERCEROS_INFO[#All],2,FALSE)</f>
        <v>0</v>
      </c>
      <c r="D281" s="145">
        <f>+SUMIFS(PROVEEDORES[Total],PROVEEDORES[PROVEEDOR],PROVEEDORES[[#This Row],[PROVEEDOR]],PROVEEDORES[FECHA DE PAGO],"")</f>
        <v>3533418.74</v>
      </c>
      <c r="E281" s="146"/>
      <c r="F281" s="144">
        <f>+VLOOKUP(PROVEEDORES[[#This Row],[PROVEEDOR]],
                       Terceros!$A:$G,
                       5,
                       FALSE)</f>
        <v>0</v>
      </c>
      <c r="G281" s="122">
        <v>45054</v>
      </c>
      <c r="H281" s="102" t="s">
        <v>236</v>
      </c>
      <c r="I281" s="122">
        <v>45012</v>
      </c>
      <c r="J281" s="103" t="s">
        <v>714</v>
      </c>
      <c r="K281" s="103" t="s">
        <v>1512</v>
      </c>
      <c r="L281" s="103"/>
      <c r="M281" s="105">
        <v>1059280</v>
      </c>
      <c r="N281" s="147">
        <v>201263.2</v>
      </c>
      <c r="O281" s="147">
        <v>0</v>
      </c>
      <c r="P281" s="148">
        <v>0</v>
      </c>
      <c r="Q281" s="147">
        <v>0</v>
      </c>
      <c r="R281" s="149">
        <v>1260543.2</v>
      </c>
      <c r="S2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1" s="150">
        <f ca="1">+IF(PROVEEDORES[[#This Row],[FECHA DE PAGO]]=0,TODAY()-PROVEEDORES[[#This Row],[FECHA DE FACTURACIÓN]]-PROVEEDORES[[#This Row],[PLAZO Días]],0)</f>
        <v>0</v>
      </c>
      <c r="U281" s="150">
        <f>+VLOOKUP(PROVEEDORES[[#This Row],[PROVEEDOR]],Terceros!$A:$E,4,FALSE)</f>
        <v>0.19</v>
      </c>
      <c r="V281" s="150">
        <f>+YEAR(PROVEEDORES[[#This Row],[FECHA DE FACTURACIÓN]])</f>
        <v>2023</v>
      </c>
      <c r="W281" s="150">
        <f>+MATCH(PROVEEDORES[[#This Row],[año facturado]],Retenciones!$1:$1,0)</f>
        <v>6</v>
      </c>
      <c r="X281" s="151" t="e">
        <f>+VLOOKUP(PROVEEDORES[[#This Row],[ID RETENCION]],Retenciones!$A$1:$O$25,PROVEEDORES[[#This Row],[indicador de columna]],FALSE)</f>
        <v>#N/A</v>
      </c>
      <c r="Y281" s="152" t="e">
        <f>+VLOOKUP(PROVEEDORES[[#This Row],[ID RETENCION]],Retenciones!$A$1:$O$25,2,FALSE)</f>
        <v>#N/A</v>
      </c>
      <c r="Z281" s="153" t="b">
        <f>+OR(COUNTIF(PROVEEDORES[[#This Row],[PROVEEDOR]],"*"&amp;'Palabra que no opera y Listas d'!$A$2&amp;"*"))</f>
        <v>0</v>
      </c>
    </row>
    <row r="282" spans="1:26" ht="27.75" customHeight="1" x14ac:dyDescent="0.3">
      <c r="A282" s="144" t="str">
        <f>+IF(PROVEEDORES[[#This Row],[FECHA DE PAGO]]=PROVEEDORES[[#This Row],[FECHA DE FACTURACIÓN]],"DE CONTADO","CRÉDITO")</f>
        <v>CRÉDITO</v>
      </c>
      <c r="B282" s="144" t="str">
        <f>+IF((PROVEEDORES[[#This Row],[FECHA DE PAGO]]-PROVEEDORES[[#This Row],[FECHA DE FACTURACIÓN]])&gt;PROVEEDORES[[#This Row],[PLAZO Días]],"PAGO VENCIDO")</f>
        <v>PAGO VENCIDO</v>
      </c>
      <c r="C282" s="144">
        <f>+VLOOKUP(PROVEEDORES[[#This Row],[PROVEEDOR]],TERCEROS_INFO[#All],2,FALSE)</f>
        <v>0</v>
      </c>
      <c r="D282" s="145">
        <f>+SUMIFS(PROVEEDORES[Total],PROVEEDORES[PROVEEDOR],PROVEEDORES[[#This Row],[PROVEEDOR]],PROVEEDORES[FECHA DE PAGO],"")</f>
        <v>0</v>
      </c>
      <c r="E282" s="146"/>
      <c r="F282" s="144" t="str">
        <f>+VLOOKUP(PROVEEDORES[[#This Row],[PROVEEDOR]],
                       Terceros!$A:$G,
                       5,
                       FALSE)</f>
        <v>2,5% con base</v>
      </c>
      <c r="G282" s="122">
        <v>45054</v>
      </c>
      <c r="H282" s="102" t="s">
        <v>19</v>
      </c>
      <c r="I282" s="122">
        <v>45016</v>
      </c>
      <c r="J282" s="103" t="s">
        <v>675</v>
      </c>
      <c r="K282" s="103" t="s">
        <v>1512</v>
      </c>
      <c r="L282" s="103"/>
      <c r="M282" s="105">
        <v>1157730</v>
      </c>
      <c r="N282" s="147">
        <v>219968.7</v>
      </c>
      <c r="O282" s="147">
        <v>0</v>
      </c>
      <c r="P282" s="148">
        <v>2.5000000000000001E-2</v>
      </c>
      <c r="Q282" s="147">
        <v>28943.25</v>
      </c>
      <c r="R282" s="149">
        <v>1348755.45</v>
      </c>
      <c r="S2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2" s="150">
        <f ca="1">+IF(PROVEEDORES[[#This Row],[FECHA DE PAGO]]=0,TODAY()-PROVEEDORES[[#This Row],[FECHA DE FACTURACIÓN]]-PROVEEDORES[[#This Row],[PLAZO Días]],0)</f>
        <v>0</v>
      </c>
      <c r="U282" s="150">
        <f>+VLOOKUP(PROVEEDORES[[#This Row],[PROVEEDOR]],Terceros!$A:$E,4,FALSE)</f>
        <v>0.19</v>
      </c>
      <c r="V282" s="150">
        <f>+YEAR(PROVEEDORES[[#This Row],[FECHA DE FACTURACIÓN]])</f>
        <v>2023</v>
      </c>
      <c r="W282" s="150">
        <f>+MATCH(PROVEEDORES[[#This Row],[año facturado]],Retenciones!$1:$1,0)</f>
        <v>6</v>
      </c>
      <c r="X282" s="151" t="e">
        <f>+VLOOKUP(PROVEEDORES[[#This Row],[ID RETENCION]],Retenciones!$A$1:$O$25,PROVEEDORES[[#This Row],[indicador de columna]],FALSE)</f>
        <v>#N/A</v>
      </c>
      <c r="Y282" s="152" t="e">
        <f>+VLOOKUP(PROVEEDORES[[#This Row],[ID RETENCION]],Retenciones!$A$1:$O$25,2,FALSE)</f>
        <v>#N/A</v>
      </c>
      <c r="Z282" s="153" t="b">
        <f>+OR(COUNTIF(PROVEEDORES[[#This Row],[PROVEEDOR]],"*"&amp;'Palabra que no opera y Listas d'!$A$2&amp;"*"))</f>
        <v>0</v>
      </c>
    </row>
    <row r="283" spans="1:26" ht="27.75" customHeight="1" x14ac:dyDescent="0.3">
      <c r="A283" s="144" t="str">
        <f>+IF(PROVEEDORES[[#This Row],[FECHA DE PAGO]]=PROVEEDORES[[#This Row],[FECHA DE FACTURACIÓN]],"DE CONTADO","CRÉDITO")</f>
        <v>CRÉDITO</v>
      </c>
      <c r="B283" s="144" t="str">
        <f>+IF((PROVEEDORES[[#This Row],[FECHA DE PAGO]]-PROVEEDORES[[#This Row],[FECHA DE FACTURACIÓN]])&gt;PROVEEDORES[[#This Row],[PLAZO Días]],"PAGO VENCIDO")</f>
        <v>PAGO VENCIDO</v>
      </c>
      <c r="C283" s="144">
        <f>+VLOOKUP(PROVEEDORES[[#This Row],[PROVEEDOR]],TERCEROS_INFO[#All],2,FALSE)</f>
        <v>0</v>
      </c>
      <c r="D283" s="145">
        <f>+SUMIFS(PROVEEDORES[Total],PROVEEDORES[PROVEEDOR],PROVEEDORES[[#This Row],[PROVEEDOR]],PROVEEDORES[FECHA DE PAGO],"")</f>
        <v>3533418.74</v>
      </c>
      <c r="E283" s="146"/>
      <c r="F283" s="144">
        <f>+VLOOKUP(PROVEEDORES[[#This Row],[PROVEEDOR]],
                       Terceros!$A:$G,
                       5,
                       FALSE)</f>
        <v>0</v>
      </c>
      <c r="G283" s="122">
        <v>45054</v>
      </c>
      <c r="H283" s="102" t="s">
        <v>236</v>
      </c>
      <c r="I283" s="122">
        <v>45036</v>
      </c>
      <c r="J283" s="103" t="s">
        <v>748</v>
      </c>
      <c r="K283" s="103" t="s">
        <v>1512</v>
      </c>
      <c r="L283" s="103"/>
      <c r="M283" s="105">
        <v>2649600</v>
      </c>
      <c r="N283" s="147">
        <v>503424</v>
      </c>
      <c r="O283" s="147">
        <v>0</v>
      </c>
      <c r="P283" s="148">
        <v>0</v>
      </c>
      <c r="Q283" s="147">
        <v>0</v>
      </c>
      <c r="R283" s="149">
        <v>3153024</v>
      </c>
      <c r="S2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3" s="150">
        <f ca="1">+IF(PROVEEDORES[[#This Row],[FECHA DE PAGO]]=0,TODAY()-PROVEEDORES[[#This Row],[FECHA DE FACTURACIÓN]]-PROVEEDORES[[#This Row],[PLAZO Días]],0)</f>
        <v>0</v>
      </c>
      <c r="U283" s="150">
        <f>+VLOOKUP(PROVEEDORES[[#This Row],[PROVEEDOR]],Terceros!$A:$E,4,FALSE)</f>
        <v>0.19</v>
      </c>
      <c r="V283" s="150">
        <f>+YEAR(PROVEEDORES[[#This Row],[FECHA DE FACTURACIÓN]])</f>
        <v>2023</v>
      </c>
      <c r="W283" s="150">
        <f>+MATCH(PROVEEDORES[[#This Row],[año facturado]],Retenciones!$1:$1,0)</f>
        <v>6</v>
      </c>
      <c r="X283" s="151" t="e">
        <f>+VLOOKUP(PROVEEDORES[[#This Row],[ID RETENCION]],Retenciones!$A$1:$O$25,PROVEEDORES[[#This Row],[indicador de columna]],FALSE)</f>
        <v>#N/A</v>
      </c>
      <c r="Y283" s="152" t="e">
        <f>+VLOOKUP(PROVEEDORES[[#This Row],[ID RETENCION]],Retenciones!$A$1:$O$25,2,FALSE)</f>
        <v>#N/A</v>
      </c>
      <c r="Z283" s="153" t="b">
        <f>+OR(COUNTIF(PROVEEDORES[[#This Row],[PROVEEDOR]],"*"&amp;'Palabra que no opera y Listas d'!$A$2&amp;"*"))</f>
        <v>0</v>
      </c>
    </row>
    <row r="284" spans="1:26" ht="27.75" customHeight="1" x14ac:dyDescent="0.3">
      <c r="A284" s="144" t="str">
        <f>+IF(PROVEEDORES[[#This Row],[FECHA DE PAGO]]=PROVEEDORES[[#This Row],[FECHA DE FACTURACIÓN]],"DE CONTADO","CRÉDITO")</f>
        <v>CRÉDITO</v>
      </c>
      <c r="B284" s="144" t="str">
        <f>+IF((PROVEEDORES[[#This Row],[FECHA DE PAGO]]-PROVEEDORES[[#This Row],[FECHA DE FACTURACIÓN]])&gt;PROVEEDORES[[#This Row],[PLAZO Días]],"PAGO VENCIDO")</f>
        <v>PAGO VENCIDO</v>
      </c>
      <c r="C284" s="144">
        <f>+VLOOKUP(PROVEEDORES[[#This Row],[PROVEEDOR]],TERCEROS_INFO[#All],2,FALSE)</f>
        <v>0</v>
      </c>
      <c r="D284" s="145">
        <f>+SUMIFS(PROVEEDORES[Total],PROVEEDORES[PROVEEDOR],PROVEEDORES[[#This Row],[PROVEEDOR]],PROVEEDORES[FECHA DE PAGO],"")</f>
        <v>1000043.22</v>
      </c>
      <c r="E284" s="146"/>
      <c r="F284" s="144" t="str">
        <f>+VLOOKUP(PROVEEDORES[[#This Row],[PROVEEDOR]],
                       Terceros!$A:$G,
                       5,
                       FALSE)</f>
        <v>2,5% con base</v>
      </c>
      <c r="G284" s="122">
        <v>45055</v>
      </c>
      <c r="H284" s="102" t="s">
        <v>237</v>
      </c>
      <c r="I284" s="122">
        <v>44991</v>
      </c>
      <c r="J284" s="103" t="s">
        <v>631</v>
      </c>
      <c r="K284" s="103" t="s">
        <v>1512</v>
      </c>
      <c r="L284" s="103"/>
      <c r="M284" s="105">
        <v>270588</v>
      </c>
      <c r="N284" s="147">
        <v>51411.72</v>
      </c>
      <c r="O284" s="147">
        <v>0</v>
      </c>
      <c r="P284" s="148">
        <v>0</v>
      </c>
      <c r="Q284" s="147">
        <v>0</v>
      </c>
      <c r="R284" s="149">
        <v>321999.71999999997</v>
      </c>
      <c r="S2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4" s="150">
        <f ca="1">+IF(PROVEEDORES[[#This Row],[FECHA DE PAGO]]=0,TODAY()-PROVEEDORES[[#This Row],[FECHA DE FACTURACIÓN]]-PROVEEDORES[[#This Row],[PLAZO Días]],0)</f>
        <v>0</v>
      </c>
      <c r="U284" s="150">
        <f>+VLOOKUP(PROVEEDORES[[#This Row],[PROVEEDOR]],Terceros!$A:$E,4,FALSE)</f>
        <v>0.19</v>
      </c>
      <c r="V284" s="150">
        <f>+YEAR(PROVEEDORES[[#This Row],[FECHA DE FACTURACIÓN]])</f>
        <v>2023</v>
      </c>
      <c r="W284" s="150">
        <f>+MATCH(PROVEEDORES[[#This Row],[año facturado]],Retenciones!$1:$1,0)</f>
        <v>6</v>
      </c>
      <c r="X284" s="151" t="e">
        <f>+VLOOKUP(PROVEEDORES[[#This Row],[ID RETENCION]],Retenciones!$A$1:$O$25,PROVEEDORES[[#This Row],[indicador de columna]],FALSE)</f>
        <v>#N/A</v>
      </c>
      <c r="Y284" s="152" t="e">
        <f>+VLOOKUP(PROVEEDORES[[#This Row],[ID RETENCION]],Retenciones!$A$1:$O$25,2,FALSE)</f>
        <v>#N/A</v>
      </c>
      <c r="Z284" s="153" t="b">
        <f>+OR(COUNTIF(PROVEEDORES[[#This Row],[PROVEEDOR]],"*"&amp;'Palabra que no opera y Listas d'!$A$2&amp;"*"))</f>
        <v>0</v>
      </c>
    </row>
    <row r="285" spans="1:26" ht="27.75" customHeight="1" x14ac:dyDescent="0.3">
      <c r="A285" s="144" t="str">
        <f>+IF(PROVEEDORES[[#This Row],[FECHA DE PAGO]]=PROVEEDORES[[#This Row],[FECHA DE FACTURACIÓN]],"DE CONTADO","CRÉDITO")</f>
        <v>CRÉDITO</v>
      </c>
      <c r="B285" s="144" t="str">
        <f>+IF((PROVEEDORES[[#This Row],[FECHA DE PAGO]]-PROVEEDORES[[#This Row],[FECHA DE FACTURACIÓN]])&gt;PROVEEDORES[[#This Row],[PLAZO Días]],"PAGO VENCIDO")</f>
        <v>PAGO VENCIDO</v>
      </c>
      <c r="C285" s="144">
        <f>+VLOOKUP(PROVEEDORES[[#This Row],[PROVEEDOR]],TERCEROS_INFO[#All],2,FALSE)</f>
        <v>0</v>
      </c>
      <c r="D285" s="145">
        <f>+SUMIFS(PROVEEDORES[Total],PROVEEDORES[PROVEEDOR],PROVEEDORES[[#This Row],[PROVEEDOR]],PROVEEDORES[FECHA DE PAGO],"")</f>
        <v>1000043.22</v>
      </c>
      <c r="E285" s="146"/>
      <c r="F285" s="144" t="str">
        <f>+VLOOKUP(PROVEEDORES[[#This Row],[PROVEEDOR]],
                       Terceros!$A:$G,
                       5,
                       FALSE)</f>
        <v>2,5% con base</v>
      </c>
      <c r="G285" s="122">
        <v>45055</v>
      </c>
      <c r="H285" s="102" t="s">
        <v>237</v>
      </c>
      <c r="I285" s="122">
        <v>45000</v>
      </c>
      <c r="J285" s="103" t="s">
        <v>624</v>
      </c>
      <c r="K285" s="103" t="s">
        <v>1512</v>
      </c>
      <c r="L285" s="103"/>
      <c r="M285" s="105">
        <v>675630</v>
      </c>
      <c r="N285" s="147">
        <v>128369.7</v>
      </c>
      <c r="O285" s="147">
        <v>0</v>
      </c>
      <c r="P285" s="148">
        <v>0</v>
      </c>
      <c r="Q285" s="147">
        <v>0</v>
      </c>
      <c r="R285" s="149">
        <v>803999.7</v>
      </c>
      <c r="S2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5" s="150">
        <f ca="1">+IF(PROVEEDORES[[#This Row],[FECHA DE PAGO]]=0,TODAY()-PROVEEDORES[[#This Row],[FECHA DE FACTURACIÓN]]-PROVEEDORES[[#This Row],[PLAZO Días]],0)</f>
        <v>0</v>
      </c>
      <c r="U285" s="150">
        <f>+VLOOKUP(PROVEEDORES[[#This Row],[PROVEEDOR]],Terceros!$A:$E,4,FALSE)</f>
        <v>0.19</v>
      </c>
      <c r="V285" s="150">
        <f>+YEAR(PROVEEDORES[[#This Row],[FECHA DE FACTURACIÓN]])</f>
        <v>2023</v>
      </c>
      <c r="W285" s="150">
        <f>+MATCH(PROVEEDORES[[#This Row],[año facturado]],Retenciones!$1:$1,0)</f>
        <v>6</v>
      </c>
      <c r="X285" s="151" t="e">
        <f>+VLOOKUP(PROVEEDORES[[#This Row],[ID RETENCION]],Retenciones!$A$1:$O$25,PROVEEDORES[[#This Row],[indicador de columna]],FALSE)</f>
        <v>#N/A</v>
      </c>
      <c r="Y285" s="152" t="e">
        <f>+VLOOKUP(PROVEEDORES[[#This Row],[ID RETENCION]],Retenciones!$A$1:$O$25,2,FALSE)</f>
        <v>#N/A</v>
      </c>
      <c r="Z285" s="153" t="b">
        <f>+OR(COUNTIF(PROVEEDORES[[#This Row],[PROVEEDOR]],"*"&amp;'Palabra que no opera y Listas d'!$A$2&amp;"*"))</f>
        <v>0</v>
      </c>
    </row>
    <row r="286" spans="1:26" ht="27.75" customHeight="1" x14ac:dyDescent="0.3">
      <c r="A286" s="144" t="str">
        <f>+IF(PROVEEDORES[[#This Row],[FECHA DE PAGO]]=PROVEEDORES[[#This Row],[FECHA DE FACTURACIÓN]],"DE CONTADO","CRÉDITO")</f>
        <v>CRÉDITO</v>
      </c>
      <c r="B286" s="144" t="str">
        <f>+IF((PROVEEDORES[[#This Row],[FECHA DE PAGO]]-PROVEEDORES[[#This Row],[FECHA DE FACTURACIÓN]])&gt;PROVEEDORES[[#This Row],[PLAZO Días]],"PAGO VENCIDO")</f>
        <v>PAGO VENCIDO</v>
      </c>
      <c r="C286" s="144">
        <f>+VLOOKUP(PROVEEDORES[[#This Row],[PROVEEDOR]],TERCEROS_INFO[#All],2,FALSE)</f>
        <v>0</v>
      </c>
      <c r="D286" s="145">
        <f>+SUMIFS(PROVEEDORES[Total],PROVEEDORES[PROVEEDOR],PROVEEDORES[[#This Row],[PROVEEDOR]],PROVEEDORES[FECHA DE PAGO],"")</f>
        <v>2129306.6150000002</v>
      </c>
      <c r="E286" s="146"/>
      <c r="F286" s="144" t="str">
        <f>+VLOOKUP(PROVEEDORES[[#This Row],[PROVEEDOR]],
                       Terceros!$A:$G,
                       5,
                       FALSE)</f>
        <v>2,5% con base</v>
      </c>
      <c r="G286" s="122">
        <v>45055</v>
      </c>
      <c r="H286" s="102" t="s">
        <v>234</v>
      </c>
      <c r="I286" s="122">
        <v>45006</v>
      </c>
      <c r="J286" s="103" t="s">
        <v>710</v>
      </c>
      <c r="K286" s="103" t="s">
        <v>1512</v>
      </c>
      <c r="L286" s="103"/>
      <c r="M286" s="105">
        <v>532437</v>
      </c>
      <c r="N286" s="147">
        <v>101163.03</v>
      </c>
      <c r="O286" s="147">
        <v>0</v>
      </c>
      <c r="P286" s="148">
        <v>0</v>
      </c>
      <c r="Q286" s="147">
        <v>0</v>
      </c>
      <c r="R286" s="149">
        <v>633600.03</v>
      </c>
      <c r="S2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6" s="150">
        <f ca="1">+IF(PROVEEDORES[[#This Row],[FECHA DE PAGO]]=0,TODAY()-PROVEEDORES[[#This Row],[FECHA DE FACTURACIÓN]]-PROVEEDORES[[#This Row],[PLAZO Días]],0)</f>
        <v>0</v>
      </c>
      <c r="U286" s="150">
        <f>+VLOOKUP(PROVEEDORES[[#This Row],[PROVEEDOR]],Terceros!$A:$E,4,FALSE)</f>
        <v>0.19</v>
      </c>
      <c r="V286" s="150">
        <f>+YEAR(PROVEEDORES[[#This Row],[FECHA DE FACTURACIÓN]])</f>
        <v>2023</v>
      </c>
      <c r="W286" s="150">
        <f>+MATCH(PROVEEDORES[[#This Row],[año facturado]],Retenciones!$1:$1,0)</f>
        <v>6</v>
      </c>
      <c r="X286" s="151" t="e">
        <f>+VLOOKUP(PROVEEDORES[[#This Row],[ID RETENCION]],Retenciones!$A$1:$O$25,PROVEEDORES[[#This Row],[indicador de columna]],FALSE)</f>
        <v>#N/A</v>
      </c>
      <c r="Y286" s="152" t="e">
        <f>+VLOOKUP(PROVEEDORES[[#This Row],[ID RETENCION]],Retenciones!$A$1:$O$25,2,FALSE)</f>
        <v>#N/A</v>
      </c>
      <c r="Z286" s="153" t="b">
        <f>+OR(COUNTIF(PROVEEDORES[[#This Row],[PROVEEDOR]],"*"&amp;'Palabra que no opera y Listas d'!$A$2&amp;"*"))</f>
        <v>0</v>
      </c>
    </row>
    <row r="287" spans="1:26" ht="27.75" customHeight="1" x14ac:dyDescent="0.3">
      <c r="A287" s="144" t="str">
        <f>+IF(PROVEEDORES[[#This Row],[FECHA DE PAGO]]=PROVEEDORES[[#This Row],[FECHA DE FACTURACIÓN]],"DE CONTADO","CRÉDITO")</f>
        <v>CRÉDITO</v>
      </c>
      <c r="B287" s="144" t="str">
        <f>+IF((PROVEEDORES[[#This Row],[FECHA DE PAGO]]-PROVEEDORES[[#This Row],[FECHA DE FACTURACIÓN]])&gt;PROVEEDORES[[#This Row],[PLAZO Días]],"PAGO VENCIDO")</f>
        <v>PAGO VENCIDO</v>
      </c>
      <c r="C287" s="144">
        <f>+VLOOKUP(PROVEEDORES[[#This Row],[PROVEEDOR]],TERCEROS_INFO[#All],2,FALSE)</f>
        <v>0</v>
      </c>
      <c r="D287" s="145">
        <f>+SUMIFS(PROVEEDORES[Total],PROVEEDORES[PROVEEDOR],PROVEEDORES[[#This Row],[PROVEEDOR]],PROVEEDORES[FECHA DE PAGO],"")</f>
        <v>181631</v>
      </c>
      <c r="E287" s="146"/>
      <c r="F287" s="144">
        <f>+VLOOKUP(PROVEEDORES[[#This Row],[PROVEEDOR]],
                       Terceros!$A:$G,
                       5,
                       FALSE)</f>
        <v>0</v>
      </c>
      <c r="G287" s="122">
        <v>45056</v>
      </c>
      <c r="H287" s="102" t="s">
        <v>383</v>
      </c>
      <c r="I287" s="122">
        <v>45044</v>
      </c>
      <c r="J287" s="103" t="s">
        <v>690</v>
      </c>
      <c r="K287" s="103" t="s">
        <v>1512</v>
      </c>
      <c r="L287" s="103"/>
      <c r="M287" s="105">
        <v>122105</v>
      </c>
      <c r="N287" s="147">
        <v>23199.95</v>
      </c>
      <c r="O287" s="147">
        <v>0</v>
      </c>
      <c r="P287" s="148">
        <v>0</v>
      </c>
      <c r="Q287" s="147">
        <v>0</v>
      </c>
      <c r="R287" s="149">
        <v>145304.95000000001</v>
      </c>
      <c r="S2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7" s="150">
        <f ca="1">+IF(PROVEEDORES[[#This Row],[FECHA DE PAGO]]=0,TODAY()-PROVEEDORES[[#This Row],[FECHA DE FACTURACIÓN]]-PROVEEDORES[[#This Row],[PLAZO Días]],0)</f>
        <v>0</v>
      </c>
      <c r="U287" s="150">
        <f>+VLOOKUP(PROVEEDORES[[#This Row],[PROVEEDOR]],Terceros!$A:$E,4,FALSE)</f>
        <v>0.19</v>
      </c>
      <c r="V287" s="150">
        <f>+YEAR(PROVEEDORES[[#This Row],[FECHA DE FACTURACIÓN]])</f>
        <v>2023</v>
      </c>
      <c r="W287" s="150">
        <f>+MATCH(PROVEEDORES[[#This Row],[año facturado]],Retenciones!$1:$1,0)</f>
        <v>6</v>
      </c>
      <c r="X287" s="151" t="e">
        <f>+VLOOKUP(PROVEEDORES[[#This Row],[ID RETENCION]],Retenciones!$A$1:$O$25,PROVEEDORES[[#This Row],[indicador de columna]],FALSE)</f>
        <v>#N/A</v>
      </c>
      <c r="Y287" s="152" t="e">
        <f>+VLOOKUP(PROVEEDORES[[#This Row],[ID RETENCION]],Retenciones!$A$1:$O$25,2,FALSE)</f>
        <v>#N/A</v>
      </c>
      <c r="Z287" s="153" t="b">
        <f>+OR(COUNTIF(PROVEEDORES[[#This Row],[PROVEEDOR]],"*"&amp;'Palabra que no opera y Listas d'!$A$2&amp;"*"))</f>
        <v>1</v>
      </c>
    </row>
    <row r="288" spans="1:26" ht="27.75" customHeight="1" x14ac:dyDescent="0.3">
      <c r="A288" s="144" t="str">
        <f>+IF(PROVEEDORES[[#This Row],[FECHA DE PAGO]]=PROVEEDORES[[#This Row],[FECHA DE FACTURACIÓN]],"DE CONTADO","CRÉDITO")</f>
        <v>CRÉDITO</v>
      </c>
      <c r="B288" s="144" t="str">
        <f>+IF((PROVEEDORES[[#This Row],[FECHA DE PAGO]]-PROVEEDORES[[#This Row],[FECHA DE FACTURACIÓN]])&gt;PROVEEDORES[[#This Row],[PLAZO Días]],"PAGO VENCIDO")</f>
        <v>PAGO VENCIDO</v>
      </c>
      <c r="C288" s="144">
        <f>+VLOOKUP(PROVEEDORES[[#This Row],[PROVEEDOR]],TERCEROS_INFO[#All],2,FALSE)</f>
        <v>0</v>
      </c>
      <c r="D288" s="145">
        <f>+SUMIFS(PROVEEDORES[Total],PROVEEDORES[PROVEEDOR],PROVEEDORES[[#This Row],[PROVEEDOR]],PROVEEDORES[FECHA DE PAGO],"")</f>
        <v>0</v>
      </c>
      <c r="E288" s="146"/>
      <c r="F288" s="144" t="str">
        <f>+VLOOKUP(PROVEEDORES[[#This Row],[PROVEEDOR]],
                       Terceros!$A:$G,
                       5,
                       FALSE)</f>
        <v>3,5% sin base</v>
      </c>
      <c r="G288" s="122">
        <v>45056</v>
      </c>
      <c r="H288" s="102" t="s">
        <v>398</v>
      </c>
      <c r="I288" s="122">
        <v>45047</v>
      </c>
      <c r="J288" s="103" t="s">
        <v>783</v>
      </c>
      <c r="K288" s="103" t="s">
        <v>1512</v>
      </c>
      <c r="L288" s="103"/>
      <c r="M288" s="105">
        <v>3935776</v>
      </c>
      <c r="N288" s="147">
        <v>747797.44000000006</v>
      </c>
      <c r="O288" s="147">
        <v>0</v>
      </c>
      <c r="P288" s="148">
        <v>3.5000000000000003E-2</v>
      </c>
      <c r="Q288" s="147">
        <v>137752.16</v>
      </c>
      <c r="R288" s="149">
        <v>4545821.28</v>
      </c>
      <c r="S2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8" s="150">
        <f ca="1">+IF(PROVEEDORES[[#This Row],[FECHA DE PAGO]]=0,TODAY()-PROVEEDORES[[#This Row],[FECHA DE FACTURACIÓN]]-PROVEEDORES[[#This Row],[PLAZO Días]],0)</f>
        <v>0</v>
      </c>
      <c r="U288" s="150">
        <f>+VLOOKUP(PROVEEDORES[[#This Row],[PROVEEDOR]],Terceros!$A:$E,4,FALSE)</f>
        <v>0.19</v>
      </c>
      <c r="V288" s="150">
        <f>+YEAR(PROVEEDORES[[#This Row],[FECHA DE FACTURACIÓN]])</f>
        <v>2023</v>
      </c>
      <c r="W288" s="150">
        <f>+MATCH(PROVEEDORES[[#This Row],[año facturado]],Retenciones!$1:$1,0)</f>
        <v>6</v>
      </c>
      <c r="X288" s="151" t="e">
        <f>+VLOOKUP(PROVEEDORES[[#This Row],[ID RETENCION]],Retenciones!$A$1:$O$25,PROVEEDORES[[#This Row],[indicador de columna]],FALSE)</f>
        <v>#N/A</v>
      </c>
      <c r="Y288" s="152" t="e">
        <f>+VLOOKUP(PROVEEDORES[[#This Row],[ID RETENCION]],Retenciones!$A$1:$O$25,2,FALSE)</f>
        <v>#N/A</v>
      </c>
      <c r="Z288" s="153" t="b">
        <f>+OR(COUNTIF(PROVEEDORES[[#This Row],[PROVEEDOR]],"*"&amp;'Palabra que no opera y Listas d'!$A$2&amp;"*"))</f>
        <v>1</v>
      </c>
    </row>
    <row r="289" spans="1:26" ht="27.75" customHeight="1" x14ac:dyDescent="0.3">
      <c r="A289" s="144" t="str">
        <f>+IF(PROVEEDORES[[#This Row],[FECHA DE PAGO]]=PROVEEDORES[[#This Row],[FECHA DE FACTURACIÓN]],"DE CONTADO","CRÉDITO")</f>
        <v>CRÉDITO</v>
      </c>
      <c r="B289" s="144" t="str">
        <f>+IF((PROVEEDORES[[#This Row],[FECHA DE PAGO]]-PROVEEDORES[[#This Row],[FECHA DE FACTURACIÓN]])&gt;PROVEEDORES[[#This Row],[PLAZO Días]],"PAGO VENCIDO")</f>
        <v>PAGO VENCIDO</v>
      </c>
      <c r="C289" s="144">
        <f>+VLOOKUP(PROVEEDORES[[#This Row],[PROVEEDOR]],TERCEROS_INFO[#All],2,FALSE)</f>
        <v>0</v>
      </c>
      <c r="D289" s="145">
        <f>+SUMIFS(PROVEEDORES[Total],PROVEEDORES[PROVEEDOR],PROVEEDORES[[#This Row],[PROVEEDOR]],PROVEEDORES[FECHA DE PAGO],"")</f>
        <v>0</v>
      </c>
      <c r="E289" s="146"/>
      <c r="F289" s="144" t="str">
        <f>+VLOOKUP(PROVEEDORES[[#This Row],[PROVEEDOR]],
                       Terceros!$A:$G,
                       5,
                       FALSE)</f>
        <v>3,5% sin base</v>
      </c>
      <c r="G289" s="122">
        <v>45056</v>
      </c>
      <c r="H289" s="102" t="s">
        <v>398</v>
      </c>
      <c r="I289" s="122">
        <v>45047</v>
      </c>
      <c r="J289" s="103" t="s">
        <v>782</v>
      </c>
      <c r="K289" s="103" t="s">
        <v>1512</v>
      </c>
      <c r="L289" s="103"/>
      <c r="M289" s="105">
        <v>52142</v>
      </c>
      <c r="N289" s="147">
        <v>9906.98</v>
      </c>
      <c r="O289" s="147">
        <v>0</v>
      </c>
      <c r="P289" s="148">
        <v>3.5000000000000003E-2</v>
      </c>
      <c r="Q289" s="147">
        <v>1824.9700000000003</v>
      </c>
      <c r="R289" s="149">
        <v>60224.009999999995</v>
      </c>
      <c r="S2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9" s="150">
        <f ca="1">+IF(PROVEEDORES[[#This Row],[FECHA DE PAGO]]=0,TODAY()-PROVEEDORES[[#This Row],[FECHA DE FACTURACIÓN]]-PROVEEDORES[[#This Row],[PLAZO Días]],0)</f>
        <v>0</v>
      </c>
      <c r="U289" s="150">
        <f>+VLOOKUP(PROVEEDORES[[#This Row],[PROVEEDOR]],Terceros!$A:$E,4,FALSE)</f>
        <v>0.19</v>
      </c>
      <c r="V289" s="150">
        <f>+YEAR(PROVEEDORES[[#This Row],[FECHA DE FACTURACIÓN]])</f>
        <v>2023</v>
      </c>
      <c r="W289" s="150">
        <f>+MATCH(PROVEEDORES[[#This Row],[año facturado]],Retenciones!$1:$1,0)</f>
        <v>6</v>
      </c>
      <c r="X289" s="151" t="e">
        <f>+VLOOKUP(PROVEEDORES[[#This Row],[ID RETENCION]],Retenciones!$A$1:$O$25,PROVEEDORES[[#This Row],[indicador de columna]],FALSE)</f>
        <v>#N/A</v>
      </c>
      <c r="Y289" s="152" t="e">
        <f>+VLOOKUP(PROVEEDORES[[#This Row],[ID RETENCION]],Retenciones!$A$1:$O$25,2,FALSE)</f>
        <v>#N/A</v>
      </c>
      <c r="Z289" s="153" t="b">
        <f>+OR(COUNTIF(PROVEEDORES[[#This Row],[PROVEEDOR]],"*"&amp;'Palabra que no opera y Listas d'!$A$2&amp;"*"))</f>
        <v>1</v>
      </c>
    </row>
    <row r="290" spans="1:26" ht="27.75" customHeight="1" x14ac:dyDescent="0.3">
      <c r="A290" s="144" t="str">
        <f>+IF(PROVEEDORES[[#This Row],[FECHA DE PAGO]]=PROVEEDORES[[#This Row],[FECHA DE FACTURACIÓN]],"DE CONTADO","CRÉDITO")</f>
        <v>CRÉDITO</v>
      </c>
      <c r="B290" s="144" t="str">
        <f>+IF((PROVEEDORES[[#This Row],[FECHA DE PAGO]]-PROVEEDORES[[#This Row],[FECHA DE FACTURACIÓN]])&gt;PROVEEDORES[[#This Row],[PLAZO Días]],"PAGO VENCIDO")</f>
        <v>PAGO VENCIDO</v>
      </c>
      <c r="C290" s="144">
        <f>+VLOOKUP(PROVEEDORES[[#This Row],[PROVEEDOR]],TERCEROS_INFO[#All],2,FALSE)</f>
        <v>0</v>
      </c>
      <c r="D290" s="145">
        <f>+SUMIFS(PROVEEDORES[Total],PROVEEDORES[PROVEEDOR],PROVEEDORES[[#This Row],[PROVEEDOR]],PROVEEDORES[FECHA DE PAGO],"")</f>
        <v>0</v>
      </c>
      <c r="E290" s="146"/>
      <c r="F290" s="144">
        <f>+VLOOKUP(PROVEEDORES[[#This Row],[PROVEEDOR]],
                       Terceros!$A:$G,
                       5,
                       FALSE)</f>
        <v>0</v>
      </c>
      <c r="G290" s="122">
        <v>45056</v>
      </c>
      <c r="H290" s="102" t="s">
        <v>391</v>
      </c>
      <c r="I290" s="122">
        <v>45047</v>
      </c>
      <c r="J290" s="103" t="s">
        <v>777</v>
      </c>
      <c r="K290" s="103" t="s">
        <v>1512</v>
      </c>
      <c r="L290" s="103"/>
      <c r="M290" s="105">
        <v>324057</v>
      </c>
      <c r="N290" s="147">
        <v>0</v>
      </c>
      <c r="O290" s="147">
        <v>0</v>
      </c>
      <c r="P290" s="148">
        <v>0</v>
      </c>
      <c r="Q290" s="147">
        <v>0</v>
      </c>
      <c r="R290" s="149">
        <v>324057</v>
      </c>
      <c r="S2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0" s="150">
        <f ca="1">+IF(PROVEEDORES[[#This Row],[FECHA DE PAGO]]=0,TODAY()-PROVEEDORES[[#This Row],[FECHA DE FACTURACIÓN]]-PROVEEDORES[[#This Row],[PLAZO Días]],0)</f>
        <v>0</v>
      </c>
      <c r="U290" s="150">
        <f>+VLOOKUP(PROVEEDORES[[#This Row],[PROVEEDOR]],Terceros!$A:$E,4,FALSE)</f>
        <v>0</v>
      </c>
      <c r="V290" s="150">
        <f>+YEAR(PROVEEDORES[[#This Row],[FECHA DE FACTURACIÓN]])</f>
        <v>2023</v>
      </c>
      <c r="W290" s="150">
        <f>+MATCH(PROVEEDORES[[#This Row],[año facturado]],Retenciones!$1:$1,0)</f>
        <v>6</v>
      </c>
      <c r="X290" s="151">
        <f>+VLOOKUP(PROVEEDORES[[#This Row],[ID RETENCION]],Retenciones!$A$1:$O$25,PROVEEDORES[[#This Row],[indicador de columna]],FALSE)</f>
        <v>0</v>
      </c>
      <c r="Y290" s="152">
        <f>+VLOOKUP(PROVEEDORES[[#This Row],[ID RETENCION]],Retenciones!$A$1:$O$25,2,FALSE)</f>
        <v>0</v>
      </c>
      <c r="Z290" s="153" t="b">
        <f>+OR(COUNTIF(PROVEEDORES[[#This Row],[PROVEEDOR]],"*"&amp;'Palabra que no opera y Listas d'!$A$2&amp;"*"))</f>
        <v>1</v>
      </c>
    </row>
    <row r="291" spans="1:26" ht="27.75" customHeight="1" x14ac:dyDescent="0.3">
      <c r="A291" s="144" t="str">
        <f>+IF(PROVEEDORES[[#This Row],[FECHA DE PAGO]]=PROVEEDORES[[#This Row],[FECHA DE FACTURACIÓN]],"DE CONTADO","CRÉDITO")</f>
        <v>CRÉDITO</v>
      </c>
      <c r="B291" s="144" t="str">
        <f>+IF((PROVEEDORES[[#This Row],[FECHA DE PAGO]]-PROVEEDORES[[#This Row],[FECHA DE FACTURACIÓN]])&gt;PROVEEDORES[[#This Row],[PLAZO Días]],"PAGO VENCIDO")</f>
        <v>PAGO VENCIDO</v>
      </c>
      <c r="C291" s="144">
        <f>+VLOOKUP(PROVEEDORES[[#This Row],[PROVEEDOR]],TERCEROS_INFO[#All],2,FALSE)</f>
        <v>0</v>
      </c>
      <c r="D291" s="145">
        <f>+SUMIFS(PROVEEDORES[Total],PROVEEDORES[PROVEEDOR],PROVEEDORES[[#This Row],[PROVEEDOR]],PROVEEDORES[FECHA DE PAGO],"")</f>
        <v>181631</v>
      </c>
      <c r="E291" s="146"/>
      <c r="F291" s="144">
        <f>+VLOOKUP(PROVEEDORES[[#This Row],[PROVEEDOR]],
                       Terceros!$A:$G,
                       5,
                       FALSE)</f>
        <v>0</v>
      </c>
      <c r="G291" s="122">
        <v>45056</v>
      </c>
      <c r="H291" s="102" t="s">
        <v>383</v>
      </c>
      <c r="I291" s="122">
        <v>45047</v>
      </c>
      <c r="J291" s="103" t="s">
        <v>774</v>
      </c>
      <c r="K291" s="103" t="s">
        <v>1512</v>
      </c>
      <c r="L291" s="103"/>
      <c r="M291" s="105">
        <v>908172</v>
      </c>
      <c r="N291" s="147">
        <v>172552.68</v>
      </c>
      <c r="O291" s="147">
        <v>0</v>
      </c>
      <c r="P291" s="148">
        <v>0</v>
      </c>
      <c r="Q291" s="147">
        <v>0</v>
      </c>
      <c r="R291" s="149">
        <v>1080724.68</v>
      </c>
      <c r="S2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1" s="150">
        <f ca="1">+IF(PROVEEDORES[[#This Row],[FECHA DE PAGO]]=0,TODAY()-PROVEEDORES[[#This Row],[FECHA DE FACTURACIÓN]]-PROVEEDORES[[#This Row],[PLAZO Días]],0)</f>
        <v>0</v>
      </c>
      <c r="U291" s="150">
        <f>+VLOOKUP(PROVEEDORES[[#This Row],[PROVEEDOR]],Terceros!$A:$E,4,FALSE)</f>
        <v>0.19</v>
      </c>
      <c r="V291" s="150">
        <f>+YEAR(PROVEEDORES[[#This Row],[FECHA DE FACTURACIÓN]])</f>
        <v>2023</v>
      </c>
      <c r="W291" s="150">
        <f>+MATCH(PROVEEDORES[[#This Row],[año facturado]],Retenciones!$1:$1,0)</f>
        <v>6</v>
      </c>
      <c r="X291" s="151" t="e">
        <f>+VLOOKUP(PROVEEDORES[[#This Row],[ID RETENCION]],Retenciones!$A$1:$O$25,PROVEEDORES[[#This Row],[indicador de columna]],FALSE)</f>
        <v>#N/A</v>
      </c>
      <c r="Y291" s="152" t="e">
        <f>+VLOOKUP(PROVEEDORES[[#This Row],[ID RETENCION]],Retenciones!$A$1:$O$25,2,FALSE)</f>
        <v>#N/A</v>
      </c>
      <c r="Z291" s="153" t="b">
        <f>+OR(COUNTIF(PROVEEDORES[[#This Row],[PROVEEDOR]],"*"&amp;'Palabra que no opera y Listas d'!$A$2&amp;"*"))</f>
        <v>1</v>
      </c>
    </row>
    <row r="292" spans="1:26" ht="27.75" customHeight="1" x14ac:dyDescent="0.3">
      <c r="A292" s="144" t="str">
        <f>+IF(PROVEEDORES[[#This Row],[FECHA DE PAGO]]=PROVEEDORES[[#This Row],[FECHA DE FACTURACIÓN]],"DE CONTADO","CRÉDITO")</f>
        <v>CRÉDITO</v>
      </c>
      <c r="B292" s="144" t="str">
        <f>+IF((PROVEEDORES[[#This Row],[FECHA DE PAGO]]-PROVEEDORES[[#This Row],[FECHA DE FACTURACIÓN]])&gt;PROVEEDORES[[#This Row],[PLAZO Días]],"PAGO VENCIDO")</f>
        <v>PAGO VENCIDO</v>
      </c>
      <c r="C292" s="144">
        <f>+VLOOKUP(PROVEEDORES[[#This Row],[PROVEEDOR]],TERCEROS_INFO[#All],2,FALSE)</f>
        <v>0</v>
      </c>
      <c r="D292" s="145">
        <f>+SUMIFS(PROVEEDORES[Total],PROVEEDORES[PROVEEDOR],PROVEEDORES[[#This Row],[PROVEEDOR]],PROVEEDORES[FECHA DE PAGO],"")</f>
        <v>181631</v>
      </c>
      <c r="E292" s="146"/>
      <c r="F292" s="144">
        <f>+VLOOKUP(PROVEEDORES[[#This Row],[PROVEEDOR]],
                       Terceros!$A:$G,
                       5,
                       FALSE)</f>
        <v>0</v>
      </c>
      <c r="G292" s="122">
        <v>45056</v>
      </c>
      <c r="H292" s="102" t="s">
        <v>383</v>
      </c>
      <c r="I292" s="122">
        <v>45047</v>
      </c>
      <c r="J292" s="103" t="s">
        <v>775</v>
      </c>
      <c r="K292" s="103" t="s">
        <v>1512</v>
      </c>
      <c r="L292" s="103"/>
      <c r="M292" s="105">
        <v>3792544</v>
      </c>
      <c r="N292" s="147">
        <v>720583.36</v>
      </c>
      <c r="O292" s="147">
        <v>0</v>
      </c>
      <c r="P292" s="148">
        <v>0</v>
      </c>
      <c r="Q292" s="147">
        <v>0</v>
      </c>
      <c r="R292" s="149">
        <v>4513127.3600000003</v>
      </c>
      <c r="S2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2" s="150">
        <f ca="1">+IF(PROVEEDORES[[#This Row],[FECHA DE PAGO]]=0,TODAY()-PROVEEDORES[[#This Row],[FECHA DE FACTURACIÓN]]-PROVEEDORES[[#This Row],[PLAZO Días]],0)</f>
        <v>0</v>
      </c>
      <c r="U292" s="150">
        <f>+VLOOKUP(PROVEEDORES[[#This Row],[PROVEEDOR]],Terceros!$A:$E,4,FALSE)</f>
        <v>0.19</v>
      </c>
      <c r="V292" s="150">
        <f>+YEAR(PROVEEDORES[[#This Row],[FECHA DE FACTURACIÓN]])</f>
        <v>2023</v>
      </c>
      <c r="W292" s="150">
        <f>+MATCH(PROVEEDORES[[#This Row],[año facturado]],Retenciones!$1:$1,0)</f>
        <v>6</v>
      </c>
      <c r="X292" s="151" t="e">
        <f>+VLOOKUP(PROVEEDORES[[#This Row],[ID RETENCION]],Retenciones!$A$1:$O$25,PROVEEDORES[[#This Row],[indicador de columna]],FALSE)</f>
        <v>#N/A</v>
      </c>
      <c r="Y292" s="152" t="e">
        <f>+VLOOKUP(PROVEEDORES[[#This Row],[ID RETENCION]],Retenciones!$A$1:$O$25,2,FALSE)</f>
        <v>#N/A</v>
      </c>
      <c r="Z292" s="153" t="b">
        <f>+OR(COUNTIF(PROVEEDORES[[#This Row],[PROVEEDOR]],"*"&amp;'Palabra que no opera y Listas d'!$A$2&amp;"*"))</f>
        <v>1</v>
      </c>
    </row>
    <row r="293" spans="1:26" ht="27.75" customHeight="1" x14ac:dyDescent="0.3">
      <c r="A293" s="144" t="str">
        <f>+IF(PROVEEDORES[[#This Row],[FECHA DE PAGO]]=PROVEEDORES[[#This Row],[FECHA DE FACTURACIÓN]],"DE CONTADO","CRÉDITO")</f>
        <v>CRÉDITO</v>
      </c>
      <c r="B293" s="144" t="str">
        <f>+IF((PROVEEDORES[[#This Row],[FECHA DE PAGO]]-PROVEEDORES[[#This Row],[FECHA DE FACTURACIÓN]])&gt;PROVEEDORES[[#This Row],[PLAZO Días]],"PAGO VENCIDO")</f>
        <v>PAGO VENCIDO</v>
      </c>
      <c r="C293" s="144">
        <f>+VLOOKUP(PROVEEDORES[[#This Row],[PROVEEDOR]],TERCEROS_INFO[#All],2,FALSE)</f>
        <v>0</v>
      </c>
      <c r="D293" s="145">
        <f>+SUMIFS(PROVEEDORES[Total],PROVEEDORES[PROVEEDOR],PROVEEDORES[[#This Row],[PROVEEDOR]],PROVEEDORES[FECHA DE PAGO],"")</f>
        <v>0</v>
      </c>
      <c r="E293" s="146"/>
      <c r="F293" s="144">
        <f>+VLOOKUP(PROVEEDORES[[#This Row],[PROVEEDOR]],
                       Terceros!$A:$G,
                       5,
                       FALSE)</f>
        <v>0</v>
      </c>
      <c r="G293" s="122">
        <v>45056</v>
      </c>
      <c r="H293" s="102" t="s">
        <v>497</v>
      </c>
      <c r="I293" s="122">
        <v>45047</v>
      </c>
      <c r="J293" s="103" t="s">
        <v>776</v>
      </c>
      <c r="K293" s="103" t="s">
        <v>1512</v>
      </c>
      <c r="L293" s="103"/>
      <c r="M293" s="105">
        <v>5350576</v>
      </c>
      <c r="N293" s="147">
        <v>1016609.4400000001</v>
      </c>
      <c r="O293" s="147">
        <v>0</v>
      </c>
      <c r="P293" s="148">
        <v>0</v>
      </c>
      <c r="Q293" s="147">
        <v>0</v>
      </c>
      <c r="R293" s="149">
        <v>6367185.4400000004</v>
      </c>
      <c r="S2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3" s="150">
        <f ca="1">+IF(PROVEEDORES[[#This Row],[FECHA DE PAGO]]=0,TODAY()-PROVEEDORES[[#This Row],[FECHA DE FACTURACIÓN]]-PROVEEDORES[[#This Row],[PLAZO Días]],0)</f>
        <v>0</v>
      </c>
      <c r="U293" s="150">
        <f>+VLOOKUP(PROVEEDORES[[#This Row],[PROVEEDOR]],Terceros!$A:$E,4,FALSE)</f>
        <v>0.19</v>
      </c>
      <c r="V293" s="150">
        <f>+YEAR(PROVEEDORES[[#This Row],[FECHA DE FACTURACIÓN]])</f>
        <v>2023</v>
      </c>
      <c r="W293" s="150">
        <f>+MATCH(PROVEEDORES[[#This Row],[año facturado]],Retenciones!$1:$1,0)</f>
        <v>6</v>
      </c>
      <c r="X293" s="151" t="e">
        <f>+VLOOKUP(PROVEEDORES[[#This Row],[ID RETENCION]],Retenciones!$A$1:$O$25,PROVEEDORES[[#This Row],[indicador de columna]],FALSE)</f>
        <v>#N/A</v>
      </c>
      <c r="Y293" s="152" t="e">
        <f>+VLOOKUP(PROVEEDORES[[#This Row],[ID RETENCION]],Retenciones!$A$1:$O$25,2,FALSE)</f>
        <v>#N/A</v>
      </c>
      <c r="Z293" s="153" t="b">
        <f>+OR(COUNTIF(PROVEEDORES[[#This Row],[PROVEEDOR]],"*"&amp;'Palabra que no opera y Listas d'!$A$2&amp;"*"))</f>
        <v>1</v>
      </c>
    </row>
    <row r="294" spans="1:26" ht="27.75" customHeight="1" x14ac:dyDescent="0.3">
      <c r="A294" s="144" t="str">
        <f>+IF(PROVEEDORES[[#This Row],[FECHA DE PAGO]]=PROVEEDORES[[#This Row],[FECHA DE FACTURACIÓN]],"DE CONTADO","CRÉDITO")</f>
        <v>CRÉDITO</v>
      </c>
      <c r="B294" s="144" t="str">
        <f>+IF((PROVEEDORES[[#This Row],[FECHA DE PAGO]]-PROVEEDORES[[#This Row],[FECHA DE FACTURACIÓN]])&gt;PROVEEDORES[[#This Row],[PLAZO Días]],"PAGO VENCIDO")</f>
        <v>PAGO VENCIDO</v>
      </c>
      <c r="C294" s="144">
        <f>+VLOOKUP(PROVEEDORES[[#This Row],[PROVEEDOR]],TERCEROS_INFO[#All],2,FALSE)</f>
        <v>0</v>
      </c>
      <c r="D294" s="145">
        <f>+SUMIFS(PROVEEDORES[Total],PROVEEDORES[PROVEEDOR],PROVEEDORES[[#This Row],[PROVEEDOR]],PROVEEDORES[FECHA DE PAGO],"")</f>
        <v>0</v>
      </c>
      <c r="E294" s="146"/>
      <c r="F294" s="144" t="str">
        <f>+VLOOKUP(PROVEEDORES[[#This Row],[PROVEEDOR]],
                       Terceros!$A:$G,
                       5,
                       FALSE)</f>
        <v>3,5% sin base</v>
      </c>
      <c r="G294" s="122">
        <v>45056</v>
      </c>
      <c r="H294" s="102" t="s">
        <v>409</v>
      </c>
      <c r="I294" s="122">
        <v>45048</v>
      </c>
      <c r="J294" s="103" t="s">
        <v>781</v>
      </c>
      <c r="K294" s="103" t="s">
        <v>1512</v>
      </c>
      <c r="L294" s="103"/>
      <c r="M294" s="105">
        <v>243611</v>
      </c>
      <c r="N294" s="147">
        <v>46286.090000000004</v>
      </c>
      <c r="O294" s="147">
        <v>0</v>
      </c>
      <c r="P294" s="148">
        <v>3.5000000000000003E-2</v>
      </c>
      <c r="Q294" s="147">
        <v>8526.3850000000002</v>
      </c>
      <c r="R294" s="149">
        <v>281370.70500000002</v>
      </c>
      <c r="S2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4" s="150">
        <f ca="1">+IF(PROVEEDORES[[#This Row],[FECHA DE PAGO]]=0,TODAY()-PROVEEDORES[[#This Row],[FECHA DE FACTURACIÓN]]-PROVEEDORES[[#This Row],[PLAZO Días]],0)</f>
        <v>0</v>
      </c>
      <c r="U294" s="150">
        <f>+VLOOKUP(PROVEEDORES[[#This Row],[PROVEEDOR]],Terceros!$A:$E,4,FALSE)</f>
        <v>0.19</v>
      </c>
      <c r="V294" s="150">
        <f>+YEAR(PROVEEDORES[[#This Row],[FECHA DE FACTURACIÓN]])</f>
        <v>2023</v>
      </c>
      <c r="W294" s="150">
        <f>+MATCH(PROVEEDORES[[#This Row],[año facturado]],Retenciones!$1:$1,0)</f>
        <v>6</v>
      </c>
      <c r="X294" s="151" t="e">
        <f>+VLOOKUP(PROVEEDORES[[#This Row],[ID RETENCION]],Retenciones!$A$1:$O$25,PROVEEDORES[[#This Row],[indicador de columna]],FALSE)</f>
        <v>#N/A</v>
      </c>
      <c r="Y294" s="152" t="e">
        <f>+VLOOKUP(PROVEEDORES[[#This Row],[ID RETENCION]],Retenciones!$A$1:$O$25,2,FALSE)</f>
        <v>#N/A</v>
      </c>
      <c r="Z294" s="153" t="b">
        <f>+OR(COUNTIF(PROVEEDORES[[#This Row],[PROVEEDOR]],"*"&amp;'Palabra que no opera y Listas d'!$A$2&amp;"*"))</f>
        <v>1</v>
      </c>
    </row>
    <row r="295" spans="1:26" ht="27.75" customHeight="1" x14ac:dyDescent="0.3">
      <c r="A295" s="144" t="str">
        <f>+IF(PROVEEDORES[[#This Row],[FECHA DE PAGO]]=PROVEEDORES[[#This Row],[FECHA DE FACTURACIÓN]],"DE CONTADO","CRÉDITO")</f>
        <v>CRÉDITO</v>
      </c>
      <c r="B295" s="144" t="b">
        <f>+IF((PROVEEDORES[[#This Row],[FECHA DE PAGO]]-PROVEEDORES[[#This Row],[FECHA DE FACTURACIÓN]])&gt;PROVEEDORES[[#This Row],[PLAZO Días]],"PAGO VENCIDO")</f>
        <v>0</v>
      </c>
      <c r="C295" s="144">
        <f>+VLOOKUP(PROVEEDORES[[#This Row],[PROVEEDOR]],TERCEROS_INFO[#All],2,FALSE)</f>
        <v>0</v>
      </c>
      <c r="D295" s="145">
        <f>+SUMIFS(PROVEEDORES[Total],PROVEEDORES[PROVEEDOR],PROVEEDORES[[#This Row],[PROVEEDOR]],PROVEEDORES[FECHA DE PAGO],"")</f>
        <v>0</v>
      </c>
      <c r="E295" s="146"/>
      <c r="F295" s="144" t="str">
        <f>+VLOOKUP(PROVEEDORES[[#This Row],[PROVEEDOR]],
                       Terceros!$A:$G,
                       5,
                       FALSE)</f>
        <v>1% con base</v>
      </c>
      <c r="G295" s="122">
        <v>45056</v>
      </c>
      <c r="H295" s="102" t="s">
        <v>463</v>
      </c>
      <c r="I295" s="122">
        <v>45057</v>
      </c>
      <c r="J295" s="103" t="s">
        <v>784</v>
      </c>
      <c r="K295" s="103" t="s">
        <v>1512</v>
      </c>
      <c r="L295" s="103"/>
      <c r="M295" s="105">
        <v>300000</v>
      </c>
      <c r="N295" s="147">
        <v>0</v>
      </c>
      <c r="O295" s="147">
        <v>0</v>
      </c>
      <c r="P295" s="148">
        <v>0.01</v>
      </c>
      <c r="Q295" s="147">
        <v>3000</v>
      </c>
      <c r="R295" s="149">
        <v>297000</v>
      </c>
      <c r="S2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5" s="150">
        <f ca="1">+IF(PROVEEDORES[[#This Row],[FECHA DE PAGO]]=0,TODAY()-PROVEEDORES[[#This Row],[FECHA DE FACTURACIÓN]]-PROVEEDORES[[#This Row],[PLAZO Días]],0)</f>
        <v>0</v>
      </c>
      <c r="U295" s="150">
        <f>+VLOOKUP(PROVEEDORES[[#This Row],[PROVEEDOR]],Terceros!$A:$E,4,FALSE)</f>
        <v>0</v>
      </c>
      <c r="V295" s="150">
        <f>+YEAR(PROVEEDORES[[#This Row],[FECHA DE FACTURACIÓN]])</f>
        <v>2023</v>
      </c>
      <c r="W295" s="150">
        <f>+MATCH(PROVEEDORES[[#This Row],[año facturado]],Retenciones!$1:$1,0)</f>
        <v>6</v>
      </c>
      <c r="X295" s="151">
        <f>+VLOOKUP(PROVEEDORES[[#This Row],[ID RETENCION]],Retenciones!$A$1:$O$25,PROVEEDORES[[#This Row],[indicador de columna]],FALSE)</f>
        <v>0</v>
      </c>
      <c r="Y295" s="152">
        <f>+VLOOKUP(PROVEEDORES[[#This Row],[ID RETENCION]],Retenciones!$A$1:$O$25,2,FALSE)</f>
        <v>0</v>
      </c>
      <c r="Z295" s="153" t="b">
        <f>+OR(COUNTIF(PROVEEDORES[[#This Row],[PROVEEDOR]],"*"&amp;'Palabra que no opera y Listas d'!$A$2&amp;"*"))</f>
        <v>0</v>
      </c>
    </row>
    <row r="296" spans="1:26" ht="27.75" customHeight="1" x14ac:dyDescent="0.3">
      <c r="A296" s="144" t="str">
        <f>+IF(PROVEEDORES[[#This Row],[FECHA DE PAGO]]=PROVEEDORES[[#This Row],[FECHA DE FACTURACIÓN]],"DE CONTADO","CRÉDITO")</f>
        <v>CRÉDITO</v>
      </c>
      <c r="B296" s="144" t="b">
        <f>+IF((PROVEEDORES[[#This Row],[FECHA DE PAGO]]-PROVEEDORES[[#This Row],[FECHA DE FACTURACIÓN]])&gt;PROVEEDORES[[#This Row],[PLAZO Días]],"PAGO VENCIDO")</f>
        <v>0</v>
      </c>
      <c r="C296" s="144">
        <f>+VLOOKUP(PROVEEDORES[[#This Row],[PROVEEDOR]],TERCEROS_INFO[#All],2,FALSE)</f>
        <v>0</v>
      </c>
      <c r="D296" s="145">
        <f>+SUMIFS(PROVEEDORES[Total],PROVEEDORES[PROVEEDOR],PROVEEDORES[[#This Row],[PROVEEDOR]],PROVEEDORES[FECHA DE PAGO],"")</f>
        <v>0</v>
      </c>
      <c r="E296" s="146"/>
      <c r="F296" s="144">
        <f>+VLOOKUP(PROVEEDORES[[#This Row],[PROVEEDOR]],
                       Terceros!$A:$G,
                       5,
                       FALSE)</f>
        <v>0</v>
      </c>
      <c r="G296" s="122">
        <v>45056</v>
      </c>
      <c r="H296" s="102" t="s">
        <v>1783</v>
      </c>
      <c r="I296" s="122">
        <v>45057</v>
      </c>
      <c r="J296" s="103">
        <v>418</v>
      </c>
      <c r="K296" s="103" t="s">
        <v>1512</v>
      </c>
      <c r="L296" s="103"/>
      <c r="M296" s="105">
        <v>415000</v>
      </c>
      <c r="N296" s="147">
        <v>0</v>
      </c>
      <c r="O296" s="147">
        <v>0</v>
      </c>
      <c r="P296" s="148">
        <v>0</v>
      </c>
      <c r="Q296" s="147">
        <v>0</v>
      </c>
      <c r="R296" s="149">
        <v>415000</v>
      </c>
      <c r="S2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6" s="150">
        <f ca="1">+IF(PROVEEDORES[[#This Row],[FECHA DE PAGO]]=0,TODAY()-PROVEEDORES[[#This Row],[FECHA DE FACTURACIÓN]]-PROVEEDORES[[#This Row],[PLAZO Días]],0)</f>
        <v>0</v>
      </c>
      <c r="U296" s="150">
        <f>+VLOOKUP(PROVEEDORES[[#This Row],[PROVEEDOR]],Terceros!$A:$E,4,FALSE)</f>
        <v>0</v>
      </c>
      <c r="V296" s="150">
        <f>+YEAR(PROVEEDORES[[#This Row],[FECHA DE FACTURACIÓN]])</f>
        <v>2023</v>
      </c>
      <c r="W296" s="150">
        <f>+MATCH(PROVEEDORES[[#This Row],[año facturado]],Retenciones!$1:$1,0)</f>
        <v>6</v>
      </c>
      <c r="X296" s="151">
        <f>+VLOOKUP(PROVEEDORES[[#This Row],[ID RETENCION]],Retenciones!$A$1:$O$25,PROVEEDORES[[#This Row],[indicador de columna]],FALSE)</f>
        <v>0</v>
      </c>
      <c r="Y296" s="152">
        <f>+VLOOKUP(PROVEEDORES[[#This Row],[ID RETENCION]],Retenciones!$A$1:$O$25,2,FALSE)</f>
        <v>0</v>
      </c>
      <c r="Z296" s="153" t="b">
        <f>+OR(COUNTIF(PROVEEDORES[[#This Row],[PROVEEDOR]],"*"&amp;'Palabra que no opera y Listas d'!$A$2&amp;"*"))</f>
        <v>0</v>
      </c>
    </row>
    <row r="297" spans="1:26" ht="27.75" customHeight="1" x14ac:dyDescent="0.3">
      <c r="A297" s="144" t="str">
        <f>+IF(PROVEEDORES[[#This Row],[FECHA DE PAGO]]=PROVEEDORES[[#This Row],[FECHA DE FACTURACIÓN]],"DE CONTADO","CRÉDITO")</f>
        <v>CRÉDITO</v>
      </c>
      <c r="B297" s="144" t="str">
        <f>+IF((PROVEEDORES[[#This Row],[FECHA DE PAGO]]-PROVEEDORES[[#This Row],[FECHA DE FACTURACIÓN]])&gt;PROVEEDORES[[#This Row],[PLAZO Días]],"PAGO VENCIDO")</f>
        <v>PAGO VENCIDO</v>
      </c>
      <c r="C297" s="144">
        <f>+VLOOKUP(PROVEEDORES[[#This Row],[PROVEEDOR]],TERCEROS_INFO[#All],2,FALSE)</f>
        <v>0</v>
      </c>
      <c r="D297" s="145">
        <f>+SUMIFS(PROVEEDORES[Total],PROVEEDORES[PROVEEDOR],PROVEEDORES[[#This Row],[PROVEEDOR]],PROVEEDORES[FECHA DE PAGO],"")</f>
        <v>0</v>
      </c>
      <c r="E297" s="146"/>
      <c r="F297" s="144">
        <f>+VLOOKUP(PROVEEDORES[[#This Row],[PROVEEDOR]],
                       Terceros!$A:$G,
                       5,
                       FALSE)</f>
        <v>0</v>
      </c>
      <c r="G297" s="122">
        <v>45057</v>
      </c>
      <c r="H297" s="102" t="s">
        <v>1796</v>
      </c>
      <c r="I297" s="122">
        <v>45030</v>
      </c>
      <c r="J297" s="103" t="s">
        <v>740</v>
      </c>
      <c r="K297" s="103" t="s">
        <v>1512</v>
      </c>
      <c r="L297" s="103"/>
      <c r="M297" s="105">
        <v>164000</v>
      </c>
      <c r="N297" s="147">
        <v>0</v>
      </c>
      <c r="O297" s="147">
        <v>0</v>
      </c>
      <c r="P297" s="148">
        <v>0</v>
      </c>
      <c r="Q297" s="147">
        <v>0</v>
      </c>
      <c r="R297" s="149">
        <v>164000</v>
      </c>
      <c r="S2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7" s="150">
        <f ca="1">+IF(PROVEEDORES[[#This Row],[FECHA DE PAGO]]=0,TODAY()-PROVEEDORES[[#This Row],[FECHA DE FACTURACIÓN]]-PROVEEDORES[[#This Row],[PLAZO Días]],0)</f>
        <v>0</v>
      </c>
      <c r="U297" s="150">
        <f>+VLOOKUP(PROVEEDORES[[#This Row],[PROVEEDOR]],Terceros!$A:$E,4,FALSE)</f>
        <v>0</v>
      </c>
      <c r="V297" s="150">
        <f>+YEAR(PROVEEDORES[[#This Row],[FECHA DE FACTURACIÓN]])</f>
        <v>2023</v>
      </c>
      <c r="W297" s="150">
        <f>+MATCH(PROVEEDORES[[#This Row],[año facturado]],Retenciones!$1:$1,0)</f>
        <v>6</v>
      </c>
      <c r="X297" s="151">
        <f>+VLOOKUP(PROVEEDORES[[#This Row],[ID RETENCION]],Retenciones!$A$1:$O$25,PROVEEDORES[[#This Row],[indicador de columna]],FALSE)</f>
        <v>0</v>
      </c>
      <c r="Y297" s="152">
        <f>+VLOOKUP(PROVEEDORES[[#This Row],[ID RETENCION]],Retenciones!$A$1:$O$25,2,FALSE)</f>
        <v>0</v>
      </c>
      <c r="Z297" s="153" t="b">
        <f>+OR(COUNTIF(PROVEEDORES[[#This Row],[PROVEEDOR]],"*"&amp;'Palabra que no opera y Listas d'!$A$2&amp;"*"))</f>
        <v>0</v>
      </c>
    </row>
    <row r="298" spans="1:26" ht="27.75" customHeight="1" x14ac:dyDescent="0.3">
      <c r="A298" s="144" t="str">
        <f>+IF(PROVEEDORES[[#This Row],[FECHA DE PAGO]]=PROVEEDORES[[#This Row],[FECHA DE FACTURACIÓN]],"DE CONTADO","CRÉDITO")</f>
        <v>CRÉDITO</v>
      </c>
      <c r="B298" s="144" t="str">
        <f>+IF((PROVEEDORES[[#This Row],[FECHA DE PAGO]]-PROVEEDORES[[#This Row],[FECHA DE FACTURACIÓN]])&gt;PROVEEDORES[[#This Row],[PLAZO Días]],"PAGO VENCIDO")</f>
        <v>PAGO VENCIDO</v>
      </c>
      <c r="C298" s="144">
        <f>+VLOOKUP(PROVEEDORES[[#This Row],[PROVEEDOR]],TERCEROS_INFO[#All],2,FALSE)</f>
        <v>0</v>
      </c>
      <c r="D298" s="145">
        <f>+SUMIFS(PROVEEDORES[Total],PROVEEDORES[PROVEEDOR],PROVEEDORES[[#This Row],[PROVEEDOR]],PROVEEDORES[FECHA DE PAGO],"")</f>
        <v>0</v>
      </c>
      <c r="E298" s="146"/>
      <c r="F298" s="144" t="str">
        <f>+VLOOKUP(PROVEEDORES[[#This Row],[PROVEEDOR]],
                       Terceros!$A:$G,
                       5,
                       FALSE)</f>
        <v>2,5% con base</v>
      </c>
      <c r="G298" s="122">
        <v>45057</v>
      </c>
      <c r="H298" s="102" t="s">
        <v>60</v>
      </c>
      <c r="I298" s="122">
        <v>45033</v>
      </c>
      <c r="J298" s="103" t="s">
        <v>769</v>
      </c>
      <c r="K298" s="103" t="s">
        <v>1512</v>
      </c>
      <c r="L298" s="103"/>
      <c r="M298" s="105">
        <v>882353</v>
      </c>
      <c r="N298" s="147">
        <v>167647.07</v>
      </c>
      <c r="O298" s="147">
        <v>0</v>
      </c>
      <c r="P298" s="148">
        <v>0</v>
      </c>
      <c r="Q298" s="147">
        <v>0</v>
      </c>
      <c r="R298" s="149">
        <v>1050000.07</v>
      </c>
      <c r="S2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8" s="150">
        <f ca="1">+IF(PROVEEDORES[[#This Row],[FECHA DE PAGO]]=0,TODAY()-PROVEEDORES[[#This Row],[FECHA DE FACTURACIÓN]]-PROVEEDORES[[#This Row],[PLAZO Días]],0)</f>
        <v>0</v>
      </c>
      <c r="U298" s="150">
        <f>+VLOOKUP(PROVEEDORES[[#This Row],[PROVEEDOR]],Terceros!$A:$E,4,FALSE)</f>
        <v>0.19</v>
      </c>
      <c r="V298" s="150">
        <f>+YEAR(PROVEEDORES[[#This Row],[FECHA DE FACTURACIÓN]])</f>
        <v>2023</v>
      </c>
      <c r="W298" s="150">
        <f>+MATCH(PROVEEDORES[[#This Row],[año facturado]],Retenciones!$1:$1,0)</f>
        <v>6</v>
      </c>
      <c r="X298" s="151" t="e">
        <f>+VLOOKUP(PROVEEDORES[[#This Row],[ID RETENCION]],Retenciones!$A$1:$O$25,PROVEEDORES[[#This Row],[indicador de columna]],FALSE)</f>
        <v>#N/A</v>
      </c>
      <c r="Y298" s="152" t="e">
        <f>+VLOOKUP(PROVEEDORES[[#This Row],[ID RETENCION]],Retenciones!$A$1:$O$25,2,FALSE)</f>
        <v>#N/A</v>
      </c>
      <c r="Z298" s="153" t="b">
        <f>+OR(COUNTIF(PROVEEDORES[[#This Row],[PROVEEDOR]],"*"&amp;'Palabra que no opera y Listas d'!$A$2&amp;"*"))</f>
        <v>0</v>
      </c>
    </row>
    <row r="299" spans="1:26" ht="27.75" customHeight="1" x14ac:dyDescent="0.3">
      <c r="A299" s="144" t="str">
        <f>+IF(PROVEEDORES[[#This Row],[FECHA DE PAGO]]=PROVEEDORES[[#This Row],[FECHA DE FACTURACIÓN]],"DE CONTADO","CRÉDITO")</f>
        <v>DE CONTADO</v>
      </c>
      <c r="B299" s="144" t="b">
        <f>+IF((PROVEEDORES[[#This Row],[FECHA DE PAGO]]-PROVEEDORES[[#This Row],[FECHA DE FACTURACIÓN]])&gt;PROVEEDORES[[#This Row],[PLAZO Días]],"PAGO VENCIDO")</f>
        <v>0</v>
      </c>
      <c r="C299" s="144">
        <f>+VLOOKUP(PROVEEDORES[[#This Row],[PROVEEDOR]],TERCEROS_INFO[#All],2,FALSE)</f>
        <v>0</v>
      </c>
      <c r="D299" s="145">
        <f>+SUMIFS(PROVEEDORES[Total],PROVEEDORES[PROVEEDOR],PROVEEDORES[[#This Row],[PROVEEDOR]],PROVEEDORES[FECHA DE PAGO],"")</f>
        <v>550000</v>
      </c>
      <c r="E299" s="146"/>
      <c r="F299" s="144">
        <f>+VLOOKUP(PROVEEDORES[[#This Row],[PROVEEDOR]],
                       Terceros!$A:$G,
                       5,
                       FALSE)</f>
        <v>0</v>
      </c>
      <c r="G299" s="122">
        <v>45059</v>
      </c>
      <c r="H299" s="102" t="s">
        <v>1784</v>
      </c>
      <c r="I299" s="122">
        <v>45059</v>
      </c>
      <c r="J299" s="103" t="s">
        <v>793</v>
      </c>
      <c r="K299" s="103" t="s">
        <v>1512</v>
      </c>
      <c r="L299" s="103"/>
      <c r="M299" s="105">
        <v>480000</v>
      </c>
      <c r="N299" s="147">
        <v>0</v>
      </c>
      <c r="O299" s="147">
        <v>0</v>
      </c>
      <c r="P299" s="148">
        <v>0</v>
      </c>
      <c r="Q299" s="147">
        <v>0</v>
      </c>
      <c r="R299" s="149">
        <v>480000</v>
      </c>
      <c r="S2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9" s="150">
        <f ca="1">+IF(PROVEEDORES[[#This Row],[FECHA DE PAGO]]=0,TODAY()-PROVEEDORES[[#This Row],[FECHA DE FACTURACIÓN]]-PROVEEDORES[[#This Row],[PLAZO Días]],0)</f>
        <v>0</v>
      </c>
      <c r="U299" s="150">
        <f>+VLOOKUP(PROVEEDORES[[#This Row],[PROVEEDOR]],Terceros!$A:$E,4,FALSE)</f>
        <v>0</v>
      </c>
      <c r="V299" s="150">
        <f>+YEAR(PROVEEDORES[[#This Row],[FECHA DE FACTURACIÓN]])</f>
        <v>2023</v>
      </c>
      <c r="W299" s="150">
        <f>+MATCH(PROVEEDORES[[#This Row],[año facturado]],Retenciones!$1:$1,0)</f>
        <v>6</v>
      </c>
      <c r="X299" s="151">
        <f>+VLOOKUP(PROVEEDORES[[#This Row],[ID RETENCION]],Retenciones!$A$1:$O$25,PROVEEDORES[[#This Row],[indicador de columna]],FALSE)</f>
        <v>0</v>
      </c>
      <c r="Y299" s="152">
        <f>+VLOOKUP(PROVEEDORES[[#This Row],[ID RETENCION]],Retenciones!$A$1:$O$25,2,FALSE)</f>
        <v>0</v>
      </c>
      <c r="Z299" s="153" t="b">
        <f>+OR(COUNTIF(PROVEEDORES[[#This Row],[PROVEEDOR]],"*"&amp;'Palabra que no opera y Listas d'!$A$2&amp;"*"))</f>
        <v>0</v>
      </c>
    </row>
    <row r="300" spans="1:26" ht="27.75" customHeight="1" x14ac:dyDescent="0.3">
      <c r="A300" s="144" t="str">
        <f>+IF(PROVEEDORES[[#This Row],[FECHA DE PAGO]]=PROVEEDORES[[#This Row],[FECHA DE FACTURACIÓN]],"DE CONTADO","CRÉDITO")</f>
        <v>DE CONTADO</v>
      </c>
      <c r="B300" s="144" t="b">
        <f>+IF((PROVEEDORES[[#This Row],[FECHA DE PAGO]]-PROVEEDORES[[#This Row],[FECHA DE FACTURACIÓN]])&gt;PROVEEDORES[[#This Row],[PLAZO Días]],"PAGO VENCIDO")</f>
        <v>0</v>
      </c>
      <c r="C300" s="144">
        <f>+VLOOKUP(PROVEEDORES[[#This Row],[PROVEEDOR]],TERCEROS_INFO[#All],2,FALSE)</f>
        <v>0</v>
      </c>
      <c r="D300" s="145">
        <f>+SUMIFS(PROVEEDORES[Total],PROVEEDORES[PROVEEDOR],PROVEEDORES[[#This Row],[PROVEEDOR]],PROVEEDORES[FECHA DE PAGO],"")</f>
        <v>550000</v>
      </c>
      <c r="E300" s="146"/>
      <c r="F300" s="144">
        <f>+VLOOKUP(PROVEEDORES[[#This Row],[PROVEEDOR]],
                       Terceros!$A:$G,
                       5,
                       FALSE)</f>
        <v>0</v>
      </c>
      <c r="G300" s="122">
        <v>45059</v>
      </c>
      <c r="H300" s="102" t="s">
        <v>1784</v>
      </c>
      <c r="I300" s="122">
        <v>45059</v>
      </c>
      <c r="J300" s="103" t="s">
        <v>792</v>
      </c>
      <c r="K300" s="103" t="s">
        <v>1512</v>
      </c>
      <c r="L300" s="103"/>
      <c r="M300" s="105">
        <v>670000</v>
      </c>
      <c r="N300" s="147">
        <v>0</v>
      </c>
      <c r="O300" s="147">
        <v>0</v>
      </c>
      <c r="P300" s="148">
        <v>0</v>
      </c>
      <c r="Q300" s="147">
        <v>0</v>
      </c>
      <c r="R300" s="149">
        <v>670000</v>
      </c>
      <c r="S3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0" s="150">
        <f ca="1">+IF(PROVEEDORES[[#This Row],[FECHA DE PAGO]]=0,TODAY()-PROVEEDORES[[#This Row],[FECHA DE FACTURACIÓN]]-PROVEEDORES[[#This Row],[PLAZO Días]],0)</f>
        <v>0</v>
      </c>
      <c r="U300" s="150">
        <f>+VLOOKUP(PROVEEDORES[[#This Row],[PROVEEDOR]],Terceros!$A:$E,4,FALSE)</f>
        <v>0</v>
      </c>
      <c r="V300" s="150">
        <f>+YEAR(PROVEEDORES[[#This Row],[FECHA DE FACTURACIÓN]])</f>
        <v>2023</v>
      </c>
      <c r="W300" s="150">
        <f>+MATCH(PROVEEDORES[[#This Row],[año facturado]],Retenciones!$1:$1,0)</f>
        <v>6</v>
      </c>
      <c r="X300" s="151">
        <f>+VLOOKUP(PROVEEDORES[[#This Row],[ID RETENCION]],Retenciones!$A$1:$O$25,PROVEEDORES[[#This Row],[indicador de columna]],FALSE)</f>
        <v>0</v>
      </c>
      <c r="Y300" s="152">
        <f>+VLOOKUP(PROVEEDORES[[#This Row],[ID RETENCION]],Retenciones!$A$1:$O$25,2,FALSE)</f>
        <v>0</v>
      </c>
      <c r="Z300" s="153" t="b">
        <f>+OR(COUNTIF(PROVEEDORES[[#This Row],[PROVEEDOR]],"*"&amp;'Palabra que no opera y Listas d'!$A$2&amp;"*"))</f>
        <v>0</v>
      </c>
    </row>
    <row r="301" spans="1:26" ht="27.75" customHeight="1" x14ac:dyDescent="0.3">
      <c r="A301" s="144" t="str">
        <f>+IF(PROVEEDORES[[#This Row],[FECHA DE PAGO]]=PROVEEDORES[[#This Row],[FECHA DE FACTURACIÓN]],"DE CONTADO","CRÉDITO")</f>
        <v>CRÉDITO</v>
      </c>
      <c r="B301" s="144" t="str">
        <f>+IF((PROVEEDORES[[#This Row],[FECHA DE PAGO]]-PROVEEDORES[[#This Row],[FECHA DE FACTURACIÓN]])&gt;PROVEEDORES[[#This Row],[PLAZO Días]],"PAGO VENCIDO")</f>
        <v>PAGO VENCIDO</v>
      </c>
      <c r="C301" s="144">
        <f>+VLOOKUP(PROVEEDORES[[#This Row],[PROVEEDOR]],TERCEROS_INFO[#All],2,FALSE)</f>
        <v>0</v>
      </c>
      <c r="D301" s="145">
        <f>+SUMIFS(PROVEEDORES[Total],PROVEEDORES[PROVEEDOR],PROVEEDORES[[#This Row],[PROVEEDOR]],PROVEEDORES[FECHA DE PAGO],"")</f>
        <v>3130000</v>
      </c>
      <c r="E301" s="146"/>
      <c r="F301" s="144">
        <f>+VLOOKUP(PROVEEDORES[[#This Row],[PROVEEDOR]],
                       Terceros!$A:$G,
                       5,
                       FALSE)</f>
        <v>0</v>
      </c>
      <c r="G301" s="122">
        <v>45061</v>
      </c>
      <c r="H301" s="102" t="s">
        <v>487</v>
      </c>
      <c r="I301" s="122">
        <v>45026</v>
      </c>
      <c r="J301" s="103" t="s">
        <v>727</v>
      </c>
      <c r="K301" s="103" t="s">
        <v>1512</v>
      </c>
      <c r="L301" s="103"/>
      <c r="M301" s="105">
        <v>815000</v>
      </c>
      <c r="N301" s="147">
        <v>0</v>
      </c>
      <c r="O301" s="147">
        <v>0</v>
      </c>
      <c r="P301" s="148">
        <v>0</v>
      </c>
      <c r="Q301" s="147">
        <v>0</v>
      </c>
      <c r="R301" s="149">
        <v>815000</v>
      </c>
      <c r="S3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1" s="150">
        <f ca="1">+IF(PROVEEDORES[[#This Row],[FECHA DE PAGO]]=0,TODAY()-PROVEEDORES[[#This Row],[FECHA DE FACTURACIÓN]]-PROVEEDORES[[#This Row],[PLAZO Días]],0)</f>
        <v>0</v>
      </c>
      <c r="U301" s="150">
        <f>+VLOOKUP(PROVEEDORES[[#This Row],[PROVEEDOR]],Terceros!$A:$E,4,FALSE)</f>
        <v>0</v>
      </c>
      <c r="V301" s="150">
        <f>+YEAR(PROVEEDORES[[#This Row],[FECHA DE FACTURACIÓN]])</f>
        <v>2023</v>
      </c>
      <c r="W301" s="150">
        <f>+MATCH(PROVEEDORES[[#This Row],[año facturado]],Retenciones!$1:$1,0)</f>
        <v>6</v>
      </c>
      <c r="X301" s="151">
        <f>+VLOOKUP(PROVEEDORES[[#This Row],[ID RETENCION]],Retenciones!$A$1:$O$25,PROVEEDORES[[#This Row],[indicador de columna]],FALSE)</f>
        <v>0</v>
      </c>
      <c r="Y301" s="152">
        <f>+VLOOKUP(PROVEEDORES[[#This Row],[ID RETENCION]],Retenciones!$A$1:$O$25,2,FALSE)</f>
        <v>0</v>
      </c>
      <c r="Z301" s="153" t="b">
        <f>+OR(COUNTIF(PROVEEDORES[[#This Row],[PROVEEDOR]],"*"&amp;'Palabra que no opera y Listas d'!$A$2&amp;"*"))</f>
        <v>0</v>
      </c>
    </row>
    <row r="302" spans="1:26" ht="27.75" customHeight="1" x14ac:dyDescent="0.3">
      <c r="A302" s="144" t="str">
        <f>+IF(PROVEEDORES[[#This Row],[FECHA DE PAGO]]=PROVEEDORES[[#This Row],[FECHA DE FACTURACIÓN]],"DE CONTADO","CRÉDITO")</f>
        <v>CRÉDITO</v>
      </c>
      <c r="B302" s="144" t="str">
        <f>+IF((PROVEEDORES[[#This Row],[FECHA DE PAGO]]-PROVEEDORES[[#This Row],[FECHA DE FACTURACIÓN]])&gt;PROVEEDORES[[#This Row],[PLAZO Días]],"PAGO VENCIDO")</f>
        <v>PAGO VENCIDO</v>
      </c>
      <c r="C302" s="144">
        <f>+VLOOKUP(PROVEEDORES[[#This Row],[PROVEEDOR]],TERCEROS_INFO[#All],2,FALSE)</f>
        <v>0</v>
      </c>
      <c r="D302" s="145">
        <f>+SUMIFS(PROVEEDORES[Total],PROVEEDORES[PROVEEDOR],PROVEEDORES[[#This Row],[PROVEEDOR]],PROVEEDORES[FECHA DE PAGO],"")</f>
        <v>0</v>
      </c>
      <c r="E302" s="146"/>
      <c r="F302" s="144">
        <f>+VLOOKUP(PROVEEDORES[[#This Row],[PROVEEDOR]],
                       Terceros!$A:$G,
                       5,
                       FALSE)</f>
        <v>0</v>
      </c>
      <c r="G302" s="122">
        <v>45061</v>
      </c>
      <c r="H302" s="102" t="s">
        <v>388</v>
      </c>
      <c r="I302" s="122">
        <v>45047</v>
      </c>
      <c r="J302" s="103" t="s">
        <v>780</v>
      </c>
      <c r="K302" s="103" t="s">
        <v>1512</v>
      </c>
      <c r="L302" s="103"/>
      <c r="M302" s="105">
        <v>1840056</v>
      </c>
      <c r="N302" s="147">
        <v>0</v>
      </c>
      <c r="O302" s="147">
        <v>0</v>
      </c>
      <c r="P302" s="148">
        <v>0</v>
      </c>
      <c r="Q302" s="147">
        <v>0</v>
      </c>
      <c r="R302" s="149">
        <v>1840056</v>
      </c>
      <c r="S3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2" s="150">
        <f ca="1">+IF(PROVEEDORES[[#This Row],[FECHA DE PAGO]]=0,TODAY()-PROVEEDORES[[#This Row],[FECHA DE FACTURACIÓN]]-PROVEEDORES[[#This Row],[PLAZO Días]],0)</f>
        <v>0</v>
      </c>
      <c r="U302" s="150">
        <f>+VLOOKUP(PROVEEDORES[[#This Row],[PROVEEDOR]],Terceros!$A:$E,4,FALSE)</f>
        <v>0</v>
      </c>
      <c r="V302" s="150">
        <f>+YEAR(PROVEEDORES[[#This Row],[FECHA DE FACTURACIÓN]])</f>
        <v>2023</v>
      </c>
      <c r="W302" s="150">
        <f>+MATCH(PROVEEDORES[[#This Row],[año facturado]],Retenciones!$1:$1,0)</f>
        <v>6</v>
      </c>
      <c r="X302" s="151">
        <f>+VLOOKUP(PROVEEDORES[[#This Row],[ID RETENCION]],Retenciones!$A$1:$O$25,PROVEEDORES[[#This Row],[indicador de columna]],FALSE)</f>
        <v>0</v>
      </c>
      <c r="Y302" s="152">
        <f>+VLOOKUP(PROVEEDORES[[#This Row],[ID RETENCION]],Retenciones!$A$1:$O$25,2,FALSE)</f>
        <v>0</v>
      </c>
      <c r="Z302" s="153" t="b">
        <f>+OR(COUNTIF(PROVEEDORES[[#This Row],[PROVEEDOR]],"*"&amp;'Palabra que no opera y Listas d'!$A$2&amp;"*"))</f>
        <v>1</v>
      </c>
    </row>
    <row r="303" spans="1:26" ht="27.75" customHeight="1" x14ac:dyDescent="0.3">
      <c r="A303" s="144" t="str">
        <f>+IF(PROVEEDORES[[#This Row],[FECHA DE PAGO]]=PROVEEDORES[[#This Row],[FECHA DE FACTURACIÓN]],"DE CONTADO","CRÉDITO")</f>
        <v>CRÉDITO</v>
      </c>
      <c r="B303" s="144" t="str">
        <f>+IF((PROVEEDORES[[#This Row],[FECHA DE PAGO]]-PROVEEDORES[[#This Row],[FECHA DE FACTURACIÓN]])&gt;PROVEEDORES[[#This Row],[PLAZO Días]],"PAGO VENCIDO")</f>
        <v>PAGO VENCIDO</v>
      </c>
      <c r="C303" s="144">
        <f>+VLOOKUP(PROVEEDORES[[#This Row],[PROVEEDOR]],TERCEROS_INFO[#All],2,FALSE)</f>
        <v>0</v>
      </c>
      <c r="D303" s="145">
        <f>+SUMIFS(PROVEEDORES[Total],PROVEEDORES[PROVEEDOR],PROVEEDORES[[#This Row],[PROVEEDOR]],PROVEEDORES[FECHA DE PAGO],"")</f>
        <v>2095000</v>
      </c>
      <c r="E303" s="146"/>
      <c r="F303" s="144">
        <f>+VLOOKUP(PROVEEDORES[[#This Row],[PROVEEDOR]],
                       Terceros!$A:$G,
                       5,
                       FALSE)</f>
        <v>0</v>
      </c>
      <c r="G303" s="122">
        <v>45063</v>
      </c>
      <c r="H303" s="102" t="s">
        <v>1781</v>
      </c>
      <c r="I303" s="122">
        <v>45028</v>
      </c>
      <c r="J303" s="103">
        <v>39</v>
      </c>
      <c r="K303" s="103" t="s">
        <v>1512</v>
      </c>
      <c r="L303" s="103"/>
      <c r="M303" s="105">
        <v>1165000</v>
      </c>
      <c r="N303" s="147">
        <v>0</v>
      </c>
      <c r="O303" s="147">
        <v>0</v>
      </c>
      <c r="P303" s="148">
        <v>0</v>
      </c>
      <c r="Q303" s="147">
        <v>0</v>
      </c>
      <c r="R303" s="149">
        <v>1165000</v>
      </c>
      <c r="S3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3" s="150">
        <f ca="1">+IF(PROVEEDORES[[#This Row],[FECHA DE PAGO]]=0,TODAY()-PROVEEDORES[[#This Row],[FECHA DE FACTURACIÓN]]-PROVEEDORES[[#This Row],[PLAZO Días]],0)</f>
        <v>0</v>
      </c>
      <c r="U303" s="150">
        <f>+VLOOKUP(PROVEEDORES[[#This Row],[PROVEEDOR]],Terceros!$A:$E,4,FALSE)</f>
        <v>0</v>
      </c>
      <c r="V303" s="150">
        <f>+YEAR(PROVEEDORES[[#This Row],[FECHA DE FACTURACIÓN]])</f>
        <v>2023</v>
      </c>
      <c r="W303" s="150">
        <f>+MATCH(PROVEEDORES[[#This Row],[año facturado]],Retenciones!$1:$1,0)</f>
        <v>6</v>
      </c>
      <c r="X303" s="151">
        <f>+VLOOKUP(PROVEEDORES[[#This Row],[ID RETENCION]],Retenciones!$A$1:$O$25,PROVEEDORES[[#This Row],[indicador de columna]],FALSE)</f>
        <v>0</v>
      </c>
      <c r="Y303" s="152">
        <f>+VLOOKUP(PROVEEDORES[[#This Row],[ID RETENCION]],Retenciones!$A$1:$O$25,2,FALSE)</f>
        <v>0</v>
      </c>
      <c r="Z303" s="153" t="b">
        <f>+OR(COUNTIF(PROVEEDORES[[#This Row],[PROVEEDOR]],"*"&amp;'Palabra que no opera y Listas d'!$A$2&amp;"*"))</f>
        <v>0</v>
      </c>
    </row>
    <row r="304" spans="1:26" ht="27.75" customHeight="1" x14ac:dyDescent="0.3">
      <c r="A304" s="144" t="str">
        <f>+IF(PROVEEDORES[[#This Row],[FECHA DE PAGO]]=PROVEEDORES[[#This Row],[FECHA DE FACTURACIÓN]],"DE CONTADO","CRÉDITO")</f>
        <v>DE CONTADO</v>
      </c>
      <c r="B304" s="144" t="b">
        <f>+IF((PROVEEDORES[[#This Row],[FECHA DE PAGO]]-PROVEEDORES[[#This Row],[FECHA DE FACTURACIÓN]])&gt;PROVEEDORES[[#This Row],[PLAZO Días]],"PAGO VENCIDO")</f>
        <v>0</v>
      </c>
      <c r="C304" s="144">
        <f>+VLOOKUP(PROVEEDORES[[#This Row],[PROVEEDOR]],TERCEROS_INFO[#All],2,FALSE)</f>
        <v>0</v>
      </c>
      <c r="D304" s="145">
        <f>+SUMIFS(PROVEEDORES[Total],PROVEEDORES[PROVEEDOR],PROVEEDORES[[#This Row],[PROVEEDOR]],PROVEEDORES[FECHA DE PAGO],"")</f>
        <v>0</v>
      </c>
      <c r="E304" s="146"/>
      <c r="F304" s="144" t="str">
        <f>+VLOOKUP(PROVEEDORES[[#This Row],[PROVEEDOR]],
                       Terceros!$A:$G,
                       5,
                       FALSE)</f>
        <v>2,5% con base</v>
      </c>
      <c r="G304" s="122">
        <v>45063</v>
      </c>
      <c r="H304" s="102" t="s">
        <v>35</v>
      </c>
      <c r="I304" s="122">
        <v>45063</v>
      </c>
      <c r="J304" s="103" t="s">
        <v>794</v>
      </c>
      <c r="K304" s="103" t="s">
        <v>1512</v>
      </c>
      <c r="L304" s="103"/>
      <c r="M304" s="105">
        <v>213958</v>
      </c>
      <c r="N304" s="147">
        <v>40652.020000000004</v>
      </c>
      <c r="O304" s="147">
        <v>0</v>
      </c>
      <c r="P304" s="148">
        <v>0</v>
      </c>
      <c r="Q304" s="147">
        <v>0</v>
      </c>
      <c r="R304" s="149">
        <v>254610.02000000002</v>
      </c>
      <c r="S3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4" s="150">
        <f ca="1">+IF(PROVEEDORES[[#This Row],[FECHA DE PAGO]]=0,TODAY()-PROVEEDORES[[#This Row],[FECHA DE FACTURACIÓN]]-PROVEEDORES[[#This Row],[PLAZO Días]],0)</f>
        <v>0</v>
      </c>
      <c r="U304" s="150">
        <f>+VLOOKUP(PROVEEDORES[[#This Row],[PROVEEDOR]],Terceros!$A:$E,4,FALSE)</f>
        <v>0.19</v>
      </c>
      <c r="V304" s="150">
        <f>+YEAR(PROVEEDORES[[#This Row],[FECHA DE FACTURACIÓN]])</f>
        <v>2023</v>
      </c>
      <c r="W304" s="150">
        <f>+MATCH(PROVEEDORES[[#This Row],[año facturado]],Retenciones!$1:$1,0)</f>
        <v>6</v>
      </c>
      <c r="X304" s="151" t="e">
        <f>+VLOOKUP(PROVEEDORES[[#This Row],[ID RETENCION]],Retenciones!$A$1:$O$25,PROVEEDORES[[#This Row],[indicador de columna]],FALSE)</f>
        <v>#N/A</v>
      </c>
      <c r="Y304" s="152" t="e">
        <f>+VLOOKUP(PROVEEDORES[[#This Row],[ID RETENCION]],Retenciones!$A$1:$O$25,2,FALSE)</f>
        <v>#N/A</v>
      </c>
      <c r="Z304" s="153" t="b">
        <f>+OR(COUNTIF(PROVEEDORES[[#This Row],[PROVEEDOR]],"*"&amp;'Palabra que no opera y Listas d'!$A$2&amp;"*"))</f>
        <v>0</v>
      </c>
    </row>
    <row r="305" spans="1:26" ht="27.75" customHeight="1" x14ac:dyDescent="0.3">
      <c r="A305" s="144" t="str">
        <f>+IF(PROVEEDORES[[#This Row],[FECHA DE PAGO]]=PROVEEDORES[[#This Row],[FECHA DE FACTURACIÓN]],"DE CONTADO","CRÉDITO")</f>
        <v>CRÉDITO</v>
      </c>
      <c r="B305" s="144" t="str">
        <f>+IF((PROVEEDORES[[#This Row],[FECHA DE PAGO]]-PROVEEDORES[[#This Row],[FECHA DE FACTURACIÓN]])&gt;PROVEEDORES[[#This Row],[PLAZO Días]],"PAGO VENCIDO")</f>
        <v>PAGO VENCIDO</v>
      </c>
      <c r="C305" s="144">
        <f>+VLOOKUP(PROVEEDORES[[#This Row],[PROVEEDOR]],TERCEROS_INFO[#All],2,FALSE)</f>
        <v>0</v>
      </c>
      <c r="D305" s="145">
        <f>+SUMIFS(PROVEEDORES[Total],PROVEEDORES[PROVEEDOR],PROVEEDORES[[#This Row],[PROVEEDOR]],PROVEEDORES[FECHA DE PAGO],"")</f>
        <v>8493745.8849999998</v>
      </c>
      <c r="E305" s="146"/>
      <c r="F305" s="144" t="str">
        <f>+VLOOKUP(PROVEEDORES[[#This Row],[PROVEEDOR]],
                       Terceros!$A:$G,
                       5,
                       FALSE)</f>
        <v>2,5% con base</v>
      </c>
      <c r="G305" s="122">
        <v>45064</v>
      </c>
      <c r="H305" s="102" t="s">
        <v>10</v>
      </c>
      <c r="I305" s="122">
        <v>45009</v>
      </c>
      <c r="J305" s="103" t="s">
        <v>662</v>
      </c>
      <c r="K305" s="103" t="s">
        <v>1512</v>
      </c>
      <c r="L305" s="103"/>
      <c r="M305" s="105">
        <v>3503790</v>
      </c>
      <c r="N305" s="147">
        <v>665720.1</v>
      </c>
      <c r="O305" s="147">
        <v>0</v>
      </c>
      <c r="P305" s="148">
        <v>2.5000000000000001E-2</v>
      </c>
      <c r="Q305" s="147">
        <v>87594.75</v>
      </c>
      <c r="R305" s="149">
        <v>4081915.35</v>
      </c>
      <c r="S3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5" s="150">
        <f ca="1">+IF(PROVEEDORES[[#This Row],[FECHA DE PAGO]]=0,TODAY()-PROVEEDORES[[#This Row],[FECHA DE FACTURACIÓN]]-PROVEEDORES[[#This Row],[PLAZO Días]],0)</f>
        <v>0</v>
      </c>
      <c r="U305" s="150">
        <f>+VLOOKUP(PROVEEDORES[[#This Row],[PROVEEDOR]],Terceros!$A:$E,4,FALSE)</f>
        <v>0.19</v>
      </c>
      <c r="V305" s="150">
        <f>+YEAR(PROVEEDORES[[#This Row],[FECHA DE FACTURACIÓN]])</f>
        <v>2023</v>
      </c>
      <c r="W305" s="150">
        <f>+MATCH(PROVEEDORES[[#This Row],[año facturado]],Retenciones!$1:$1,0)</f>
        <v>6</v>
      </c>
      <c r="X305" s="151" t="e">
        <f>+VLOOKUP(PROVEEDORES[[#This Row],[ID RETENCION]],Retenciones!$A$1:$O$25,PROVEEDORES[[#This Row],[indicador de columna]],FALSE)</f>
        <v>#N/A</v>
      </c>
      <c r="Y305" s="152" t="e">
        <f>+VLOOKUP(PROVEEDORES[[#This Row],[ID RETENCION]],Retenciones!$A$1:$O$25,2,FALSE)</f>
        <v>#N/A</v>
      </c>
      <c r="Z305" s="153" t="b">
        <f>+OR(COUNTIF(PROVEEDORES[[#This Row],[PROVEEDOR]],"*"&amp;'Palabra que no opera y Listas d'!$A$2&amp;"*"))</f>
        <v>0</v>
      </c>
    </row>
    <row r="306" spans="1:26" ht="27.75" customHeight="1" x14ac:dyDescent="0.3">
      <c r="A306" s="144" t="str">
        <f>+IF(PROVEEDORES[[#This Row],[FECHA DE PAGO]]=PROVEEDORES[[#This Row],[FECHA DE FACTURACIÓN]],"DE CONTADO","CRÉDITO")</f>
        <v>CRÉDITO</v>
      </c>
      <c r="B306" s="144" t="str">
        <f>+IF((PROVEEDORES[[#This Row],[FECHA DE PAGO]]-PROVEEDORES[[#This Row],[FECHA DE FACTURACIÓN]])&gt;PROVEEDORES[[#This Row],[PLAZO Días]],"PAGO VENCIDO")</f>
        <v>PAGO VENCIDO</v>
      </c>
      <c r="C306" s="144">
        <f>+VLOOKUP(PROVEEDORES[[#This Row],[PROVEEDOR]],TERCEROS_INFO[#All],2,FALSE)</f>
        <v>0</v>
      </c>
      <c r="D306" s="145">
        <f>+SUMIFS(PROVEEDORES[Total],PROVEEDORES[PROVEEDOR],PROVEEDORES[[#This Row],[PROVEEDOR]],PROVEEDORES[FECHA DE PAGO],"")</f>
        <v>0</v>
      </c>
      <c r="E306" s="146"/>
      <c r="F306" s="144">
        <f>+VLOOKUP(PROVEEDORES[[#This Row],[PROVEEDOR]],
                       Terceros!$A:$G,
                       5,
                       FALSE)</f>
        <v>0</v>
      </c>
      <c r="G306" s="122">
        <v>45064</v>
      </c>
      <c r="H306" s="102" t="s">
        <v>508</v>
      </c>
      <c r="I306" s="122">
        <v>45013</v>
      </c>
      <c r="J306" s="103" t="s">
        <v>677</v>
      </c>
      <c r="K306" s="103" t="s">
        <v>1512</v>
      </c>
      <c r="L306" s="103"/>
      <c r="M306" s="105">
        <v>722520</v>
      </c>
      <c r="N306" s="147">
        <v>137278.79999999999</v>
      </c>
      <c r="O306" s="147">
        <v>0</v>
      </c>
      <c r="P306" s="148">
        <v>0</v>
      </c>
      <c r="Q306" s="147">
        <v>0</v>
      </c>
      <c r="R306" s="149">
        <v>859798.8</v>
      </c>
      <c r="S3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6" s="150">
        <f ca="1">+IF(PROVEEDORES[[#This Row],[FECHA DE PAGO]]=0,TODAY()-PROVEEDORES[[#This Row],[FECHA DE FACTURACIÓN]]-PROVEEDORES[[#This Row],[PLAZO Días]],0)</f>
        <v>0</v>
      </c>
      <c r="U306" s="150">
        <f>+VLOOKUP(PROVEEDORES[[#This Row],[PROVEEDOR]],Terceros!$A:$E,4,FALSE)</f>
        <v>0.19</v>
      </c>
      <c r="V306" s="150">
        <f>+YEAR(PROVEEDORES[[#This Row],[FECHA DE FACTURACIÓN]])</f>
        <v>2023</v>
      </c>
      <c r="W306" s="150">
        <f>+MATCH(PROVEEDORES[[#This Row],[año facturado]],Retenciones!$1:$1,0)</f>
        <v>6</v>
      </c>
      <c r="X306" s="151" t="e">
        <f>+VLOOKUP(PROVEEDORES[[#This Row],[ID RETENCION]],Retenciones!$A$1:$O$25,PROVEEDORES[[#This Row],[indicador de columna]],FALSE)</f>
        <v>#N/A</v>
      </c>
      <c r="Y306" s="152" t="e">
        <f>+VLOOKUP(PROVEEDORES[[#This Row],[ID RETENCION]],Retenciones!$A$1:$O$25,2,FALSE)</f>
        <v>#N/A</v>
      </c>
      <c r="Z306" s="153" t="b">
        <f>+OR(COUNTIF(PROVEEDORES[[#This Row],[PROVEEDOR]],"*"&amp;'Palabra que no opera y Listas d'!$A$2&amp;"*"))</f>
        <v>1</v>
      </c>
    </row>
    <row r="307" spans="1:26" ht="27.75" customHeight="1" x14ac:dyDescent="0.3">
      <c r="A307" s="144" t="str">
        <f>+IF(PROVEEDORES[[#This Row],[FECHA DE PAGO]]=PROVEEDORES[[#This Row],[FECHA DE FACTURACIÓN]],"DE CONTADO","CRÉDITO")</f>
        <v>CRÉDITO</v>
      </c>
      <c r="B307" s="144" t="str">
        <f>+IF((PROVEEDORES[[#This Row],[FECHA DE PAGO]]-PROVEEDORES[[#This Row],[FECHA DE FACTURACIÓN]])&gt;PROVEEDORES[[#This Row],[PLAZO Días]],"PAGO VENCIDO")</f>
        <v>PAGO VENCIDO</v>
      </c>
      <c r="C307" s="144">
        <f>+VLOOKUP(PROVEEDORES[[#This Row],[PROVEEDOR]],TERCEROS_INFO[#All],2,FALSE)</f>
        <v>0</v>
      </c>
      <c r="D307" s="145">
        <f>+SUMIFS(PROVEEDORES[Total],PROVEEDORES[PROVEEDOR],PROVEEDORES[[#This Row],[PROVEEDOR]],PROVEEDORES[FECHA DE PAGO],"")</f>
        <v>8493745.8849999998</v>
      </c>
      <c r="E307" s="146"/>
      <c r="F307" s="144" t="str">
        <f>+VLOOKUP(PROVEEDORES[[#This Row],[PROVEEDOR]],
                       Terceros!$A:$G,
                       5,
                       FALSE)</f>
        <v>2,5% con base</v>
      </c>
      <c r="G307" s="122">
        <v>45064</v>
      </c>
      <c r="H307" s="102" t="s">
        <v>10</v>
      </c>
      <c r="I307" s="122">
        <v>45019</v>
      </c>
      <c r="J307" s="103" t="s">
        <v>725</v>
      </c>
      <c r="K307" s="103" t="s">
        <v>1512</v>
      </c>
      <c r="L307" s="103"/>
      <c r="M307" s="105">
        <v>700758</v>
      </c>
      <c r="N307" s="147">
        <v>133144.01999999999</v>
      </c>
      <c r="O307" s="147">
        <v>0</v>
      </c>
      <c r="P307" s="148">
        <v>0</v>
      </c>
      <c r="Q307" s="147">
        <v>0</v>
      </c>
      <c r="R307" s="149">
        <v>833902.02</v>
      </c>
      <c r="S3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7" s="150">
        <f ca="1">+IF(PROVEEDORES[[#This Row],[FECHA DE PAGO]]=0,TODAY()-PROVEEDORES[[#This Row],[FECHA DE FACTURACIÓN]]-PROVEEDORES[[#This Row],[PLAZO Días]],0)</f>
        <v>0</v>
      </c>
      <c r="U307" s="150">
        <f>+VLOOKUP(PROVEEDORES[[#This Row],[PROVEEDOR]],Terceros!$A:$E,4,FALSE)</f>
        <v>0.19</v>
      </c>
      <c r="V307" s="150">
        <f>+YEAR(PROVEEDORES[[#This Row],[FECHA DE FACTURACIÓN]])</f>
        <v>2023</v>
      </c>
      <c r="W307" s="150">
        <f>+MATCH(PROVEEDORES[[#This Row],[año facturado]],Retenciones!$1:$1,0)</f>
        <v>6</v>
      </c>
      <c r="X307" s="151" t="e">
        <f>+VLOOKUP(PROVEEDORES[[#This Row],[ID RETENCION]],Retenciones!$A$1:$O$25,PROVEEDORES[[#This Row],[indicador de columna]],FALSE)</f>
        <v>#N/A</v>
      </c>
      <c r="Y307" s="152" t="e">
        <f>+VLOOKUP(PROVEEDORES[[#This Row],[ID RETENCION]],Retenciones!$A$1:$O$25,2,FALSE)</f>
        <v>#N/A</v>
      </c>
      <c r="Z307" s="153" t="b">
        <f>+OR(COUNTIF(PROVEEDORES[[#This Row],[PROVEEDOR]],"*"&amp;'Palabra que no opera y Listas d'!$A$2&amp;"*"))</f>
        <v>0</v>
      </c>
    </row>
    <row r="308" spans="1:26" ht="27.75" customHeight="1" x14ac:dyDescent="0.3">
      <c r="A308" s="144" t="str">
        <f>+IF(PROVEEDORES[[#This Row],[FECHA DE PAGO]]=PROVEEDORES[[#This Row],[FECHA DE FACTURACIÓN]],"DE CONTADO","CRÉDITO")</f>
        <v>CRÉDITO</v>
      </c>
      <c r="B308" s="144" t="str">
        <f>+IF((PROVEEDORES[[#This Row],[FECHA DE PAGO]]-PROVEEDORES[[#This Row],[FECHA DE FACTURACIÓN]])&gt;PROVEEDORES[[#This Row],[PLAZO Días]],"PAGO VENCIDO")</f>
        <v>PAGO VENCIDO</v>
      </c>
      <c r="C308" s="144">
        <f>+VLOOKUP(PROVEEDORES[[#This Row],[PROVEEDOR]],TERCEROS_INFO[#All],2,FALSE)</f>
        <v>0</v>
      </c>
      <c r="D308" s="145">
        <f>+SUMIFS(PROVEEDORES[Total],PROVEEDORES[PROVEEDOR],PROVEEDORES[[#This Row],[PROVEEDOR]],PROVEEDORES[FECHA DE PAGO],"")</f>
        <v>8493745.8849999998</v>
      </c>
      <c r="E308" s="146"/>
      <c r="F308" s="144" t="str">
        <f>+VLOOKUP(PROVEEDORES[[#This Row],[PROVEEDOR]],
                       Terceros!$A:$G,
                       5,
                       FALSE)</f>
        <v>2,5% con base</v>
      </c>
      <c r="G308" s="122">
        <v>45064</v>
      </c>
      <c r="H308" s="102" t="s">
        <v>10</v>
      </c>
      <c r="I308" s="122">
        <v>45029</v>
      </c>
      <c r="J308" s="103" t="s">
        <v>724</v>
      </c>
      <c r="K308" s="103" t="s">
        <v>1512</v>
      </c>
      <c r="L308" s="103"/>
      <c r="M308" s="105">
        <v>2803032</v>
      </c>
      <c r="N308" s="147">
        <v>532576.07999999996</v>
      </c>
      <c r="O308" s="147">
        <v>0</v>
      </c>
      <c r="P308" s="148">
        <v>2.5000000000000001E-2</v>
      </c>
      <c r="Q308" s="147">
        <v>70075.8</v>
      </c>
      <c r="R308" s="149">
        <v>3265532.2800000003</v>
      </c>
      <c r="S3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8" s="150">
        <f ca="1">+IF(PROVEEDORES[[#This Row],[FECHA DE PAGO]]=0,TODAY()-PROVEEDORES[[#This Row],[FECHA DE FACTURACIÓN]]-PROVEEDORES[[#This Row],[PLAZO Días]],0)</f>
        <v>0</v>
      </c>
      <c r="U308" s="150">
        <f>+VLOOKUP(PROVEEDORES[[#This Row],[PROVEEDOR]],Terceros!$A:$E,4,FALSE)</f>
        <v>0.19</v>
      </c>
      <c r="V308" s="150">
        <f>+YEAR(PROVEEDORES[[#This Row],[FECHA DE FACTURACIÓN]])</f>
        <v>2023</v>
      </c>
      <c r="W308" s="150">
        <f>+MATCH(PROVEEDORES[[#This Row],[año facturado]],Retenciones!$1:$1,0)</f>
        <v>6</v>
      </c>
      <c r="X308" s="151" t="e">
        <f>+VLOOKUP(PROVEEDORES[[#This Row],[ID RETENCION]],Retenciones!$A$1:$O$25,PROVEEDORES[[#This Row],[indicador de columna]],FALSE)</f>
        <v>#N/A</v>
      </c>
      <c r="Y308" s="152" t="e">
        <f>+VLOOKUP(PROVEEDORES[[#This Row],[ID RETENCION]],Retenciones!$A$1:$O$25,2,FALSE)</f>
        <v>#N/A</v>
      </c>
      <c r="Z308" s="153" t="b">
        <f>+OR(COUNTIF(PROVEEDORES[[#This Row],[PROVEEDOR]],"*"&amp;'Palabra que no opera y Listas d'!$A$2&amp;"*"))</f>
        <v>0</v>
      </c>
    </row>
    <row r="309" spans="1:26" ht="27.75" customHeight="1" x14ac:dyDescent="0.3">
      <c r="A309" s="144" t="str">
        <f>+IF(PROVEEDORES[[#This Row],[FECHA DE PAGO]]=PROVEEDORES[[#This Row],[FECHA DE FACTURACIÓN]],"DE CONTADO","CRÉDITO")</f>
        <v>CRÉDITO</v>
      </c>
      <c r="B309" s="144" t="str">
        <f>+IF((PROVEEDORES[[#This Row],[FECHA DE PAGO]]-PROVEEDORES[[#This Row],[FECHA DE FACTURACIÓN]])&gt;PROVEEDORES[[#This Row],[PLAZO Días]],"PAGO VENCIDO")</f>
        <v>PAGO VENCIDO</v>
      </c>
      <c r="C309" s="144">
        <f>+VLOOKUP(PROVEEDORES[[#This Row],[PROVEEDOR]],TERCEROS_INFO[#All],2,FALSE)</f>
        <v>0</v>
      </c>
      <c r="D309" s="145">
        <f>+SUMIFS(PROVEEDORES[Total],PROVEEDORES[PROVEEDOR],PROVEEDORES[[#This Row],[PROVEEDOR]],PROVEEDORES[FECHA DE PAGO],"")</f>
        <v>0</v>
      </c>
      <c r="E309" s="146"/>
      <c r="F309" s="144">
        <f>+VLOOKUP(PROVEEDORES[[#This Row],[PROVEEDOR]],
                       Terceros!$A:$G,
                       5,
                       FALSE)</f>
        <v>0</v>
      </c>
      <c r="G309" s="122">
        <v>45070</v>
      </c>
      <c r="H309" s="102" t="s">
        <v>496</v>
      </c>
      <c r="I309" s="122">
        <v>45069</v>
      </c>
      <c r="J309" s="103" t="s">
        <v>820</v>
      </c>
      <c r="K309" s="103" t="s">
        <v>1512</v>
      </c>
      <c r="L309" s="103"/>
      <c r="M309" s="105">
        <v>2566000</v>
      </c>
      <c r="N309" s="147">
        <v>0</v>
      </c>
      <c r="O309" s="147">
        <v>0</v>
      </c>
      <c r="P309" s="148">
        <v>0</v>
      </c>
      <c r="Q309" s="147">
        <v>0</v>
      </c>
      <c r="R309" s="149">
        <v>2566000</v>
      </c>
      <c r="S3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9" s="150">
        <f ca="1">+IF(PROVEEDORES[[#This Row],[FECHA DE PAGO]]=0,TODAY()-PROVEEDORES[[#This Row],[FECHA DE FACTURACIÓN]]-PROVEEDORES[[#This Row],[PLAZO Días]],0)</f>
        <v>0</v>
      </c>
      <c r="U309" s="150">
        <f>+VLOOKUP(PROVEEDORES[[#This Row],[PROVEEDOR]],Terceros!$A:$E,4,FALSE)</f>
        <v>0</v>
      </c>
      <c r="V309" s="150">
        <f>+YEAR(PROVEEDORES[[#This Row],[FECHA DE FACTURACIÓN]])</f>
        <v>2023</v>
      </c>
      <c r="W309" s="150">
        <f>+MATCH(PROVEEDORES[[#This Row],[año facturado]],Retenciones!$1:$1,0)</f>
        <v>6</v>
      </c>
      <c r="X309" s="151">
        <f>+VLOOKUP(PROVEEDORES[[#This Row],[ID RETENCION]],Retenciones!$A$1:$O$25,PROVEEDORES[[#This Row],[indicador de columna]],FALSE)</f>
        <v>0</v>
      </c>
      <c r="Y309" s="152">
        <f>+VLOOKUP(PROVEEDORES[[#This Row],[ID RETENCION]],Retenciones!$A$1:$O$25,2,FALSE)</f>
        <v>0</v>
      </c>
      <c r="Z309" s="153" t="b">
        <f>+OR(COUNTIF(PROVEEDORES[[#This Row],[PROVEEDOR]],"*"&amp;'Palabra que no opera y Listas d'!$A$2&amp;"*"))</f>
        <v>0</v>
      </c>
    </row>
    <row r="310" spans="1:26" ht="27.75" customHeight="1" x14ac:dyDescent="0.3">
      <c r="A310" s="144" t="str">
        <f>+IF(PROVEEDORES[[#This Row],[FECHA DE PAGO]]=PROVEEDORES[[#This Row],[FECHA DE FACTURACIÓN]],"DE CONTADO","CRÉDITO")</f>
        <v>DE CONTADO</v>
      </c>
      <c r="B310" s="144" t="b">
        <f>+IF((PROVEEDORES[[#This Row],[FECHA DE PAGO]]-PROVEEDORES[[#This Row],[FECHA DE FACTURACIÓN]])&gt;PROVEEDORES[[#This Row],[PLAZO Días]],"PAGO VENCIDO")</f>
        <v>0</v>
      </c>
      <c r="C310" s="144">
        <f>+VLOOKUP(PROVEEDORES[[#This Row],[PROVEEDOR]],TERCEROS_INFO[#All],2,FALSE)</f>
        <v>0</v>
      </c>
      <c r="D310" s="145">
        <f>+SUMIFS(PROVEEDORES[Total],PROVEEDORES[PROVEEDOR],PROVEEDORES[[#This Row],[PROVEEDOR]],PROVEEDORES[FECHA DE PAGO],"")</f>
        <v>0</v>
      </c>
      <c r="E310" s="146"/>
      <c r="F310" s="144" t="str">
        <f>+VLOOKUP(PROVEEDORES[[#This Row],[PROVEEDOR]],
                       Terceros!$A:$G,
                       5,
                       FALSE)</f>
        <v>2,5% con base</v>
      </c>
      <c r="G310" s="122">
        <v>45070</v>
      </c>
      <c r="H310" s="102" t="s">
        <v>35</v>
      </c>
      <c r="I310" s="122">
        <v>45070</v>
      </c>
      <c r="J310" s="103" t="s">
        <v>813</v>
      </c>
      <c r="K310" s="103" t="s">
        <v>1512</v>
      </c>
      <c r="L310" s="103"/>
      <c r="M310" s="105">
        <v>1547900</v>
      </c>
      <c r="N310" s="147">
        <v>294101</v>
      </c>
      <c r="O310" s="147">
        <v>0</v>
      </c>
      <c r="P310" s="148">
        <v>2.5000000000000001E-2</v>
      </c>
      <c r="Q310" s="147">
        <v>38697.5</v>
      </c>
      <c r="R310" s="149">
        <v>1803303.5</v>
      </c>
      <c r="S3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0" s="150">
        <f ca="1">+IF(PROVEEDORES[[#This Row],[FECHA DE PAGO]]=0,TODAY()-PROVEEDORES[[#This Row],[FECHA DE FACTURACIÓN]]-PROVEEDORES[[#This Row],[PLAZO Días]],0)</f>
        <v>0</v>
      </c>
      <c r="U310" s="150">
        <f>+VLOOKUP(PROVEEDORES[[#This Row],[PROVEEDOR]],Terceros!$A:$E,4,FALSE)</f>
        <v>0.19</v>
      </c>
      <c r="V310" s="150">
        <f>+YEAR(PROVEEDORES[[#This Row],[FECHA DE FACTURACIÓN]])</f>
        <v>2023</v>
      </c>
      <c r="W310" s="150">
        <f>+MATCH(PROVEEDORES[[#This Row],[año facturado]],Retenciones!$1:$1,0)</f>
        <v>6</v>
      </c>
      <c r="X310" s="151" t="e">
        <f>+VLOOKUP(PROVEEDORES[[#This Row],[ID RETENCION]],Retenciones!$A$1:$O$25,PROVEEDORES[[#This Row],[indicador de columna]],FALSE)</f>
        <v>#N/A</v>
      </c>
      <c r="Y310" s="152" t="e">
        <f>+VLOOKUP(PROVEEDORES[[#This Row],[ID RETENCION]],Retenciones!$A$1:$O$25,2,FALSE)</f>
        <v>#N/A</v>
      </c>
      <c r="Z310" s="153" t="b">
        <f>+OR(COUNTIF(PROVEEDORES[[#This Row],[PROVEEDOR]],"*"&amp;'Palabra que no opera y Listas d'!$A$2&amp;"*"))</f>
        <v>0</v>
      </c>
    </row>
    <row r="311" spans="1:26" ht="27.75" customHeight="1" x14ac:dyDescent="0.3">
      <c r="A311" s="144" t="str">
        <f>+IF(PROVEEDORES[[#This Row],[FECHA DE PAGO]]=PROVEEDORES[[#This Row],[FECHA DE FACTURACIÓN]],"DE CONTADO","CRÉDITO")</f>
        <v>DE CONTADO</v>
      </c>
      <c r="B311" s="144" t="b">
        <f>+IF((PROVEEDORES[[#This Row],[FECHA DE PAGO]]-PROVEEDORES[[#This Row],[FECHA DE FACTURACIÓN]])&gt;PROVEEDORES[[#This Row],[PLAZO Días]],"PAGO VENCIDO")</f>
        <v>0</v>
      </c>
      <c r="C311" s="144">
        <f>+VLOOKUP(PROVEEDORES[[#This Row],[PROVEEDOR]],TERCEROS_INFO[#All],2,FALSE)</f>
        <v>0</v>
      </c>
      <c r="D311" s="145">
        <f>+SUMIFS(PROVEEDORES[Total],PROVEEDORES[PROVEEDOR],PROVEEDORES[[#This Row],[PROVEEDOR]],PROVEEDORES[FECHA DE PAGO],"")</f>
        <v>0</v>
      </c>
      <c r="E311" s="146"/>
      <c r="F311" s="144">
        <f>+VLOOKUP(PROVEEDORES[[#This Row],[PROVEEDOR]],
                       Terceros!$A:$G,
                       5,
                       FALSE)</f>
        <v>0</v>
      </c>
      <c r="G311" s="122">
        <v>45070</v>
      </c>
      <c r="H311" s="102" t="s">
        <v>537</v>
      </c>
      <c r="I311" s="122">
        <v>45070</v>
      </c>
      <c r="J311" s="103" t="s">
        <v>817</v>
      </c>
      <c r="K311" s="103" t="s">
        <v>1512</v>
      </c>
      <c r="L311" s="103"/>
      <c r="M311" s="105">
        <v>432000</v>
      </c>
      <c r="N311" s="147">
        <v>0</v>
      </c>
      <c r="O311" s="147">
        <v>0</v>
      </c>
      <c r="P311" s="148">
        <v>0</v>
      </c>
      <c r="Q311" s="147">
        <v>0</v>
      </c>
      <c r="R311" s="149">
        <v>432000</v>
      </c>
      <c r="S3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1" s="150">
        <f ca="1">+IF(PROVEEDORES[[#This Row],[FECHA DE PAGO]]=0,TODAY()-PROVEEDORES[[#This Row],[FECHA DE FACTURACIÓN]]-PROVEEDORES[[#This Row],[PLAZO Días]],0)</f>
        <v>0</v>
      </c>
      <c r="U311" s="150">
        <f>+VLOOKUP(PROVEEDORES[[#This Row],[PROVEEDOR]],Terceros!$A:$E,4,FALSE)</f>
        <v>0</v>
      </c>
      <c r="V311" s="150">
        <f>+YEAR(PROVEEDORES[[#This Row],[FECHA DE FACTURACIÓN]])</f>
        <v>2023</v>
      </c>
      <c r="W311" s="150">
        <f>+MATCH(PROVEEDORES[[#This Row],[año facturado]],Retenciones!$1:$1,0)</f>
        <v>6</v>
      </c>
      <c r="X311" s="151">
        <f>+VLOOKUP(PROVEEDORES[[#This Row],[ID RETENCION]],Retenciones!$A$1:$O$25,PROVEEDORES[[#This Row],[indicador de columna]],FALSE)</f>
        <v>0</v>
      </c>
      <c r="Y311" s="152">
        <f>+VLOOKUP(PROVEEDORES[[#This Row],[ID RETENCION]],Retenciones!$A$1:$O$25,2,FALSE)</f>
        <v>0</v>
      </c>
      <c r="Z311" s="153" t="b">
        <f>+OR(COUNTIF(PROVEEDORES[[#This Row],[PROVEEDOR]],"*"&amp;'Palabra que no opera y Listas d'!$A$2&amp;"*"))</f>
        <v>0</v>
      </c>
    </row>
    <row r="312" spans="1:26" ht="27.75" customHeight="1" x14ac:dyDescent="0.3">
      <c r="A312" s="144" t="str">
        <f>+IF(PROVEEDORES[[#This Row],[FECHA DE PAGO]]=PROVEEDORES[[#This Row],[FECHA DE FACTURACIÓN]],"DE CONTADO","CRÉDITO")</f>
        <v>CRÉDITO</v>
      </c>
      <c r="B312" s="144" t="str">
        <f>+IF((PROVEEDORES[[#This Row],[FECHA DE PAGO]]-PROVEEDORES[[#This Row],[FECHA DE FACTURACIÓN]])&gt;PROVEEDORES[[#This Row],[PLAZO Días]],"PAGO VENCIDO")</f>
        <v>PAGO VENCIDO</v>
      </c>
      <c r="C312" s="144">
        <f>+VLOOKUP(PROVEEDORES[[#This Row],[PROVEEDOR]],TERCEROS_INFO[#All],2,FALSE)</f>
        <v>0</v>
      </c>
      <c r="D312" s="145">
        <f>+SUMIFS(PROVEEDORES[Total],PROVEEDORES[PROVEEDOR],PROVEEDORES[[#This Row],[PROVEEDOR]],PROVEEDORES[FECHA DE PAGO],"")</f>
        <v>19124998.199999999</v>
      </c>
      <c r="E312" s="146"/>
      <c r="F312" s="144">
        <f>+VLOOKUP(PROVEEDORES[[#This Row],[PROVEEDOR]],
                       Terceros!$A:$G,
                       5,
                       FALSE)</f>
        <v>0</v>
      </c>
      <c r="G312" s="122">
        <v>45071</v>
      </c>
      <c r="H312" s="102" t="s">
        <v>29</v>
      </c>
      <c r="I312" s="122">
        <v>45002</v>
      </c>
      <c r="J312" s="103">
        <v>58569</v>
      </c>
      <c r="K312" s="103" t="s">
        <v>1512</v>
      </c>
      <c r="L312" s="103"/>
      <c r="M312" s="105">
        <v>49998153.799999997</v>
      </c>
      <c r="N312" s="147">
        <v>0</v>
      </c>
      <c r="O312" s="147">
        <v>0</v>
      </c>
      <c r="P312" s="148">
        <v>0</v>
      </c>
      <c r="Q312" s="147">
        <v>0</v>
      </c>
      <c r="R312" s="149">
        <v>49998153.799999997</v>
      </c>
      <c r="S3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2" s="150">
        <f ca="1">+IF(PROVEEDORES[[#This Row],[FECHA DE PAGO]]=0,TODAY()-PROVEEDORES[[#This Row],[FECHA DE FACTURACIÓN]]-PROVEEDORES[[#This Row],[PLAZO Días]],0)</f>
        <v>0</v>
      </c>
      <c r="U312" s="150">
        <f>+VLOOKUP(PROVEEDORES[[#This Row],[PROVEEDOR]],Terceros!$A:$E,4,FALSE)</f>
        <v>0</v>
      </c>
      <c r="V312" s="150">
        <f>+YEAR(PROVEEDORES[[#This Row],[FECHA DE FACTURACIÓN]])</f>
        <v>2023</v>
      </c>
      <c r="W312" s="150">
        <f>+MATCH(PROVEEDORES[[#This Row],[año facturado]],Retenciones!$1:$1,0)</f>
        <v>6</v>
      </c>
      <c r="X312" s="151">
        <f>+VLOOKUP(PROVEEDORES[[#This Row],[ID RETENCION]],Retenciones!$A$1:$O$25,PROVEEDORES[[#This Row],[indicador de columna]],FALSE)</f>
        <v>0</v>
      </c>
      <c r="Y312" s="152">
        <f>+VLOOKUP(PROVEEDORES[[#This Row],[ID RETENCION]],Retenciones!$A$1:$O$25,2,FALSE)</f>
        <v>0</v>
      </c>
      <c r="Z312" s="153" t="b">
        <f>+OR(COUNTIF(PROVEEDORES[[#This Row],[PROVEEDOR]],"*"&amp;'Palabra que no opera y Listas d'!$A$2&amp;"*"))</f>
        <v>0</v>
      </c>
    </row>
    <row r="313" spans="1:26" ht="27.75" customHeight="1" x14ac:dyDescent="0.3">
      <c r="A313" s="144" t="str">
        <f>+IF(PROVEEDORES[[#This Row],[FECHA DE PAGO]]=PROVEEDORES[[#This Row],[FECHA DE FACTURACIÓN]],"DE CONTADO","CRÉDITO")</f>
        <v>CRÉDITO</v>
      </c>
      <c r="B313" s="144" t="str">
        <f>+IF((PROVEEDORES[[#This Row],[FECHA DE PAGO]]-PROVEEDORES[[#This Row],[FECHA DE FACTURACIÓN]])&gt;PROVEEDORES[[#This Row],[PLAZO Días]],"PAGO VENCIDO")</f>
        <v>PAGO VENCIDO</v>
      </c>
      <c r="C313" s="144">
        <f>+VLOOKUP(PROVEEDORES[[#This Row],[PROVEEDOR]],TERCEROS_INFO[#All],2,FALSE)</f>
        <v>0</v>
      </c>
      <c r="D313" s="145">
        <f>+SUMIFS(PROVEEDORES[Total],PROVEEDORES[PROVEEDOR],PROVEEDORES[[#This Row],[PROVEEDOR]],PROVEEDORES[FECHA DE PAGO],"")</f>
        <v>0</v>
      </c>
      <c r="E313" s="146"/>
      <c r="F313" s="144">
        <f>+VLOOKUP(PROVEEDORES[[#This Row],[PROVEEDOR]],
                       Terceros!$A:$G,
                       5,
                       FALSE)</f>
        <v>0</v>
      </c>
      <c r="G313" s="122">
        <v>45075</v>
      </c>
      <c r="H313" s="102" t="s">
        <v>1793</v>
      </c>
      <c r="I313" s="122">
        <v>45021</v>
      </c>
      <c r="J313" s="103" t="s">
        <v>733</v>
      </c>
      <c r="K313" s="103" t="s">
        <v>1512</v>
      </c>
      <c r="L313" s="103"/>
      <c r="M313" s="105">
        <v>306000</v>
      </c>
      <c r="N313" s="147">
        <v>0</v>
      </c>
      <c r="O313" s="147">
        <v>0</v>
      </c>
      <c r="P313" s="148">
        <v>0</v>
      </c>
      <c r="Q313" s="147">
        <v>0</v>
      </c>
      <c r="R313" s="149">
        <v>306000</v>
      </c>
      <c r="S3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3" s="150">
        <f ca="1">+IF(PROVEEDORES[[#This Row],[FECHA DE PAGO]]=0,TODAY()-PROVEEDORES[[#This Row],[FECHA DE FACTURACIÓN]]-PROVEEDORES[[#This Row],[PLAZO Días]],0)</f>
        <v>0</v>
      </c>
      <c r="U313" s="150">
        <f>+VLOOKUP(PROVEEDORES[[#This Row],[PROVEEDOR]],Terceros!$A:$E,4,FALSE)</f>
        <v>0</v>
      </c>
      <c r="V313" s="150">
        <f>+YEAR(PROVEEDORES[[#This Row],[FECHA DE FACTURACIÓN]])</f>
        <v>2023</v>
      </c>
      <c r="W313" s="150">
        <f>+MATCH(PROVEEDORES[[#This Row],[año facturado]],Retenciones!$1:$1,0)</f>
        <v>6</v>
      </c>
      <c r="X313" s="151">
        <f>+VLOOKUP(PROVEEDORES[[#This Row],[ID RETENCION]],Retenciones!$A$1:$O$25,PROVEEDORES[[#This Row],[indicador de columna]],FALSE)</f>
        <v>0</v>
      </c>
      <c r="Y313" s="152">
        <f>+VLOOKUP(PROVEEDORES[[#This Row],[ID RETENCION]],Retenciones!$A$1:$O$25,2,FALSE)</f>
        <v>0</v>
      </c>
      <c r="Z313" s="153" t="b">
        <f>+OR(COUNTIF(PROVEEDORES[[#This Row],[PROVEEDOR]],"*"&amp;'Palabra que no opera y Listas d'!$A$2&amp;"*"))</f>
        <v>0</v>
      </c>
    </row>
    <row r="314" spans="1:26" ht="27.75" customHeight="1" x14ac:dyDescent="0.3">
      <c r="A314" s="144" t="str">
        <f>+IF(PROVEEDORES[[#This Row],[FECHA DE PAGO]]=PROVEEDORES[[#This Row],[FECHA DE FACTURACIÓN]],"DE CONTADO","CRÉDITO")</f>
        <v>CRÉDITO</v>
      </c>
      <c r="B314" s="144" t="str">
        <f>+IF((PROVEEDORES[[#This Row],[FECHA DE PAGO]]-PROVEEDORES[[#This Row],[FECHA DE FACTURACIÓN]])&gt;PROVEEDORES[[#This Row],[PLAZO Días]],"PAGO VENCIDO")</f>
        <v>PAGO VENCIDO</v>
      </c>
      <c r="C314" s="144">
        <f>+VLOOKUP(PROVEEDORES[[#This Row],[PROVEEDOR]],TERCEROS_INFO[#All],2,FALSE)</f>
        <v>0</v>
      </c>
      <c r="D314" s="145">
        <f>+SUMIFS(PROVEEDORES[Total],PROVEEDORES[PROVEEDOR],PROVEEDORES[[#This Row],[PROVEEDOR]],PROVEEDORES[FECHA DE PAGO],"")</f>
        <v>5820290</v>
      </c>
      <c r="E314" s="146"/>
      <c r="F314" s="144">
        <f>+VLOOKUP(PROVEEDORES[[#This Row],[PROVEEDOR]],
                       Terceros!$A:$G,
                       5,
                       FALSE)</f>
        <v>0</v>
      </c>
      <c r="G314" s="122">
        <v>45075</v>
      </c>
      <c r="H314" s="102" t="s">
        <v>461</v>
      </c>
      <c r="I314" s="122">
        <v>45035</v>
      </c>
      <c r="J314" s="103" t="s">
        <v>750</v>
      </c>
      <c r="K314" s="103" t="s">
        <v>1512</v>
      </c>
      <c r="L314" s="103"/>
      <c r="M314" s="105">
        <v>5040000</v>
      </c>
      <c r="N314" s="147">
        <v>957600</v>
      </c>
      <c r="O314" s="147">
        <v>0</v>
      </c>
      <c r="P314" s="148">
        <v>0</v>
      </c>
      <c r="Q314" s="147">
        <v>0</v>
      </c>
      <c r="R314" s="149">
        <v>5997600</v>
      </c>
      <c r="S3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4" s="150">
        <f ca="1">+IF(PROVEEDORES[[#This Row],[FECHA DE PAGO]]=0,TODAY()-PROVEEDORES[[#This Row],[FECHA DE FACTURACIÓN]]-PROVEEDORES[[#This Row],[PLAZO Días]],0)</f>
        <v>0</v>
      </c>
      <c r="U314" s="150">
        <f>+VLOOKUP(PROVEEDORES[[#This Row],[PROVEEDOR]],Terceros!$A:$E,4,FALSE)</f>
        <v>0.19</v>
      </c>
      <c r="V314" s="150">
        <f>+YEAR(PROVEEDORES[[#This Row],[FECHA DE FACTURACIÓN]])</f>
        <v>2023</v>
      </c>
      <c r="W314" s="150">
        <f>+MATCH(PROVEEDORES[[#This Row],[año facturado]],Retenciones!$1:$1,0)</f>
        <v>6</v>
      </c>
      <c r="X314" s="151" t="e">
        <f>+VLOOKUP(PROVEEDORES[[#This Row],[ID RETENCION]],Retenciones!$A$1:$O$25,PROVEEDORES[[#This Row],[indicador de columna]],FALSE)</f>
        <v>#N/A</v>
      </c>
      <c r="Y314" s="152" t="e">
        <f>+VLOOKUP(PROVEEDORES[[#This Row],[ID RETENCION]],Retenciones!$A$1:$O$25,2,FALSE)</f>
        <v>#N/A</v>
      </c>
      <c r="Z314" s="153" t="b">
        <f>+OR(COUNTIF(PROVEEDORES[[#This Row],[PROVEEDOR]],"*"&amp;'Palabra que no opera y Listas d'!$A$2&amp;"*"))</f>
        <v>0</v>
      </c>
    </row>
    <row r="315" spans="1:26" ht="27.75" customHeight="1" x14ac:dyDescent="0.3">
      <c r="A315" s="144" t="str">
        <f>+IF(PROVEEDORES[[#This Row],[FECHA DE PAGO]]=PROVEEDORES[[#This Row],[FECHA DE FACTURACIÓN]],"DE CONTADO","CRÉDITO")</f>
        <v>CRÉDITO</v>
      </c>
      <c r="B315" s="144" t="str">
        <f>+IF((PROVEEDORES[[#This Row],[FECHA DE PAGO]]-PROVEEDORES[[#This Row],[FECHA DE FACTURACIÓN]])&gt;PROVEEDORES[[#This Row],[PLAZO Días]],"PAGO VENCIDO")</f>
        <v>PAGO VENCIDO</v>
      </c>
      <c r="C315" s="144">
        <f>+VLOOKUP(PROVEEDORES[[#This Row],[PROVEEDOR]],TERCEROS_INFO[#All],2,FALSE)</f>
        <v>0</v>
      </c>
      <c r="D315" s="145" t="e">
        <f>+SUMIFS(PROVEEDORES[Total],PROVEEDORES[PROVEEDOR],PROVEEDORES[[#This Row],[PROVEEDOR]],PROVEEDORES[FECHA DE PAGO],"")</f>
        <v>#N/A</v>
      </c>
      <c r="E315" s="146"/>
      <c r="F315" s="144">
        <f>+VLOOKUP(PROVEEDORES[[#This Row],[PROVEEDOR]],
                       Terceros!$A:$G,
                       5,
                       FALSE)</f>
        <v>0</v>
      </c>
      <c r="G315" s="122">
        <v>45075</v>
      </c>
      <c r="H315" s="102" t="s">
        <v>16</v>
      </c>
      <c r="I315" s="122">
        <v>45037</v>
      </c>
      <c r="J315" s="103" t="s">
        <v>751</v>
      </c>
      <c r="K315" s="103" t="s">
        <v>1512</v>
      </c>
      <c r="L315" s="103"/>
      <c r="M315" s="105">
        <v>586530</v>
      </c>
      <c r="N315" s="147">
        <v>111440.7</v>
      </c>
      <c r="O315" s="147">
        <v>0</v>
      </c>
      <c r="P315" s="148">
        <v>0</v>
      </c>
      <c r="Q315" s="147">
        <v>0</v>
      </c>
      <c r="R315" s="149">
        <v>697970.7</v>
      </c>
      <c r="S3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5" s="150">
        <f ca="1">+IF(PROVEEDORES[[#This Row],[FECHA DE PAGO]]=0,TODAY()-PROVEEDORES[[#This Row],[FECHA DE FACTURACIÓN]]-PROVEEDORES[[#This Row],[PLAZO Días]],0)</f>
        <v>0</v>
      </c>
      <c r="U315" s="150">
        <f>+VLOOKUP(PROVEEDORES[[#This Row],[PROVEEDOR]],Terceros!$A:$E,4,FALSE)</f>
        <v>0.19</v>
      </c>
      <c r="V315" s="150">
        <f>+YEAR(PROVEEDORES[[#This Row],[FECHA DE FACTURACIÓN]])</f>
        <v>2023</v>
      </c>
      <c r="W315" s="150">
        <f>+MATCH(PROVEEDORES[[#This Row],[año facturado]],Retenciones!$1:$1,0)</f>
        <v>6</v>
      </c>
      <c r="X315" s="151" t="e">
        <f>+VLOOKUP(PROVEEDORES[[#This Row],[ID RETENCION]],Retenciones!$A$1:$O$25,PROVEEDORES[[#This Row],[indicador de columna]],FALSE)</f>
        <v>#N/A</v>
      </c>
      <c r="Y315" s="152" t="e">
        <f>+VLOOKUP(PROVEEDORES[[#This Row],[ID RETENCION]],Retenciones!$A$1:$O$25,2,FALSE)</f>
        <v>#N/A</v>
      </c>
      <c r="Z315" s="153" t="b">
        <f>+OR(COUNTIF(PROVEEDORES[[#This Row],[PROVEEDOR]],"*"&amp;'Palabra que no opera y Listas d'!$A$2&amp;"*"))</f>
        <v>0</v>
      </c>
    </row>
    <row r="316" spans="1:26" ht="27.75" customHeight="1" x14ac:dyDescent="0.3">
      <c r="A316" s="144" t="str">
        <f>+IF(PROVEEDORES[[#This Row],[FECHA DE PAGO]]=PROVEEDORES[[#This Row],[FECHA DE FACTURACIÓN]],"DE CONTADO","CRÉDITO")</f>
        <v>CRÉDITO</v>
      </c>
      <c r="B316" s="144" t="str">
        <f>+IF((PROVEEDORES[[#This Row],[FECHA DE PAGO]]-PROVEEDORES[[#This Row],[FECHA DE FACTURACIÓN]])&gt;PROVEEDORES[[#This Row],[PLAZO Días]],"PAGO VENCIDO")</f>
        <v>PAGO VENCIDO</v>
      </c>
      <c r="C316" s="144">
        <f>+VLOOKUP(PROVEEDORES[[#This Row],[PROVEEDOR]],TERCEROS_INFO[#All],2,FALSE)</f>
        <v>0</v>
      </c>
      <c r="D316" s="145">
        <f>+SUMIFS(PROVEEDORES[Total],PROVEEDORES[PROVEEDOR],PROVEEDORES[[#This Row],[PROVEEDOR]],PROVEEDORES[FECHA DE PAGO],"")</f>
        <v>0</v>
      </c>
      <c r="E316" s="146"/>
      <c r="F316" s="144">
        <f>+VLOOKUP(PROVEEDORES[[#This Row],[PROVEEDOR]],
                       Terceros!$A:$G,
                       5,
                       FALSE)</f>
        <v>0</v>
      </c>
      <c r="G316" s="122">
        <v>45075</v>
      </c>
      <c r="H316" s="102" t="s">
        <v>397</v>
      </c>
      <c r="I316" s="122">
        <v>45047</v>
      </c>
      <c r="J316" s="103" t="s">
        <v>779</v>
      </c>
      <c r="K316" s="103" t="s">
        <v>1512</v>
      </c>
      <c r="L316" s="103"/>
      <c r="M316" s="105">
        <v>934499</v>
      </c>
      <c r="N316" s="147">
        <v>0</v>
      </c>
      <c r="O316" s="147">
        <v>0</v>
      </c>
      <c r="P316" s="148">
        <v>0</v>
      </c>
      <c r="Q316" s="147">
        <v>0</v>
      </c>
      <c r="R316" s="149">
        <v>934499</v>
      </c>
      <c r="S3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6" s="150">
        <f ca="1">+IF(PROVEEDORES[[#This Row],[FECHA DE PAGO]]=0,TODAY()-PROVEEDORES[[#This Row],[FECHA DE FACTURACIÓN]]-PROVEEDORES[[#This Row],[PLAZO Días]],0)</f>
        <v>0</v>
      </c>
      <c r="U316" s="150">
        <f>+VLOOKUP(PROVEEDORES[[#This Row],[PROVEEDOR]],Terceros!$A:$E,4,FALSE)</f>
        <v>0</v>
      </c>
      <c r="V316" s="150">
        <f>+YEAR(PROVEEDORES[[#This Row],[FECHA DE FACTURACIÓN]])</f>
        <v>2023</v>
      </c>
      <c r="W316" s="150">
        <f>+MATCH(PROVEEDORES[[#This Row],[año facturado]],Retenciones!$1:$1,0)</f>
        <v>6</v>
      </c>
      <c r="X316" s="151">
        <f>+VLOOKUP(PROVEEDORES[[#This Row],[ID RETENCION]],Retenciones!$A$1:$O$25,PROVEEDORES[[#This Row],[indicador de columna]],FALSE)</f>
        <v>0</v>
      </c>
      <c r="Y316" s="152">
        <f>+VLOOKUP(PROVEEDORES[[#This Row],[ID RETENCION]],Retenciones!$A$1:$O$25,2,FALSE)</f>
        <v>0</v>
      </c>
      <c r="Z316" s="153" t="b">
        <f>+OR(COUNTIF(PROVEEDORES[[#This Row],[PROVEEDOR]],"*"&amp;'Palabra que no opera y Listas d'!$A$2&amp;"*"))</f>
        <v>1</v>
      </c>
    </row>
    <row r="317" spans="1:26" ht="27.75" customHeight="1" x14ac:dyDescent="0.3">
      <c r="A317" s="144" t="str">
        <f>+IF(PROVEEDORES[[#This Row],[FECHA DE PAGO]]=PROVEEDORES[[#This Row],[FECHA DE FACTURACIÓN]],"DE CONTADO","CRÉDITO")</f>
        <v>CRÉDITO</v>
      </c>
      <c r="B317" s="144" t="str">
        <f>+IF((PROVEEDORES[[#This Row],[FECHA DE PAGO]]-PROVEEDORES[[#This Row],[FECHA DE FACTURACIÓN]])&gt;PROVEEDORES[[#This Row],[PLAZO Días]],"PAGO VENCIDO")</f>
        <v>PAGO VENCIDO</v>
      </c>
      <c r="C317" s="144">
        <f>+VLOOKUP(PROVEEDORES[[#This Row],[PROVEEDOR]],TERCEROS_INFO[#All],2,FALSE)</f>
        <v>0</v>
      </c>
      <c r="D317" s="145">
        <f>+SUMIFS(PROVEEDORES[Total],PROVEEDORES[PROVEEDOR],PROVEEDORES[[#This Row],[PROVEEDOR]],PROVEEDORES[FECHA DE PAGO],"")</f>
        <v>0</v>
      </c>
      <c r="E317" s="146"/>
      <c r="F317" s="144">
        <f>+VLOOKUP(PROVEEDORES[[#This Row],[PROVEEDOR]],
                       Terceros!$A:$G,
                       5,
                       FALSE)</f>
        <v>0</v>
      </c>
      <c r="G317" s="122">
        <v>45075</v>
      </c>
      <c r="H317" s="102" t="s">
        <v>397</v>
      </c>
      <c r="I317" s="122">
        <v>45047</v>
      </c>
      <c r="J317" s="103" t="s">
        <v>778</v>
      </c>
      <c r="K317" s="103" t="s">
        <v>1512</v>
      </c>
      <c r="L317" s="103"/>
      <c r="M317" s="105">
        <v>913261</v>
      </c>
      <c r="N317" s="147">
        <v>0</v>
      </c>
      <c r="O317" s="147">
        <v>0</v>
      </c>
      <c r="P317" s="148">
        <v>0</v>
      </c>
      <c r="Q317" s="147">
        <v>0</v>
      </c>
      <c r="R317" s="149">
        <v>913261</v>
      </c>
      <c r="S3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7" s="150">
        <f ca="1">+IF(PROVEEDORES[[#This Row],[FECHA DE PAGO]]=0,TODAY()-PROVEEDORES[[#This Row],[FECHA DE FACTURACIÓN]]-PROVEEDORES[[#This Row],[PLAZO Días]],0)</f>
        <v>0</v>
      </c>
      <c r="U317" s="150">
        <f>+VLOOKUP(PROVEEDORES[[#This Row],[PROVEEDOR]],Terceros!$A:$E,4,FALSE)</f>
        <v>0</v>
      </c>
      <c r="V317" s="150">
        <f>+YEAR(PROVEEDORES[[#This Row],[FECHA DE FACTURACIÓN]])</f>
        <v>2023</v>
      </c>
      <c r="W317" s="150">
        <f>+MATCH(PROVEEDORES[[#This Row],[año facturado]],Retenciones!$1:$1,0)</f>
        <v>6</v>
      </c>
      <c r="X317" s="151">
        <f>+VLOOKUP(PROVEEDORES[[#This Row],[ID RETENCION]],Retenciones!$A$1:$O$25,PROVEEDORES[[#This Row],[indicador de columna]],FALSE)</f>
        <v>0</v>
      </c>
      <c r="Y317" s="152">
        <f>+VLOOKUP(PROVEEDORES[[#This Row],[ID RETENCION]],Retenciones!$A$1:$O$25,2,FALSE)</f>
        <v>0</v>
      </c>
      <c r="Z317" s="153" t="b">
        <f>+OR(COUNTIF(PROVEEDORES[[#This Row],[PROVEEDOR]],"*"&amp;'Palabra que no opera y Listas d'!$A$2&amp;"*"))</f>
        <v>1</v>
      </c>
    </row>
    <row r="318" spans="1:26" ht="27.75" customHeight="1" x14ac:dyDescent="0.3">
      <c r="A318" s="144" t="str">
        <f>+IF(PROVEEDORES[[#This Row],[FECHA DE PAGO]]=PROVEEDORES[[#This Row],[FECHA DE FACTURACIÓN]],"DE CONTADO","CRÉDITO")</f>
        <v>DE CONTADO</v>
      </c>
      <c r="B318" s="144" t="b">
        <f>+IF((PROVEEDORES[[#This Row],[FECHA DE PAGO]]-PROVEEDORES[[#This Row],[FECHA DE FACTURACIÓN]])&gt;PROVEEDORES[[#This Row],[PLAZO Días]],"PAGO VENCIDO")</f>
        <v>0</v>
      </c>
      <c r="C318" s="144">
        <f>+VLOOKUP(PROVEEDORES[[#This Row],[PROVEEDOR]],TERCEROS_INFO[#All],2,FALSE)</f>
        <v>0</v>
      </c>
      <c r="D318" s="145">
        <f>+SUMIFS(PROVEEDORES[Total],PROVEEDORES[PROVEEDOR],PROVEEDORES[[#This Row],[PROVEEDOR]],PROVEEDORES[FECHA DE PAGO],"")</f>
        <v>0</v>
      </c>
      <c r="E318" s="146"/>
      <c r="F318" s="144" t="str">
        <f>+VLOOKUP(PROVEEDORES[[#This Row],[PROVEEDOR]],
                       Terceros!$A:$G,
                       5,
                       FALSE)</f>
        <v>3,5% sin base</v>
      </c>
      <c r="G318" s="122">
        <v>45075</v>
      </c>
      <c r="H318" s="102" t="s">
        <v>395</v>
      </c>
      <c r="I318" s="122">
        <v>45075</v>
      </c>
      <c r="J318" s="103" t="s">
        <v>814</v>
      </c>
      <c r="K318" s="103" t="s">
        <v>1512</v>
      </c>
      <c r="L318" s="103"/>
      <c r="M318" s="105">
        <v>3456200</v>
      </c>
      <c r="N318" s="147">
        <v>0</v>
      </c>
      <c r="O318" s="147">
        <v>0</v>
      </c>
      <c r="P318" s="148">
        <v>3.5000000000000003E-2</v>
      </c>
      <c r="Q318" s="147">
        <v>120967.00000000001</v>
      </c>
      <c r="R318" s="149">
        <v>3335233</v>
      </c>
      <c r="S3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8" s="150">
        <f ca="1">+IF(PROVEEDORES[[#This Row],[FECHA DE PAGO]]=0,TODAY()-PROVEEDORES[[#This Row],[FECHA DE FACTURACIÓN]]-PROVEEDORES[[#This Row],[PLAZO Días]],0)</f>
        <v>0</v>
      </c>
      <c r="U318" s="150">
        <f>+VLOOKUP(PROVEEDORES[[#This Row],[PROVEEDOR]],Terceros!$A:$E,4,FALSE)</f>
        <v>0</v>
      </c>
      <c r="V318" s="150">
        <f>+YEAR(PROVEEDORES[[#This Row],[FECHA DE FACTURACIÓN]])</f>
        <v>2023</v>
      </c>
      <c r="W318" s="150">
        <f>+MATCH(PROVEEDORES[[#This Row],[año facturado]],Retenciones!$1:$1,0)</f>
        <v>6</v>
      </c>
      <c r="X318" s="151">
        <f>+VLOOKUP(PROVEEDORES[[#This Row],[ID RETENCION]],Retenciones!$A$1:$O$25,PROVEEDORES[[#This Row],[indicador de columna]],FALSE)</f>
        <v>0</v>
      </c>
      <c r="Y318" s="152">
        <f>+VLOOKUP(PROVEEDORES[[#This Row],[ID RETENCION]],Retenciones!$A$1:$O$25,2,FALSE)</f>
        <v>0</v>
      </c>
      <c r="Z318" s="153" t="b">
        <f>+OR(COUNTIF(PROVEEDORES[[#This Row],[PROVEEDOR]],"*"&amp;'Palabra que no opera y Listas d'!$A$2&amp;"*"))</f>
        <v>1</v>
      </c>
    </row>
    <row r="319" spans="1:26" ht="27.75" customHeight="1" x14ac:dyDescent="0.3">
      <c r="A319" s="144" t="str">
        <f>+IF(PROVEEDORES[[#This Row],[FECHA DE PAGO]]=PROVEEDORES[[#This Row],[FECHA DE FACTURACIÓN]],"DE CONTADO","CRÉDITO")</f>
        <v>DE CONTADO</v>
      </c>
      <c r="B319" s="144" t="b">
        <f>+IF((PROVEEDORES[[#This Row],[FECHA DE PAGO]]-PROVEEDORES[[#This Row],[FECHA DE FACTURACIÓN]])&gt;PROVEEDORES[[#This Row],[PLAZO Días]],"PAGO VENCIDO")</f>
        <v>0</v>
      </c>
      <c r="C319" s="144">
        <f>+VLOOKUP(PROVEEDORES[[#This Row],[PROVEEDOR]],TERCEROS_INFO[#All],2,FALSE)</f>
        <v>0</v>
      </c>
      <c r="D319" s="145">
        <f>+SUMIFS(PROVEEDORES[Total],PROVEEDORES[PROVEEDOR],PROVEEDORES[[#This Row],[PROVEEDOR]],PROVEEDORES[FECHA DE PAGO],"")</f>
        <v>856185.96</v>
      </c>
      <c r="E319" s="146"/>
      <c r="F319" s="144">
        <f>+VLOOKUP(PROVEEDORES[[#This Row],[PROVEEDOR]],
                       Terceros!$A:$G,
                       5,
                       FALSE)</f>
        <v>0</v>
      </c>
      <c r="G319" s="122">
        <v>45075</v>
      </c>
      <c r="H319" s="102" t="s">
        <v>209</v>
      </c>
      <c r="I319" s="122">
        <v>45075</v>
      </c>
      <c r="J319" s="103" t="s">
        <v>815</v>
      </c>
      <c r="K319" s="103" t="s">
        <v>1512</v>
      </c>
      <c r="L319" s="103"/>
      <c r="M319" s="105">
        <v>396847</v>
      </c>
      <c r="N319" s="147">
        <v>75400.930000000008</v>
      </c>
      <c r="O319" s="147">
        <v>0</v>
      </c>
      <c r="P319" s="148">
        <v>0</v>
      </c>
      <c r="Q319" s="147">
        <v>0</v>
      </c>
      <c r="R319" s="149">
        <v>472247.93</v>
      </c>
      <c r="S3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9" s="150">
        <f ca="1">+IF(PROVEEDORES[[#This Row],[FECHA DE PAGO]]=0,TODAY()-PROVEEDORES[[#This Row],[FECHA DE FACTURACIÓN]]-PROVEEDORES[[#This Row],[PLAZO Días]],0)</f>
        <v>0</v>
      </c>
      <c r="U319" s="150">
        <f>+VLOOKUP(PROVEEDORES[[#This Row],[PROVEEDOR]],Terceros!$A:$E,4,FALSE)</f>
        <v>0.19</v>
      </c>
      <c r="V319" s="150">
        <f>+YEAR(PROVEEDORES[[#This Row],[FECHA DE FACTURACIÓN]])</f>
        <v>2023</v>
      </c>
      <c r="W319" s="150">
        <f>+MATCH(PROVEEDORES[[#This Row],[año facturado]],Retenciones!$1:$1,0)</f>
        <v>6</v>
      </c>
      <c r="X319" s="151" t="e">
        <f>+VLOOKUP(PROVEEDORES[[#This Row],[ID RETENCION]],Retenciones!$A$1:$O$25,PROVEEDORES[[#This Row],[indicador de columna]],FALSE)</f>
        <v>#N/A</v>
      </c>
      <c r="Y319" s="152" t="e">
        <f>+VLOOKUP(PROVEEDORES[[#This Row],[ID RETENCION]],Retenciones!$A$1:$O$25,2,FALSE)</f>
        <v>#N/A</v>
      </c>
      <c r="Z319" s="153" t="b">
        <f>+OR(COUNTIF(PROVEEDORES[[#This Row],[PROVEEDOR]],"*"&amp;'Palabra que no opera y Listas d'!$A$2&amp;"*"))</f>
        <v>0</v>
      </c>
    </row>
    <row r="320" spans="1:26" ht="27.75" customHeight="1" x14ac:dyDescent="0.3">
      <c r="A320" s="144" t="str">
        <f>+IF(PROVEEDORES[[#This Row],[FECHA DE PAGO]]=PROVEEDORES[[#This Row],[FECHA DE FACTURACIÓN]],"DE CONTADO","CRÉDITO")</f>
        <v>CRÉDITO</v>
      </c>
      <c r="B320" s="144" t="str">
        <f>+IF((PROVEEDORES[[#This Row],[FECHA DE PAGO]]-PROVEEDORES[[#This Row],[FECHA DE FACTURACIÓN]])&gt;PROVEEDORES[[#This Row],[PLAZO Días]],"PAGO VENCIDO")</f>
        <v>PAGO VENCIDO</v>
      </c>
      <c r="C320" s="144">
        <f>+VLOOKUP(PROVEEDORES[[#This Row],[PROVEEDOR]],TERCEROS_INFO[#All],2,FALSE)</f>
        <v>0</v>
      </c>
      <c r="D320" s="145">
        <f>+SUMIFS(PROVEEDORES[Total],PROVEEDORES[PROVEEDOR],PROVEEDORES[[#This Row],[PROVEEDOR]],PROVEEDORES[FECHA DE PAGO],"")</f>
        <v>0</v>
      </c>
      <c r="E320" s="146"/>
      <c r="F320" s="144">
        <f>+VLOOKUP(PROVEEDORES[[#This Row],[PROVEEDOR]],
                       Terceros!$A:$G,
                       5,
                       FALSE)</f>
        <v>0</v>
      </c>
      <c r="G320" s="122">
        <v>45077</v>
      </c>
      <c r="H320" s="102" t="s">
        <v>375</v>
      </c>
      <c r="I320" s="122">
        <v>45013</v>
      </c>
      <c r="J320" s="103" t="s">
        <v>772</v>
      </c>
      <c r="K320" s="103" t="s">
        <v>1512</v>
      </c>
      <c r="L320" s="103"/>
      <c r="M320" s="105">
        <v>2167560</v>
      </c>
      <c r="N320" s="147">
        <v>411836.4</v>
      </c>
      <c r="O320" s="147">
        <v>0</v>
      </c>
      <c r="P320" s="148">
        <v>0</v>
      </c>
      <c r="Q320" s="147">
        <v>0</v>
      </c>
      <c r="R320" s="149">
        <v>2579396.4</v>
      </c>
      <c r="S3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0" s="150">
        <f ca="1">+IF(PROVEEDORES[[#This Row],[FECHA DE PAGO]]=0,TODAY()-PROVEEDORES[[#This Row],[FECHA DE FACTURACIÓN]]-PROVEEDORES[[#This Row],[PLAZO Días]],0)</f>
        <v>0</v>
      </c>
      <c r="U320" s="150">
        <f>+VLOOKUP(PROVEEDORES[[#This Row],[PROVEEDOR]],Terceros!$A:$E,4,FALSE)</f>
        <v>0.19</v>
      </c>
      <c r="V320" s="150">
        <f>+YEAR(PROVEEDORES[[#This Row],[FECHA DE FACTURACIÓN]])</f>
        <v>2023</v>
      </c>
      <c r="W320" s="150">
        <f>+MATCH(PROVEEDORES[[#This Row],[año facturado]],Retenciones!$1:$1,0)</f>
        <v>6</v>
      </c>
      <c r="X320" s="151" t="e">
        <f>+VLOOKUP(PROVEEDORES[[#This Row],[ID RETENCION]],Retenciones!$A$1:$O$25,PROVEEDORES[[#This Row],[indicador de columna]],FALSE)</f>
        <v>#N/A</v>
      </c>
      <c r="Y320" s="152" t="e">
        <f>+VLOOKUP(PROVEEDORES[[#This Row],[ID RETENCION]],Retenciones!$A$1:$O$25,2,FALSE)</f>
        <v>#N/A</v>
      </c>
      <c r="Z320" s="153" t="b">
        <f>+OR(COUNTIF(PROVEEDORES[[#This Row],[PROVEEDOR]],"*"&amp;'Palabra que no opera y Listas d'!$A$2&amp;"*"))</f>
        <v>1</v>
      </c>
    </row>
    <row r="321" spans="1:26" ht="27.75" customHeight="1" x14ac:dyDescent="0.3">
      <c r="A321" s="144" t="str">
        <f>+IF(PROVEEDORES[[#This Row],[FECHA DE PAGO]]=PROVEEDORES[[#This Row],[FECHA DE FACTURACIÓN]],"DE CONTADO","CRÉDITO")</f>
        <v>DE CONTADO</v>
      </c>
      <c r="B321" s="144" t="b">
        <f>+IF((PROVEEDORES[[#This Row],[FECHA DE PAGO]]-PROVEEDORES[[#This Row],[FECHA DE FACTURACIÓN]])&gt;PROVEEDORES[[#This Row],[PLAZO Días]],"PAGO VENCIDO")</f>
        <v>0</v>
      </c>
      <c r="C321" s="144">
        <f>+VLOOKUP(PROVEEDORES[[#This Row],[PROVEEDOR]],TERCEROS_INFO[#All],2,FALSE)</f>
        <v>0</v>
      </c>
      <c r="D321" s="145">
        <f>+SUMIFS(PROVEEDORES[Total],PROVEEDORES[PROVEEDOR],PROVEEDORES[[#This Row],[PROVEEDOR]],PROVEEDORES[FECHA DE PAGO],"")</f>
        <v>0</v>
      </c>
      <c r="E321" s="146"/>
      <c r="F321" s="144">
        <f>+VLOOKUP(PROVEEDORES[[#This Row],[PROVEEDOR]],
                       Terceros!$A:$G,
                       5,
                       FALSE)</f>
        <v>0</v>
      </c>
      <c r="G321" s="122">
        <v>45077</v>
      </c>
      <c r="H321" s="102" t="s">
        <v>537</v>
      </c>
      <c r="I321" s="122">
        <v>45077</v>
      </c>
      <c r="J321" s="103" t="s">
        <v>514</v>
      </c>
      <c r="K321" s="103" t="s">
        <v>1512</v>
      </c>
      <c r="L321" s="103"/>
      <c r="M321" s="105">
        <v>13500</v>
      </c>
      <c r="N321" s="147">
        <v>0</v>
      </c>
      <c r="O321" s="147">
        <v>0</v>
      </c>
      <c r="P321" s="148">
        <v>0</v>
      </c>
      <c r="Q321" s="147">
        <v>0</v>
      </c>
      <c r="R321" s="149">
        <v>13500</v>
      </c>
      <c r="S3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1" s="150">
        <f ca="1">+IF(PROVEEDORES[[#This Row],[FECHA DE PAGO]]=0,TODAY()-PROVEEDORES[[#This Row],[FECHA DE FACTURACIÓN]]-PROVEEDORES[[#This Row],[PLAZO Días]],0)</f>
        <v>0</v>
      </c>
      <c r="U321" s="150">
        <f>+VLOOKUP(PROVEEDORES[[#This Row],[PROVEEDOR]],Terceros!$A:$E,4,FALSE)</f>
        <v>0</v>
      </c>
      <c r="V321" s="150">
        <f>+YEAR(PROVEEDORES[[#This Row],[FECHA DE FACTURACIÓN]])</f>
        <v>2023</v>
      </c>
      <c r="W321" s="150">
        <f>+MATCH(PROVEEDORES[[#This Row],[año facturado]],Retenciones!$1:$1,0)</f>
        <v>6</v>
      </c>
      <c r="X321" s="151">
        <f>+VLOOKUP(PROVEEDORES[[#This Row],[ID RETENCION]],Retenciones!$A$1:$O$25,PROVEEDORES[[#This Row],[indicador de columna]],FALSE)</f>
        <v>0</v>
      </c>
      <c r="Y321" s="152">
        <f>+VLOOKUP(PROVEEDORES[[#This Row],[ID RETENCION]],Retenciones!$A$1:$O$25,2,FALSE)</f>
        <v>0</v>
      </c>
      <c r="Z321" s="153" t="b">
        <f>+OR(COUNTIF(PROVEEDORES[[#This Row],[PROVEEDOR]],"*"&amp;'Palabra que no opera y Listas d'!$A$2&amp;"*"))</f>
        <v>0</v>
      </c>
    </row>
    <row r="322" spans="1:26" ht="27.75" customHeight="1" x14ac:dyDescent="0.3">
      <c r="A322" s="144" t="str">
        <f>+IF(PROVEEDORES[[#This Row],[FECHA DE PAGO]]=PROVEEDORES[[#This Row],[FECHA DE FACTURACIÓN]],"DE CONTADO","CRÉDITO")</f>
        <v>DE CONTADO</v>
      </c>
      <c r="B322" s="144" t="b">
        <f>+IF((PROVEEDORES[[#This Row],[FECHA DE PAGO]]-PROVEEDORES[[#This Row],[FECHA DE FACTURACIÓN]])&gt;PROVEEDORES[[#This Row],[PLAZO Días]],"PAGO VENCIDO")</f>
        <v>0</v>
      </c>
      <c r="C322" s="144">
        <f>+VLOOKUP(PROVEEDORES[[#This Row],[PROVEEDOR]],TERCEROS_INFO[#All],2,FALSE)</f>
        <v>0</v>
      </c>
      <c r="D322" s="145">
        <f>+SUMIFS(PROVEEDORES[Total],PROVEEDORES[PROVEEDOR],PROVEEDORES[[#This Row],[PROVEEDOR]],PROVEEDORES[FECHA DE PAGO],"")</f>
        <v>0</v>
      </c>
      <c r="E322" s="146"/>
      <c r="F322" s="144">
        <f>+VLOOKUP(PROVEEDORES[[#This Row],[PROVEEDOR]],
                       Terceros!$A:$G,
                       5,
                       FALSE)</f>
        <v>0</v>
      </c>
      <c r="G322" s="122">
        <v>45077</v>
      </c>
      <c r="H322" s="102" t="s">
        <v>537</v>
      </c>
      <c r="I322" s="122">
        <v>45077</v>
      </c>
      <c r="J322" s="103" t="s">
        <v>491</v>
      </c>
      <c r="K322" s="103" t="s">
        <v>1512</v>
      </c>
      <c r="L322" s="103"/>
      <c r="M322" s="105">
        <v>242000</v>
      </c>
      <c r="N322" s="147">
        <v>0</v>
      </c>
      <c r="O322" s="147">
        <v>0</v>
      </c>
      <c r="P322" s="148">
        <v>0</v>
      </c>
      <c r="Q322" s="147">
        <v>0</v>
      </c>
      <c r="R322" s="149">
        <v>242000</v>
      </c>
      <c r="S3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2" s="150">
        <f ca="1">+IF(PROVEEDORES[[#This Row],[FECHA DE PAGO]]=0,TODAY()-PROVEEDORES[[#This Row],[FECHA DE FACTURACIÓN]]-PROVEEDORES[[#This Row],[PLAZO Días]],0)</f>
        <v>0</v>
      </c>
      <c r="U322" s="150">
        <f>+VLOOKUP(PROVEEDORES[[#This Row],[PROVEEDOR]],Terceros!$A:$E,4,FALSE)</f>
        <v>0</v>
      </c>
      <c r="V322" s="150">
        <f>+YEAR(PROVEEDORES[[#This Row],[FECHA DE FACTURACIÓN]])</f>
        <v>2023</v>
      </c>
      <c r="W322" s="150">
        <f>+MATCH(PROVEEDORES[[#This Row],[año facturado]],Retenciones!$1:$1,0)</f>
        <v>6</v>
      </c>
      <c r="X322" s="151">
        <f>+VLOOKUP(PROVEEDORES[[#This Row],[ID RETENCION]],Retenciones!$A$1:$O$25,PROVEEDORES[[#This Row],[indicador de columna]],FALSE)</f>
        <v>0</v>
      </c>
      <c r="Y322" s="152">
        <f>+VLOOKUP(PROVEEDORES[[#This Row],[ID RETENCION]],Retenciones!$A$1:$O$25,2,FALSE)</f>
        <v>0</v>
      </c>
      <c r="Z322" s="153" t="b">
        <f>+OR(COUNTIF(PROVEEDORES[[#This Row],[PROVEEDOR]],"*"&amp;'Palabra que no opera y Listas d'!$A$2&amp;"*"))</f>
        <v>0</v>
      </c>
    </row>
    <row r="323" spans="1:26" ht="27.75" customHeight="1" x14ac:dyDescent="0.3">
      <c r="A323" s="144" t="str">
        <f>+IF(PROVEEDORES[[#This Row],[FECHA DE PAGO]]=PROVEEDORES[[#This Row],[FECHA DE FACTURACIÓN]],"DE CONTADO","CRÉDITO")</f>
        <v>DE CONTADO</v>
      </c>
      <c r="B323" s="144" t="b">
        <f>+IF((PROVEEDORES[[#This Row],[FECHA DE PAGO]]-PROVEEDORES[[#This Row],[FECHA DE FACTURACIÓN]])&gt;PROVEEDORES[[#This Row],[PLAZO Días]],"PAGO VENCIDO")</f>
        <v>0</v>
      </c>
      <c r="C323" s="144">
        <f>+VLOOKUP(PROVEEDORES[[#This Row],[PROVEEDOR]],TERCEROS_INFO[#All],2,FALSE)</f>
        <v>0</v>
      </c>
      <c r="D323" s="145">
        <f>+SUMIFS(PROVEEDORES[Total],PROVEEDORES[PROVEEDOR],PROVEEDORES[[#This Row],[PROVEEDOR]],PROVEEDORES[FECHA DE PAGO],"")</f>
        <v>0</v>
      </c>
      <c r="E323" s="146"/>
      <c r="F323" s="144">
        <f>+VLOOKUP(PROVEEDORES[[#This Row],[PROVEEDOR]],
                       Terceros!$A:$G,
                       5,
                       FALSE)</f>
        <v>0</v>
      </c>
      <c r="G323" s="122">
        <v>45077</v>
      </c>
      <c r="H323" s="102" t="s">
        <v>537</v>
      </c>
      <c r="I323" s="122">
        <v>45077</v>
      </c>
      <c r="J323" s="103" t="s">
        <v>495</v>
      </c>
      <c r="K323" s="103" t="s">
        <v>1512</v>
      </c>
      <c r="L323" s="103"/>
      <c r="M323" s="105">
        <v>466000</v>
      </c>
      <c r="N323" s="147">
        <v>0</v>
      </c>
      <c r="O323" s="147">
        <v>0</v>
      </c>
      <c r="P323" s="148">
        <v>0</v>
      </c>
      <c r="Q323" s="147">
        <v>0</v>
      </c>
      <c r="R323" s="149">
        <v>466000</v>
      </c>
      <c r="S3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3" s="150">
        <f ca="1">+IF(PROVEEDORES[[#This Row],[FECHA DE PAGO]]=0,TODAY()-PROVEEDORES[[#This Row],[FECHA DE FACTURACIÓN]]-PROVEEDORES[[#This Row],[PLAZO Días]],0)</f>
        <v>0</v>
      </c>
      <c r="U323" s="150">
        <f>+VLOOKUP(PROVEEDORES[[#This Row],[PROVEEDOR]],Terceros!$A:$E,4,FALSE)</f>
        <v>0</v>
      </c>
      <c r="V323" s="150">
        <f>+YEAR(PROVEEDORES[[#This Row],[FECHA DE FACTURACIÓN]])</f>
        <v>2023</v>
      </c>
      <c r="W323" s="150">
        <f>+MATCH(PROVEEDORES[[#This Row],[año facturado]],Retenciones!$1:$1,0)</f>
        <v>6</v>
      </c>
      <c r="X323" s="151">
        <f>+VLOOKUP(PROVEEDORES[[#This Row],[ID RETENCION]],Retenciones!$A$1:$O$25,PROVEEDORES[[#This Row],[indicador de columna]],FALSE)</f>
        <v>0</v>
      </c>
      <c r="Y323" s="152">
        <f>+VLOOKUP(PROVEEDORES[[#This Row],[ID RETENCION]],Retenciones!$A$1:$O$25,2,FALSE)</f>
        <v>0</v>
      </c>
      <c r="Z323" s="153" t="b">
        <f>+OR(COUNTIF(PROVEEDORES[[#This Row],[PROVEEDOR]],"*"&amp;'Palabra que no opera y Listas d'!$A$2&amp;"*"))</f>
        <v>0</v>
      </c>
    </row>
    <row r="324" spans="1:26" ht="27.75" customHeight="1" x14ac:dyDescent="0.3">
      <c r="A324" s="144" t="str">
        <f>+IF(PROVEEDORES[[#This Row],[FECHA DE PAGO]]=PROVEEDORES[[#This Row],[FECHA DE FACTURACIÓN]],"DE CONTADO","CRÉDITO")</f>
        <v>DE CONTADO</v>
      </c>
      <c r="B324" s="144" t="b">
        <f>+IF((PROVEEDORES[[#This Row],[FECHA DE PAGO]]-PROVEEDORES[[#This Row],[FECHA DE FACTURACIÓN]])&gt;PROVEEDORES[[#This Row],[PLAZO Días]],"PAGO VENCIDO")</f>
        <v>0</v>
      </c>
      <c r="C324" s="144">
        <f>+VLOOKUP(PROVEEDORES[[#This Row],[PROVEEDOR]],TERCEROS_INFO[#All],2,FALSE)</f>
        <v>0</v>
      </c>
      <c r="D324" s="145">
        <f>+SUMIFS(PROVEEDORES[Total],PROVEEDORES[PROVEEDOR],PROVEEDORES[[#This Row],[PROVEEDOR]],PROVEEDORES[FECHA DE PAGO],"")</f>
        <v>0</v>
      </c>
      <c r="E324" s="146"/>
      <c r="F324" s="144">
        <f>+VLOOKUP(PROVEEDORES[[#This Row],[PROVEEDOR]],
                       Terceros!$A:$G,
                       5,
                       FALSE)</f>
        <v>0</v>
      </c>
      <c r="G324" s="122">
        <v>45077</v>
      </c>
      <c r="H324" s="102" t="s">
        <v>537</v>
      </c>
      <c r="I324" s="122">
        <v>45077</v>
      </c>
      <c r="J324" s="103" t="s">
        <v>1513</v>
      </c>
      <c r="K324" s="103" t="s">
        <v>1512</v>
      </c>
      <c r="L324" s="103"/>
      <c r="M324" s="105">
        <v>650600</v>
      </c>
      <c r="N324" s="147">
        <v>0</v>
      </c>
      <c r="O324" s="147">
        <v>0</v>
      </c>
      <c r="P324" s="148">
        <v>0</v>
      </c>
      <c r="Q324" s="147">
        <v>0</v>
      </c>
      <c r="R324" s="149">
        <v>650600</v>
      </c>
      <c r="S3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4" s="150">
        <f ca="1">+IF(PROVEEDORES[[#This Row],[FECHA DE PAGO]]=0,TODAY()-PROVEEDORES[[#This Row],[FECHA DE FACTURACIÓN]]-PROVEEDORES[[#This Row],[PLAZO Días]],0)</f>
        <v>0</v>
      </c>
      <c r="U324" s="150">
        <f>+VLOOKUP(PROVEEDORES[[#This Row],[PROVEEDOR]],Terceros!$A:$E,4,FALSE)</f>
        <v>0</v>
      </c>
      <c r="V324" s="150">
        <f>+YEAR(PROVEEDORES[[#This Row],[FECHA DE FACTURACIÓN]])</f>
        <v>2023</v>
      </c>
      <c r="W324" s="150">
        <f>+MATCH(PROVEEDORES[[#This Row],[año facturado]],Retenciones!$1:$1,0)</f>
        <v>6</v>
      </c>
      <c r="X324" s="151">
        <f>+VLOOKUP(PROVEEDORES[[#This Row],[ID RETENCION]],Retenciones!$A$1:$O$25,PROVEEDORES[[#This Row],[indicador de columna]],FALSE)</f>
        <v>0</v>
      </c>
      <c r="Y324" s="152">
        <f>+VLOOKUP(PROVEEDORES[[#This Row],[ID RETENCION]],Retenciones!$A$1:$O$25,2,FALSE)</f>
        <v>0</v>
      </c>
      <c r="Z324" s="153" t="b">
        <f>+OR(COUNTIF(PROVEEDORES[[#This Row],[PROVEEDOR]],"*"&amp;'Palabra que no opera y Listas d'!$A$2&amp;"*"))</f>
        <v>0</v>
      </c>
    </row>
    <row r="325" spans="1:26" ht="27.75" customHeight="1" x14ac:dyDescent="0.3">
      <c r="A325" s="144" t="str">
        <f>+IF(PROVEEDORES[[#This Row],[FECHA DE PAGO]]=PROVEEDORES[[#This Row],[FECHA DE FACTURACIÓN]],"DE CONTADO","CRÉDITO")</f>
        <v>DE CONTADO</v>
      </c>
      <c r="B325" s="144" t="b">
        <f>+IF((PROVEEDORES[[#This Row],[FECHA DE PAGO]]-PROVEEDORES[[#This Row],[FECHA DE FACTURACIÓN]])&gt;PROVEEDORES[[#This Row],[PLAZO Días]],"PAGO VENCIDO")</f>
        <v>0</v>
      </c>
      <c r="C325" s="144">
        <f>+VLOOKUP(PROVEEDORES[[#This Row],[PROVEEDOR]],TERCEROS_INFO[#All],2,FALSE)</f>
        <v>0</v>
      </c>
      <c r="D325" s="145">
        <f>+SUMIFS(PROVEEDORES[Total],PROVEEDORES[PROVEEDOR],PROVEEDORES[[#This Row],[PROVEEDOR]],PROVEEDORES[FECHA DE PAGO],"")</f>
        <v>0</v>
      </c>
      <c r="E325" s="146"/>
      <c r="F325" s="144">
        <f>+VLOOKUP(PROVEEDORES[[#This Row],[PROVEEDOR]],
                       Terceros!$A:$G,
                       5,
                       FALSE)</f>
        <v>0</v>
      </c>
      <c r="G325" s="122">
        <v>45077</v>
      </c>
      <c r="H325" s="102" t="s">
        <v>537</v>
      </c>
      <c r="I325" s="122">
        <v>45077</v>
      </c>
      <c r="J325" s="103" t="s">
        <v>492</v>
      </c>
      <c r="K325" s="103" t="s">
        <v>1512</v>
      </c>
      <c r="L325" s="103"/>
      <c r="M325" s="105">
        <v>1165000</v>
      </c>
      <c r="N325" s="147">
        <v>0</v>
      </c>
      <c r="O325" s="147">
        <v>0</v>
      </c>
      <c r="P325" s="148">
        <v>0</v>
      </c>
      <c r="Q325" s="147">
        <v>0</v>
      </c>
      <c r="R325" s="149">
        <v>1165000</v>
      </c>
      <c r="S3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5" s="150">
        <f ca="1">+IF(PROVEEDORES[[#This Row],[FECHA DE PAGO]]=0,TODAY()-PROVEEDORES[[#This Row],[FECHA DE FACTURACIÓN]]-PROVEEDORES[[#This Row],[PLAZO Días]],0)</f>
        <v>0</v>
      </c>
      <c r="U325" s="150">
        <f>+VLOOKUP(PROVEEDORES[[#This Row],[PROVEEDOR]],Terceros!$A:$E,4,FALSE)</f>
        <v>0</v>
      </c>
      <c r="V325" s="150">
        <f>+YEAR(PROVEEDORES[[#This Row],[FECHA DE FACTURACIÓN]])</f>
        <v>2023</v>
      </c>
      <c r="W325" s="150">
        <f>+MATCH(PROVEEDORES[[#This Row],[año facturado]],Retenciones!$1:$1,0)</f>
        <v>6</v>
      </c>
      <c r="X325" s="151">
        <f>+VLOOKUP(PROVEEDORES[[#This Row],[ID RETENCION]],Retenciones!$A$1:$O$25,PROVEEDORES[[#This Row],[indicador de columna]],FALSE)</f>
        <v>0</v>
      </c>
      <c r="Y325" s="152">
        <f>+VLOOKUP(PROVEEDORES[[#This Row],[ID RETENCION]],Retenciones!$A$1:$O$25,2,FALSE)</f>
        <v>0</v>
      </c>
      <c r="Z325" s="153" t="b">
        <f>+OR(COUNTIF(PROVEEDORES[[#This Row],[PROVEEDOR]],"*"&amp;'Palabra que no opera y Listas d'!$A$2&amp;"*"))</f>
        <v>0</v>
      </c>
    </row>
    <row r="326" spans="1:26" ht="27.75" customHeight="1" x14ac:dyDescent="0.3">
      <c r="A326" s="144" t="str">
        <f>+IF(PROVEEDORES[[#This Row],[FECHA DE PAGO]]=PROVEEDORES[[#This Row],[FECHA DE FACTURACIÓN]],"DE CONTADO","CRÉDITO")</f>
        <v>CRÉDITO</v>
      </c>
      <c r="B326" s="144" t="str">
        <f>+IF((PROVEEDORES[[#This Row],[FECHA DE PAGO]]-PROVEEDORES[[#This Row],[FECHA DE FACTURACIÓN]])&gt;PROVEEDORES[[#This Row],[PLAZO Días]],"PAGO VENCIDO")</f>
        <v>PAGO VENCIDO</v>
      </c>
      <c r="C326" s="144">
        <f>+VLOOKUP(PROVEEDORES[[#This Row],[PROVEEDOR]],TERCEROS_INFO[#All],2,FALSE)</f>
        <v>0</v>
      </c>
      <c r="D326" s="145">
        <f>+SUMIFS(PROVEEDORES[Total],PROVEEDORES[PROVEEDOR],PROVEEDORES[[#This Row],[PROVEEDOR]],PROVEEDORES[FECHA DE PAGO],"")</f>
        <v>0</v>
      </c>
      <c r="E326" s="146"/>
      <c r="F326" s="144">
        <f>+VLOOKUP(PROVEEDORES[[#This Row],[PROVEEDOR]],
                       Terceros!$A:$G,
                       5,
                       FALSE)</f>
        <v>0</v>
      </c>
      <c r="G326" s="122">
        <v>45078</v>
      </c>
      <c r="H326" s="102" t="s">
        <v>496</v>
      </c>
      <c r="I326" s="122">
        <v>45077</v>
      </c>
      <c r="J326" s="103" t="s">
        <v>828</v>
      </c>
      <c r="K326" s="103" t="s">
        <v>1512</v>
      </c>
      <c r="L326" s="103"/>
      <c r="M326" s="105">
        <v>1874000</v>
      </c>
      <c r="N326" s="147">
        <v>0</v>
      </c>
      <c r="O326" s="147">
        <v>0</v>
      </c>
      <c r="P326" s="148">
        <v>0</v>
      </c>
      <c r="Q326" s="147">
        <v>0</v>
      </c>
      <c r="R326" s="149">
        <v>1874000</v>
      </c>
      <c r="S3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6" s="150">
        <f ca="1">+IF(PROVEEDORES[[#This Row],[FECHA DE PAGO]]=0,TODAY()-PROVEEDORES[[#This Row],[FECHA DE FACTURACIÓN]]-PROVEEDORES[[#This Row],[PLAZO Días]],0)</f>
        <v>0</v>
      </c>
      <c r="U326" s="150">
        <f>+VLOOKUP(PROVEEDORES[[#This Row],[PROVEEDOR]],Terceros!$A:$E,4,FALSE)</f>
        <v>0</v>
      </c>
      <c r="V326" s="150">
        <f>+YEAR(PROVEEDORES[[#This Row],[FECHA DE FACTURACIÓN]])</f>
        <v>2023</v>
      </c>
      <c r="W326" s="150">
        <f>+MATCH(PROVEEDORES[[#This Row],[año facturado]],Retenciones!$1:$1,0)</f>
        <v>6</v>
      </c>
      <c r="X326" s="151">
        <f>+VLOOKUP(PROVEEDORES[[#This Row],[ID RETENCION]],Retenciones!$A$1:$O$25,PROVEEDORES[[#This Row],[indicador de columna]],FALSE)</f>
        <v>0</v>
      </c>
      <c r="Y326" s="152">
        <f>+VLOOKUP(PROVEEDORES[[#This Row],[ID RETENCION]],Retenciones!$A$1:$O$25,2,FALSE)</f>
        <v>0</v>
      </c>
      <c r="Z326" s="153" t="b">
        <f>+OR(COUNTIF(PROVEEDORES[[#This Row],[PROVEEDOR]],"*"&amp;'Palabra que no opera y Listas d'!$A$2&amp;"*"))</f>
        <v>0</v>
      </c>
    </row>
    <row r="327" spans="1:26" ht="27.75" customHeight="1" x14ac:dyDescent="0.3">
      <c r="A327" s="144" t="str">
        <f>+IF(PROVEEDORES[[#This Row],[FECHA DE PAGO]]=PROVEEDORES[[#This Row],[FECHA DE FACTURACIÓN]],"DE CONTADO","CRÉDITO")</f>
        <v>DE CONTADO</v>
      </c>
      <c r="B327" s="144" t="b">
        <f>+IF((PROVEEDORES[[#This Row],[FECHA DE PAGO]]-PROVEEDORES[[#This Row],[FECHA DE FACTURACIÓN]])&gt;PROVEEDORES[[#This Row],[PLAZO Días]],"PAGO VENCIDO")</f>
        <v>0</v>
      </c>
      <c r="C327" s="144">
        <f>+VLOOKUP(PROVEEDORES[[#This Row],[PROVEEDOR]],TERCEROS_INFO[#All],2,FALSE)</f>
        <v>0</v>
      </c>
      <c r="D327" s="145">
        <f>+SUMIFS(PROVEEDORES[Total],PROVEEDORES[PROVEEDOR],PROVEEDORES[[#This Row],[PROVEEDOR]],PROVEEDORES[FECHA DE PAGO],"")</f>
        <v>0</v>
      </c>
      <c r="E327" s="146"/>
      <c r="F327" s="144">
        <f>+VLOOKUP(PROVEEDORES[[#This Row],[PROVEEDOR]],
                       Terceros!$A:$G,
                       5,
                       FALSE)</f>
        <v>0</v>
      </c>
      <c r="G327" s="122">
        <v>45078</v>
      </c>
      <c r="H327" s="102" t="s">
        <v>537</v>
      </c>
      <c r="I327" s="122">
        <v>45078</v>
      </c>
      <c r="J327" s="103" t="s">
        <v>827</v>
      </c>
      <c r="K327" s="103" t="s">
        <v>1512</v>
      </c>
      <c r="L327" s="103"/>
      <c r="M327" s="105">
        <v>40000</v>
      </c>
      <c r="N327" s="147">
        <v>0</v>
      </c>
      <c r="O327" s="147">
        <v>0</v>
      </c>
      <c r="P327" s="148">
        <v>0</v>
      </c>
      <c r="Q327" s="147">
        <v>0</v>
      </c>
      <c r="R327" s="149">
        <v>40000</v>
      </c>
      <c r="S3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7" s="150">
        <f ca="1">+IF(PROVEEDORES[[#This Row],[FECHA DE PAGO]]=0,TODAY()-PROVEEDORES[[#This Row],[FECHA DE FACTURACIÓN]]-PROVEEDORES[[#This Row],[PLAZO Días]],0)</f>
        <v>0</v>
      </c>
      <c r="U327" s="150">
        <f>+VLOOKUP(PROVEEDORES[[#This Row],[PROVEEDOR]],Terceros!$A:$E,4,FALSE)</f>
        <v>0</v>
      </c>
      <c r="V327" s="150">
        <f>+YEAR(PROVEEDORES[[#This Row],[FECHA DE FACTURACIÓN]])</f>
        <v>2023</v>
      </c>
      <c r="W327" s="150">
        <f>+MATCH(PROVEEDORES[[#This Row],[año facturado]],Retenciones!$1:$1,0)</f>
        <v>6</v>
      </c>
      <c r="X327" s="151">
        <f>+VLOOKUP(PROVEEDORES[[#This Row],[ID RETENCION]],Retenciones!$A$1:$O$25,PROVEEDORES[[#This Row],[indicador de columna]],FALSE)</f>
        <v>0</v>
      </c>
      <c r="Y327" s="152">
        <f>+VLOOKUP(PROVEEDORES[[#This Row],[ID RETENCION]],Retenciones!$A$1:$O$25,2,FALSE)</f>
        <v>0</v>
      </c>
      <c r="Z327" s="153" t="b">
        <f>+OR(COUNTIF(PROVEEDORES[[#This Row],[PROVEEDOR]],"*"&amp;'Palabra que no opera y Listas d'!$A$2&amp;"*"))</f>
        <v>0</v>
      </c>
    </row>
    <row r="328" spans="1:26" ht="27.75" customHeight="1" x14ac:dyDescent="0.3">
      <c r="A328" s="144" t="str">
        <f>+IF(PROVEEDORES[[#This Row],[FECHA DE PAGO]]=PROVEEDORES[[#This Row],[FECHA DE FACTURACIÓN]],"DE CONTADO","CRÉDITO")</f>
        <v>DE CONTADO</v>
      </c>
      <c r="B328" s="144" t="b">
        <f>+IF((PROVEEDORES[[#This Row],[FECHA DE PAGO]]-PROVEEDORES[[#This Row],[FECHA DE FACTURACIÓN]])&gt;PROVEEDORES[[#This Row],[PLAZO Días]],"PAGO VENCIDO")</f>
        <v>0</v>
      </c>
      <c r="C328" s="144">
        <f>+VLOOKUP(PROVEEDORES[[#This Row],[PROVEEDOR]],TERCEROS_INFO[#All],2,FALSE)</f>
        <v>0</v>
      </c>
      <c r="D328" s="145">
        <f>+SUMIFS(PROVEEDORES[Total],PROVEEDORES[PROVEEDOR],PROVEEDORES[[#This Row],[PROVEEDOR]],PROVEEDORES[FECHA DE PAGO],"")</f>
        <v>0</v>
      </c>
      <c r="E328" s="146"/>
      <c r="F328" s="144">
        <f>+VLOOKUP(PROVEEDORES[[#This Row],[PROVEEDOR]],
                       Terceros!$A:$G,
                       5,
                       FALSE)</f>
        <v>0</v>
      </c>
      <c r="G328" s="122">
        <v>45078</v>
      </c>
      <c r="H328" s="102" t="s">
        <v>537</v>
      </c>
      <c r="I328" s="122">
        <v>45078</v>
      </c>
      <c r="J328" s="103">
        <v>2312</v>
      </c>
      <c r="K328" s="103" t="s">
        <v>1512</v>
      </c>
      <c r="L328" s="103"/>
      <c r="M328" s="105">
        <v>210000</v>
      </c>
      <c r="N328" s="147">
        <v>0</v>
      </c>
      <c r="O328" s="147">
        <v>0</v>
      </c>
      <c r="P328" s="148">
        <v>0</v>
      </c>
      <c r="Q328" s="147">
        <v>0</v>
      </c>
      <c r="R328" s="149">
        <v>210000</v>
      </c>
      <c r="S3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8" s="150">
        <f ca="1">+IF(PROVEEDORES[[#This Row],[FECHA DE PAGO]]=0,TODAY()-PROVEEDORES[[#This Row],[FECHA DE FACTURACIÓN]]-PROVEEDORES[[#This Row],[PLAZO Días]],0)</f>
        <v>0</v>
      </c>
      <c r="U328" s="150">
        <f>+VLOOKUP(PROVEEDORES[[#This Row],[PROVEEDOR]],Terceros!$A:$E,4,FALSE)</f>
        <v>0</v>
      </c>
      <c r="V328" s="150">
        <f>+YEAR(PROVEEDORES[[#This Row],[FECHA DE FACTURACIÓN]])</f>
        <v>2023</v>
      </c>
      <c r="W328" s="150">
        <f>+MATCH(PROVEEDORES[[#This Row],[año facturado]],Retenciones!$1:$1,0)</f>
        <v>6</v>
      </c>
      <c r="X328" s="151">
        <f>+VLOOKUP(PROVEEDORES[[#This Row],[ID RETENCION]],Retenciones!$A$1:$O$25,PROVEEDORES[[#This Row],[indicador de columna]],FALSE)</f>
        <v>0</v>
      </c>
      <c r="Y328" s="152">
        <f>+VLOOKUP(PROVEEDORES[[#This Row],[ID RETENCION]],Retenciones!$A$1:$O$25,2,FALSE)</f>
        <v>0</v>
      </c>
      <c r="Z328" s="153" t="b">
        <f>+OR(COUNTIF(PROVEEDORES[[#This Row],[PROVEEDOR]],"*"&amp;'Palabra que no opera y Listas d'!$A$2&amp;"*"))</f>
        <v>0</v>
      </c>
    </row>
    <row r="329" spans="1:26" ht="27.75" customHeight="1" x14ac:dyDescent="0.3">
      <c r="A329" s="144" t="str">
        <f>+IF(PROVEEDORES[[#This Row],[FECHA DE PAGO]]=PROVEEDORES[[#This Row],[FECHA DE FACTURACIÓN]],"DE CONTADO","CRÉDITO")</f>
        <v>DE CONTADO</v>
      </c>
      <c r="B329" s="144" t="b">
        <f>+IF((PROVEEDORES[[#This Row],[FECHA DE PAGO]]-PROVEEDORES[[#This Row],[FECHA DE FACTURACIÓN]])&gt;PROVEEDORES[[#This Row],[PLAZO Días]],"PAGO VENCIDO")</f>
        <v>0</v>
      </c>
      <c r="C329" s="144">
        <f>+VLOOKUP(PROVEEDORES[[#This Row],[PROVEEDOR]],TERCEROS_INFO[#All],2,FALSE)</f>
        <v>0</v>
      </c>
      <c r="D329" s="145">
        <f>+SUMIFS(PROVEEDORES[Total],PROVEEDORES[PROVEEDOR],PROVEEDORES[[#This Row],[PROVEEDOR]],PROVEEDORES[FECHA DE PAGO],"")</f>
        <v>0</v>
      </c>
      <c r="E329" s="146"/>
      <c r="F329" s="144" t="str">
        <f>+VLOOKUP(PROVEEDORES[[#This Row],[PROVEEDOR]],
                       Terceros!$A:$G,
                       5,
                       FALSE)</f>
        <v>2,5% con base</v>
      </c>
      <c r="G329" s="122">
        <v>45078</v>
      </c>
      <c r="H329" s="102" t="s">
        <v>196</v>
      </c>
      <c r="I329" s="122">
        <v>45078</v>
      </c>
      <c r="J329" s="103" t="s">
        <v>829</v>
      </c>
      <c r="K329" s="103" t="s">
        <v>1512</v>
      </c>
      <c r="L329" s="103"/>
      <c r="M329" s="105">
        <v>35292</v>
      </c>
      <c r="N329" s="147">
        <v>6705.4800000000005</v>
      </c>
      <c r="O329" s="147">
        <v>0</v>
      </c>
      <c r="P329" s="148">
        <v>0</v>
      </c>
      <c r="Q329" s="147">
        <v>0</v>
      </c>
      <c r="R329" s="149">
        <v>41997.48</v>
      </c>
      <c r="S3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9" s="150">
        <f ca="1">+IF(PROVEEDORES[[#This Row],[FECHA DE PAGO]]=0,TODAY()-PROVEEDORES[[#This Row],[FECHA DE FACTURACIÓN]]-PROVEEDORES[[#This Row],[PLAZO Días]],0)</f>
        <v>0</v>
      </c>
      <c r="U329" s="150">
        <f>+VLOOKUP(PROVEEDORES[[#This Row],[PROVEEDOR]],Terceros!$A:$E,4,FALSE)</f>
        <v>0.19</v>
      </c>
      <c r="V329" s="150">
        <f>+YEAR(PROVEEDORES[[#This Row],[FECHA DE FACTURACIÓN]])</f>
        <v>2023</v>
      </c>
      <c r="W329" s="150">
        <f>+MATCH(PROVEEDORES[[#This Row],[año facturado]],Retenciones!$1:$1,0)</f>
        <v>6</v>
      </c>
      <c r="X329" s="151" t="e">
        <f>+VLOOKUP(PROVEEDORES[[#This Row],[ID RETENCION]],Retenciones!$A$1:$O$25,PROVEEDORES[[#This Row],[indicador de columna]],FALSE)</f>
        <v>#N/A</v>
      </c>
      <c r="Y329" s="152" t="e">
        <f>+VLOOKUP(PROVEEDORES[[#This Row],[ID RETENCION]],Retenciones!$A$1:$O$25,2,FALSE)</f>
        <v>#N/A</v>
      </c>
      <c r="Z329" s="153" t="b">
        <f>+OR(COUNTIF(PROVEEDORES[[#This Row],[PROVEEDOR]],"*"&amp;'Palabra que no opera y Listas d'!$A$2&amp;"*"))</f>
        <v>0</v>
      </c>
    </row>
    <row r="330" spans="1:26" ht="27.75" customHeight="1" x14ac:dyDescent="0.3">
      <c r="A330" s="144" t="str">
        <f>+IF(PROVEEDORES[[#This Row],[FECHA DE PAGO]]=PROVEEDORES[[#This Row],[FECHA DE FACTURACIÓN]],"DE CONTADO","CRÉDITO")</f>
        <v>CRÉDITO</v>
      </c>
      <c r="B330" s="144" t="str">
        <f>+IF((PROVEEDORES[[#This Row],[FECHA DE PAGO]]-PROVEEDORES[[#This Row],[FECHA DE FACTURACIÓN]])&gt;PROVEEDORES[[#This Row],[PLAZO Días]],"PAGO VENCIDO")</f>
        <v>PAGO VENCIDO</v>
      </c>
      <c r="C330" s="144">
        <f>+VLOOKUP(PROVEEDORES[[#This Row],[PROVEEDOR]],TERCEROS_INFO[#All],2,FALSE)</f>
        <v>0</v>
      </c>
      <c r="D330" s="145">
        <f>+SUMIFS(PROVEEDORES[Total],PROVEEDORES[PROVEEDOR],PROVEEDORES[[#This Row],[PROVEEDOR]],PROVEEDORES[FECHA DE PAGO],"")</f>
        <v>0</v>
      </c>
      <c r="E330" s="146"/>
      <c r="F330" s="144" t="str">
        <f>+VLOOKUP(PROVEEDORES[[#This Row],[PROVEEDOR]],
                       Terceros!$A:$G,
                       5,
                       FALSE)</f>
        <v>2,5% con base</v>
      </c>
      <c r="G330" s="122">
        <v>45082</v>
      </c>
      <c r="H330" s="102" t="s">
        <v>450</v>
      </c>
      <c r="I330" s="122">
        <v>44999</v>
      </c>
      <c r="J330" s="103" t="s">
        <v>632</v>
      </c>
      <c r="K330" s="103" t="s">
        <v>1512</v>
      </c>
      <c r="L330" s="103"/>
      <c r="M330" s="105">
        <v>315126</v>
      </c>
      <c r="N330" s="147">
        <v>59873.94</v>
      </c>
      <c r="O330" s="147">
        <v>0</v>
      </c>
      <c r="P330" s="148">
        <v>0</v>
      </c>
      <c r="Q330" s="147">
        <v>0</v>
      </c>
      <c r="R330" s="149">
        <v>374999.94</v>
      </c>
      <c r="S3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0" s="150">
        <f ca="1">+IF(PROVEEDORES[[#This Row],[FECHA DE PAGO]]=0,TODAY()-PROVEEDORES[[#This Row],[FECHA DE FACTURACIÓN]]-PROVEEDORES[[#This Row],[PLAZO Días]],0)</f>
        <v>0</v>
      </c>
      <c r="U330" s="150">
        <f>+VLOOKUP(PROVEEDORES[[#This Row],[PROVEEDOR]],Terceros!$A:$E,4,FALSE)</f>
        <v>0.19</v>
      </c>
      <c r="V330" s="150">
        <f>+YEAR(PROVEEDORES[[#This Row],[FECHA DE FACTURACIÓN]])</f>
        <v>2023</v>
      </c>
      <c r="W330" s="150">
        <f>+MATCH(PROVEEDORES[[#This Row],[año facturado]],Retenciones!$1:$1,0)</f>
        <v>6</v>
      </c>
      <c r="X330" s="151" t="e">
        <f>+VLOOKUP(PROVEEDORES[[#This Row],[ID RETENCION]],Retenciones!$A$1:$O$25,PROVEEDORES[[#This Row],[indicador de columna]],FALSE)</f>
        <v>#N/A</v>
      </c>
      <c r="Y330" s="152" t="e">
        <f>+VLOOKUP(PROVEEDORES[[#This Row],[ID RETENCION]],Retenciones!$A$1:$O$25,2,FALSE)</f>
        <v>#N/A</v>
      </c>
      <c r="Z330" s="153" t="b">
        <f>+OR(COUNTIF(PROVEEDORES[[#This Row],[PROVEEDOR]],"*"&amp;'Palabra que no opera y Listas d'!$A$2&amp;"*"))</f>
        <v>0</v>
      </c>
    </row>
    <row r="331" spans="1:26" ht="27.75" customHeight="1" x14ac:dyDescent="0.3">
      <c r="A331" s="144" t="str">
        <f>+IF(PROVEEDORES[[#This Row],[FECHA DE PAGO]]=PROVEEDORES[[#This Row],[FECHA DE FACTURACIÓN]],"DE CONTADO","CRÉDITO")</f>
        <v>CRÉDITO</v>
      </c>
      <c r="B331" s="144" t="str">
        <f>+IF((PROVEEDORES[[#This Row],[FECHA DE PAGO]]-PROVEEDORES[[#This Row],[FECHA DE FACTURACIÓN]])&gt;PROVEEDORES[[#This Row],[PLAZO Días]],"PAGO VENCIDO")</f>
        <v>PAGO VENCIDO</v>
      </c>
      <c r="C331" s="144">
        <f>+VLOOKUP(PROVEEDORES[[#This Row],[PROVEEDOR]],TERCEROS_INFO[#All],2,FALSE)</f>
        <v>0</v>
      </c>
      <c r="D331" s="145">
        <f>+SUMIFS(PROVEEDORES[Total],PROVEEDORES[PROVEEDOR],PROVEEDORES[[#This Row],[PROVEEDOR]],PROVEEDORES[FECHA DE PAGO],"")</f>
        <v>9343197</v>
      </c>
      <c r="E331" s="146"/>
      <c r="F331" s="144" t="str">
        <f>+VLOOKUP(PROVEEDORES[[#This Row],[PROVEEDOR]],
                       Terceros!$A:$G,
                       5,
                       FALSE)</f>
        <v>2,5% con base</v>
      </c>
      <c r="G331" s="122">
        <v>45082</v>
      </c>
      <c r="H331" s="102" t="s">
        <v>466</v>
      </c>
      <c r="I331" s="122">
        <v>45013</v>
      </c>
      <c r="J331" s="103" t="s">
        <v>663</v>
      </c>
      <c r="K331" s="103" t="s">
        <v>1512</v>
      </c>
      <c r="L331" s="103"/>
      <c r="M331" s="105">
        <v>2185344</v>
      </c>
      <c r="N331" s="147">
        <v>415215.35999999999</v>
      </c>
      <c r="O331" s="147">
        <v>0</v>
      </c>
      <c r="P331" s="148">
        <v>2.5000000000000001E-2</v>
      </c>
      <c r="Q331" s="147">
        <v>54633.600000000006</v>
      </c>
      <c r="R331" s="149">
        <v>2545925.7599999998</v>
      </c>
      <c r="S3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1" s="150">
        <f ca="1">+IF(PROVEEDORES[[#This Row],[FECHA DE PAGO]]=0,TODAY()-PROVEEDORES[[#This Row],[FECHA DE FACTURACIÓN]]-PROVEEDORES[[#This Row],[PLAZO Días]],0)</f>
        <v>0</v>
      </c>
      <c r="U331" s="150">
        <f>+VLOOKUP(PROVEEDORES[[#This Row],[PROVEEDOR]],Terceros!$A:$E,4,FALSE)</f>
        <v>0.19</v>
      </c>
      <c r="V331" s="150">
        <f>+YEAR(PROVEEDORES[[#This Row],[FECHA DE FACTURACIÓN]])</f>
        <v>2023</v>
      </c>
      <c r="W331" s="150">
        <f>+MATCH(PROVEEDORES[[#This Row],[año facturado]],Retenciones!$1:$1,0)</f>
        <v>6</v>
      </c>
      <c r="X331" s="151" t="e">
        <f>+VLOOKUP(PROVEEDORES[[#This Row],[ID RETENCION]],Retenciones!$A$1:$O$25,PROVEEDORES[[#This Row],[indicador de columna]],FALSE)</f>
        <v>#N/A</v>
      </c>
      <c r="Y331" s="152" t="e">
        <f>+VLOOKUP(PROVEEDORES[[#This Row],[ID RETENCION]],Retenciones!$A$1:$O$25,2,FALSE)</f>
        <v>#N/A</v>
      </c>
      <c r="Z331" s="153" t="b">
        <f>+OR(COUNTIF(PROVEEDORES[[#This Row],[PROVEEDOR]],"*"&amp;'Palabra que no opera y Listas d'!$A$2&amp;"*"))</f>
        <v>0</v>
      </c>
    </row>
    <row r="332" spans="1:26" ht="27.75" customHeight="1" x14ac:dyDescent="0.3">
      <c r="A332" s="144" t="str">
        <f>+IF(PROVEEDORES[[#This Row],[FECHA DE PAGO]]=PROVEEDORES[[#This Row],[FECHA DE FACTURACIÓN]],"DE CONTADO","CRÉDITO")</f>
        <v>CRÉDITO</v>
      </c>
      <c r="B332" s="144" t="str">
        <f>+IF((PROVEEDORES[[#This Row],[FECHA DE PAGO]]-PROVEEDORES[[#This Row],[FECHA DE FACTURACIÓN]])&gt;PROVEEDORES[[#This Row],[PLAZO Días]],"PAGO VENCIDO")</f>
        <v>PAGO VENCIDO</v>
      </c>
      <c r="C332" s="144">
        <f>+VLOOKUP(PROVEEDORES[[#This Row],[PROVEEDOR]],TERCEROS_INFO[#All],2,FALSE)</f>
        <v>0</v>
      </c>
      <c r="D332" s="145">
        <f>+SUMIFS(PROVEEDORES[Total],PROVEEDORES[PROVEEDOR],PROVEEDORES[[#This Row],[PROVEEDOR]],PROVEEDORES[FECHA DE PAGO],"")</f>
        <v>3461120</v>
      </c>
      <c r="E332" s="146"/>
      <c r="F332" s="144" t="str">
        <f>+VLOOKUP(PROVEEDORES[[#This Row],[PROVEEDOR]],
                       Terceros!$A:$G,
                       5,
                       FALSE)</f>
        <v>2,5% con base</v>
      </c>
      <c r="G332" s="122">
        <v>45082</v>
      </c>
      <c r="H332" s="102" t="s">
        <v>9</v>
      </c>
      <c r="I332" s="122">
        <v>45014</v>
      </c>
      <c r="J332" s="103" t="s">
        <v>673</v>
      </c>
      <c r="K332" s="103" t="s">
        <v>1512</v>
      </c>
      <c r="L332" s="103"/>
      <c r="M332" s="105">
        <v>2020000</v>
      </c>
      <c r="N332" s="147">
        <v>383800</v>
      </c>
      <c r="O332" s="147">
        <v>0</v>
      </c>
      <c r="P332" s="148">
        <v>2.5000000000000001E-2</v>
      </c>
      <c r="Q332" s="147">
        <v>50500</v>
      </c>
      <c r="R332" s="149">
        <v>2353300</v>
      </c>
      <c r="S3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2" s="150">
        <f ca="1">+IF(PROVEEDORES[[#This Row],[FECHA DE PAGO]]=0,TODAY()-PROVEEDORES[[#This Row],[FECHA DE FACTURACIÓN]]-PROVEEDORES[[#This Row],[PLAZO Días]],0)</f>
        <v>0</v>
      </c>
      <c r="U332" s="150">
        <f>+VLOOKUP(PROVEEDORES[[#This Row],[PROVEEDOR]],Terceros!$A:$E,4,FALSE)</f>
        <v>0.19</v>
      </c>
      <c r="V332" s="150">
        <f>+YEAR(PROVEEDORES[[#This Row],[FECHA DE FACTURACIÓN]])</f>
        <v>2023</v>
      </c>
      <c r="W332" s="150">
        <f>+MATCH(PROVEEDORES[[#This Row],[año facturado]],Retenciones!$1:$1,0)</f>
        <v>6</v>
      </c>
      <c r="X332" s="151" t="e">
        <f>+VLOOKUP(PROVEEDORES[[#This Row],[ID RETENCION]],Retenciones!$A$1:$O$25,PROVEEDORES[[#This Row],[indicador de columna]],FALSE)</f>
        <v>#N/A</v>
      </c>
      <c r="Y332" s="152" t="e">
        <f>+VLOOKUP(PROVEEDORES[[#This Row],[ID RETENCION]],Retenciones!$A$1:$O$25,2,FALSE)</f>
        <v>#N/A</v>
      </c>
      <c r="Z332" s="153" t="b">
        <f>+OR(COUNTIF(PROVEEDORES[[#This Row],[PROVEEDOR]],"*"&amp;'Palabra que no opera y Listas d'!$A$2&amp;"*"))</f>
        <v>0</v>
      </c>
    </row>
    <row r="333" spans="1:26" ht="27.75" customHeight="1" x14ac:dyDescent="0.3">
      <c r="A333" s="144" t="str">
        <f>+IF(PROVEEDORES[[#This Row],[FECHA DE PAGO]]=PROVEEDORES[[#This Row],[FECHA DE FACTURACIÓN]],"DE CONTADO","CRÉDITO")</f>
        <v>CRÉDITO</v>
      </c>
      <c r="B333" s="144" t="str">
        <f>+IF((PROVEEDORES[[#This Row],[FECHA DE PAGO]]-PROVEEDORES[[#This Row],[FECHA DE FACTURACIÓN]])&gt;PROVEEDORES[[#This Row],[PLAZO Días]],"PAGO VENCIDO")</f>
        <v>PAGO VENCIDO</v>
      </c>
      <c r="C333" s="144">
        <f>+VLOOKUP(PROVEEDORES[[#This Row],[PROVEEDOR]],TERCEROS_INFO[#All],2,FALSE)</f>
        <v>0</v>
      </c>
      <c r="D333" s="145">
        <f>+SUMIFS(PROVEEDORES[Total],PROVEEDORES[PROVEEDOR],PROVEEDORES[[#This Row],[PROVEEDOR]],PROVEEDORES[FECHA DE PAGO],"")</f>
        <v>3461120</v>
      </c>
      <c r="E333" s="146"/>
      <c r="F333" s="144" t="str">
        <f>+VLOOKUP(PROVEEDORES[[#This Row],[PROVEEDOR]],
                       Terceros!$A:$G,
                       5,
                       FALSE)</f>
        <v>2,5% con base</v>
      </c>
      <c r="G333" s="122">
        <v>45082</v>
      </c>
      <c r="H333" s="102" t="s">
        <v>9</v>
      </c>
      <c r="I333" s="122">
        <v>45016</v>
      </c>
      <c r="J333" s="103" t="s">
        <v>674</v>
      </c>
      <c r="K333" s="103" t="s">
        <v>1512</v>
      </c>
      <c r="L333" s="103"/>
      <c r="M333" s="105">
        <v>630000</v>
      </c>
      <c r="N333" s="147">
        <v>119700</v>
      </c>
      <c r="O333" s="147">
        <v>0</v>
      </c>
      <c r="P333" s="148">
        <v>0</v>
      </c>
      <c r="Q333" s="147">
        <v>0</v>
      </c>
      <c r="R333" s="149">
        <v>749700</v>
      </c>
      <c r="S3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3" s="150">
        <f ca="1">+IF(PROVEEDORES[[#This Row],[FECHA DE PAGO]]=0,TODAY()-PROVEEDORES[[#This Row],[FECHA DE FACTURACIÓN]]-PROVEEDORES[[#This Row],[PLAZO Días]],0)</f>
        <v>0</v>
      </c>
      <c r="U333" s="150">
        <f>+VLOOKUP(PROVEEDORES[[#This Row],[PROVEEDOR]],Terceros!$A:$E,4,FALSE)</f>
        <v>0.19</v>
      </c>
      <c r="V333" s="150">
        <f>+YEAR(PROVEEDORES[[#This Row],[FECHA DE FACTURACIÓN]])</f>
        <v>2023</v>
      </c>
      <c r="W333" s="150">
        <f>+MATCH(PROVEEDORES[[#This Row],[año facturado]],Retenciones!$1:$1,0)</f>
        <v>6</v>
      </c>
      <c r="X333" s="151" t="e">
        <f>+VLOOKUP(PROVEEDORES[[#This Row],[ID RETENCION]],Retenciones!$A$1:$O$25,PROVEEDORES[[#This Row],[indicador de columna]],FALSE)</f>
        <v>#N/A</v>
      </c>
      <c r="Y333" s="152" t="e">
        <f>+VLOOKUP(PROVEEDORES[[#This Row],[ID RETENCION]],Retenciones!$A$1:$O$25,2,FALSE)</f>
        <v>#N/A</v>
      </c>
      <c r="Z333" s="153" t="b">
        <f>+OR(COUNTIF(PROVEEDORES[[#This Row],[PROVEEDOR]],"*"&amp;'Palabra que no opera y Listas d'!$A$2&amp;"*"))</f>
        <v>0</v>
      </c>
    </row>
    <row r="334" spans="1:26" ht="27.75" customHeight="1" x14ac:dyDescent="0.3">
      <c r="A334" s="144" t="str">
        <f>+IF(PROVEEDORES[[#This Row],[FECHA DE PAGO]]=PROVEEDORES[[#This Row],[FECHA DE FACTURACIÓN]],"DE CONTADO","CRÉDITO")</f>
        <v>CRÉDITO</v>
      </c>
      <c r="B334" s="144" t="str">
        <f>+IF((PROVEEDORES[[#This Row],[FECHA DE PAGO]]-PROVEEDORES[[#This Row],[FECHA DE FACTURACIÓN]])&gt;PROVEEDORES[[#This Row],[PLAZO Días]],"PAGO VENCIDO")</f>
        <v>PAGO VENCIDO</v>
      </c>
      <c r="C334" s="144">
        <f>+VLOOKUP(PROVEEDORES[[#This Row],[PROVEEDOR]],TERCEROS_INFO[#All],2,FALSE)</f>
        <v>0</v>
      </c>
      <c r="D334" s="145">
        <f>+SUMIFS(PROVEEDORES[Total],PROVEEDORES[PROVEEDOR],PROVEEDORES[[#This Row],[PROVEEDOR]],PROVEEDORES[FECHA DE PAGO],"")</f>
        <v>0</v>
      </c>
      <c r="E334" s="146"/>
      <c r="F334" s="144" t="str">
        <f>+VLOOKUP(PROVEEDORES[[#This Row],[PROVEEDOR]],
                       Terceros!$A:$G,
                       5,
                       FALSE)</f>
        <v>2,5% con base</v>
      </c>
      <c r="G334" s="122">
        <v>45082</v>
      </c>
      <c r="H334" s="102" t="s">
        <v>450</v>
      </c>
      <c r="I334" s="122">
        <v>45026</v>
      </c>
      <c r="J334" s="103" t="s">
        <v>826</v>
      </c>
      <c r="K334" s="103" t="s">
        <v>1512</v>
      </c>
      <c r="L334" s="103"/>
      <c r="M334" s="105">
        <v>3108403</v>
      </c>
      <c r="N334" s="147">
        <v>590596.56999999995</v>
      </c>
      <c r="O334" s="147">
        <v>0</v>
      </c>
      <c r="P334" s="148">
        <v>2.5000000000000001E-2</v>
      </c>
      <c r="Q334" s="147">
        <v>77710.074999999997</v>
      </c>
      <c r="R334" s="149">
        <v>3621289.4949999996</v>
      </c>
      <c r="S3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4" s="150">
        <f ca="1">+IF(PROVEEDORES[[#This Row],[FECHA DE PAGO]]=0,TODAY()-PROVEEDORES[[#This Row],[FECHA DE FACTURACIÓN]]-PROVEEDORES[[#This Row],[PLAZO Días]],0)</f>
        <v>0</v>
      </c>
      <c r="U334" s="150">
        <f>+VLOOKUP(PROVEEDORES[[#This Row],[PROVEEDOR]],Terceros!$A:$E,4,FALSE)</f>
        <v>0.19</v>
      </c>
      <c r="V334" s="150">
        <f>+YEAR(PROVEEDORES[[#This Row],[FECHA DE FACTURACIÓN]])</f>
        <v>2023</v>
      </c>
      <c r="W334" s="150">
        <f>+MATCH(PROVEEDORES[[#This Row],[año facturado]],Retenciones!$1:$1,0)</f>
        <v>6</v>
      </c>
      <c r="X334" s="151" t="e">
        <f>+VLOOKUP(PROVEEDORES[[#This Row],[ID RETENCION]],Retenciones!$A$1:$O$25,PROVEEDORES[[#This Row],[indicador de columna]],FALSE)</f>
        <v>#N/A</v>
      </c>
      <c r="Y334" s="152" t="e">
        <f>+VLOOKUP(PROVEEDORES[[#This Row],[ID RETENCION]],Retenciones!$A$1:$O$25,2,FALSE)</f>
        <v>#N/A</v>
      </c>
      <c r="Z334" s="153" t="b">
        <f>+OR(COUNTIF(PROVEEDORES[[#This Row],[PROVEEDOR]],"*"&amp;'Palabra que no opera y Listas d'!$A$2&amp;"*"))</f>
        <v>0</v>
      </c>
    </row>
    <row r="335" spans="1:26" ht="27.75" customHeight="1" x14ac:dyDescent="0.3">
      <c r="A335" s="144" t="str">
        <f>+IF(PROVEEDORES[[#This Row],[FECHA DE PAGO]]=PROVEEDORES[[#This Row],[FECHA DE FACTURACIÓN]],"DE CONTADO","CRÉDITO")</f>
        <v>CRÉDITO</v>
      </c>
      <c r="B335" s="144" t="str">
        <f>+IF((PROVEEDORES[[#This Row],[FECHA DE PAGO]]-PROVEEDORES[[#This Row],[FECHA DE FACTURACIÓN]])&gt;PROVEEDORES[[#This Row],[PLAZO Días]],"PAGO VENCIDO")</f>
        <v>PAGO VENCIDO</v>
      </c>
      <c r="C335" s="144">
        <f>+VLOOKUP(PROVEEDORES[[#This Row],[PROVEEDOR]],TERCEROS_INFO[#All],2,FALSE)</f>
        <v>0</v>
      </c>
      <c r="D335" s="145">
        <f>+SUMIFS(PROVEEDORES[Total],PROVEEDORES[PROVEEDOR],PROVEEDORES[[#This Row],[PROVEEDOR]],PROVEEDORES[FECHA DE PAGO],"")</f>
        <v>0</v>
      </c>
      <c r="E335" s="146"/>
      <c r="F335" s="144">
        <f>+VLOOKUP(PROVEEDORES[[#This Row],[PROVEEDOR]],
                       Terceros!$A:$G,
                       5,
                       FALSE)</f>
        <v>0</v>
      </c>
      <c r="G335" s="122">
        <v>45082</v>
      </c>
      <c r="H335" s="102" t="s">
        <v>309</v>
      </c>
      <c r="I335" s="122">
        <v>45026</v>
      </c>
      <c r="J335" s="103">
        <v>2002</v>
      </c>
      <c r="K335" s="103" t="s">
        <v>1512</v>
      </c>
      <c r="L335" s="103"/>
      <c r="M335" s="105">
        <v>343800</v>
      </c>
      <c r="N335" s="147">
        <v>0</v>
      </c>
      <c r="O335" s="147">
        <v>0</v>
      </c>
      <c r="P335" s="148">
        <v>0</v>
      </c>
      <c r="Q335" s="147">
        <v>0</v>
      </c>
      <c r="R335" s="149">
        <v>343800</v>
      </c>
      <c r="S3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5" s="150">
        <f ca="1">+IF(PROVEEDORES[[#This Row],[FECHA DE PAGO]]=0,TODAY()-PROVEEDORES[[#This Row],[FECHA DE FACTURACIÓN]]-PROVEEDORES[[#This Row],[PLAZO Días]],0)</f>
        <v>0</v>
      </c>
      <c r="U335" s="150">
        <f>+VLOOKUP(PROVEEDORES[[#This Row],[PROVEEDOR]],Terceros!$A:$E,4,FALSE)</f>
        <v>0</v>
      </c>
      <c r="V335" s="150">
        <f>+YEAR(PROVEEDORES[[#This Row],[FECHA DE FACTURACIÓN]])</f>
        <v>2023</v>
      </c>
      <c r="W335" s="150">
        <f>+MATCH(PROVEEDORES[[#This Row],[año facturado]],Retenciones!$1:$1,0)</f>
        <v>6</v>
      </c>
      <c r="X335" s="151">
        <f>+VLOOKUP(PROVEEDORES[[#This Row],[ID RETENCION]],Retenciones!$A$1:$O$25,PROVEEDORES[[#This Row],[indicador de columna]],FALSE)</f>
        <v>0</v>
      </c>
      <c r="Y335" s="152">
        <f>+VLOOKUP(PROVEEDORES[[#This Row],[ID RETENCION]],Retenciones!$A$1:$O$25,2,FALSE)</f>
        <v>0</v>
      </c>
      <c r="Z335" s="153" t="b">
        <f>+OR(COUNTIF(PROVEEDORES[[#This Row],[PROVEEDOR]],"*"&amp;'Palabra que no opera y Listas d'!$A$2&amp;"*"))</f>
        <v>0</v>
      </c>
    </row>
    <row r="336" spans="1:26" ht="27.75" customHeight="1" x14ac:dyDescent="0.3">
      <c r="A336" s="144" t="str">
        <f>+IF(PROVEEDORES[[#This Row],[FECHA DE PAGO]]=PROVEEDORES[[#This Row],[FECHA DE FACTURACIÓN]],"DE CONTADO","CRÉDITO")</f>
        <v>CRÉDITO</v>
      </c>
      <c r="B336" s="144" t="str">
        <f>+IF((PROVEEDORES[[#This Row],[FECHA DE PAGO]]-PROVEEDORES[[#This Row],[FECHA DE FACTURACIÓN]])&gt;PROVEEDORES[[#This Row],[PLAZO Días]],"PAGO VENCIDO")</f>
        <v>PAGO VENCIDO</v>
      </c>
      <c r="C336" s="144">
        <f>+VLOOKUP(PROVEEDORES[[#This Row],[PROVEEDOR]],TERCEROS_INFO[#All],2,FALSE)</f>
        <v>0</v>
      </c>
      <c r="D336" s="145">
        <f>+SUMIFS(PROVEEDORES[Total],PROVEEDORES[PROVEEDOR],PROVEEDORES[[#This Row],[PROVEEDOR]],PROVEEDORES[FECHA DE PAGO],"")</f>
        <v>0</v>
      </c>
      <c r="E336" s="146"/>
      <c r="F336" s="144">
        <f>+VLOOKUP(PROVEEDORES[[#This Row],[PROVEEDOR]],
                       Terceros!$A:$G,
                       5,
                       FALSE)</f>
        <v>0</v>
      </c>
      <c r="G336" s="122">
        <v>45082</v>
      </c>
      <c r="H336" s="102" t="s">
        <v>1795</v>
      </c>
      <c r="I336" s="122">
        <v>45028</v>
      </c>
      <c r="J336" s="103">
        <v>31073</v>
      </c>
      <c r="K336" s="103" t="s">
        <v>1512</v>
      </c>
      <c r="L336" s="103"/>
      <c r="M336" s="105">
        <v>900000</v>
      </c>
      <c r="N336" s="147">
        <v>0</v>
      </c>
      <c r="O336" s="147">
        <v>0</v>
      </c>
      <c r="P336" s="148">
        <v>0</v>
      </c>
      <c r="Q336" s="147">
        <v>0</v>
      </c>
      <c r="R336" s="149">
        <v>900000</v>
      </c>
      <c r="S3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6" s="150">
        <f ca="1">+IF(PROVEEDORES[[#This Row],[FECHA DE PAGO]]=0,TODAY()-PROVEEDORES[[#This Row],[FECHA DE FACTURACIÓN]]-PROVEEDORES[[#This Row],[PLAZO Días]],0)</f>
        <v>0</v>
      </c>
      <c r="U336" s="150">
        <f>+VLOOKUP(PROVEEDORES[[#This Row],[PROVEEDOR]],Terceros!$A:$E,4,FALSE)</f>
        <v>0</v>
      </c>
      <c r="V336" s="150">
        <f>+YEAR(PROVEEDORES[[#This Row],[FECHA DE FACTURACIÓN]])</f>
        <v>2023</v>
      </c>
      <c r="W336" s="150">
        <f>+MATCH(PROVEEDORES[[#This Row],[año facturado]],Retenciones!$1:$1,0)</f>
        <v>6</v>
      </c>
      <c r="X336" s="151">
        <f>+VLOOKUP(PROVEEDORES[[#This Row],[ID RETENCION]],Retenciones!$A$1:$O$25,PROVEEDORES[[#This Row],[indicador de columna]],FALSE)</f>
        <v>0</v>
      </c>
      <c r="Y336" s="152">
        <f>+VLOOKUP(PROVEEDORES[[#This Row],[ID RETENCION]],Retenciones!$A$1:$O$25,2,FALSE)</f>
        <v>0</v>
      </c>
      <c r="Z336" s="153" t="b">
        <f>+OR(COUNTIF(PROVEEDORES[[#This Row],[PROVEEDOR]],"*"&amp;'Palabra que no opera y Listas d'!$A$2&amp;"*"))</f>
        <v>0</v>
      </c>
    </row>
    <row r="337" spans="1:26" ht="27.75" customHeight="1" x14ac:dyDescent="0.3">
      <c r="A337" s="144" t="str">
        <f>+IF(PROVEEDORES[[#This Row],[FECHA DE PAGO]]=PROVEEDORES[[#This Row],[FECHA DE FACTURACIÓN]],"DE CONTADO","CRÉDITO")</f>
        <v>CRÉDITO</v>
      </c>
      <c r="B337" s="144" t="str">
        <f>+IF((PROVEEDORES[[#This Row],[FECHA DE PAGO]]-PROVEEDORES[[#This Row],[FECHA DE FACTURACIÓN]])&gt;PROVEEDORES[[#This Row],[PLAZO Días]],"PAGO VENCIDO")</f>
        <v>PAGO VENCIDO</v>
      </c>
      <c r="C337" s="144">
        <f>+VLOOKUP(PROVEEDORES[[#This Row],[PROVEEDOR]],TERCEROS_INFO[#All],2,FALSE)</f>
        <v>0</v>
      </c>
      <c r="D337" s="145">
        <f>+SUMIFS(PROVEEDORES[Total],PROVEEDORES[PROVEEDOR],PROVEEDORES[[#This Row],[PROVEEDOR]],PROVEEDORES[FECHA DE PAGO],"")</f>
        <v>7281829.8799999999</v>
      </c>
      <c r="E337" s="146"/>
      <c r="F337" s="144" t="str">
        <f>+VLOOKUP(PROVEEDORES[[#This Row],[PROVEEDOR]],
                       Terceros!$A:$G,
                       5,
                       FALSE)</f>
        <v>2,5% con base</v>
      </c>
      <c r="G337" s="122">
        <v>45082</v>
      </c>
      <c r="H337" s="102" t="s">
        <v>1445</v>
      </c>
      <c r="I337" s="122">
        <v>45028</v>
      </c>
      <c r="J337" s="103" t="s">
        <v>747</v>
      </c>
      <c r="K337" s="103" t="s">
        <v>1512</v>
      </c>
      <c r="L337" s="103"/>
      <c r="M337" s="105">
        <v>97619</v>
      </c>
      <c r="N337" s="147">
        <v>18547.61</v>
      </c>
      <c r="O337" s="147">
        <v>0</v>
      </c>
      <c r="P337" s="148">
        <v>0</v>
      </c>
      <c r="Q337" s="147">
        <v>0</v>
      </c>
      <c r="R337" s="149">
        <v>116166.61</v>
      </c>
      <c r="S3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7" s="150">
        <f ca="1">+IF(PROVEEDORES[[#This Row],[FECHA DE PAGO]]=0,TODAY()-PROVEEDORES[[#This Row],[FECHA DE FACTURACIÓN]]-PROVEEDORES[[#This Row],[PLAZO Días]],0)</f>
        <v>0</v>
      </c>
      <c r="U337" s="150">
        <f>+VLOOKUP(PROVEEDORES[[#This Row],[PROVEEDOR]],Terceros!$A:$E,4,FALSE)</f>
        <v>0.19</v>
      </c>
      <c r="V337" s="150">
        <f>+YEAR(PROVEEDORES[[#This Row],[FECHA DE FACTURACIÓN]])</f>
        <v>2023</v>
      </c>
      <c r="W337" s="150">
        <f>+MATCH(PROVEEDORES[[#This Row],[año facturado]],Retenciones!$1:$1,0)</f>
        <v>6</v>
      </c>
      <c r="X337" s="151" t="e">
        <f>+VLOOKUP(PROVEEDORES[[#This Row],[ID RETENCION]],Retenciones!$A$1:$O$25,PROVEEDORES[[#This Row],[indicador de columna]],FALSE)</f>
        <v>#N/A</v>
      </c>
      <c r="Y337" s="152" t="e">
        <f>+VLOOKUP(PROVEEDORES[[#This Row],[ID RETENCION]],Retenciones!$A$1:$O$25,2,FALSE)</f>
        <v>#N/A</v>
      </c>
      <c r="Z337" s="153" t="b">
        <f>+OR(COUNTIF(PROVEEDORES[[#This Row],[PROVEEDOR]],"*"&amp;'Palabra que no opera y Listas d'!$A$2&amp;"*"))</f>
        <v>0</v>
      </c>
    </row>
    <row r="338" spans="1:26" ht="27.75" customHeight="1" x14ac:dyDescent="0.3">
      <c r="A338" s="144" t="str">
        <f>+IF(PROVEEDORES[[#This Row],[FECHA DE PAGO]]=PROVEEDORES[[#This Row],[FECHA DE FACTURACIÓN]],"DE CONTADO","CRÉDITO")</f>
        <v>CRÉDITO</v>
      </c>
      <c r="B338" s="144" t="str">
        <f>+IF((PROVEEDORES[[#This Row],[FECHA DE PAGO]]-PROVEEDORES[[#This Row],[FECHA DE FACTURACIÓN]])&gt;PROVEEDORES[[#This Row],[PLAZO Días]],"PAGO VENCIDO")</f>
        <v>PAGO VENCIDO</v>
      </c>
      <c r="C338" s="144">
        <f>+VLOOKUP(PROVEEDORES[[#This Row],[PROVEEDOR]],TERCEROS_INFO[#All],2,FALSE)</f>
        <v>0</v>
      </c>
      <c r="D338" s="145">
        <f>+SUMIFS(PROVEEDORES[Total],PROVEEDORES[PROVEEDOR],PROVEEDORES[[#This Row],[PROVEEDOR]],PROVEEDORES[FECHA DE PAGO],"")</f>
        <v>3461120</v>
      </c>
      <c r="E338" s="146"/>
      <c r="F338" s="144" t="str">
        <f>+VLOOKUP(PROVEEDORES[[#This Row],[PROVEEDOR]],
                       Terceros!$A:$G,
                       5,
                       FALSE)</f>
        <v>2,5% con base</v>
      </c>
      <c r="G338" s="122">
        <v>45082</v>
      </c>
      <c r="H338" s="102" t="s">
        <v>9</v>
      </c>
      <c r="I338" s="122">
        <v>45029</v>
      </c>
      <c r="J338" s="103" t="s">
        <v>723</v>
      </c>
      <c r="K338" s="103" t="s">
        <v>1512</v>
      </c>
      <c r="L338" s="103"/>
      <c r="M338" s="105">
        <v>500000</v>
      </c>
      <c r="N338" s="147">
        <v>95000</v>
      </c>
      <c r="O338" s="147">
        <v>0</v>
      </c>
      <c r="P338" s="148">
        <v>0</v>
      </c>
      <c r="Q338" s="147">
        <v>0</v>
      </c>
      <c r="R338" s="149">
        <v>595000</v>
      </c>
      <c r="S3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8" s="150">
        <f ca="1">+IF(PROVEEDORES[[#This Row],[FECHA DE PAGO]]=0,TODAY()-PROVEEDORES[[#This Row],[FECHA DE FACTURACIÓN]]-PROVEEDORES[[#This Row],[PLAZO Días]],0)</f>
        <v>0</v>
      </c>
      <c r="U338" s="150">
        <f>+VLOOKUP(PROVEEDORES[[#This Row],[PROVEEDOR]],Terceros!$A:$E,4,FALSE)</f>
        <v>0.19</v>
      </c>
      <c r="V338" s="150">
        <f>+YEAR(PROVEEDORES[[#This Row],[FECHA DE FACTURACIÓN]])</f>
        <v>2023</v>
      </c>
      <c r="W338" s="150">
        <f>+MATCH(PROVEEDORES[[#This Row],[año facturado]],Retenciones!$1:$1,0)</f>
        <v>6</v>
      </c>
      <c r="X338" s="151" t="e">
        <f>+VLOOKUP(PROVEEDORES[[#This Row],[ID RETENCION]],Retenciones!$A$1:$O$25,PROVEEDORES[[#This Row],[indicador de columna]],FALSE)</f>
        <v>#N/A</v>
      </c>
      <c r="Y338" s="152" t="e">
        <f>+VLOOKUP(PROVEEDORES[[#This Row],[ID RETENCION]],Retenciones!$A$1:$O$25,2,FALSE)</f>
        <v>#N/A</v>
      </c>
      <c r="Z338" s="153" t="b">
        <f>+OR(COUNTIF(PROVEEDORES[[#This Row],[PROVEEDOR]],"*"&amp;'Palabra que no opera y Listas d'!$A$2&amp;"*"))</f>
        <v>0</v>
      </c>
    </row>
    <row r="339" spans="1:26" ht="27.75" customHeight="1" x14ac:dyDescent="0.3">
      <c r="A339" s="144" t="str">
        <f>+IF(PROVEEDORES[[#This Row],[FECHA DE PAGO]]=PROVEEDORES[[#This Row],[FECHA DE FACTURACIÓN]],"DE CONTADO","CRÉDITO")</f>
        <v>CRÉDITO</v>
      </c>
      <c r="B339" s="144" t="str">
        <f>+IF((PROVEEDORES[[#This Row],[FECHA DE PAGO]]-PROVEEDORES[[#This Row],[FECHA DE FACTURACIÓN]])&gt;PROVEEDORES[[#This Row],[PLAZO Días]],"PAGO VENCIDO")</f>
        <v>PAGO VENCIDO</v>
      </c>
      <c r="C339" s="144">
        <f>+VLOOKUP(PROVEEDORES[[#This Row],[PROVEEDOR]],TERCEROS_INFO[#All],2,FALSE)</f>
        <v>0</v>
      </c>
      <c r="D339" s="145">
        <f>+SUMIFS(PROVEEDORES[Total],PROVEEDORES[PROVEEDOR],PROVEEDORES[[#This Row],[PROVEEDOR]],PROVEEDORES[FECHA DE PAGO],"")</f>
        <v>3461120</v>
      </c>
      <c r="E339" s="146"/>
      <c r="F339" s="144" t="str">
        <f>+VLOOKUP(PROVEEDORES[[#This Row],[PROVEEDOR]],
                       Terceros!$A:$G,
                       5,
                       FALSE)</f>
        <v>2,5% con base</v>
      </c>
      <c r="G339" s="122">
        <v>45082</v>
      </c>
      <c r="H339" s="102" t="s">
        <v>9</v>
      </c>
      <c r="I339" s="122">
        <v>45030</v>
      </c>
      <c r="J339" s="103" t="s">
        <v>757</v>
      </c>
      <c r="K339" s="103" t="s">
        <v>1512</v>
      </c>
      <c r="L339" s="103"/>
      <c r="M339" s="105">
        <v>490000</v>
      </c>
      <c r="N339" s="147">
        <v>93100</v>
      </c>
      <c r="O339" s="147">
        <v>0</v>
      </c>
      <c r="P339" s="148">
        <v>0</v>
      </c>
      <c r="Q339" s="147">
        <v>0</v>
      </c>
      <c r="R339" s="149">
        <v>583100</v>
      </c>
      <c r="S3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9" s="150">
        <f ca="1">+IF(PROVEEDORES[[#This Row],[FECHA DE PAGO]]=0,TODAY()-PROVEEDORES[[#This Row],[FECHA DE FACTURACIÓN]]-PROVEEDORES[[#This Row],[PLAZO Días]],0)</f>
        <v>0</v>
      </c>
      <c r="U339" s="150">
        <f>+VLOOKUP(PROVEEDORES[[#This Row],[PROVEEDOR]],Terceros!$A:$E,4,FALSE)</f>
        <v>0.19</v>
      </c>
      <c r="V339" s="150">
        <f>+YEAR(PROVEEDORES[[#This Row],[FECHA DE FACTURACIÓN]])</f>
        <v>2023</v>
      </c>
      <c r="W339" s="150">
        <f>+MATCH(PROVEEDORES[[#This Row],[año facturado]],Retenciones!$1:$1,0)</f>
        <v>6</v>
      </c>
      <c r="X339" s="151" t="e">
        <f>+VLOOKUP(PROVEEDORES[[#This Row],[ID RETENCION]],Retenciones!$A$1:$O$25,PROVEEDORES[[#This Row],[indicador de columna]],FALSE)</f>
        <v>#N/A</v>
      </c>
      <c r="Y339" s="152" t="e">
        <f>+VLOOKUP(PROVEEDORES[[#This Row],[ID RETENCION]],Retenciones!$A$1:$O$25,2,FALSE)</f>
        <v>#N/A</v>
      </c>
      <c r="Z339" s="153" t="b">
        <f>+OR(COUNTIF(PROVEEDORES[[#This Row],[PROVEEDOR]],"*"&amp;'Palabra que no opera y Listas d'!$A$2&amp;"*"))</f>
        <v>0</v>
      </c>
    </row>
    <row r="340" spans="1:26" ht="27.75" customHeight="1" x14ac:dyDescent="0.3">
      <c r="A340" s="144" t="str">
        <f>+IF(PROVEEDORES[[#This Row],[FECHA DE PAGO]]=PROVEEDORES[[#This Row],[FECHA DE FACTURACIÓN]],"DE CONTADO","CRÉDITO")</f>
        <v>CRÉDITO</v>
      </c>
      <c r="B340" s="144" t="str">
        <f>+IF((PROVEEDORES[[#This Row],[FECHA DE PAGO]]-PROVEEDORES[[#This Row],[FECHA DE FACTURACIÓN]])&gt;PROVEEDORES[[#This Row],[PLAZO Días]],"PAGO VENCIDO")</f>
        <v>PAGO VENCIDO</v>
      </c>
      <c r="C340" s="144">
        <f>+VLOOKUP(PROVEEDORES[[#This Row],[PROVEEDOR]],TERCEROS_INFO[#All],2,FALSE)</f>
        <v>0</v>
      </c>
      <c r="D340" s="145">
        <f>+SUMIFS(PROVEEDORES[Total],PROVEEDORES[PROVEEDOR],PROVEEDORES[[#This Row],[PROVEEDOR]],PROVEEDORES[FECHA DE PAGO],"")</f>
        <v>0</v>
      </c>
      <c r="E340" s="146"/>
      <c r="F340" s="144">
        <f>+VLOOKUP(PROVEEDORES[[#This Row],[PROVEEDOR]],
                       Terceros!$A:$G,
                       5,
                       FALSE)</f>
        <v>0</v>
      </c>
      <c r="G340" s="122">
        <v>45082</v>
      </c>
      <c r="H340" s="102" t="s">
        <v>720</v>
      </c>
      <c r="I340" s="122">
        <v>45030</v>
      </c>
      <c r="J340" s="103" t="s">
        <v>722</v>
      </c>
      <c r="K340" s="103" t="s">
        <v>1512</v>
      </c>
      <c r="L340" s="103"/>
      <c r="M340" s="105">
        <v>2868000</v>
      </c>
      <c r="N340" s="147">
        <v>544920</v>
      </c>
      <c r="O340" s="147">
        <v>0</v>
      </c>
      <c r="P340" s="148">
        <v>0</v>
      </c>
      <c r="Q340" s="147">
        <v>0</v>
      </c>
      <c r="R340" s="149">
        <v>3412920</v>
      </c>
      <c r="S3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0" s="150">
        <f ca="1">+IF(PROVEEDORES[[#This Row],[FECHA DE PAGO]]=0,TODAY()-PROVEEDORES[[#This Row],[FECHA DE FACTURACIÓN]]-PROVEEDORES[[#This Row],[PLAZO Días]],0)</f>
        <v>0</v>
      </c>
      <c r="U340" s="150">
        <f>+VLOOKUP(PROVEEDORES[[#This Row],[PROVEEDOR]],Terceros!$A:$E,4,FALSE)</f>
        <v>0.19</v>
      </c>
      <c r="V340" s="150">
        <f>+YEAR(PROVEEDORES[[#This Row],[FECHA DE FACTURACIÓN]])</f>
        <v>2023</v>
      </c>
      <c r="W340" s="150">
        <f>+MATCH(PROVEEDORES[[#This Row],[año facturado]],Retenciones!$1:$1,0)</f>
        <v>6</v>
      </c>
      <c r="X340" s="151" t="e">
        <f>+VLOOKUP(PROVEEDORES[[#This Row],[ID RETENCION]],Retenciones!$A$1:$O$25,PROVEEDORES[[#This Row],[indicador de columna]],FALSE)</f>
        <v>#N/A</v>
      </c>
      <c r="Y340" s="152" t="e">
        <f>+VLOOKUP(PROVEEDORES[[#This Row],[ID RETENCION]],Retenciones!$A$1:$O$25,2,FALSE)</f>
        <v>#N/A</v>
      </c>
      <c r="Z340" s="153" t="b">
        <f>+OR(COUNTIF(PROVEEDORES[[#This Row],[PROVEEDOR]],"*"&amp;'Palabra que no opera y Listas d'!$A$2&amp;"*"))</f>
        <v>0</v>
      </c>
    </row>
    <row r="341" spans="1:26" ht="27.75" customHeight="1" x14ac:dyDescent="0.3">
      <c r="A341" s="144" t="str">
        <f>+IF(PROVEEDORES[[#This Row],[FECHA DE PAGO]]=PROVEEDORES[[#This Row],[FECHA DE FACTURACIÓN]],"DE CONTADO","CRÉDITO")</f>
        <v>CRÉDITO</v>
      </c>
      <c r="B341" s="144" t="str">
        <f>+IF((PROVEEDORES[[#This Row],[FECHA DE PAGO]]-PROVEEDORES[[#This Row],[FECHA DE FACTURACIÓN]])&gt;PROVEEDORES[[#This Row],[PLAZO Días]],"PAGO VENCIDO")</f>
        <v>PAGO VENCIDO</v>
      </c>
      <c r="C341" s="144">
        <f>+VLOOKUP(PROVEEDORES[[#This Row],[PROVEEDOR]],TERCEROS_INFO[#All],2,FALSE)</f>
        <v>0</v>
      </c>
      <c r="D341" s="145">
        <f>+SUMIFS(PROVEEDORES[Total],PROVEEDORES[PROVEEDOR],PROVEEDORES[[#This Row],[PROVEEDOR]],PROVEEDORES[FECHA DE PAGO],"")</f>
        <v>9343197</v>
      </c>
      <c r="E341" s="146"/>
      <c r="F341" s="144" t="str">
        <f>+VLOOKUP(PROVEEDORES[[#This Row],[PROVEEDOR]],
                       Terceros!$A:$G,
                       5,
                       FALSE)</f>
        <v>2,5% con base</v>
      </c>
      <c r="G341" s="122">
        <v>45082</v>
      </c>
      <c r="H341" s="102" t="s">
        <v>466</v>
      </c>
      <c r="I341" s="122">
        <v>45034</v>
      </c>
      <c r="J341" s="103" t="s">
        <v>753</v>
      </c>
      <c r="K341" s="103" t="s">
        <v>1512</v>
      </c>
      <c r="L341" s="103"/>
      <c r="M341" s="105">
        <v>436000</v>
      </c>
      <c r="N341" s="147">
        <v>82840</v>
      </c>
      <c r="O341" s="147">
        <v>0</v>
      </c>
      <c r="P341" s="148">
        <v>0</v>
      </c>
      <c r="Q341" s="147">
        <v>0</v>
      </c>
      <c r="R341" s="149">
        <v>518840</v>
      </c>
      <c r="S3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1" s="150">
        <f ca="1">+IF(PROVEEDORES[[#This Row],[FECHA DE PAGO]]=0,TODAY()-PROVEEDORES[[#This Row],[FECHA DE FACTURACIÓN]]-PROVEEDORES[[#This Row],[PLAZO Días]],0)</f>
        <v>0</v>
      </c>
      <c r="U341" s="150">
        <f>+VLOOKUP(PROVEEDORES[[#This Row],[PROVEEDOR]],Terceros!$A:$E,4,FALSE)</f>
        <v>0.19</v>
      </c>
      <c r="V341" s="150">
        <f>+YEAR(PROVEEDORES[[#This Row],[FECHA DE FACTURACIÓN]])</f>
        <v>2023</v>
      </c>
      <c r="W341" s="150">
        <f>+MATCH(PROVEEDORES[[#This Row],[año facturado]],Retenciones!$1:$1,0)</f>
        <v>6</v>
      </c>
      <c r="X341" s="151" t="e">
        <f>+VLOOKUP(PROVEEDORES[[#This Row],[ID RETENCION]],Retenciones!$A$1:$O$25,PROVEEDORES[[#This Row],[indicador de columna]],FALSE)</f>
        <v>#N/A</v>
      </c>
      <c r="Y341" s="152" t="e">
        <f>+VLOOKUP(PROVEEDORES[[#This Row],[ID RETENCION]],Retenciones!$A$1:$O$25,2,FALSE)</f>
        <v>#N/A</v>
      </c>
      <c r="Z341" s="153" t="b">
        <f>+OR(COUNTIF(PROVEEDORES[[#This Row],[PROVEEDOR]],"*"&amp;'Palabra que no opera y Listas d'!$A$2&amp;"*"))</f>
        <v>0</v>
      </c>
    </row>
    <row r="342" spans="1:26" ht="27.75" customHeight="1" x14ac:dyDescent="0.3">
      <c r="A342" s="144" t="str">
        <f>+IF(PROVEEDORES[[#This Row],[FECHA DE PAGO]]=PROVEEDORES[[#This Row],[FECHA DE FACTURACIÓN]],"DE CONTADO","CRÉDITO")</f>
        <v>CRÉDITO</v>
      </c>
      <c r="B342" s="144" t="str">
        <f>+IF((PROVEEDORES[[#This Row],[FECHA DE PAGO]]-PROVEEDORES[[#This Row],[FECHA DE FACTURACIÓN]])&gt;PROVEEDORES[[#This Row],[PLAZO Días]],"PAGO VENCIDO")</f>
        <v>PAGO VENCIDO</v>
      </c>
      <c r="C342" s="144">
        <f>+VLOOKUP(PROVEEDORES[[#This Row],[PROVEEDOR]],TERCEROS_INFO[#All],2,FALSE)</f>
        <v>0</v>
      </c>
      <c r="D342" s="145">
        <f>+SUMIFS(PROVEEDORES[Total],PROVEEDORES[PROVEEDOR],PROVEEDORES[[#This Row],[PROVEEDOR]],PROVEEDORES[FECHA DE PAGO],"")</f>
        <v>9343197</v>
      </c>
      <c r="E342" s="146"/>
      <c r="F342" s="144" t="str">
        <f>+VLOOKUP(PROVEEDORES[[#This Row],[PROVEEDOR]],
                       Terceros!$A:$G,
                       5,
                       FALSE)</f>
        <v>2,5% con base</v>
      </c>
      <c r="G342" s="122">
        <v>45082</v>
      </c>
      <c r="H342" s="102" t="s">
        <v>466</v>
      </c>
      <c r="I342" s="122">
        <v>45036</v>
      </c>
      <c r="J342" s="103" t="s">
        <v>754</v>
      </c>
      <c r="K342" s="103" t="s">
        <v>1512</v>
      </c>
      <c r="L342" s="103"/>
      <c r="M342" s="105">
        <v>1260000</v>
      </c>
      <c r="N342" s="147">
        <v>239400</v>
      </c>
      <c r="O342" s="147">
        <v>0</v>
      </c>
      <c r="P342" s="148">
        <v>2.5000000000000001E-2</v>
      </c>
      <c r="Q342" s="147">
        <v>31500</v>
      </c>
      <c r="R342" s="149">
        <v>1467900</v>
      </c>
      <c r="S3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2" s="150">
        <f ca="1">+IF(PROVEEDORES[[#This Row],[FECHA DE PAGO]]=0,TODAY()-PROVEEDORES[[#This Row],[FECHA DE FACTURACIÓN]]-PROVEEDORES[[#This Row],[PLAZO Días]],0)</f>
        <v>0</v>
      </c>
      <c r="U342" s="150">
        <f>+VLOOKUP(PROVEEDORES[[#This Row],[PROVEEDOR]],Terceros!$A:$E,4,FALSE)</f>
        <v>0.19</v>
      </c>
      <c r="V342" s="150">
        <f>+YEAR(PROVEEDORES[[#This Row],[FECHA DE FACTURACIÓN]])</f>
        <v>2023</v>
      </c>
      <c r="W342" s="150">
        <f>+MATCH(PROVEEDORES[[#This Row],[año facturado]],Retenciones!$1:$1,0)</f>
        <v>6</v>
      </c>
      <c r="X342" s="151" t="e">
        <f>+VLOOKUP(PROVEEDORES[[#This Row],[ID RETENCION]],Retenciones!$A$1:$O$25,PROVEEDORES[[#This Row],[indicador de columna]],FALSE)</f>
        <v>#N/A</v>
      </c>
      <c r="Y342" s="152" t="e">
        <f>+VLOOKUP(PROVEEDORES[[#This Row],[ID RETENCION]],Retenciones!$A$1:$O$25,2,FALSE)</f>
        <v>#N/A</v>
      </c>
      <c r="Z342" s="153" t="b">
        <f>+OR(COUNTIF(PROVEEDORES[[#This Row],[PROVEEDOR]],"*"&amp;'Palabra que no opera y Listas d'!$A$2&amp;"*"))</f>
        <v>0</v>
      </c>
    </row>
    <row r="343" spans="1:26" ht="27.75" customHeight="1" x14ac:dyDescent="0.3">
      <c r="A343" s="144" t="str">
        <f>+IF(PROVEEDORES[[#This Row],[FECHA DE PAGO]]=PROVEEDORES[[#This Row],[FECHA DE FACTURACIÓN]],"DE CONTADO","CRÉDITO")</f>
        <v>CRÉDITO</v>
      </c>
      <c r="B343" s="144" t="str">
        <f>+IF((PROVEEDORES[[#This Row],[FECHA DE PAGO]]-PROVEEDORES[[#This Row],[FECHA DE FACTURACIÓN]])&gt;PROVEEDORES[[#This Row],[PLAZO Días]],"PAGO VENCIDO")</f>
        <v>PAGO VENCIDO</v>
      </c>
      <c r="C343" s="144">
        <f>+VLOOKUP(PROVEEDORES[[#This Row],[PROVEEDOR]],TERCEROS_INFO[#All],2,FALSE)</f>
        <v>0</v>
      </c>
      <c r="D343" s="145">
        <f>+SUMIFS(PROVEEDORES[Total],PROVEEDORES[PROVEEDOR],PROVEEDORES[[#This Row],[PROVEEDOR]],PROVEEDORES[FECHA DE PAGO],"")</f>
        <v>9343197</v>
      </c>
      <c r="E343" s="146"/>
      <c r="F343" s="144" t="str">
        <f>+VLOOKUP(PROVEEDORES[[#This Row],[PROVEEDOR]],
                       Terceros!$A:$G,
                       5,
                       FALSE)</f>
        <v>2,5% con base</v>
      </c>
      <c r="G343" s="122">
        <v>45082</v>
      </c>
      <c r="H343" s="102" t="s">
        <v>466</v>
      </c>
      <c r="I343" s="122">
        <v>45037</v>
      </c>
      <c r="J343" s="103" t="s">
        <v>755</v>
      </c>
      <c r="K343" s="103" t="s">
        <v>1512</v>
      </c>
      <c r="L343" s="103"/>
      <c r="M343" s="105">
        <v>436000</v>
      </c>
      <c r="N343" s="147">
        <v>82840</v>
      </c>
      <c r="O343" s="147">
        <v>0</v>
      </c>
      <c r="P343" s="148">
        <v>0</v>
      </c>
      <c r="Q343" s="147">
        <v>0</v>
      </c>
      <c r="R343" s="149">
        <v>518840</v>
      </c>
      <c r="S3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3" s="150">
        <f ca="1">+IF(PROVEEDORES[[#This Row],[FECHA DE PAGO]]=0,TODAY()-PROVEEDORES[[#This Row],[FECHA DE FACTURACIÓN]]-PROVEEDORES[[#This Row],[PLAZO Días]],0)</f>
        <v>0</v>
      </c>
      <c r="U343" s="150">
        <f>+VLOOKUP(PROVEEDORES[[#This Row],[PROVEEDOR]],Terceros!$A:$E,4,FALSE)</f>
        <v>0.19</v>
      </c>
      <c r="V343" s="150">
        <f>+YEAR(PROVEEDORES[[#This Row],[FECHA DE FACTURACIÓN]])</f>
        <v>2023</v>
      </c>
      <c r="W343" s="150">
        <f>+MATCH(PROVEEDORES[[#This Row],[año facturado]],Retenciones!$1:$1,0)</f>
        <v>6</v>
      </c>
      <c r="X343" s="151" t="e">
        <f>+VLOOKUP(PROVEEDORES[[#This Row],[ID RETENCION]],Retenciones!$A$1:$O$25,PROVEEDORES[[#This Row],[indicador de columna]],FALSE)</f>
        <v>#N/A</v>
      </c>
      <c r="Y343" s="152" t="e">
        <f>+VLOOKUP(PROVEEDORES[[#This Row],[ID RETENCION]],Retenciones!$A$1:$O$25,2,FALSE)</f>
        <v>#N/A</v>
      </c>
      <c r="Z343" s="153" t="b">
        <f>+OR(COUNTIF(PROVEEDORES[[#This Row],[PROVEEDOR]],"*"&amp;'Palabra que no opera y Listas d'!$A$2&amp;"*"))</f>
        <v>0</v>
      </c>
    </row>
    <row r="344" spans="1:26" ht="27.75" customHeight="1" x14ac:dyDescent="0.3">
      <c r="A344" s="144" t="str">
        <f>+IF(PROVEEDORES[[#This Row],[FECHA DE PAGO]]=PROVEEDORES[[#This Row],[FECHA DE FACTURACIÓN]],"DE CONTADO","CRÉDITO")</f>
        <v>CRÉDITO</v>
      </c>
      <c r="B344" s="144" t="str">
        <f>+IF((PROVEEDORES[[#This Row],[FECHA DE PAGO]]-PROVEEDORES[[#This Row],[FECHA DE FACTURACIÓN]])&gt;PROVEEDORES[[#This Row],[PLAZO Días]],"PAGO VENCIDO")</f>
        <v>PAGO VENCIDO</v>
      </c>
      <c r="C344" s="144">
        <f>+VLOOKUP(PROVEEDORES[[#This Row],[PROVEEDOR]],TERCEROS_INFO[#All],2,FALSE)</f>
        <v>0</v>
      </c>
      <c r="D344" s="145">
        <f>+SUMIFS(PROVEEDORES[Total],PROVEEDORES[PROVEEDOR],PROVEEDORES[[#This Row],[PROVEEDOR]],PROVEEDORES[FECHA DE PAGO],"")</f>
        <v>7281829.8799999999</v>
      </c>
      <c r="E344" s="146"/>
      <c r="F344" s="144" t="str">
        <f>+VLOOKUP(PROVEEDORES[[#This Row],[PROVEEDOR]],
                       Terceros!$A:$G,
                       5,
                       FALSE)</f>
        <v>2,5% con base</v>
      </c>
      <c r="G344" s="122">
        <v>45082</v>
      </c>
      <c r="H344" s="102" t="s">
        <v>1445</v>
      </c>
      <c r="I344" s="122">
        <v>45040</v>
      </c>
      <c r="J344" s="103" t="s">
        <v>744</v>
      </c>
      <c r="K344" s="103" t="s">
        <v>1512</v>
      </c>
      <c r="L344" s="103"/>
      <c r="M344" s="105">
        <v>2758147</v>
      </c>
      <c r="N344" s="147">
        <v>524047.93</v>
      </c>
      <c r="O344" s="147">
        <v>0</v>
      </c>
      <c r="P344" s="148">
        <v>2.5000000000000001E-2</v>
      </c>
      <c r="Q344" s="147">
        <v>68953.675000000003</v>
      </c>
      <c r="R344" s="149">
        <v>3213241.2550000004</v>
      </c>
      <c r="S3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4" s="150">
        <f ca="1">+IF(PROVEEDORES[[#This Row],[FECHA DE PAGO]]=0,TODAY()-PROVEEDORES[[#This Row],[FECHA DE FACTURACIÓN]]-PROVEEDORES[[#This Row],[PLAZO Días]],0)</f>
        <v>0</v>
      </c>
      <c r="U344" s="150">
        <f>+VLOOKUP(PROVEEDORES[[#This Row],[PROVEEDOR]],Terceros!$A:$E,4,FALSE)</f>
        <v>0.19</v>
      </c>
      <c r="V344" s="150">
        <f>+YEAR(PROVEEDORES[[#This Row],[FECHA DE FACTURACIÓN]])</f>
        <v>2023</v>
      </c>
      <c r="W344" s="150">
        <f>+MATCH(PROVEEDORES[[#This Row],[año facturado]],Retenciones!$1:$1,0)</f>
        <v>6</v>
      </c>
      <c r="X344" s="151" t="e">
        <f>+VLOOKUP(PROVEEDORES[[#This Row],[ID RETENCION]],Retenciones!$A$1:$O$25,PROVEEDORES[[#This Row],[indicador de columna]],FALSE)</f>
        <v>#N/A</v>
      </c>
      <c r="Y344" s="152" t="e">
        <f>+VLOOKUP(PROVEEDORES[[#This Row],[ID RETENCION]],Retenciones!$A$1:$O$25,2,FALSE)</f>
        <v>#N/A</v>
      </c>
      <c r="Z344" s="153" t="b">
        <f>+OR(COUNTIF(PROVEEDORES[[#This Row],[PROVEEDOR]],"*"&amp;'Palabra que no opera y Listas d'!$A$2&amp;"*"))</f>
        <v>0</v>
      </c>
    </row>
    <row r="345" spans="1:26" ht="27.75" customHeight="1" x14ac:dyDescent="0.3">
      <c r="A345" s="144" t="str">
        <f>+IF(PROVEEDORES[[#This Row],[FECHA DE PAGO]]=PROVEEDORES[[#This Row],[FECHA DE FACTURACIÓN]],"DE CONTADO","CRÉDITO")</f>
        <v>CRÉDITO</v>
      </c>
      <c r="B345" s="144" t="str">
        <f>+IF((PROVEEDORES[[#This Row],[FECHA DE PAGO]]-PROVEEDORES[[#This Row],[FECHA DE FACTURACIÓN]])&gt;PROVEEDORES[[#This Row],[PLAZO Días]],"PAGO VENCIDO")</f>
        <v>PAGO VENCIDO</v>
      </c>
      <c r="C345" s="144">
        <f>+VLOOKUP(PROVEEDORES[[#This Row],[PROVEEDOR]],TERCEROS_INFO[#All],2,FALSE)</f>
        <v>0</v>
      </c>
      <c r="D345" s="145">
        <f>+SUMIFS(PROVEEDORES[Total],PROVEEDORES[PROVEEDOR],PROVEEDORES[[#This Row],[PROVEEDOR]],PROVEEDORES[FECHA DE PAGO],"")</f>
        <v>0</v>
      </c>
      <c r="E345" s="146"/>
      <c r="F345" s="144" t="str">
        <f>+VLOOKUP(PROVEEDORES[[#This Row],[PROVEEDOR]],
                       Terceros!$A:$G,
                       5,
                       FALSE)</f>
        <v>2,5% con base</v>
      </c>
      <c r="G345" s="122">
        <v>45082</v>
      </c>
      <c r="H345" s="102" t="s">
        <v>467</v>
      </c>
      <c r="I345" s="122">
        <v>45040</v>
      </c>
      <c r="J345" s="103" t="s">
        <v>759</v>
      </c>
      <c r="K345" s="103" t="s">
        <v>1512</v>
      </c>
      <c r="L345" s="103"/>
      <c r="M345" s="105">
        <v>2420170</v>
      </c>
      <c r="N345" s="147">
        <v>459832.3</v>
      </c>
      <c r="O345" s="147">
        <v>0</v>
      </c>
      <c r="P345" s="148">
        <v>2.5000000000000001E-2</v>
      </c>
      <c r="Q345" s="147">
        <v>60504.25</v>
      </c>
      <c r="R345" s="149">
        <v>2819498.05</v>
      </c>
      <c r="S3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5" s="150">
        <f ca="1">+IF(PROVEEDORES[[#This Row],[FECHA DE PAGO]]=0,TODAY()-PROVEEDORES[[#This Row],[FECHA DE FACTURACIÓN]]-PROVEEDORES[[#This Row],[PLAZO Días]],0)</f>
        <v>0</v>
      </c>
      <c r="U345" s="150">
        <f>+VLOOKUP(PROVEEDORES[[#This Row],[PROVEEDOR]],Terceros!$A:$E,4,FALSE)</f>
        <v>0.19</v>
      </c>
      <c r="V345" s="150">
        <f>+YEAR(PROVEEDORES[[#This Row],[FECHA DE FACTURACIÓN]])</f>
        <v>2023</v>
      </c>
      <c r="W345" s="150">
        <f>+MATCH(PROVEEDORES[[#This Row],[año facturado]],Retenciones!$1:$1,0)</f>
        <v>6</v>
      </c>
      <c r="X345" s="151" t="e">
        <f>+VLOOKUP(PROVEEDORES[[#This Row],[ID RETENCION]],Retenciones!$A$1:$O$25,PROVEEDORES[[#This Row],[indicador de columna]],FALSE)</f>
        <v>#N/A</v>
      </c>
      <c r="Y345" s="152" t="e">
        <f>+VLOOKUP(PROVEEDORES[[#This Row],[ID RETENCION]],Retenciones!$A$1:$O$25,2,FALSE)</f>
        <v>#N/A</v>
      </c>
      <c r="Z345" s="153" t="b">
        <f>+OR(COUNTIF(PROVEEDORES[[#This Row],[PROVEEDOR]],"*"&amp;'Palabra que no opera y Listas d'!$A$2&amp;"*"))</f>
        <v>0</v>
      </c>
    </row>
    <row r="346" spans="1:26" ht="27.75" customHeight="1" x14ac:dyDescent="0.3">
      <c r="A346" s="144" t="str">
        <f>+IF(PROVEEDORES[[#This Row],[FECHA DE PAGO]]=PROVEEDORES[[#This Row],[FECHA DE FACTURACIÓN]],"DE CONTADO","CRÉDITO")</f>
        <v>CRÉDITO</v>
      </c>
      <c r="B346" s="144" t="str">
        <f>+IF((PROVEEDORES[[#This Row],[FECHA DE PAGO]]-PROVEEDORES[[#This Row],[FECHA DE FACTURACIÓN]])&gt;PROVEEDORES[[#This Row],[PLAZO Días]],"PAGO VENCIDO")</f>
        <v>PAGO VENCIDO</v>
      </c>
      <c r="C346" s="144">
        <f>+VLOOKUP(PROVEEDORES[[#This Row],[PROVEEDOR]],TERCEROS_INFO[#All],2,FALSE)</f>
        <v>0</v>
      </c>
      <c r="D346" s="145">
        <f>+SUMIFS(PROVEEDORES[Total],PROVEEDORES[PROVEEDOR],PROVEEDORES[[#This Row],[PROVEEDOR]],PROVEEDORES[FECHA DE PAGO],"")</f>
        <v>7281829.8799999999</v>
      </c>
      <c r="E346" s="146"/>
      <c r="F346" s="144" t="str">
        <f>+VLOOKUP(PROVEEDORES[[#This Row],[PROVEEDOR]],
                       Terceros!$A:$G,
                       5,
                       FALSE)</f>
        <v>2,5% con base</v>
      </c>
      <c r="G346" s="122">
        <v>45082</v>
      </c>
      <c r="H346" s="102" t="s">
        <v>1445</v>
      </c>
      <c r="I346" s="122">
        <v>45040</v>
      </c>
      <c r="J346" s="103" t="s">
        <v>746</v>
      </c>
      <c r="K346" s="103" t="s">
        <v>1512</v>
      </c>
      <c r="L346" s="103"/>
      <c r="M346" s="105">
        <v>23527</v>
      </c>
      <c r="N346" s="147">
        <v>4470.13</v>
      </c>
      <c r="O346" s="147">
        <v>0</v>
      </c>
      <c r="P346" s="148">
        <v>0</v>
      </c>
      <c r="Q346" s="147">
        <v>0</v>
      </c>
      <c r="R346" s="149">
        <v>27997.13</v>
      </c>
      <c r="S3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6" s="150">
        <f ca="1">+IF(PROVEEDORES[[#This Row],[FECHA DE PAGO]]=0,TODAY()-PROVEEDORES[[#This Row],[FECHA DE FACTURACIÓN]]-PROVEEDORES[[#This Row],[PLAZO Días]],0)</f>
        <v>0</v>
      </c>
      <c r="U346" s="150">
        <f>+VLOOKUP(PROVEEDORES[[#This Row],[PROVEEDOR]],Terceros!$A:$E,4,FALSE)</f>
        <v>0.19</v>
      </c>
      <c r="V346" s="150">
        <f>+YEAR(PROVEEDORES[[#This Row],[FECHA DE FACTURACIÓN]])</f>
        <v>2023</v>
      </c>
      <c r="W346" s="150">
        <f>+MATCH(PROVEEDORES[[#This Row],[año facturado]],Retenciones!$1:$1,0)</f>
        <v>6</v>
      </c>
      <c r="X346" s="151" t="e">
        <f>+VLOOKUP(PROVEEDORES[[#This Row],[ID RETENCION]],Retenciones!$A$1:$O$25,PROVEEDORES[[#This Row],[indicador de columna]],FALSE)</f>
        <v>#N/A</v>
      </c>
      <c r="Y346" s="152" t="e">
        <f>+VLOOKUP(PROVEEDORES[[#This Row],[ID RETENCION]],Retenciones!$A$1:$O$25,2,FALSE)</f>
        <v>#N/A</v>
      </c>
      <c r="Z346" s="153" t="b">
        <f>+OR(COUNTIF(PROVEEDORES[[#This Row],[PROVEEDOR]],"*"&amp;'Palabra que no opera y Listas d'!$A$2&amp;"*"))</f>
        <v>0</v>
      </c>
    </row>
    <row r="347" spans="1:26" ht="27.75" customHeight="1" x14ac:dyDescent="0.3">
      <c r="A347" s="144" t="str">
        <f>+IF(PROVEEDORES[[#This Row],[FECHA DE PAGO]]=PROVEEDORES[[#This Row],[FECHA DE FACTURACIÓN]],"DE CONTADO","CRÉDITO")</f>
        <v>CRÉDITO</v>
      </c>
      <c r="B347" s="144" t="str">
        <f>+IF((PROVEEDORES[[#This Row],[FECHA DE PAGO]]-PROVEEDORES[[#This Row],[FECHA DE FACTURACIÓN]])&gt;PROVEEDORES[[#This Row],[PLAZO Días]],"PAGO VENCIDO")</f>
        <v>PAGO VENCIDO</v>
      </c>
      <c r="C347" s="144">
        <f>+VLOOKUP(PROVEEDORES[[#This Row],[PROVEEDOR]],TERCEROS_INFO[#All],2,FALSE)</f>
        <v>0</v>
      </c>
      <c r="D347" s="145">
        <f>+SUMIFS(PROVEEDORES[Total],PROVEEDORES[PROVEEDOR],PROVEEDORES[[#This Row],[PROVEEDOR]],PROVEEDORES[FECHA DE PAGO],"")</f>
        <v>9343197</v>
      </c>
      <c r="E347" s="146"/>
      <c r="F347" s="144" t="str">
        <f>+VLOOKUP(PROVEEDORES[[#This Row],[PROVEEDOR]],
                       Terceros!$A:$G,
                       5,
                       FALSE)</f>
        <v>2,5% con base</v>
      </c>
      <c r="G347" s="122">
        <v>45082</v>
      </c>
      <c r="H347" s="102" t="s">
        <v>466</v>
      </c>
      <c r="I347" s="122">
        <v>45041</v>
      </c>
      <c r="J347" s="103" t="s">
        <v>752</v>
      </c>
      <c r="K347" s="103" t="s">
        <v>1512</v>
      </c>
      <c r="L347" s="103"/>
      <c r="M347" s="105">
        <v>756000</v>
      </c>
      <c r="N347" s="147">
        <v>143640</v>
      </c>
      <c r="O347" s="147">
        <v>0</v>
      </c>
      <c r="P347" s="148">
        <v>0</v>
      </c>
      <c r="Q347" s="147">
        <v>0</v>
      </c>
      <c r="R347" s="149">
        <v>899640</v>
      </c>
      <c r="S3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7" s="150">
        <f ca="1">+IF(PROVEEDORES[[#This Row],[FECHA DE PAGO]]=0,TODAY()-PROVEEDORES[[#This Row],[FECHA DE FACTURACIÓN]]-PROVEEDORES[[#This Row],[PLAZO Días]],0)</f>
        <v>0</v>
      </c>
      <c r="U347" s="150">
        <f>+VLOOKUP(PROVEEDORES[[#This Row],[PROVEEDOR]],Terceros!$A:$E,4,FALSE)</f>
        <v>0.19</v>
      </c>
      <c r="V347" s="150">
        <f>+YEAR(PROVEEDORES[[#This Row],[FECHA DE FACTURACIÓN]])</f>
        <v>2023</v>
      </c>
      <c r="W347" s="150">
        <f>+MATCH(PROVEEDORES[[#This Row],[año facturado]],Retenciones!$1:$1,0)</f>
        <v>6</v>
      </c>
      <c r="X347" s="151" t="e">
        <f>+VLOOKUP(PROVEEDORES[[#This Row],[ID RETENCION]],Retenciones!$A$1:$O$25,PROVEEDORES[[#This Row],[indicador de columna]],FALSE)</f>
        <v>#N/A</v>
      </c>
      <c r="Y347" s="152" t="e">
        <f>+VLOOKUP(PROVEEDORES[[#This Row],[ID RETENCION]],Retenciones!$A$1:$O$25,2,FALSE)</f>
        <v>#N/A</v>
      </c>
      <c r="Z347" s="153" t="b">
        <f>+OR(COUNTIF(PROVEEDORES[[#This Row],[PROVEEDOR]],"*"&amp;'Palabra que no opera y Listas d'!$A$2&amp;"*"))</f>
        <v>0</v>
      </c>
    </row>
    <row r="348" spans="1:26" ht="27.75" customHeight="1" x14ac:dyDescent="0.3">
      <c r="A348" s="144" t="str">
        <f>+IF(PROVEEDORES[[#This Row],[FECHA DE PAGO]]=PROVEEDORES[[#This Row],[FECHA DE FACTURACIÓN]],"DE CONTADO","CRÉDITO")</f>
        <v>CRÉDITO</v>
      </c>
      <c r="B348" s="144" t="str">
        <f>+IF((PROVEEDORES[[#This Row],[FECHA DE PAGO]]-PROVEEDORES[[#This Row],[FECHA DE FACTURACIÓN]])&gt;PROVEEDORES[[#This Row],[PLAZO Días]],"PAGO VENCIDO")</f>
        <v>PAGO VENCIDO</v>
      </c>
      <c r="C348" s="144">
        <f>+VLOOKUP(PROVEEDORES[[#This Row],[PROVEEDOR]],TERCEROS_INFO[#All],2,FALSE)</f>
        <v>0</v>
      </c>
      <c r="D348" s="145">
        <f>+SUMIFS(PROVEEDORES[Total],PROVEEDORES[PROVEEDOR],PROVEEDORES[[#This Row],[PROVEEDOR]],PROVEEDORES[FECHA DE PAGO],"")</f>
        <v>9343197</v>
      </c>
      <c r="E348" s="146"/>
      <c r="F348" s="144" t="str">
        <f>+VLOOKUP(PROVEEDORES[[#This Row],[PROVEEDOR]],
                       Terceros!$A:$G,
                       5,
                       FALSE)</f>
        <v>2,5% con base</v>
      </c>
      <c r="G348" s="122">
        <v>45082</v>
      </c>
      <c r="H348" s="102" t="s">
        <v>466</v>
      </c>
      <c r="I348" s="122">
        <v>45043</v>
      </c>
      <c r="J348" s="103" t="s">
        <v>763</v>
      </c>
      <c r="K348" s="103" t="s">
        <v>1512</v>
      </c>
      <c r="L348" s="103"/>
      <c r="M348" s="105">
        <v>2562355</v>
      </c>
      <c r="N348" s="147">
        <v>486847.45</v>
      </c>
      <c r="O348" s="147">
        <v>0</v>
      </c>
      <c r="P348" s="148">
        <v>2.5000000000000001E-2</v>
      </c>
      <c r="Q348" s="147">
        <v>64058.875</v>
      </c>
      <c r="R348" s="149">
        <v>2985143.5750000002</v>
      </c>
      <c r="S3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8" s="150">
        <f ca="1">+IF(PROVEEDORES[[#This Row],[FECHA DE PAGO]]=0,TODAY()-PROVEEDORES[[#This Row],[FECHA DE FACTURACIÓN]]-PROVEEDORES[[#This Row],[PLAZO Días]],0)</f>
        <v>0</v>
      </c>
      <c r="U348" s="150">
        <f>+VLOOKUP(PROVEEDORES[[#This Row],[PROVEEDOR]],Terceros!$A:$E,4,FALSE)</f>
        <v>0.19</v>
      </c>
      <c r="V348" s="150">
        <f>+YEAR(PROVEEDORES[[#This Row],[FECHA DE FACTURACIÓN]])</f>
        <v>2023</v>
      </c>
      <c r="W348" s="150">
        <f>+MATCH(PROVEEDORES[[#This Row],[año facturado]],Retenciones!$1:$1,0)</f>
        <v>6</v>
      </c>
      <c r="X348" s="151" t="e">
        <f>+VLOOKUP(PROVEEDORES[[#This Row],[ID RETENCION]],Retenciones!$A$1:$O$25,PROVEEDORES[[#This Row],[indicador de columna]],FALSE)</f>
        <v>#N/A</v>
      </c>
      <c r="Y348" s="152" t="e">
        <f>+VLOOKUP(PROVEEDORES[[#This Row],[ID RETENCION]],Retenciones!$A$1:$O$25,2,FALSE)</f>
        <v>#N/A</v>
      </c>
      <c r="Z348" s="153" t="b">
        <f>+OR(COUNTIF(PROVEEDORES[[#This Row],[PROVEEDOR]],"*"&amp;'Palabra que no opera y Listas d'!$A$2&amp;"*"))</f>
        <v>0</v>
      </c>
    </row>
    <row r="349" spans="1:26" ht="27.75" customHeight="1" x14ac:dyDescent="0.3">
      <c r="A349" s="144" t="str">
        <f>+IF(PROVEEDORES[[#This Row],[FECHA DE PAGO]]=PROVEEDORES[[#This Row],[FECHA DE FACTURACIÓN]],"DE CONTADO","CRÉDITO")</f>
        <v>CRÉDITO</v>
      </c>
      <c r="B349" s="144" t="str">
        <f>+IF((PROVEEDORES[[#This Row],[FECHA DE PAGO]]-PROVEEDORES[[#This Row],[FECHA DE FACTURACIÓN]])&gt;PROVEEDORES[[#This Row],[PLAZO Días]],"PAGO VENCIDO")</f>
        <v>PAGO VENCIDO</v>
      </c>
      <c r="C349" s="144">
        <f>+VLOOKUP(PROVEEDORES[[#This Row],[PROVEEDOR]],TERCEROS_INFO[#All],2,FALSE)</f>
        <v>0</v>
      </c>
      <c r="D349" s="145">
        <f>+SUMIFS(PROVEEDORES[Total],PROVEEDORES[PROVEEDOR],PROVEEDORES[[#This Row],[PROVEEDOR]],PROVEEDORES[FECHA DE PAGO],"")</f>
        <v>0</v>
      </c>
      <c r="E349" s="146"/>
      <c r="F349" s="144">
        <f>+VLOOKUP(PROVEEDORES[[#This Row],[PROVEEDOR]],
                       Terceros!$A:$G,
                       5,
                       FALSE)</f>
        <v>0</v>
      </c>
      <c r="G349" s="122">
        <v>45083</v>
      </c>
      <c r="H349" s="102" t="s">
        <v>1155</v>
      </c>
      <c r="I349" s="122">
        <v>45002</v>
      </c>
      <c r="J349" s="103" t="s">
        <v>706</v>
      </c>
      <c r="K349" s="103" t="s">
        <v>1512</v>
      </c>
      <c r="L349" s="103"/>
      <c r="M349" s="105">
        <v>1870000</v>
      </c>
      <c r="N349" s="147">
        <v>0</v>
      </c>
      <c r="O349" s="147">
        <v>0</v>
      </c>
      <c r="P349" s="148">
        <v>0</v>
      </c>
      <c r="Q349" s="147">
        <v>0</v>
      </c>
      <c r="R349" s="149">
        <v>1870000</v>
      </c>
      <c r="S3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9" s="150">
        <f ca="1">+IF(PROVEEDORES[[#This Row],[FECHA DE PAGO]]=0,TODAY()-PROVEEDORES[[#This Row],[FECHA DE FACTURACIÓN]]-PROVEEDORES[[#This Row],[PLAZO Días]],0)</f>
        <v>0</v>
      </c>
      <c r="U349" s="150">
        <f>+VLOOKUP(PROVEEDORES[[#This Row],[PROVEEDOR]],Terceros!$A:$E,4,FALSE)</f>
        <v>0</v>
      </c>
      <c r="V349" s="150">
        <f>+YEAR(PROVEEDORES[[#This Row],[FECHA DE FACTURACIÓN]])</f>
        <v>2023</v>
      </c>
      <c r="W349" s="150">
        <f>+MATCH(PROVEEDORES[[#This Row],[año facturado]],Retenciones!$1:$1,0)</f>
        <v>6</v>
      </c>
      <c r="X349" s="151">
        <f>+VLOOKUP(PROVEEDORES[[#This Row],[ID RETENCION]],Retenciones!$A$1:$O$25,PROVEEDORES[[#This Row],[indicador de columna]],FALSE)</f>
        <v>0</v>
      </c>
      <c r="Y349" s="152">
        <f>+VLOOKUP(PROVEEDORES[[#This Row],[ID RETENCION]],Retenciones!$A$1:$O$25,2,FALSE)</f>
        <v>0</v>
      </c>
      <c r="Z349" s="153" t="b">
        <f>+OR(COUNTIF(PROVEEDORES[[#This Row],[PROVEEDOR]],"*"&amp;'Palabra que no opera y Listas d'!$A$2&amp;"*"))</f>
        <v>0</v>
      </c>
    </row>
    <row r="350" spans="1:26" ht="27.75" customHeight="1" x14ac:dyDescent="0.3">
      <c r="A350" s="144" t="str">
        <f>+IF(PROVEEDORES[[#This Row],[FECHA DE PAGO]]=PROVEEDORES[[#This Row],[FECHA DE FACTURACIÓN]],"DE CONTADO","CRÉDITO")</f>
        <v>DE CONTADO</v>
      </c>
      <c r="B350" s="144" t="b">
        <f>+IF((PROVEEDORES[[#This Row],[FECHA DE PAGO]]-PROVEEDORES[[#This Row],[FECHA DE FACTURACIÓN]])&gt;PROVEEDORES[[#This Row],[PLAZO Días]],"PAGO VENCIDO")</f>
        <v>0</v>
      </c>
      <c r="C350" s="144">
        <f>+VLOOKUP(PROVEEDORES[[#This Row],[PROVEEDOR]],TERCEROS_INFO[#All],2,FALSE)</f>
        <v>0</v>
      </c>
      <c r="D350" s="145">
        <f>+SUMIFS(PROVEEDORES[Total],PROVEEDORES[PROVEEDOR],PROVEEDORES[[#This Row],[PROVEEDOR]],PROVEEDORES[FECHA DE PAGO],"")</f>
        <v>0</v>
      </c>
      <c r="E350" s="146"/>
      <c r="F350" s="144">
        <f>+VLOOKUP(PROVEEDORES[[#This Row],[PROVEEDOR]],
                       Terceros!$A:$G,
                       5,
                       FALSE)</f>
        <v>0</v>
      </c>
      <c r="G350" s="122">
        <v>45083</v>
      </c>
      <c r="H350" s="102" t="s">
        <v>441</v>
      </c>
      <c r="I350" s="122">
        <v>45083</v>
      </c>
      <c r="J350" s="103" t="s">
        <v>836</v>
      </c>
      <c r="K350" s="103" t="s">
        <v>1512</v>
      </c>
      <c r="L350" s="103"/>
      <c r="M350" s="105">
        <v>428571</v>
      </c>
      <c r="N350" s="147">
        <v>81428.490000000005</v>
      </c>
      <c r="O350" s="147">
        <v>0</v>
      </c>
      <c r="P350" s="148">
        <v>0</v>
      </c>
      <c r="Q350" s="147">
        <v>0</v>
      </c>
      <c r="R350" s="149">
        <v>509999.49</v>
      </c>
      <c r="S3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0" s="150">
        <f ca="1">+IF(PROVEEDORES[[#This Row],[FECHA DE PAGO]]=0,TODAY()-PROVEEDORES[[#This Row],[FECHA DE FACTURACIÓN]]-PROVEEDORES[[#This Row],[PLAZO Días]],0)</f>
        <v>0</v>
      </c>
      <c r="U350" s="150">
        <f>+VLOOKUP(PROVEEDORES[[#This Row],[PROVEEDOR]],Terceros!$A:$E,4,FALSE)</f>
        <v>0.19</v>
      </c>
      <c r="V350" s="150">
        <f>+YEAR(PROVEEDORES[[#This Row],[FECHA DE FACTURACIÓN]])</f>
        <v>2023</v>
      </c>
      <c r="W350" s="150">
        <f>+MATCH(PROVEEDORES[[#This Row],[año facturado]],Retenciones!$1:$1,0)</f>
        <v>6</v>
      </c>
      <c r="X350" s="151" t="e">
        <f>+VLOOKUP(PROVEEDORES[[#This Row],[ID RETENCION]],Retenciones!$A$1:$O$25,PROVEEDORES[[#This Row],[indicador de columna]],FALSE)</f>
        <v>#N/A</v>
      </c>
      <c r="Y350" s="152" t="e">
        <f>+VLOOKUP(PROVEEDORES[[#This Row],[ID RETENCION]],Retenciones!$A$1:$O$25,2,FALSE)</f>
        <v>#N/A</v>
      </c>
      <c r="Z350" s="153" t="b">
        <f>+OR(COUNTIF(PROVEEDORES[[#This Row],[PROVEEDOR]],"*"&amp;'Palabra que no opera y Listas d'!$A$2&amp;"*"))</f>
        <v>0</v>
      </c>
    </row>
    <row r="351" spans="1:26" ht="27.75" customHeight="1" x14ac:dyDescent="0.3">
      <c r="A351" s="144" t="str">
        <f>+IF(PROVEEDORES[[#This Row],[FECHA DE PAGO]]=PROVEEDORES[[#This Row],[FECHA DE FACTURACIÓN]],"DE CONTADO","CRÉDITO")</f>
        <v>CRÉDITO</v>
      </c>
      <c r="B351" s="144" t="str">
        <f>+IF((PROVEEDORES[[#This Row],[FECHA DE PAGO]]-PROVEEDORES[[#This Row],[FECHA DE FACTURACIÓN]])&gt;PROVEEDORES[[#This Row],[PLAZO Días]],"PAGO VENCIDO")</f>
        <v>PAGO VENCIDO</v>
      </c>
      <c r="C351" s="144">
        <f>+VLOOKUP(PROVEEDORES[[#This Row],[PROVEEDOR]],TERCEROS_INFO[#All],2,FALSE)</f>
        <v>0</v>
      </c>
      <c r="D351" s="145">
        <f>+SUMIFS(PROVEEDORES[Total],PROVEEDORES[PROVEEDOR],PROVEEDORES[[#This Row],[PROVEEDOR]],PROVEEDORES[FECHA DE PAGO],"")</f>
        <v>0</v>
      </c>
      <c r="E351" s="146"/>
      <c r="F351" s="144">
        <f>+VLOOKUP(PROVEEDORES[[#This Row],[PROVEEDOR]],
                       Terceros!$A:$G,
                       5,
                       FALSE)</f>
        <v>0</v>
      </c>
      <c r="G351" s="122">
        <v>45085</v>
      </c>
      <c r="H351" s="102" t="s">
        <v>51</v>
      </c>
      <c r="I351" s="122">
        <v>45084</v>
      </c>
      <c r="J351" s="103" t="s">
        <v>831</v>
      </c>
      <c r="K351" s="103" t="s">
        <v>1512</v>
      </c>
      <c r="L351" s="103"/>
      <c r="M351" s="105">
        <v>347585</v>
      </c>
      <c r="N351" s="147">
        <v>66041.149999999994</v>
      </c>
      <c r="O351" s="147">
        <v>0</v>
      </c>
      <c r="P351" s="148">
        <v>0</v>
      </c>
      <c r="Q351" s="147">
        <v>0</v>
      </c>
      <c r="R351" s="149">
        <v>413626.15</v>
      </c>
      <c r="S3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1" s="150">
        <f ca="1">+IF(PROVEEDORES[[#This Row],[FECHA DE PAGO]]=0,TODAY()-PROVEEDORES[[#This Row],[FECHA DE FACTURACIÓN]]-PROVEEDORES[[#This Row],[PLAZO Días]],0)</f>
        <v>0</v>
      </c>
      <c r="U351" s="150">
        <f>+VLOOKUP(PROVEEDORES[[#This Row],[PROVEEDOR]],Terceros!$A:$E,4,FALSE)</f>
        <v>0.19</v>
      </c>
      <c r="V351" s="150">
        <f>+YEAR(PROVEEDORES[[#This Row],[FECHA DE FACTURACIÓN]])</f>
        <v>2023</v>
      </c>
      <c r="W351" s="150">
        <f>+MATCH(PROVEEDORES[[#This Row],[año facturado]],Retenciones!$1:$1,0)</f>
        <v>6</v>
      </c>
      <c r="X351" s="151" t="e">
        <f>+VLOOKUP(PROVEEDORES[[#This Row],[ID RETENCION]],Retenciones!$A$1:$O$25,PROVEEDORES[[#This Row],[indicador de columna]],FALSE)</f>
        <v>#N/A</v>
      </c>
      <c r="Y351" s="152" t="e">
        <f>+VLOOKUP(PROVEEDORES[[#This Row],[ID RETENCION]],Retenciones!$A$1:$O$25,2,FALSE)</f>
        <v>#N/A</v>
      </c>
      <c r="Z351" s="153" t="b">
        <f>+OR(COUNTIF(PROVEEDORES[[#This Row],[PROVEEDOR]],"*"&amp;'Palabra que no opera y Listas d'!$A$2&amp;"*"))</f>
        <v>0</v>
      </c>
    </row>
    <row r="352" spans="1:26" ht="27.75" customHeight="1" x14ac:dyDescent="0.3">
      <c r="A352" s="144" t="str">
        <f>+IF(PROVEEDORES[[#This Row],[FECHA DE PAGO]]=PROVEEDORES[[#This Row],[FECHA DE FACTURACIÓN]],"DE CONTADO","CRÉDITO")</f>
        <v>CRÉDITO</v>
      </c>
      <c r="B352" s="144" t="str">
        <f>+IF((PROVEEDORES[[#This Row],[FECHA DE PAGO]]-PROVEEDORES[[#This Row],[FECHA DE FACTURACIÓN]])&gt;PROVEEDORES[[#This Row],[PLAZO Días]],"PAGO VENCIDO")</f>
        <v>PAGO VENCIDO</v>
      </c>
      <c r="C352" s="144">
        <f>+VLOOKUP(PROVEEDORES[[#This Row],[PROVEEDOR]],TERCEROS_INFO[#All],2,FALSE)</f>
        <v>0</v>
      </c>
      <c r="D352" s="145">
        <f>+SUMIFS(PROVEEDORES[Total],PROVEEDORES[PROVEEDOR],PROVEEDORES[[#This Row],[PROVEEDOR]],PROVEEDORES[FECHA DE PAGO],"")</f>
        <v>181631</v>
      </c>
      <c r="E352" s="146"/>
      <c r="F352" s="144">
        <f>+VLOOKUP(PROVEEDORES[[#This Row],[PROVEEDOR]],
                       Terceros!$A:$G,
                       5,
                       FALSE)</f>
        <v>0</v>
      </c>
      <c r="G352" s="122">
        <v>45086</v>
      </c>
      <c r="H352" s="102" t="s">
        <v>383</v>
      </c>
      <c r="I352" s="122">
        <v>45058</v>
      </c>
      <c r="J352" s="103" t="s">
        <v>506</v>
      </c>
      <c r="K352" s="103" t="s">
        <v>1512</v>
      </c>
      <c r="L352" s="103"/>
      <c r="M352" s="105">
        <v>-152631</v>
      </c>
      <c r="N352" s="147">
        <v>-28999.89</v>
      </c>
      <c r="O352" s="147">
        <v>0</v>
      </c>
      <c r="P352" s="148">
        <v>0</v>
      </c>
      <c r="Q352" s="147">
        <v>0</v>
      </c>
      <c r="R352" s="149">
        <v>-181630.89</v>
      </c>
      <c r="S3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2" s="150">
        <f ca="1">+IF(PROVEEDORES[[#This Row],[FECHA DE PAGO]]=0,TODAY()-PROVEEDORES[[#This Row],[FECHA DE FACTURACIÓN]]-PROVEEDORES[[#This Row],[PLAZO Días]],0)</f>
        <v>0</v>
      </c>
      <c r="U352" s="150">
        <f>+VLOOKUP(PROVEEDORES[[#This Row],[PROVEEDOR]],Terceros!$A:$E,4,FALSE)</f>
        <v>0.19</v>
      </c>
      <c r="V352" s="150">
        <f>+YEAR(PROVEEDORES[[#This Row],[FECHA DE FACTURACIÓN]])</f>
        <v>2023</v>
      </c>
      <c r="W352" s="150">
        <f>+MATCH(PROVEEDORES[[#This Row],[año facturado]],Retenciones!$1:$1,0)</f>
        <v>6</v>
      </c>
      <c r="X352" s="151" t="e">
        <f>+VLOOKUP(PROVEEDORES[[#This Row],[ID RETENCION]],Retenciones!$A$1:$O$25,PROVEEDORES[[#This Row],[indicador de columna]],FALSE)</f>
        <v>#N/A</v>
      </c>
      <c r="Y352" s="152" t="e">
        <f>+VLOOKUP(PROVEEDORES[[#This Row],[ID RETENCION]],Retenciones!$A$1:$O$25,2,FALSE)</f>
        <v>#N/A</v>
      </c>
      <c r="Z352" s="153" t="b">
        <f>+OR(COUNTIF(PROVEEDORES[[#This Row],[PROVEEDOR]],"*"&amp;'Palabra que no opera y Listas d'!$A$2&amp;"*"))</f>
        <v>1</v>
      </c>
    </row>
    <row r="353" spans="1:26" ht="27.75" customHeight="1" x14ac:dyDescent="0.3">
      <c r="A353" s="144" t="str">
        <f>+IF(PROVEEDORES[[#This Row],[FECHA DE PAGO]]=PROVEEDORES[[#This Row],[FECHA DE FACTURACIÓN]],"DE CONTADO","CRÉDITO")</f>
        <v>CRÉDITO</v>
      </c>
      <c r="B353" s="144" t="str">
        <f>+IF((PROVEEDORES[[#This Row],[FECHA DE PAGO]]-PROVEEDORES[[#This Row],[FECHA DE FACTURACIÓN]])&gt;PROVEEDORES[[#This Row],[PLAZO Días]],"PAGO VENCIDO")</f>
        <v>PAGO VENCIDO</v>
      </c>
      <c r="C353" s="144">
        <f>+VLOOKUP(PROVEEDORES[[#This Row],[PROVEEDOR]],TERCEROS_INFO[#All],2,FALSE)</f>
        <v>0</v>
      </c>
      <c r="D353" s="145">
        <f>+SUMIFS(PROVEEDORES[Total],PROVEEDORES[PROVEEDOR],PROVEEDORES[[#This Row],[PROVEEDOR]],PROVEEDORES[FECHA DE PAGO],"")</f>
        <v>0</v>
      </c>
      <c r="E353" s="146"/>
      <c r="F353" s="144" t="str">
        <f>+VLOOKUP(PROVEEDORES[[#This Row],[PROVEEDOR]],
                       Terceros!$A:$G,
                       5,
                       FALSE)</f>
        <v>3,5% sin base</v>
      </c>
      <c r="G353" s="122">
        <v>45086</v>
      </c>
      <c r="H353" s="102" t="s">
        <v>398</v>
      </c>
      <c r="I353" s="122">
        <v>45078</v>
      </c>
      <c r="J353" s="103" t="s">
        <v>830</v>
      </c>
      <c r="K353" s="103" t="s">
        <v>1512</v>
      </c>
      <c r="L353" s="103"/>
      <c r="M353" s="105">
        <v>3935776</v>
      </c>
      <c r="N353" s="147">
        <v>747797.44000000006</v>
      </c>
      <c r="O353" s="147">
        <v>0</v>
      </c>
      <c r="P353" s="148">
        <v>3.5000000000000003E-2</v>
      </c>
      <c r="Q353" s="147">
        <v>137752.16</v>
      </c>
      <c r="R353" s="149">
        <v>4545821.28</v>
      </c>
      <c r="S3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3" s="150">
        <f ca="1">+IF(PROVEEDORES[[#This Row],[FECHA DE PAGO]]=0,TODAY()-PROVEEDORES[[#This Row],[FECHA DE FACTURACIÓN]]-PROVEEDORES[[#This Row],[PLAZO Días]],0)</f>
        <v>0</v>
      </c>
      <c r="U353" s="150">
        <f>+VLOOKUP(PROVEEDORES[[#This Row],[PROVEEDOR]],Terceros!$A:$E,4,FALSE)</f>
        <v>0.19</v>
      </c>
      <c r="V353" s="150">
        <f>+YEAR(PROVEEDORES[[#This Row],[FECHA DE FACTURACIÓN]])</f>
        <v>2023</v>
      </c>
      <c r="W353" s="150">
        <f>+MATCH(PROVEEDORES[[#This Row],[año facturado]],Retenciones!$1:$1,0)</f>
        <v>6</v>
      </c>
      <c r="X353" s="151" t="e">
        <f>+VLOOKUP(PROVEEDORES[[#This Row],[ID RETENCION]],Retenciones!$A$1:$O$25,PROVEEDORES[[#This Row],[indicador de columna]],FALSE)</f>
        <v>#N/A</v>
      </c>
      <c r="Y353" s="152" t="e">
        <f>+VLOOKUP(PROVEEDORES[[#This Row],[ID RETENCION]],Retenciones!$A$1:$O$25,2,FALSE)</f>
        <v>#N/A</v>
      </c>
      <c r="Z353" s="153" t="b">
        <f>+OR(COUNTIF(PROVEEDORES[[#This Row],[PROVEEDOR]],"*"&amp;'Palabra que no opera y Listas d'!$A$2&amp;"*"))</f>
        <v>1</v>
      </c>
    </row>
    <row r="354" spans="1:26" ht="27.75" customHeight="1" x14ac:dyDescent="0.3">
      <c r="A354" s="144" t="str">
        <f>+IF(PROVEEDORES[[#This Row],[FECHA DE PAGO]]=PROVEEDORES[[#This Row],[FECHA DE FACTURACIÓN]],"DE CONTADO","CRÉDITO")</f>
        <v>CRÉDITO</v>
      </c>
      <c r="B354" s="144" t="str">
        <f>+IF((PROVEEDORES[[#This Row],[FECHA DE PAGO]]-PROVEEDORES[[#This Row],[FECHA DE FACTURACIÓN]])&gt;PROVEEDORES[[#This Row],[PLAZO Días]],"PAGO VENCIDO")</f>
        <v>PAGO VENCIDO</v>
      </c>
      <c r="C354" s="144">
        <f>+VLOOKUP(PROVEEDORES[[#This Row],[PROVEEDOR]],TERCEROS_INFO[#All],2,FALSE)</f>
        <v>0</v>
      </c>
      <c r="D354" s="145">
        <f>+SUMIFS(PROVEEDORES[Total],PROVEEDORES[PROVEEDOR],PROVEEDORES[[#This Row],[PROVEEDOR]],PROVEEDORES[FECHA DE PAGO],"")</f>
        <v>181631</v>
      </c>
      <c r="E354" s="146"/>
      <c r="F354" s="144">
        <f>+VLOOKUP(PROVEEDORES[[#This Row],[PROVEEDOR]],
                       Terceros!$A:$G,
                       5,
                       FALSE)</f>
        <v>0</v>
      </c>
      <c r="G354" s="122">
        <v>45086</v>
      </c>
      <c r="H354" s="102" t="s">
        <v>383</v>
      </c>
      <c r="I354" s="122">
        <v>45078</v>
      </c>
      <c r="J354" s="103" t="s">
        <v>832</v>
      </c>
      <c r="K354" s="103" t="s">
        <v>1512</v>
      </c>
      <c r="L354" s="103"/>
      <c r="M354" s="105">
        <v>908172</v>
      </c>
      <c r="N354" s="147">
        <v>172552.68</v>
      </c>
      <c r="O354" s="147">
        <v>0</v>
      </c>
      <c r="P354" s="148">
        <v>0</v>
      </c>
      <c r="Q354" s="147">
        <v>0</v>
      </c>
      <c r="R354" s="149">
        <v>1080724.68</v>
      </c>
      <c r="S3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4" s="150">
        <f ca="1">+IF(PROVEEDORES[[#This Row],[FECHA DE PAGO]]=0,TODAY()-PROVEEDORES[[#This Row],[FECHA DE FACTURACIÓN]]-PROVEEDORES[[#This Row],[PLAZO Días]],0)</f>
        <v>0</v>
      </c>
      <c r="U354" s="150">
        <f>+VLOOKUP(PROVEEDORES[[#This Row],[PROVEEDOR]],Terceros!$A:$E,4,FALSE)</f>
        <v>0.19</v>
      </c>
      <c r="V354" s="150">
        <f>+YEAR(PROVEEDORES[[#This Row],[FECHA DE FACTURACIÓN]])</f>
        <v>2023</v>
      </c>
      <c r="W354" s="150">
        <f>+MATCH(PROVEEDORES[[#This Row],[año facturado]],Retenciones!$1:$1,0)</f>
        <v>6</v>
      </c>
      <c r="X354" s="151" t="e">
        <f>+VLOOKUP(PROVEEDORES[[#This Row],[ID RETENCION]],Retenciones!$A$1:$O$25,PROVEEDORES[[#This Row],[indicador de columna]],FALSE)</f>
        <v>#N/A</v>
      </c>
      <c r="Y354" s="152" t="e">
        <f>+VLOOKUP(PROVEEDORES[[#This Row],[ID RETENCION]],Retenciones!$A$1:$O$25,2,FALSE)</f>
        <v>#N/A</v>
      </c>
      <c r="Z354" s="153" t="b">
        <f>+OR(COUNTIF(PROVEEDORES[[#This Row],[PROVEEDOR]],"*"&amp;'Palabra que no opera y Listas d'!$A$2&amp;"*"))</f>
        <v>1</v>
      </c>
    </row>
    <row r="355" spans="1:26" ht="27.75" customHeight="1" x14ac:dyDescent="0.3">
      <c r="A355" s="144" t="str">
        <f>+IF(PROVEEDORES[[#This Row],[FECHA DE PAGO]]=PROVEEDORES[[#This Row],[FECHA DE FACTURACIÓN]],"DE CONTADO","CRÉDITO")</f>
        <v>CRÉDITO</v>
      </c>
      <c r="B355" s="144" t="str">
        <f>+IF((PROVEEDORES[[#This Row],[FECHA DE PAGO]]-PROVEEDORES[[#This Row],[FECHA DE FACTURACIÓN]])&gt;PROVEEDORES[[#This Row],[PLAZO Días]],"PAGO VENCIDO")</f>
        <v>PAGO VENCIDO</v>
      </c>
      <c r="C355" s="144">
        <f>+VLOOKUP(PROVEEDORES[[#This Row],[PROVEEDOR]],TERCEROS_INFO[#All],2,FALSE)</f>
        <v>0</v>
      </c>
      <c r="D355" s="145">
        <f>+SUMIFS(PROVEEDORES[Total],PROVEEDORES[PROVEEDOR],PROVEEDORES[[#This Row],[PROVEEDOR]],PROVEEDORES[FECHA DE PAGO],"")</f>
        <v>181631</v>
      </c>
      <c r="E355" s="146"/>
      <c r="F355" s="144">
        <f>+VLOOKUP(PROVEEDORES[[#This Row],[PROVEEDOR]],
                       Terceros!$A:$G,
                       5,
                       FALSE)</f>
        <v>0</v>
      </c>
      <c r="G355" s="122">
        <v>45086</v>
      </c>
      <c r="H355" s="102" t="s">
        <v>383</v>
      </c>
      <c r="I355" s="122">
        <v>45078</v>
      </c>
      <c r="J355" s="103" t="s">
        <v>833</v>
      </c>
      <c r="K355" s="103" t="s">
        <v>1512</v>
      </c>
      <c r="L355" s="103"/>
      <c r="M355" s="105">
        <v>3792544</v>
      </c>
      <c r="N355" s="147">
        <v>720583.36</v>
      </c>
      <c r="O355" s="147">
        <v>0</v>
      </c>
      <c r="P355" s="148">
        <v>0</v>
      </c>
      <c r="Q355" s="147">
        <v>0</v>
      </c>
      <c r="R355" s="149">
        <v>4513127.3600000003</v>
      </c>
      <c r="S3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5" s="150">
        <f ca="1">+IF(PROVEEDORES[[#This Row],[FECHA DE PAGO]]=0,TODAY()-PROVEEDORES[[#This Row],[FECHA DE FACTURACIÓN]]-PROVEEDORES[[#This Row],[PLAZO Días]],0)</f>
        <v>0</v>
      </c>
      <c r="U355" s="150">
        <f>+VLOOKUP(PROVEEDORES[[#This Row],[PROVEEDOR]],Terceros!$A:$E,4,FALSE)</f>
        <v>0.19</v>
      </c>
      <c r="V355" s="150">
        <f>+YEAR(PROVEEDORES[[#This Row],[FECHA DE FACTURACIÓN]])</f>
        <v>2023</v>
      </c>
      <c r="W355" s="150">
        <f>+MATCH(PROVEEDORES[[#This Row],[año facturado]],Retenciones!$1:$1,0)</f>
        <v>6</v>
      </c>
      <c r="X355" s="151" t="e">
        <f>+VLOOKUP(PROVEEDORES[[#This Row],[ID RETENCION]],Retenciones!$A$1:$O$25,PROVEEDORES[[#This Row],[indicador de columna]],FALSE)</f>
        <v>#N/A</v>
      </c>
      <c r="Y355" s="152" t="e">
        <f>+VLOOKUP(PROVEEDORES[[#This Row],[ID RETENCION]],Retenciones!$A$1:$O$25,2,FALSE)</f>
        <v>#N/A</v>
      </c>
      <c r="Z355" s="153" t="b">
        <f>+OR(COUNTIF(PROVEEDORES[[#This Row],[PROVEEDOR]],"*"&amp;'Palabra que no opera y Listas d'!$A$2&amp;"*"))</f>
        <v>1</v>
      </c>
    </row>
    <row r="356" spans="1:26" ht="27.75" customHeight="1" x14ac:dyDescent="0.3">
      <c r="A356" s="144" t="str">
        <f>+IF(PROVEEDORES[[#This Row],[FECHA DE PAGO]]=PROVEEDORES[[#This Row],[FECHA DE FACTURACIÓN]],"DE CONTADO","CRÉDITO")</f>
        <v>DE CONTADO</v>
      </c>
      <c r="B356" s="144" t="b">
        <f>+IF((PROVEEDORES[[#This Row],[FECHA DE PAGO]]-PROVEEDORES[[#This Row],[FECHA DE FACTURACIÓN]])&gt;PROVEEDORES[[#This Row],[PLAZO Días]],"PAGO VENCIDO")</f>
        <v>0</v>
      </c>
      <c r="C356" s="144">
        <f>+VLOOKUP(PROVEEDORES[[#This Row],[PROVEEDOR]],TERCEROS_INFO[#All],2,FALSE)</f>
        <v>0</v>
      </c>
      <c r="D356" s="145">
        <f>+SUMIFS(PROVEEDORES[Total],PROVEEDORES[PROVEEDOR],PROVEEDORES[[#This Row],[PROVEEDOR]],PROVEEDORES[FECHA DE PAGO],"")</f>
        <v>550000</v>
      </c>
      <c r="E356" s="146"/>
      <c r="F356" s="144">
        <f>+VLOOKUP(PROVEEDORES[[#This Row],[PROVEEDOR]],
                       Terceros!$A:$G,
                       5,
                       FALSE)</f>
        <v>0</v>
      </c>
      <c r="G356" s="122">
        <v>45087</v>
      </c>
      <c r="H356" s="102" t="s">
        <v>1784</v>
      </c>
      <c r="I356" s="122">
        <v>45087</v>
      </c>
      <c r="J356" s="103" t="s">
        <v>871</v>
      </c>
      <c r="K356" s="103" t="s">
        <v>1512</v>
      </c>
      <c r="L356" s="103"/>
      <c r="M356" s="105">
        <v>895000</v>
      </c>
      <c r="N356" s="147">
        <v>0</v>
      </c>
      <c r="O356" s="147">
        <v>0</v>
      </c>
      <c r="P356" s="148">
        <v>0</v>
      </c>
      <c r="Q356" s="147">
        <v>0</v>
      </c>
      <c r="R356" s="149">
        <v>895000</v>
      </c>
      <c r="S3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6" s="150">
        <f ca="1">+IF(PROVEEDORES[[#This Row],[FECHA DE PAGO]]=0,TODAY()-PROVEEDORES[[#This Row],[FECHA DE FACTURACIÓN]]-PROVEEDORES[[#This Row],[PLAZO Días]],0)</f>
        <v>0</v>
      </c>
      <c r="U356" s="150">
        <f>+VLOOKUP(PROVEEDORES[[#This Row],[PROVEEDOR]],Terceros!$A:$E,4,FALSE)</f>
        <v>0</v>
      </c>
      <c r="V356" s="150">
        <f>+YEAR(PROVEEDORES[[#This Row],[FECHA DE FACTURACIÓN]])</f>
        <v>2023</v>
      </c>
      <c r="W356" s="150">
        <f>+MATCH(PROVEEDORES[[#This Row],[año facturado]],Retenciones!$1:$1,0)</f>
        <v>6</v>
      </c>
      <c r="X356" s="151">
        <f>+VLOOKUP(PROVEEDORES[[#This Row],[ID RETENCION]],Retenciones!$A$1:$O$25,PROVEEDORES[[#This Row],[indicador de columna]],FALSE)</f>
        <v>0</v>
      </c>
      <c r="Y356" s="152">
        <f>+VLOOKUP(PROVEEDORES[[#This Row],[ID RETENCION]],Retenciones!$A$1:$O$25,2,FALSE)</f>
        <v>0</v>
      </c>
      <c r="Z356" s="153" t="b">
        <f>+OR(COUNTIF(PROVEEDORES[[#This Row],[PROVEEDOR]],"*"&amp;'Palabra que no opera y Listas d'!$A$2&amp;"*"))</f>
        <v>0</v>
      </c>
    </row>
    <row r="357" spans="1:26" ht="27.75" customHeight="1" x14ac:dyDescent="0.3">
      <c r="A357" s="144" t="str">
        <f>+IF(PROVEEDORES[[#This Row],[FECHA DE PAGO]]=PROVEEDORES[[#This Row],[FECHA DE FACTURACIÓN]],"DE CONTADO","CRÉDITO")</f>
        <v>CRÉDITO</v>
      </c>
      <c r="B357" s="144" t="str">
        <f>+IF((PROVEEDORES[[#This Row],[FECHA DE PAGO]]-PROVEEDORES[[#This Row],[FECHA DE FACTURACIÓN]])&gt;PROVEEDORES[[#This Row],[PLAZO Días]],"PAGO VENCIDO")</f>
        <v>PAGO VENCIDO</v>
      </c>
      <c r="C357" s="144">
        <f>+VLOOKUP(PROVEEDORES[[#This Row],[PROVEEDOR]],TERCEROS_INFO[#All],2,FALSE)</f>
        <v>0</v>
      </c>
      <c r="D357" s="145">
        <f>+SUMIFS(PROVEEDORES[Total],PROVEEDORES[PROVEEDOR],PROVEEDORES[[#This Row],[PROVEEDOR]],PROVEEDORES[FECHA DE PAGO],"")</f>
        <v>0</v>
      </c>
      <c r="E357" s="146"/>
      <c r="F357" s="144" t="str">
        <f>+VLOOKUP(PROVEEDORES[[#This Row],[PROVEEDOR]],
                       Terceros!$A:$G,
                       5,
                       FALSE)</f>
        <v>2,5% con base</v>
      </c>
      <c r="G357" s="122">
        <v>45090</v>
      </c>
      <c r="H357" s="102" t="s">
        <v>594</v>
      </c>
      <c r="I357" s="122">
        <v>45016</v>
      </c>
      <c r="J357" s="103" t="s">
        <v>676</v>
      </c>
      <c r="K357" s="103" t="s">
        <v>1512</v>
      </c>
      <c r="L357" s="103"/>
      <c r="M357" s="105">
        <v>3332000</v>
      </c>
      <c r="N357" s="147">
        <v>633080</v>
      </c>
      <c r="O357" s="147">
        <v>0</v>
      </c>
      <c r="P357" s="148">
        <v>2.5000000000000001E-2</v>
      </c>
      <c r="Q357" s="147">
        <v>83300</v>
      </c>
      <c r="R357" s="149">
        <v>3881780</v>
      </c>
      <c r="S3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7" s="150">
        <f ca="1">+IF(PROVEEDORES[[#This Row],[FECHA DE PAGO]]=0,TODAY()-PROVEEDORES[[#This Row],[FECHA DE FACTURACIÓN]]-PROVEEDORES[[#This Row],[PLAZO Días]],0)</f>
        <v>0</v>
      </c>
      <c r="U357" s="150">
        <f>+VLOOKUP(PROVEEDORES[[#This Row],[PROVEEDOR]],Terceros!$A:$E,4,FALSE)</f>
        <v>0.19</v>
      </c>
      <c r="V357" s="150">
        <f>+YEAR(PROVEEDORES[[#This Row],[FECHA DE FACTURACIÓN]])</f>
        <v>2023</v>
      </c>
      <c r="W357" s="150">
        <f>+MATCH(PROVEEDORES[[#This Row],[año facturado]],Retenciones!$1:$1,0)</f>
        <v>6</v>
      </c>
      <c r="X357" s="151" t="e">
        <f>+VLOOKUP(PROVEEDORES[[#This Row],[ID RETENCION]],Retenciones!$A$1:$O$25,PROVEEDORES[[#This Row],[indicador de columna]],FALSE)</f>
        <v>#N/A</v>
      </c>
      <c r="Y357" s="152" t="e">
        <f>+VLOOKUP(PROVEEDORES[[#This Row],[ID RETENCION]],Retenciones!$A$1:$O$25,2,FALSE)</f>
        <v>#N/A</v>
      </c>
      <c r="Z357" s="153" t="b">
        <f>+OR(COUNTIF(PROVEEDORES[[#This Row],[PROVEEDOR]],"*"&amp;'Palabra que no opera y Listas d'!$A$2&amp;"*"))</f>
        <v>0</v>
      </c>
    </row>
    <row r="358" spans="1:26" ht="27.75" customHeight="1" x14ac:dyDescent="0.3">
      <c r="A358" s="144" t="str">
        <f>+IF(PROVEEDORES[[#This Row],[FECHA DE PAGO]]=PROVEEDORES[[#This Row],[FECHA DE FACTURACIÓN]],"DE CONTADO","CRÉDITO")</f>
        <v>CRÉDITO</v>
      </c>
      <c r="B358" s="144" t="str">
        <f>+IF((PROVEEDORES[[#This Row],[FECHA DE PAGO]]-PROVEEDORES[[#This Row],[FECHA DE FACTURACIÓN]])&gt;PROVEEDORES[[#This Row],[PLAZO Días]],"PAGO VENCIDO")</f>
        <v>PAGO VENCIDO</v>
      </c>
      <c r="C358" s="144">
        <f>+VLOOKUP(PROVEEDORES[[#This Row],[PROVEEDOR]],TERCEROS_INFO[#All],2,FALSE)</f>
        <v>0</v>
      </c>
      <c r="D358" s="145">
        <f>+SUMIFS(PROVEEDORES[Total],PROVEEDORES[PROVEEDOR],PROVEEDORES[[#This Row],[PROVEEDOR]],PROVEEDORES[FECHA DE PAGO],"")</f>
        <v>0</v>
      </c>
      <c r="E358" s="146"/>
      <c r="F358" s="144">
        <f>+VLOOKUP(PROVEEDORES[[#This Row],[PROVEEDOR]],
                       Terceros!$A:$G,
                       5,
                       FALSE)</f>
        <v>0</v>
      </c>
      <c r="G358" s="122">
        <v>45090</v>
      </c>
      <c r="H358" s="102" t="s">
        <v>497</v>
      </c>
      <c r="I358" s="122">
        <v>45078</v>
      </c>
      <c r="J358" s="103" t="s">
        <v>834</v>
      </c>
      <c r="K358" s="103" t="s">
        <v>1512</v>
      </c>
      <c r="L358" s="103"/>
      <c r="M358" s="105">
        <v>5350576</v>
      </c>
      <c r="N358" s="147">
        <v>1016609.4400000001</v>
      </c>
      <c r="O358" s="147">
        <v>0</v>
      </c>
      <c r="P358" s="148">
        <v>0</v>
      </c>
      <c r="Q358" s="147">
        <v>0</v>
      </c>
      <c r="R358" s="149">
        <v>6367185.4400000004</v>
      </c>
      <c r="S3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8" s="150">
        <f ca="1">+IF(PROVEEDORES[[#This Row],[FECHA DE PAGO]]=0,TODAY()-PROVEEDORES[[#This Row],[FECHA DE FACTURACIÓN]]-PROVEEDORES[[#This Row],[PLAZO Días]],0)</f>
        <v>0</v>
      </c>
      <c r="U358" s="150">
        <f>+VLOOKUP(PROVEEDORES[[#This Row],[PROVEEDOR]],Terceros!$A:$E,4,FALSE)</f>
        <v>0.19</v>
      </c>
      <c r="V358" s="150">
        <f>+YEAR(PROVEEDORES[[#This Row],[FECHA DE FACTURACIÓN]])</f>
        <v>2023</v>
      </c>
      <c r="W358" s="150">
        <f>+MATCH(PROVEEDORES[[#This Row],[año facturado]],Retenciones!$1:$1,0)</f>
        <v>6</v>
      </c>
      <c r="X358" s="151" t="e">
        <f>+VLOOKUP(PROVEEDORES[[#This Row],[ID RETENCION]],Retenciones!$A$1:$O$25,PROVEEDORES[[#This Row],[indicador de columna]],FALSE)</f>
        <v>#N/A</v>
      </c>
      <c r="Y358" s="152" t="e">
        <f>+VLOOKUP(PROVEEDORES[[#This Row],[ID RETENCION]],Retenciones!$A$1:$O$25,2,FALSE)</f>
        <v>#N/A</v>
      </c>
      <c r="Z358" s="153" t="b">
        <f>+OR(COUNTIF(PROVEEDORES[[#This Row],[PROVEEDOR]],"*"&amp;'Palabra que no opera y Listas d'!$A$2&amp;"*"))</f>
        <v>1</v>
      </c>
    </row>
    <row r="359" spans="1:26" ht="27.75" customHeight="1" x14ac:dyDescent="0.3">
      <c r="A359" s="144" t="str">
        <f>+IF(PROVEEDORES[[#This Row],[FECHA DE PAGO]]=PROVEEDORES[[#This Row],[FECHA DE FACTURACIÓN]],"DE CONTADO","CRÉDITO")</f>
        <v>DE CONTADO</v>
      </c>
      <c r="B359" s="144" t="b">
        <f>+IF((PROVEEDORES[[#This Row],[FECHA DE PAGO]]-PROVEEDORES[[#This Row],[FECHA DE FACTURACIÓN]])&gt;PROVEEDORES[[#This Row],[PLAZO Días]],"PAGO VENCIDO")</f>
        <v>0</v>
      </c>
      <c r="C359" s="144">
        <f>+VLOOKUP(PROVEEDORES[[#This Row],[PROVEEDOR]],TERCEROS_INFO[#All],2,FALSE)</f>
        <v>0</v>
      </c>
      <c r="D359" s="145">
        <f>+SUMIFS(PROVEEDORES[Total],PROVEEDORES[PROVEEDOR],PROVEEDORES[[#This Row],[PROVEEDOR]],PROVEEDORES[FECHA DE PAGO],"")</f>
        <v>0</v>
      </c>
      <c r="E359" s="146"/>
      <c r="F359" s="144">
        <f>+VLOOKUP(PROVEEDORES[[#This Row],[PROVEEDOR]],
                       Terceros!$A:$G,
                       5,
                       FALSE)</f>
        <v>0</v>
      </c>
      <c r="G359" s="122">
        <v>45090</v>
      </c>
      <c r="H359" s="102" t="s">
        <v>85</v>
      </c>
      <c r="I359" s="122">
        <v>45090</v>
      </c>
      <c r="J359" s="103" t="s">
        <v>854</v>
      </c>
      <c r="K359" s="103" t="s">
        <v>1512</v>
      </c>
      <c r="L359" s="103"/>
      <c r="M359" s="105">
        <v>1830000</v>
      </c>
      <c r="N359" s="147">
        <v>0</v>
      </c>
      <c r="O359" s="147">
        <v>0</v>
      </c>
      <c r="P359" s="148">
        <v>0</v>
      </c>
      <c r="Q359" s="147">
        <v>0</v>
      </c>
      <c r="R359" s="149">
        <v>1830000</v>
      </c>
      <c r="S3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9" s="150">
        <f ca="1">+IF(PROVEEDORES[[#This Row],[FECHA DE PAGO]]=0,TODAY()-PROVEEDORES[[#This Row],[FECHA DE FACTURACIÓN]]-PROVEEDORES[[#This Row],[PLAZO Días]],0)</f>
        <v>0</v>
      </c>
      <c r="U359" s="150">
        <f>+VLOOKUP(PROVEEDORES[[#This Row],[PROVEEDOR]],Terceros!$A:$E,4,FALSE)</f>
        <v>0</v>
      </c>
      <c r="V359" s="150">
        <f>+YEAR(PROVEEDORES[[#This Row],[FECHA DE FACTURACIÓN]])</f>
        <v>2023</v>
      </c>
      <c r="W359" s="150">
        <f>+MATCH(PROVEEDORES[[#This Row],[año facturado]],Retenciones!$1:$1,0)</f>
        <v>6</v>
      </c>
      <c r="X359" s="151">
        <f>+VLOOKUP(PROVEEDORES[[#This Row],[ID RETENCION]],Retenciones!$A$1:$O$25,PROVEEDORES[[#This Row],[indicador de columna]],FALSE)</f>
        <v>0</v>
      </c>
      <c r="Y359" s="152">
        <f>+VLOOKUP(PROVEEDORES[[#This Row],[ID RETENCION]],Retenciones!$A$1:$O$25,2,FALSE)</f>
        <v>0</v>
      </c>
      <c r="Z359" s="153" t="b">
        <f>+OR(COUNTIF(PROVEEDORES[[#This Row],[PROVEEDOR]],"*"&amp;'Palabra que no opera y Listas d'!$A$2&amp;"*"))</f>
        <v>0</v>
      </c>
    </row>
    <row r="360" spans="1:26" ht="27.75" customHeight="1" x14ac:dyDescent="0.3">
      <c r="A360" s="144" t="str">
        <f>+IF(PROVEEDORES[[#This Row],[FECHA DE PAGO]]=PROVEEDORES[[#This Row],[FECHA DE FACTURACIÓN]],"DE CONTADO","CRÉDITO")</f>
        <v>CRÉDITO</v>
      </c>
      <c r="B360" s="144" t="str">
        <f>+IF((PROVEEDORES[[#This Row],[FECHA DE PAGO]]-PROVEEDORES[[#This Row],[FECHA DE FACTURACIÓN]])&gt;PROVEEDORES[[#This Row],[PLAZO Días]],"PAGO VENCIDO")</f>
        <v>PAGO VENCIDO</v>
      </c>
      <c r="C360" s="144">
        <f>+VLOOKUP(PROVEEDORES[[#This Row],[PROVEEDOR]],TERCEROS_INFO[#All],2,FALSE)</f>
        <v>0</v>
      </c>
      <c r="D360" s="145">
        <f>+SUMIFS(PROVEEDORES[Total],PROVEEDORES[PROVEEDOR],PROVEEDORES[[#This Row],[PROVEEDOR]],PROVEEDORES[FECHA DE PAGO],"")</f>
        <v>0</v>
      </c>
      <c r="E360" s="146"/>
      <c r="F360" s="144">
        <f>+VLOOKUP(PROVEEDORES[[#This Row],[PROVEEDOR]],
                       Terceros!$A:$G,
                       5,
                       FALSE)</f>
        <v>0</v>
      </c>
      <c r="G360" s="122">
        <v>45091</v>
      </c>
      <c r="H360" s="102" t="s">
        <v>822</v>
      </c>
      <c r="I360" s="122">
        <v>45064</v>
      </c>
      <c r="J360" s="103" t="s">
        <v>818</v>
      </c>
      <c r="K360" s="103" t="s">
        <v>1512</v>
      </c>
      <c r="L360" s="103"/>
      <c r="M360" s="105">
        <v>400000</v>
      </c>
      <c r="N360" s="147">
        <v>0</v>
      </c>
      <c r="O360" s="147">
        <v>0</v>
      </c>
      <c r="P360" s="148">
        <v>0</v>
      </c>
      <c r="Q360" s="147">
        <v>0</v>
      </c>
      <c r="R360" s="149">
        <v>400000</v>
      </c>
      <c r="S3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0" s="150">
        <f ca="1">+IF(PROVEEDORES[[#This Row],[FECHA DE PAGO]]=0,TODAY()-PROVEEDORES[[#This Row],[FECHA DE FACTURACIÓN]]-PROVEEDORES[[#This Row],[PLAZO Días]],0)</f>
        <v>0</v>
      </c>
      <c r="U360" s="150">
        <f>+VLOOKUP(PROVEEDORES[[#This Row],[PROVEEDOR]],Terceros!$A:$E,4,FALSE)</f>
        <v>0</v>
      </c>
      <c r="V360" s="150">
        <f>+YEAR(PROVEEDORES[[#This Row],[FECHA DE FACTURACIÓN]])</f>
        <v>2023</v>
      </c>
      <c r="W360" s="150">
        <f>+MATCH(PROVEEDORES[[#This Row],[año facturado]],Retenciones!$1:$1,0)</f>
        <v>6</v>
      </c>
      <c r="X360" s="151">
        <f>+VLOOKUP(PROVEEDORES[[#This Row],[ID RETENCION]],Retenciones!$A$1:$O$25,PROVEEDORES[[#This Row],[indicador de columna]],FALSE)</f>
        <v>0</v>
      </c>
      <c r="Y360" s="152">
        <f>+VLOOKUP(PROVEEDORES[[#This Row],[ID RETENCION]],Retenciones!$A$1:$O$25,2,FALSE)</f>
        <v>0</v>
      </c>
      <c r="Z360" s="153" t="b">
        <f>+OR(COUNTIF(PROVEEDORES[[#This Row],[PROVEEDOR]],"*"&amp;'Palabra que no opera y Listas d'!$A$2&amp;"*"))</f>
        <v>0</v>
      </c>
    </row>
    <row r="361" spans="1:26" ht="27.75" customHeight="1" x14ac:dyDescent="0.3">
      <c r="A361" s="144" t="str">
        <f>+IF(PROVEEDORES[[#This Row],[FECHA DE PAGO]]=PROVEEDORES[[#This Row],[FECHA DE FACTURACIÓN]],"DE CONTADO","CRÉDITO")</f>
        <v>CRÉDITO</v>
      </c>
      <c r="B361" s="144" t="str">
        <f>+IF((PROVEEDORES[[#This Row],[FECHA DE PAGO]]-PROVEEDORES[[#This Row],[FECHA DE FACTURACIÓN]])&gt;PROVEEDORES[[#This Row],[PLAZO Días]],"PAGO VENCIDO")</f>
        <v>PAGO VENCIDO</v>
      </c>
      <c r="C361" s="144">
        <f>+VLOOKUP(PROVEEDORES[[#This Row],[PROVEEDOR]],TERCEROS_INFO[#All],2,FALSE)</f>
        <v>0</v>
      </c>
      <c r="D361" s="145">
        <f>+SUMIFS(PROVEEDORES[Total],PROVEEDORES[PROVEEDOR],PROVEEDORES[[#This Row],[PROVEEDOR]],PROVEEDORES[FECHA DE PAGO],"")</f>
        <v>31839627.134999998</v>
      </c>
      <c r="E361" s="146"/>
      <c r="F361" s="144" t="str">
        <f>+VLOOKUP(PROVEEDORES[[#This Row],[PROVEEDOR]],
                       Terceros!$A:$G,
                       5,
                       FALSE)</f>
        <v>2,5% con base</v>
      </c>
      <c r="G361" s="122">
        <v>45092</v>
      </c>
      <c r="H361" s="102" t="s">
        <v>17</v>
      </c>
      <c r="I361" s="122">
        <v>45036</v>
      </c>
      <c r="J361" s="103" t="s">
        <v>749</v>
      </c>
      <c r="K361" s="103" t="s">
        <v>1512</v>
      </c>
      <c r="L361" s="103"/>
      <c r="M361" s="105">
        <v>1692916</v>
      </c>
      <c r="N361" s="147">
        <v>321654.03999999998</v>
      </c>
      <c r="O361" s="147">
        <v>0</v>
      </c>
      <c r="P361" s="148">
        <v>2.5000000000000001E-2</v>
      </c>
      <c r="Q361" s="147">
        <v>42322.9</v>
      </c>
      <c r="R361" s="149">
        <v>1972247.1400000001</v>
      </c>
      <c r="S3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1" s="150">
        <f ca="1">+IF(PROVEEDORES[[#This Row],[FECHA DE PAGO]]=0,TODAY()-PROVEEDORES[[#This Row],[FECHA DE FACTURACIÓN]]-PROVEEDORES[[#This Row],[PLAZO Días]],0)</f>
        <v>0</v>
      </c>
      <c r="U361" s="150">
        <f>+VLOOKUP(PROVEEDORES[[#This Row],[PROVEEDOR]],Terceros!$A:$E,4,FALSE)</f>
        <v>0.19</v>
      </c>
      <c r="V361" s="150">
        <f>+YEAR(PROVEEDORES[[#This Row],[FECHA DE FACTURACIÓN]])</f>
        <v>2023</v>
      </c>
      <c r="W361" s="150">
        <f>+MATCH(PROVEEDORES[[#This Row],[año facturado]],Retenciones!$1:$1,0)</f>
        <v>6</v>
      </c>
      <c r="X361" s="151" t="e">
        <f>+VLOOKUP(PROVEEDORES[[#This Row],[ID RETENCION]],Retenciones!$A$1:$O$25,PROVEEDORES[[#This Row],[indicador de columna]],FALSE)</f>
        <v>#N/A</v>
      </c>
      <c r="Y361" s="152" t="e">
        <f>+VLOOKUP(PROVEEDORES[[#This Row],[ID RETENCION]],Retenciones!$A$1:$O$25,2,FALSE)</f>
        <v>#N/A</v>
      </c>
      <c r="Z361" s="153" t="b">
        <f>+OR(COUNTIF(PROVEEDORES[[#This Row],[PROVEEDOR]],"*"&amp;'Palabra que no opera y Listas d'!$A$2&amp;"*"))</f>
        <v>0</v>
      </c>
    </row>
    <row r="362" spans="1:26" ht="27.75" customHeight="1" x14ac:dyDescent="0.3">
      <c r="A362" s="144" t="str">
        <f>+IF(PROVEEDORES[[#This Row],[FECHA DE PAGO]]=PROVEEDORES[[#This Row],[FECHA DE FACTURACIÓN]],"DE CONTADO","CRÉDITO")</f>
        <v>CRÉDITO</v>
      </c>
      <c r="B362" s="144" t="str">
        <f>+IF((PROVEEDORES[[#This Row],[FECHA DE PAGO]]-PROVEEDORES[[#This Row],[FECHA DE FACTURACIÓN]])&gt;PROVEEDORES[[#This Row],[PLAZO Días]],"PAGO VENCIDO")</f>
        <v>PAGO VENCIDO</v>
      </c>
      <c r="C362" s="144">
        <f>+VLOOKUP(PROVEEDORES[[#This Row],[PROVEEDOR]],TERCEROS_INFO[#All],2,FALSE)</f>
        <v>0</v>
      </c>
      <c r="D362" s="145">
        <f>+SUMIFS(PROVEEDORES[Total],PROVEEDORES[PROVEEDOR],PROVEEDORES[[#This Row],[PROVEEDOR]],PROVEEDORES[FECHA DE PAGO],"")</f>
        <v>31839627.134999998</v>
      </c>
      <c r="E362" s="146"/>
      <c r="F362" s="144" t="str">
        <f>+VLOOKUP(PROVEEDORES[[#This Row],[PROVEEDOR]],
                       Terceros!$A:$G,
                       5,
                       FALSE)</f>
        <v>2,5% con base</v>
      </c>
      <c r="G362" s="122">
        <v>45092</v>
      </c>
      <c r="H362" s="102" t="s">
        <v>17</v>
      </c>
      <c r="I362" s="122">
        <v>45042</v>
      </c>
      <c r="J362" s="103" t="s">
        <v>762</v>
      </c>
      <c r="K362" s="103" t="s">
        <v>1512</v>
      </c>
      <c r="L362" s="103"/>
      <c r="M362" s="105">
        <v>1354333</v>
      </c>
      <c r="N362" s="147">
        <v>257323.27</v>
      </c>
      <c r="O362" s="147">
        <v>0</v>
      </c>
      <c r="P362" s="148">
        <v>2.5000000000000001E-2</v>
      </c>
      <c r="Q362" s="147">
        <v>33858.325000000004</v>
      </c>
      <c r="R362" s="149">
        <v>1577797.9450000001</v>
      </c>
      <c r="S3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2" s="150">
        <f ca="1">+IF(PROVEEDORES[[#This Row],[FECHA DE PAGO]]=0,TODAY()-PROVEEDORES[[#This Row],[FECHA DE FACTURACIÓN]]-PROVEEDORES[[#This Row],[PLAZO Días]],0)</f>
        <v>0</v>
      </c>
      <c r="U362" s="150">
        <f>+VLOOKUP(PROVEEDORES[[#This Row],[PROVEEDOR]],Terceros!$A:$E,4,FALSE)</f>
        <v>0.19</v>
      </c>
      <c r="V362" s="150">
        <f>+YEAR(PROVEEDORES[[#This Row],[FECHA DE FACTURACIÓN]])</f>
        <v>2023</v>
      </c>
      <c r="W362" s="150">
        <f>+MATCH(PROVEEDORES[[#This Row],[año facturado]],Retenciones!$1:$1,0)</f>
        <v>6</v>
      </c>
      <c r="X362" s="151" t="e">
        <f>+VLOOKUP(PROVEEDORES[[#This Row],[ID RETENCION]],Retenciones!$A$1:$O$25,PROVEEDORES[[#This Row],[indicador de columna]],FALSE)</f>
        <v>#N/A</v>
      </c>
      <c r="Y362" s="152" t="e">
        <f>+VLOOKUP(PROVEEDORES[[#This Row],[ID RETENCION]],Retenciones!$A$1:$O$25,2,FALSE)</f>
        <v>#N/A</v>
      </c>
      <c r="Z362" s="153" t="b">
        <f>+OR(COUNTIF(PROVEEDORES[[#This Row],[PROVEEDOR]],"*"&amp;'Palabra que no opera y Listas d'!$A$2&amp;"*"))</f>
        <v>0</v>
      </c>
    </row>
    <row r="363" spans="1:26" ht="27.75" customHeight="1" x14ac:dyDescent="0.3">
      <c r="A363" s="144" t="str">
        <f>+IF(PROVEEDORES[[#This Row],[FECHA DE PAGO]]=PROVEEDORES[[#This Row],[FECHA DE FACTURACIÓN]],"DE CONTADO","CRÉDITO")</f>
        <v>CRÉDITO</v>
      </c>
      <c r="B363" s="144" t="str">
        <f>+IF((PROVEEDORES[[#This Row],[FECHA DE PAGO]]-PROVEEDORES[[#This Row],[FECHA DE FACTURACIÓN]])&gt;PROVEEDORES[[#This Row],[PLAZO Días]],"PAGO VENCIDO")</f>
        <v>PAGO VENCIDO</v>
      </c>
      <c r="C363" s="144">
        <f>+VLOOKUP(PROVEEDORES[[#This Row],[PROVEEDOR]],TERCEROS_INFO[#All],2,FALSE)</f>
        <v>0</v>
      </c>
      <c r="D363" s="145">
        <f>+SUMIFS(PROVEEDORES[Total],PROVEEDORES[PROVEEDOR],PROVEEDORES[[#This Row],[PROVEEDOR]],PROVEEDORES[FECHA DE PAGO],"")</f>
        <v>31839627.134999998</v>
      </c>
      <c r="E363" s="146"/>
      <c r="F363" s="144" t="str">
        <f>+VLOOKUP(PROVEEDORES[[#This Row],[PROVEEDOR]],
                       Terceros!$A:$G,
                       5,
                       FALSE)</f>
        <v>2,5% con base</v>
      </c>
      <c r="G363" s="122">
        <v>45092</v>
      </c>
      <c r="H363" s="102" t="s">
        <v>17</v>
      </c>
      <c r="I363" s="122">
        <v>45042</v>
      </c>
      <c r="J363" s="103" t="s">
        <v>766</v>
      </c>
      <c r="K363" s="103" t="s">
        <v>1512</v>
      </c>
      <c r="L363" s="103"/>
      <c r="M363" s="105">
        <v>1206027</v>
      </c>
      <c r="N363" s="147">
        <v>229145.13</v>
      </c>
      <c r="O363" s="147">
        <v>0</v>
      </c>
      <c r="P363" s="148">
        <v>2.5000000000000001E-2</v>
      </c>
      <c r="Q363" s="147">
        <v>30150.675000000003</v>
      </c>
      <c r="R363" s="149">
        <v>1405021.4549999998</v>
      </c>
      <c r="S3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3" s="150">
        <f ca="1">+IF(PROVEEDORES[[#This Row],[FECHA DE PAGO]]=0,TODAY()-PROVEEDORES[[#This Row],[FECHA DE FACTURACIÓN]]-PROVEEDORES[[#This Row],[PLAZO Días]],0)</f>
        <v>0</v>
      </c>
      <c r="U363" s="150">
        <f>+VLOOKUP(PROVEEDORES[[#This Row],[PROVEEDOR]],Terceros!$A:$E,4,FALSE)</f>
        <v>0.19</v>
      </c>
      <c r="V363" s="150">
        <f>+YEAR(PROVEEDORES[[#This Row],[FECHA DE FACTURACIÓN]])</f>
        <v>2023</v>
      </c>
      <c r="W363" s="150">
        <f>+MATCH(PROVEEDORES[[#This Row],[año facturado]],Retenciones!$1:$1,0)</f>
        <v>6</v>
      </c>
      <c r="X363" s="151" t="e">
        <f>+VLOOKUP(PROVEEDORES[[#This Row],[ID RETENCION]],Retenciones!$A$1:$O$25,PROVEEDORES[[#This Row],[indicador de columna]],FALSE)</f>
        <v>#N/A</v>
      </c>
      <c r="Y363" s="152" t="e">
        <f>+VLOOKUP(PROVEEDORES[[#This Row],[ID RETENCION]],Retenciones!$A$1:$O$25,2,FALSE)</f>
        <v>#N/A</v>
      </c>
      <c r="Z363" s="153" t="b">
        <f>+OR(COUNTIF(PROVEEDORES[[#This Row],[PROVEEDOR]],"*"&amp;'Palabra que no opera y Listas d'!$A$2&amp;"*"))</f>
        <v>0</v>
      </c>
    </row>
    <row r="364" spans="1:26" ht="27.75" customHeight="1" x14ac:dyDescent="0.3">
      <c r="A364" s="144" t="str">
        <f>+IF(PROVEEDORES[[#This Row],[FECHA DE PAGO]]=PROVEEDORES[[#This Row],[FECHA DE FACTURACIÓN]],"DE CONTADO","CRÉDITO")</f>
        <v>CRÉDITO</v>
      </c>
      <c r="B364" s="144" t="str">
        <f>+IF((PROVEEDORES[[#This Row],[FECHA DE PAGO]]-PROVEEDORES[[#This Row],[FECHA DE FACTURACIÓN]])&gt;PROVEEDORES[[#This Row],[PLAZO Días]],"PAGO VENCIDO")</f>
        <v>PAGO VENCIDO</v>
      </c>
      <c r="C364" s="144">
        <f>+VLOOKUP(PROVEEDORES[[#This Row],[PROVEEDOR]],TERCEROS_INFO[#All],2,FALSE)</f>
        <v>0</v>
      </c>
      <c r="D364" s="145">
        <f>+SUMIFS(PROVEEDORES[Total],PROVEEDORES[PROVEEDOR],PROVEEDORES[[#This Row],[PROVEEDOR]],PROVEEDORES[FECHA DE PAGO],"")</f>
        <v>31839627.134999998</v>
      </c>
      <c r="E364" s="146"/>
      <c r="F364" s="144" t="str">
        <f>+VLOOKUP(PROVEEDORES[[#This Row],[PROVEEDOR]],
                       Terceros!$A:$G,
                       5,
                       FALSE)</f>
        <v>2,5% con base</v>
      </c>
      <c r="G364" s="122">
        <v>45092</v>
      </c>
      <c r="H364" s="102" t="s">
        <v>17</v>
      </c>
      <c r="I364" s="122">
        <v>45042</v>
      </c>
      <c r="J364" s="103" t="s">
        <v>761</v>
      </c>
      <c r="K364" s="103" t="s">
        <v>1512</v>
      </c>
      <c r="L364" s="103"/>
      <c r="M364" s="105">
        <v>376982</v>
      </c>
      <c r="N364" s="147">
        <v>71626.58</v>
      </c>
      <c r="O364" s="147">
        <v>0</v>
      </c>
      <c r="P364" s="148">
        <v>0</v>
      </c>
      <c r="Q364" s="147">
        <v>0</v>
      </c>
      <c r="R364" s="149">
        <v>448608.58</v>
      </c>
      <c r="S3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4" s="150">
        <f ca="1">+IF(PROVEEDORES[[#This Row],[FECHA DE PAGO]]=0,TODAY()-PROVEEDORES[[#This Row],[FECHA DE FACTURACIÓN]]-PROVEEDORES[[#This Row],[PLAZO Días]],0)</f>
        <v>0</v>
      </c>
      <c r="U364" s="150">
        <f>+VLOOKUP(PROVEEDORES[[#This Row],[PROVEEDOR]],Terceros!$A:$E,4,FALSE)</f>
        <v>0.19</v>
      </c>
      <c r="V364" s="150">
        <f>+YEAR(PROVEEDORES[[#This Row],[FECHA DE FACTURACIÓN]])</f>
        <v>2023</v>
      </c>
      <c r="W364" s="150">
        <f>+MATCH(PROVEEDORES[[#This Row],[año facturado]],Retenciones!$1:$1,0)</f>
        <v>6</v>
      </c>
      <c r="X364" s="151" t="e">
        <f>+VLOOKUP(PROVEEDORES[[#This Row],[ID RETENCION]],Retenciones!$A$1:$O$25,PROVEEDORES[[#This Row],[indicador de columna]],FALSE)</f>
        <v>#N/A</v>
      </c>
      <c r="Y364" s="152" t="e">
        <f>+VLOOKUP(PROVEEDORES[[#This Row],[ID RETENCION]],Retenciones!$A$1:$O$25,2,FALSE)</f>
        <v>#N/A</v>
      </c>
      <c r="Z364" s="153" t="b">
        <f>+OR(COUNTIF(PROVEEDORES[[#This Row],[PROVEEDOR]],"*"&amp;'Palabra que no opera y Listas d'!$A$2&amp;"*"))</f>
        <v>0</v>
      </c>
    </row>
    <row r="365" spans="1:26" ht="27.75" customHeight="1" x14ac:dyDescent="0.3">
      <c r="A365" s="144" t="str">
        <f>+IF(PROVEEDORES[[#This Row],[FECHA DE PAGO]]=PROVEEDORES[[#This Row],[FECHA DE FACTURACIÓN]],"DE CONTADO","CRÉDITO")</f>
        <v>CRÉDITO</v>
      </c>
      <c r="B365" s="144" t="str">
        <f>+IF((PROVEEDORES[[#This Row],[FECHA DE PAGO]]-PROVEEDORES[[#This Row],[FECHA DE FACTURACIÓN]])&gt;PROVEEDORES[[#This Row],[PLAZO Días]],"PAGO VENCIDO")</f>
        <v>PAGO VENCIDO</v>
      </c>
      <c r="C365" s="144">
        <f>+VLOOKUP(PROVEEDORES[[#This Row],[PROVEEDOR]],TERCEROS_INFO[#All],2,FALSE)</f>
        <v>0</v>
      </c>
      <c r="D365" s="145">
        <f>+SUMIFS(PROVEEDORES[Total],PROVEEDORES[PROVEEDOR],PROVEEDORES[[#This Row],[PROVEEDOR]],PROVEEDORES[FECHA DE PAGO],"")</f>
        <v>31839627.134999998</v>
      </c>
      <c r="E365" s="146"/>
      <c r="F365" s="144" t="str">
        <f>+VLOOKUP(PROVEEDORES[[#This Row],[PROVEEDOR]],
                       Terceros!$A:$G,
                       5,
                       FALSE)</f>
        <v>2,5% con base</v>
      </c>
      <c r="G365" s="122">
        <v>45092</v>
      </c>
      <c r="H365" s="102" t="s">
        <v>17</v>
      </c>
      <c r="I365" s="122">
        <v>45044</v>
      </c>
      <c r="J365" s="103" t="s">
        <v>835</v>
      </c>
      <c r="K365" s="103" t="s">
        <v>1512</v>
      </c>
      <c r="L365" s="103"/>
      <c r="M365" s="105">
        <v>753964</v>
      </c>
      <c r="N365" s="147">
        <v>143253.16</v>
      </c>
      <c r="O365" s="147">
        <v>0</v>
      </c>
      <c r="P365" s="148">
        <v>0</v>
      </c>
      <c r="Q365" s="147">
        <v>0</v>
      </c>
      <c r="R365" s="149">
        <v>897217.16</v>
      </c>
      <c r="S3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5" s="150">
        <f ca="1">+IF(PROVEEDORES[[#This Row],[FECHA DE PAGO]]=0,TODAY()-PROVEEDORES[[#This Row],[FECHA DE FACTURACIÓN]]-PROVEEDORES[[#This Row],[PLAZO Días]],0)</f>
        <v>0</v>
      </c>
      <c r="U365" s="150">
        <f>+VLOOKUP(PROVEEDORES[[#This Row],[PROVEEDOR]],Terceros!$A:$E,4,FALSE)</f>
        <v>0.19</v>
      </c>
      <c r="V365" s="150">
        <f>+YEAR(PROVEEDORES[[#This Row],[FECHA DE FACTURACIÓN]])</f>
        <v>2023</v>
      </c>
      <c r="W365" s="150">
        <f>+MATCH(PROVEEDORES[[#This Row],[año facturado]],Retenciones!$1:$1,0)</f>
        <v>6</v>
      </c>
      <c r="X365" s="151" t="e">
        <f>+VLOOKUP(PROVEEDORES[[#This Row],[ID RETENCION]],Retenciones!$A$1:$O$25,PROVEEDORES[[#This Row],[indicador de columna]],FALSE)</f>
        <v>#N/A</v>
      </c>
      <c r="Y365" s="152" t="e">
        <f>+VLOOKUP(PROVEEDORES[[#This Row],[ID RETENCION]],Retenciones!$A$1:$O$25,2,FALSE)</f>
        <v>#N/A</v>
      </c>
      <c r="Z365" s="153" t="b">
        <f>+OR(COUNTIF(PROVEEDORES[[#This Row],[PROVEEDOR]],"*"&amp;'Palabra que no opera y Listas d'!$A$2&amp;"*"))</f>
        <v>0</v>
      </c>
    </row>
    <row r="366" spans="1:26" ht="27.75" customHeight="1" x14ac:dyDescent="0.3">
      <c r="A366" s="144" t="str">
        <f>+IF(PROVEEDORES[[#This Row],[FECHA DE PAGO]]=PROVEEDORES[[#This Row],[FECHA DE FACTURACIÓN]],"DE CONTADO","CRÉDITO")</f>
        <v>DE CONTADO</v>
      </c>
      <c r="B366" s="144" t="b">
        <f>+IF((PROVEEDORES[[#This Row],[FECHA DE PAGO]]-PROVEEDORES[[#This Row],[FECHA DE FACTURACIÓN]])&gt;PROVEEDORES[[#This Row],[PLAZO Días]],"PAGO VENCIDO")</f>
        <v>0</v>
      </c>
      <c r="C366" s="144">
        <f>+VLOOKUP(PROVEEDORES[[#This Row],[PROVEEDOR]],TERCEROS_INFO[#All],2,FALSE)</f>
        <v>0</v>
      </c>
      <c r="D366" s="145">
        <f>+SUMIFS(PROVEEDORES[Total],PROVEEDORES[PROVEEDOR],PROVEEDORES[[#This Row],[PROVEEDOR]],PROVEEDORES[FECHA DE PAGO],"")</f>
        <v>0</v>
      </c>
      <c r="E366" s="146"/>
      <c r="F366" s="144">
        <f>+VLOOKUP(PROVEEDORES[[#This Row],[PROVEEDOR]],
                       Terceros!$A:$G,
                       5,
                       FALSE)</f>
        <v>0</v>
      </c>
      <c r="G366" s="122">
        <v>45092</v>
      </c>
      <c r="H366" s="102" t="s">
        <v>1790</v>
      </c>
      <c r="I366" s="122">
        <v>45092</v>
      </c>
      <c r="J366" s="103" t="s">
        <v>874</v>
      </c>
      <c r="K366" s="103" t="s">
        <v>1512</v>
      </c>
      <c r="L366" s="103"/>
      <c r="M366" s="105">
        <v>171400</v>
      </c>
      <c r="N366" s="147">
        <v>0</v>
      </c>
      <c r="O366" s="147">
        <v>0</v>
      </c>
      <c r="P366" s="148">
        <v>0</v>
      </c>
      <c r="Q366" s="147">
        <v>0</v>
      </c>
      <c r="R366" s="149">
        <v>171400</v>
      </c>
      <c r="S3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6" s="150">
        <f ca="1">+IF(PROVEEDORES[[#This Row],[FECHA DE PAGO]]=0,TODAY()-PROVEEDORES[[#This Row],[FECHA DE FACTURACIÓN]]-PROVEEDORES[[#This Row],[PLAZO Días]],0)</f>
        <v>0</v>
      </c>
      <c r="U366" s="150">
        <f>+VLOOKUP(PROVEEDORES[[#This Row],[PROVEEDOR]],Terceros!$A:$E,4,FALSE)</f>
        <v>0</v>
      </c>
      <c r="V366" s="150">
        <f>+YEAR(PROVEEDORES[[#This Row],[FECHA DE FACTURACIÓN]])</f>
        <v>2023</v>
      </c>
      <c r="W366" s="150">
        <f>+MATCH(PROVEEDORES[[#This Row],[año facturado]],Retenciones!$1:$1,0)</f>
        <v>6</v>
      </c>
      <c r="X366" s="151">
        <f>+VLOOKUP(PROVEEDORES[[#This Row],[ID RETENCION]],Retenciones!$A$1:$O$25,PROVEEDORES[[#This Row],[indicador de columna]],FALSE)</f>
        <v>0</v>
      </c>
      <c r="Y366" s="152">
        <f>+VLOOKUP(PROVEEDORES[[#This Row],[ID RETENCION]],Retenciones!$A$1:$O$25,2,FALSE)</f>
        <v>0</v>
      </c>
      <c r="Z366" s="153" t="b">
        <f>+OR(COUNTIF(PROVEEDORES[[#This Row],[PROVEEDOR]],"*"&amp;'Palabra que no opera y Listas d'!$A$2&amp;"*"))</f>
        <v>1</v>
      </c>
    </row>
    <row r="367" spans="1:26" ht="27.75" customHeight="1" x14ac:dyDescent="0.3">
      <c r="A367" s="144" t="str">
        <f>+IF(PROVEEDORES[[#This Row],[FECHA DE PAGO]]=PROVEEDORES[[#This Row],[FECHA DE FACTURACIÓN]],"DE CONTADO","CRÉDITO")</f>
        <v>CRÉDITO</v>
      </c>
      <c r="B367" s="144" t="str">
        <f>+IF((PROVEEDORES[[#This Row],[FECHA DE PAGO]]-PROVEEDORES[[#This Row],[FECHA DE FACTURACIÓN]])&gt;PROVEEDORES[[#This Row],[PLAZO Días]],"PAGO VENCIDO")</f>
        <v>PAGO VENCIDO</v>
      </c>
      <c r="C367" s="144">
        <f>+VLOOKUP(PROVEEDORES[[#This Row],[PROVEEDOR]],TERCEROS_INFO[#All],2,FALSE)</f>
        <v>0</v>
      </c>
      <c r="D367" s="145">
        <f>+SUMIFS(PROVEEDORES[Total],PROVEEDORES[PROVEEDOR],PROVEEDORES[[#This Row],[PROVEEDOR]],PROVEEDORES[FECHA DE PAGO],"")</f>
        <v>0</v>
      </c>
      <c r="E367" s="146"/>
      <c r="F367" s="144">
        <f>+VLOOKUP(PROVEEDORES[[#This Row],[PROVEEDOR]],
                       Terceros!$A:$G,
                       5,
                       FALSE)</f>
        <v>0</v>
      </c>
      <c r="G367" s="122">
        <v>45093</v>
      </c>
      <c r="H367" s="102" t="s">
        <v>388</v>
      </c>
      <c r="I367" s="122">
        <v>45079</v>
      </c>
      <c r="J367" s="103" t="s">
        <v>841</v>
      </c>
      <c r="K367" s="103" t="s">
        <v>1512</v>
      </c>
      <c r="L367" s="103"/>
      <c r="M367" s="105">
        <v>1840056</v>
      </c>
      <c r="N367" s="147">
        <v>0</v>
      </c>
      <c r="O367" s="147">
        <v>0</v>
      </c>
      <c r="P367" s="148">
        <v>0</v>
      </c>
      <c r="Q367" s="147">
        <v>0</v>
      </c>
      <c r="R367" s="149">
        <v>1840056</v>
      </c>
      <c r="S3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7" s="150">
        <f ca="1">+IF(PROVEEDORES[[#This Row],[FECHA DE PAGO]]=0,TODAY()-PROVEEDORES[[#This Row],[FECHA DE FACTURACIÓN]]-PROVEEDORES[[#This Row],[PLAZO Días]],0)</f>
        <v>0</v>
      </c>
      <c r="U367" s="150">
        <f>+VLOOKUP(PROVEEDORES[[#This Row],[PROVEEDOR]],Terceros!$A:$E,4,FALSE)</f>
        <v>0</v>
      </c>
      <c r="V367" s="150">
        <f>+YEAR(PROVEEDORES[[#This Row],[FECHA DE FACTURACIÓN]])</f>
        <v>2023</v>
      </c>
      <c r="W367" s="150">
        <f>+MATCH(PROVEEDORES[[#This Row],[año facturado]],Retenciones!$1:$1,0)</f>
        <v>6</v>
      </c>
      <c r="X367" s="151">
        <f>+VLOOKUP(PROVEEDORES[[#This Row],[ID RETENCION]],Retenciones!$A$1:$O$25,PROVEEDORES[[#This Row],[indicador de columna]],FALSE)</f>
        <v>0</v>
      </c>
      <c r="Y367" s="152">
        <f>+VLOOKUP(PROVEEDORES[[#This Row],[ID RETENCION]],Retenciones!$A$1:$O$25,2,FALSE)</f>
        <v>0</v>
      </c>
      <c r="Z367" s="153" t="b">
        <f>+OR(COUNTIF(PROVEEDORES[[#This Row],[PROVEEDOR]],"*"&amp;'Palabra que no opera y Listas d'!$A$2&amp;"*"))</f>
        <v>1</v>
      </c>
    </row>
    <row r="368" spans="1:26" ht="27.75" customHeight="1" x14ac:dyDescent="0.3">
      <c r="A368" s="144" t="str">
        <f>+IF(PROVEEDORES[[#This Row],[FECHA DE PAGO]]=PROVEEDORES[[#This Row],[FECHA DE FACTURACIÓN]],"DE CONTADO","CRÉDITO")</f>
        <v>CRÉDITO</v>
      </c>
      <c r="B368" s="144" t="str">
        <f>+IF((PROVEEDORES[[#This Row],[FECHA DE PAGO]]-PROVEEDORES[[#This Row],[FECHA DE FACTURACIÓN]])&gt;PROVEEDORES[[#This Row],[PLAZO Días]],"PAGO VENCIDO")</f>
        <v>PAGO VENCIDO</v>
      </c>
      <c r="C368" s="144">
        <f>+VLOOKUP(PROVEEDORES[[#This Row],[PROVEEDOR]],TERCEROS_INFO[#All],2,FALSE)</f>
        <v>0</v>
      </c>
      <c r="D368" s="145">
        <f>+SUMIFS(PROVEEDORES[Total],PROVEEDORES[PROVEEDOR],PROVEEDORES[[#This Row],[PROVEEDOR]],PROVEEDORES[FECHA DE PAGO],"")</f>
        <v>0</v>
      </c>
      <c r="E368" s="146"/>
      <c r="F368" s="144">
        <f>+VLOOKUP(PROVEEDORES[[#This Row],[PROVEEDOR]],
                       Terceros!$A:$G,
                       5,
                       FALSE)</f>
        <v>0</v>
      </c>
      <c r="G368" s="122">
        <v>45093</v>
      </c>
      <c r="H368" s="102" t="s">
        <v>496</v>
      </c>
      <c r="I368" s="122">
        <v>45091</v>
      </c>
      <c r="J368" s="103" t="s">
        <v>876</v>
      </c>
      <c r="K368" s="103" t="s">
        <v>1512</v>
      </c>
      <c r="L368" s="103"/>
      <c r="M368" s="105">
        <v>4477000</v>
      </c>
      <c r="N368" s="147">
        <v>0</v>
      </c>
      <c r="O368" s="147">
        <v>0</v>
      </c>
      <c r="P368" s="148">
        <v>0</v>
      </c>
      <c r="Q368" s="147">
        <v>0</v>
      </c>
      <c r="R368" s="149">
        <v>4477000</v>
      </c>
      <c r="S3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8" s="150">
        <f ca="1">+IF(PROVEEDORES[[#This Row],[FECHA DE PAGO]]=0,TODAY()-PROVEEDORES[[#This Row],[FECHA DE FACTURACIÓN]]-PROVEEDORES[[#This Row],[PLAZO Días]],0)</f>
        <v>0</v>
      </c>
      <c r="U368" s="150">
        <f>+VLOOKUP(PROVEEDORES[[#This Row],[PROVEEDOR]],Terceros!$A:$E,4,FALSE)</f>
        <v>0</v>
      </c>
      <c r="V368" s="150">
        <f>+YEAR(PROVEEDORES[[#This Row],[FECHA DE FACTURACIÓN]])</f>
        <v>2023</v>
      </c>
      <c r="W368" s="150">
        <f>+MATCH(PROVEEDORES[[#This Row],[año facturado]],Retenciones!$1:$1,0)</f>
        <v>6</v>
      </c>
      <c r="X368" s="151">
        <f>+VLOOKUP(PROVEEDORES[[#This Row],[ID RETENCION]],Retenciones!$A$1:$O$25,PROVEEDORES[[#This Row],[indicador de columna]],FALSE)</f>
        <v>0</v>
      </c>
      <c r="Y368" s="152">
        <f>+VLOOKUP(PROVEEDORES[[#This Row],[ID RETENCION]],Retenciones!$A$1:$O$25,2,FALSE)</f>
        <v>0</v>
      </c>
      <c r="Z368" s="153" t="b">
        <f>+OR(COUNTIF(PROVEEDORES[[#This Row],[PROVEEDOR]],"*"&amp;'Palabra que no opera y Listas d'!$A$2&amp;"*"))</f>
        <v>0</v>
      </c>
    </row>
    <row r="369" spans="1:26" ht="27.75" customHeight="1" x14ac:dyDescent="0.3">
      <c r="A369" s="144" t="str">
        <f>+IF(PROVEEDORES[[#This Row],[FECHA DE PAGO]]=PROVEEDORES[[#This Row],[FECHA DE FACTURACIÓN]],"DE CONTADO","CRÉDITO")</f>
        <v>CRÉDITO</v>
      </c>
      <c r="B369" s="144" t="str">
        <f>+IF((PROVEEDORES[[#This Row],[FECHA DE PAGO]]-PROVEEDORES[[#This Row],[FECHA DE FACTURACIÓN]])&gt;PROVEEDORES[[#This Row],[PLAZO Días]],"PAGO VENCIDO")</f>
        <v>PAGO VENCIDO</v>
      </c>
      <c r="C369" s="144">
        <f>+VLOOKUP(PROVEEDORES[[#This Row],[PROVEEDOR]],TERCEROS_INFO[#All],2,FALSE)</f>
        <v>0</v>
      </c>
      <c r="D369" s="145">
        <f>+SUMIFS(PROVEEDORES[Total],PROVEEDORES[PROVEEDOR],PROVEEDORES[[#This Row],[PROVEEDOR]],PROVEEDORES[FECHA DE PAGO],"")</f>
        <v>0</v>
      </c>
      <c r="E369" s="146"/>
      <c r="F369" s="144" t="str">
        <f>+VLOOKUP(PROVEEDORES[[#This Row],[PROVEEDOR]],
                       Terceros!$A:$G,
                       5,
                       FALSE)</f>
        <v>1% con base</v>
      </c>
      <c r="G369" s="122">
        <v>45094</v>
      </c>
      <c r="H369" s="102" t="s">
        <v>463</v>
      </c>
      <c r="I369" s="122">
        <v>45085</v>
      </c>
      <c r="J369" s="103" t="s">
        <v>844</v>
      </c>
      <c r="K369" s="103" t="s">
        <v>1512</v>
      </c>
      <c r="L369" s="103"/>
      <c r="M369" s="105">
        <v>400000</v>
      </c>
      <c r="N369" s="147">
        <v>0</v>
      </c>
      <c r="O369" s="147">
        <v>0</v>
      </c>
      <c r="P369" s="148">
        <v>0.01</v>
      </c>
      <c r="Q369" s="147">
        <v>4000</v>
      </c>
      <c r="R369" s="149">
        <v>396000</v>
      </c>
      <c r="S3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9" s="150">
        <f ca="1">+IF(PROVEEDORES[[#This Row],[FECHA DE PAGO]]=0,TODAY()-PROVEEDORES[[#This Row],[FECHA DE FACTURACIÓN]]-PROVEEDORES[[#This Row],[PLAZO Días]],0)</f>
        <v>0</v>
      </c>
      <c r="U369" s="150">
        <f>+VLOOKUP(PROVEEDORES[[#This Row],[PROVEEDOR]],Terceros!$A:$E,4,FALSE)</f>
        <v>0</v>
      </c>
      <c r="V369" s="150">
        <f>+YEAR(PROVEEDORES[[#This Row],[FECHA DE FACTURACIÓN]])</f>
        <v>2023</v>
      </c>
      <c r="W369" s="150">
        <f>+MATCH(PROVEEDORES[[#This Row],[año facturado]],Retenciones!$1:$1,0)</f>
        <v>6</v>
      </c>
      <c r="X369" s="151">
        <f>+VLOOKUP(PROVEEDORES[[#This Row],[ID RETENCION]],Retenciones!$A$1:$O$25,PROVEEDORES[[#This Row],[indicador de columna]],FALSE)</f>
        <v>0</v>
      </c>
      <c r="Y369" s="152">
        <f>+VLOOKUP(PROVEEDORES[[#This Row],[ID RETENCION]],Retenciones!$A$1:$O$25,2,FALSE)</f>
        <v>0</v>
      </c>
      <c r="Z369" s="153" t="b">
        <f>+OR(COUNTIF(PROVEEDORES[[#This Row],[PROVEEDOR]],"*"&amp;'Palabra que no opera y Listas d'!$A$2&amp;"*"))</f>
        <v>0</v>
      </c>
    </row>
    <row r="370" spans="1:26" ht="27.75" customHeight="1" x14ac:dyDescent="0.3">
      <c r="A370" s="144" t="str">
        <f>+IF(PROVEEDORES[[#This Row],[FECHA DE PAGO]]=PROVEEDORES[[#This Row],[FECHA DE FACTURACIÓN]],"DE CONTADO","CRÉDITO")</f>
        <v>CRÉDITO</v>
      </c>
      <c r="B370" s="144" t="str">
        <f>+IF((PROVEEDORES[[#This Row],[FECHA DE PAGO]]-PROVEEDORES[[#This Row],[FECHA DE FACTURACIÓN]])&gt;PROVEEDORES[[#This Row],[PLAZO Días]],"PAGO VENCIDO")</f>
        <v>PAGO VENCIDO</v>
      </c>
      <c r="C370" s="144">
        <f>+VLOOKUP(PROVEEDORES[[#This Row],[PROVEEDOR]],TERCEROS_INFO[#All],2,FALSE)</f>
        <v>0</v>
      </c>
      <c r="D370" s="145">
        <f>+SUMIFS(PROVEEDORES[Total],PROVEEDORES[PROVEEDOR],PROVEEDORES[[#This Row],[PROVEEDOR]],PROVEEDORES[FECHA DE PAGO],"")</f>
        <v>0</v>
      </c>
      <c r="E370" s="146"/>
      <c r="F370" s="144">
        <f>+VLOOKUP(PROVEEDORES[[#This Row],[PROVEEDOR]],
                       Terceros!$A:$G,
                       5,
                       FALSE)</f>
        <v>0</v>
      </c>
      <c r="G370" s="122">
        <v>45094</v>
      </c>
      <c r="H370" s="102" t="s">
        <v>1783</v>
      </c>
      <c r="I370" s="122">
        <v>45085</v>
      </c>
      <c r="J370" s="103">
        <v>422</v>
      </c>
      <c r="K370" s="103" t="s">
        <v>1512</v>
      </c>
      <c r="L370" s="103"/>
      <c r="M370" s="105">
        <v>400000</v>
      </c>
      <c r="N370" s="147">
        <v>0</v>
      </c>
      <c r="O370" s="147">
        <v>0</v>
      </c>
      <c r="P370" s="148">
        <v>0</v>
      </c>
      <c r="Q370" s="147">
        <v>0</v>
      </c>
      <c r="R370" s="149">
        <v>400000</v>
      </c>
      <c r="S3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0" s="150">
        <f ca="1">+IF(PROVEEDORES[[#This Row],[FECHA DE PAGO]]=0,TODAY()-PROVEEDORES[[#This Row],[FECHA DE FACTURACIÓN]]-PROVEEDORES[[#This Row],[PLAZO Días]],0)</f>
        <v>0</v>
      </c>
      <c r="U370" s="150">
        <f>+VLOOKUP(PROVEEDORES[[#This Row],[PROVEEDOR]],Terceros!$A:$E,4,FALSE)</f>
        <v>0</v>
      </c>
      <c r="V370" s="150">
        <f>+YEAR(PROVEEDORES[[#This Row],[FECHA DE FACTURACIÓN]])</f>
        <v>2023</v>
      </c>
      <c r="W370" s="150">
        <f>+MATCH(PROVEEDORES[[#This Row],[año facturado]],Retenciones!$1:$1,0)</f>
        <v>6</v>
      </c>
      <c r="X370" s="151">
        <f>+VLOOKUP(PROVEEDORES[[#This Row],[ID RETENCION]],Retenciones!$A$1:$O$25,PROVEEDORES[[#This Row],[indicador de columna]],FALSE)</f>
        <v>0</v>
      </c>
      <c r="Y370" s="152">
        <f>+VLOOKUP(PROVEEDORES[[#This Row],[ID RETENCION]],Retenciones!$A$1:$O$25,2,FALSE)</f>
        <v>0</v>
      </c>
      <c r="Z370" s="153" t="b">
        <f>+OR(COUNTIF(PROVEEDORES[[#This Row],[PROVEEDOR]],"*"&amp;'Palabra que no opera y Listas d'!$A$2&amp;"*"))</f>
        <v>0</v>
      </c>
    </row>
    <row r="371" spans="1:26" ht="27.75" customHeight="1" x14ac:dyDescent="0.3">
      <c r="A371" s="144" t="str">
        <f>+IF(PROVEEDORES[[#This Row],[FECHA DE PAGO]]=PROVEEDORES[[#This Row],[FECHA DE FACTURACIÓN]],"DE CONTADO","CRÉDITO")</f>
        <v>CRÉDITO</v>
      </c>
      <c r="B371" s="144" t="str">
        <f>+IF((PROVEEDORES[[#This Row],[FECHA DE PAGO]]-PROVEEDORES[[#This Row],[FECHA DE FACTURACIÓN]])&gt;PROVEEDORES[[#This Row],[PLAZO Días]],"PAGO VENCIDO")</f>
        <v>PAGO VENCIDO</v>
      </c>
      <c r="C371" s="144">
        <f>+VLOOKUP(PROVEEDORES[[#This Row],[PROVEEDOR]],TERCEROS_INFO[#All],2,FALSE)</f>
        <v>0</v>
      </c>
      <c r="D371" s="145">
        <f>+SUMIFS(PROVEEDORES[Total],PROVEEDORES[PROVEEDOR],PROVEEDORES[[#This Row],[PROVEEDOR]],PROVEEDORES[FECHA DE PAGO],"")</f>
        <v>0</v>
      </c>
      <c r="E371" s="146"/>
      <c r="F371" s="144">
        <f>+VLOOKUP(PROVEEDORES[[#This Row],[PROVEEDOR]],
                       Terceros!$A:$G,
                       5,
                       FALSE)</f>
        <v>0</v>
      </c>
      <c r="G371" s="122">
        <v>45094</v>
      </c>
      <c r="H371" s="102" t="s">
        <v>845</v>
      </c>
      <c r="I371" s="122">
        <v>45088</v>
      </c>
      <c r="J371" s="103">
        <v>2</v>
      </c>
      <c r="K371" s="103" t="s">
        <v>1512</v>
      </c>
      <c r="L371" s="103"/>
      <c r="M371" s="105">
        <v>424000</v>
      </c>
      <c r="N371" s="147">
        <v>0</v>
      </c>
      <c r="O371" s="147">
        <v>0</v>
      </c>
      <c r="P371" s="148">
        <v>0</v>
      </c>
      <c r="Q371" s="147">
        <v>0</v>
      </c>
      <c r="R371" s="149">
        <v>424000</v>
      </c>
      <c r="S3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1" s="150">
        <f ca="1">+IF(PROVEEDORES[[#This Row],[FECHA DE PAGO]]=0,TODAY()-PROVEEDORES[[#This Row],[FECHA DE FACTURACIÓN]]-PROVEEDORES[[#This Row],[PLAZO Días]],0)</f>
        <v>0</v>
      </c>
      <c r="U371" s="150">
        <f>+VLOOKUP(PROVEEDORES[[#This Row],[PROVEEDOR]],Terceros!$A:$E,4,FALSE)</f>
        <v>0</v>
      </c>
      <c r="V371" s="150">
        <f>+YEAR(PROVEEDORES[[#This Row],[FECHA DE FACTURACIÓN]])</f>
        <v>2023</v>
      </c>
      <c r="W371" s="150">
        <f>+MATCH(PROVEEDORES[[#This Row],[año facturado]],Retenciones!$1:$1,0)</f>
        <v>6</v>
      </c>
      <c r="X371" s="151">
        <f>+VLOOKUP(PROVEEDORES[[#This Row],[ID RETENCION]],Retenciones!$A$1:$O$25,PROVEEDORES[[#This Row],[indicador de columna]],FALSE)</f>
        <v>0</v>
      </c>
      <c r="Y371" s="152">
        <f>+VLOOKUP(PROVEEDORES[[#This Row],[ID RETENCION]],Retenciones!$A$1:$O$25,2,FALSE)</f>
        <v>0</v>
      </c>
      <c r="Z371" s="153" t="b">
        <f>+OR(COUNTIF(PROVEEDORES[[#This Row],[PROVEEDOR]],"*"&amp;'Palabra que no opera y Listas d'!$A$2&amp;"*"))</f>
        <v>0</v>
      </c>
    </row>
    <row r="372" spans="1:26" ht="27.75" customHeight="1" x14ac:dyDescent="0.3">
      <c r="A372" s="144" t="str">
        <f>+IF(PROVEEDORES[[#This Row],[FECHA DE PAGO]]=PROVEEDORES[[#This Row],[FECHA DE FACTURACIÓN]],"DE CONTADO","CRÉDITO")</f>
        <v>DE CONTADO</v>
      </c>
      <c r="B372" s="144" t="b">
        <f>+IF((PROVEEDORES[[#This Row],[FECHA DE PAGO]]-PROVEEDORES[[#This Row],[FECHA DE FACTURACIÓN]])&gt;PROVEEDORES[[#This Row],[PLAZO Días]],"PAGO VENCIDO")</f>
        <v>0</v>
      </c>
      <c r="C372" s="144">
        <f>+VLOOKUP(PROVEEDORES[[#This Row],[PROVEEDOR]],TERCEROS_INFO[#All],2,FALSE)</f>
        <v>0</v>
      </c>
      <c r="D372" s="145">
        <f>+SUMIFS(PROVEEDORES[Total],PROVEEDORES[PROVEEDOR],PROVEEDORES[[#This Row],[PROVEEDOR]],PROVEEDORES[FECHA DE PAGO],"")</f>
        <v>0</v>
      </c>
      <c r="E372" s="146"/>
      <c r="F372" s="144">
        <f>+VLOOKUP(PROVEEDORES[[#This Row],[PROVEEDOR]],
                       Terceros!$A:$G,
                       5,
                       FALSE)</f>
        <v>0</v>
      </c>
      <c r="G372" s="122">
        <v>45094</v>
      </c>
      <c r="H372" s="102" t="s">
        <v>1798</v>
      </c>
      <c r="I372" s="122">
        <v>45094</v>
      </c>
      <c r="J372" s="103" t="s">
        <v>877</v>
      </c>
      <c r="K372" s="103" t="s">
        <v>1512</v>
      </c>
      <c r="L372" s="103"/>
      <c r="M372" s="105">
        <v>820000</v>
      </c>
      <c r="N372" s="147">
        <v>0</v>
      </c>
      <c r="O372" s="147">
        <v>0</v>
      </c>
      <c r="P372" s="148">
        <v>0</v>
      </c>
      <c r="Q372" s="147">
        <v>0</v>
      </c>
      <c r="R372" s="149">
        <v>820000</v>
      </c>
      <c r="S3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2" s="150">
        <f ca="1">+IF(PROVEEDORES[[#This Row],[FECHA DE PAGO]]=0,TODAY()-PROVEEDORES[[#This Row],[FECHA DE FACTURACIÓN]]-PROVEEDORES[[#This Row],[PLAZO Días]],0)</f>
        <v>0</v>
      </c>
      <c r="U372" s="150">
        <f>+VLOOKUP(PROVEEDORES[[#This Row],[PROVEEDOR]],Terceros!$A:$E,4,FALSE)</f>
        <v>0</v>
      </c>
      <c r="V372" s="150">
        <f>+YEAR(PROVEEDORES[[#This Row],[FECHA DE FACTURACIÓN]])</f>
        <v>2023</v>
      </c>
      <c r="W372" s="150">
        <f>+MATCH(PROVEEDORES[[#This Row],[año facturado]],Retenciones!$1:$1,0)</f>
        <v>6</v>
      </c>
      <c r="X372" s="151">
        <f>+VLOOKUP(PROVEEDORES[[#This Row],[ID RETENCION]],Retenciones!$A$1:$O$25,PROVEEDORES[[#This Row],[indicador de columna]],FALSE)</f>
        <v>0</v>
      </c>
      <c r="Y372" s="152">
        <f>+VLOOKUP(PROVEEDORES[[#This Row],[ID RETENCION]],Retenciones!$A$1:$O$25,2,FALSE)</f>
        <v>0</v>
      </c>
      <c r="Z372" s="153" t="b">
        <f>+OR(COUNTIF(PROVEEDORES[[#This Row],[PROVEEDOR]],"*"&amp;'Palabra que no opera y Listas d'!$A$2&amp;"*"))</f>
        <v>0</v>
      </c>
    </row>
    <row r="373" spans="1:26" ht="27.75" customHeight="1" x14ac:dyDescent="0.3">
      <c r="A373" s="144" t="str">
        <f>+IF(PROVEEDORES[[#This Row],[FECHA DE PAGO]]=PROVEEDORES[[#This Row],[FECHA DE FACTURACIÓN]],"DE CONTADO","CRÉDITO")</f>
        <v>CRÉDITO</v>
      </c>
      <c r="B373" s="144" t="str">
        <f>+IF((PROVEEDORES[[#This Row],[FECHA DE PAGO]]-PROVEEDORES[[#This Row],[FECHA DE FACTURACIÓN]])&gt;PROVEEDORES[[#This Row],[PLAZO Días]],"PAGO VENCIDO")</f>
        <v>PAGO VENCIDO</v>
      </c>
      <c r="C373" s="144">
        <f>+VLOOKUP(PROVEEDORES[[#This Row],[PROVEEDOR]],TERCEROS_INFO[#All],2,FALSE)</f>
        <v>0</v>
      </c>
      <c r="D373" s="145">
        <f>+SUMIFS(PROVEEDORES[Total],PROVEEDORES[PROVEEDOR],PROVEEDORES[[#This Row],[PROVEEDOR]],PROVEEDORES[FECHA DE PAGO],"")</f>
        <v>28179645.060000002</v>
      </c>
      <c r="E373" s="146"/>
      <c r="F373" s="144">
        <f>+VLOOKUP(PROVEEDORES[[#This Row],[PROVEEDOR]],
                       Terceros!$A:$G,
                       5,
                       FALSE)</f>
        <v>0</v>
      </c>
      <c r="G373" s="122">
        <v>45097</v>
      </c>
      <c r="H373" s="102" t="s">
        <v>18</v>
      </c>
      <c r="I373" s="122">
        <v>45015</v>
      </c>
      <c r="J373" s="103" t="s">
        <v>715</v>
      </c>
      <c r="K373" s="103" t="s">
        <v>1512</v>
      </c>
      <c r="L373" s="103"/>
      <c r="M373" s="105">
        <v>7884050</v>
      </c>
      <c r="N373" s="147">
        <v>1497969.5</v>
      </c>
      <c r="O373" s="147">
        <v>0</v>
      </c>
      <c r="P373" s="148">
        <v>0</v>
      </c>
      <c r="Q373" s="147">
        <v>0</v>
      </c>
      <c r="R373" s="149">
        <v>9382019.5</v>
      </c>
      <c r="S3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3" s="150">
        <f ca="1">+IF(PROVEEDORES[[#This Row],[FECHA DE PAGO]]=0,TODAY()-PROVEEDORES[[#This Row],[FECHA DE FACTURACIÓN]]-PROVEEDORES[[#This Row],[PLAZO Días]],0)</f>
        <v>0</v>
      </c>
      <c r="U373" s="150">
        <f>+VLOOKUP(PROVEEDORES[[#This Row],[PROVEEDOR]],Terceros!$A:$E,4,FALSE)</f>
        <v>0.19</v>
      </c>
      <c r="V373" s="150">
        <f>+YEAR(PROVEEDORES[[#This Row],[FECHA DE FACTURACIÓN]])</f>
        <v>2023</v>
      </c>
      <c r="W373" s="150">
        <f>+MATCH(PROVEEDORES[[#This Row],[año facturado]],Retenciones!$1:$1,0)</f>
        <v>6</v>
      </c>
      <c r="X373" s="151" t="e">
        <f>+VLOOKUP(PROVEEDORES[[#This Row],[ID RETENCION]],Retenciones!$A$1:$O$25,PROVEEDORES[[#This Row],[indicador de columna]],FALSE)</f>
        <v>#N/A</v>
      </c>
      <c r="Y373" s="152" t="e">
        <f>+VLOOKUP(PROVEEDORES[[#This Row],[ID RETENCION]],Retenciones!$A$1:$O$25,2,FALSE)</f>
        <v>#N/A</v>
      </c>
      <c r="Z373" s="153" t="b">
        <f>+OR(COUNTIF(PROVEEDORES[[#This Row],[PROVEEDOR]],"*"&amp;'Palabra que no opera y Listas d'!$A$2&amp;"*"))</f>
        <v>0</v>
      </c>
    </row>
    <row r="374" spans="1:26" ht="27.75" customHeight="1" x14ac:dyDescent="0.3">
      <c r="A374" s="144" t="str">
        <f>+IF(PROVEEDORES[[#This Row],[FECHA DE PAGO]]=PROVEEDORES[[#This Row],[FECHA DE FACTURACIÓN]],"DE CONTADO","CRÉDITO")</f>
        <v>CRÉDITO</v>
      </c>
      <c r="B374" s="144" t="str">
        <f>+IF((PROVEEDORES[[#This Row],[FECHA DE PAGO]]-PROVEEDORES[[#This Row],[FECHA DE FACTURACIÓN]])&gt;PROVEEDORES[[#This Row],[PLAZO Días]],"PAGO VENCIDO")</f>
        <v>PAGO VENCIDO</v>
      </c>
      <c r="C374" s="144">
        <f>+VLOOKUP(PROVEEDORES[[#This Row],[PROVEEDOR]],TERCEROS_INFO[#All],2,FALSE)</f>
        <v>0</v>
      </c>
      <c r="D374" s="145">
        <f>+SUMIFS(PROVEEDORES[Total],PROVEEDORES[PROVEEDOR],PROVEEDORES[[#This Row],[PROVEEDOR]],PROVEEDORES[FECHA DE PAGO],"")</f>
        <v>28179645.060000002</v>
      </c>
      <c r="E374" s="146"/>
      <c r="F374" s="144">
        <f>+VLOOKUP(PROVEEDORES[[#This Row],[PROVEEDOR]],
                       Terceros!$A:$G,
                       5,
                       FALSE)</f>
        <v>0</v>
      </c>
      <c r="G374" s="122">
        <v>45097</v>
      </c>
      <c r="H374" s="102" t="s">
        <v>18</v>
      </c>
      <c r="I374" s="122">
        <v>45016</v>
      </c>
      <c r="J374" s="103" t="s">
        <v>716</v>
      </c>
      <c r="K374" s="103" t="s">
        <v>1512</v>
      </c>
      <c r="L374" s="103"/>
      <c r="M374" s="105">
        <v>826770</v>
      </c>
      <c r="N374" s="147">
        <v>157086.29999999999</v>
      </c>
      <c r="O374" s="147">
        <v>0</v>
      </c>
      <c r="P374" s="148">
        <v>0</v>
      </c>
      <c r="Q374" s="147">
        <v>0</v>
      </c>
      <c r="R374" s="149">
        <v>983856.3</v>
      </c>
      <c r="S3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4" s="150">
        <f ca="1">+IF(PROVEEDORES[[#This Row],[FECHA DE PAGO]]=0,TODAY()-PROVEEDORES[[#This Row],[FECHA DE FACTURACIÓN]]-PROVEEDORES[[#This Row],[PLAZO Días]],0)</f>
        <v>0</v>
      </c>
      <c r="U374" s="150">
        <f>+VLOOKUP(PROVEEDORES[[#This Row],[PROVEEDOR]],Terceros!$A:$E,4,FALSE)</f>
        <v>0.19</v>
      </c>
      <c r="V374" s="150">
        <f>+YEAR(PROVEEDORES[[#This Row],[FECHA DE FACTURACIÓN]])</f>
        <v>2023</v>
      </c>
      <c r="W374" s="150">
        <f>+MATCH(PROVEEDORES[[#This Row],[año facturado]],Retenciones!$1:$1,0)</f>
        <v>6</v>
      </c>
      <c r="X374" s="151" t="e">
        <f>+VLOOKUP(PROVEEDORES[[#This Row],[ID RETENCION]],Retenciones!$A$1:$O$25,PROVEEDORES[[#This Row],[indicador de columna]],FALSE)</f>
        <v>#N/A</v>
      </c>
      <c r="Y374" s="152" t="e">
        <f>+VLOOKUP(PROVEEDORES[[#This Row],[ID RETENCION]],Retenciones!$A$1:$O$25,2,FALSE)</f>
        <v>#N/A</v>
      </c>
      <c r="Z374" s="153" t="b">
        <f>+OR(COUNTIF(PROVEEDORES[[#This Row],[PROVEEDOR]],"*"&amp;'Palabra que no opera y Listas d'!$A$2&amp;"*"))</f>
        <v>0</v>
      </c>
    </row>
    <row r="375" spans="1:26" ht="27.75" customHeight="1" x14ac:dyDescent="0.3">
      <c r="A375" s="144" t="str">
        <f>+IF(PROVEEDORES[[#This Row],[FECHA DE PAGO]]=PROVEEDORES[[#This Row],[FECHA DE FACTURACIÓN]],"DE CONTADO","CRÉDITO")</f>
        <v>CRÉDITO</v>
      </c>
      <c r="B375" s="144" t="str">
        <f>+IF((PROVEEDORES[[#This Row],[FECHA DE PAGO]]-PROVEEDORES[[#This Row],[FECHA DE FACTURACIÓN]])&gt;PROVEEDORES[[#This Row],[PLAZO Días]],"PAGO VENCIDO")</f>
        <v>PAGO VENCIDO</v>
      </c>
      <c r="C375" s="144">
        <f>+VLOOKUP(PROVEEDORES[[#This Row],[PROVEEDOR]],TERCEROS_INFO[#All],2,FALSE)</f>
        <v>0</v>
      </c>
      <c r="D375" s="145">
        <f>+SUMIFS(PROVEEDORES[Total],PROVEEDORES[PROVEEDOR],PROVEEDORES[[#This Row],[PROVEEDOR]],PROVEEDORES[FECHA DE PAGO],"")</f>
        <v>0</v>
      </c>
      <c r="E375" s="146"/>
      <c r="F375" s="144" t="str">
        <f>+VLOOKUP(PROVEEDORES[[#This Row],[PROVEEDOR]],
                       Terceros!$A:$G,
                       5,
                       FALSE)</f>
        <v>2,5% con base</v>
      </c>
      <c r="G375" s="122">
        <v>45097</v>
      </c>
      <c r="H375" s="102" t="s">
        <v>71</v>
      </c>
      <c r="I375" s="122">
        <v>45026</v>
      </c>
      <c r="J375" s="103" t="s">
        <v>718</v>
      </c>
      <c r="K375" s="103" t="s">
        <v>1512</v>
      </c>
      <c r="L375" s="103"/>
      <c r="M375" s="105">
        <v>1768800</v>
      </c>
      <c r="N375" s="147">
        <v>336072</v>
      </c>
      <c r="O375" s="147">
        <v>0</v>
      </c>
      <c r="P375" s="148">
        <v>2.5000000000000001E-2</v>
      </c>
      <c r="Q375" s="147">
        <v>44220</v>
      </c>
      <c r="R375" s="149">
        <v>2060652</v>
      </c>
      <c r="S3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5" s="150">
        <f ca="1">+IF(PROVEEDORES[[#This Row],[FECHA DE PAGO]]=0,TODAY()-PROVEEDORES[[#This Row],[FECHA DE FACTURACIÓN]]-PROVEEDORES[[#This Row],[PLAZO Días]],0)</f>
        <v>0</v>
      </c>
      <c r="U375" s="150">
        <f>+VLOOKUP(PROVEEDORES[[#This Row],[PROVEEDOR]],Terceros!$A:$E,4,FALSE)</f>
        <v>0.19</v>
      </c>
      <c r="V375" s="150">
        <f>+YEAR(PROVEEDORES[[#This Row],[FECHA DE FACTURACIÓN]])</f>
        <v>2023</v>
      </c>
      <c r="W375" s="150">
        <f>+MATCH(PROVEEDORES[[#This Row],[año facturado]],Retenciones!$1:$1,0)</f>
        <v>6</v>
      </c>
      <c r="X375" s="151" t="e">
        <f>+VLOOKUP(PROVEEDORES[[#This Row],[ID RETENCION]],Retenciones!$A$1:$O$25,PROVEEDORES[[#This Row],[indicador de columna]],FALSE)</f>
        <v>#N/A</v>
      </c>
      <c r="Y375" s="152" t="e">
        <f>+VLOOKUP(PROVEEDORES[[#This Row],[ID RETENCION]],Retenciones!$A$1:$O$25,2,FALSE)</f>
        <v>#N/A</v>
      </c>
      <c r="Z375" s="153" t="b">
        <f>+OR(COUNTIF(PROVEEDORES[[#This Row],[PROVEEDOR]],"*"&amp;'Palabra que no opera y Listas d'!$A$2&amp;"*"))</f>
        <v>0</v>
      </c>
    </row>
    <row r="376" spans="1:26" ht="27.75" customHeight="1" x14ac:dyDescent="0.3">
      <c r="A376" s="144" t="str">
        <f>+IF(PROVEEDORES[[#This Row],[FECHA DE PAGO]]=PROVEEDORES[[#This Row],[FECHA DE FACTURACIÓN]],"DE CONTADO","CRÉDITO")</f>
        <v>CRÉDITO</v>
      </c>
      <c r="B376" s="144" t="str">
        <f>+IF((PROVEEDORES[[#This Row],[FECHA DE PAGO]]-PROVEEDORES[[#This Row],[FECHA DE FACTURACIÓN]])&gt;PROVEEDORES[[#This Row],[PLAZO Días]],"PAGO VENCIDO")</f>
        <v>PAGO VENCIDO</v>
      </c>
      <c r="C376" s="144">
        <f>+VLOOKUP(PROVEEDORES[[#This Row],[PROVEEDOR]],TERCEROS_INFO[#All],2,FALSE)</f>
        <v>0</v>
      </c>
      <c r="D376" s="145">
        <f>+SUMIFS(PROVEEDORES[Total],PROVEEDORES[PROVEEDOR],PROVEEDORES[[#This Row],[PROVEEDOR]],PROVEEDORES[FECHA DE PAGO],"")</f>
        <v>0</v>
      </c>
      <c r="E376" s="146"/>
      <c r="F376" s="144">
        <f>+VLOOKUP(PROVEEDORES[[#This Row],[PROVEEDOR]],
                       Terceros!$A:$G,
                       5,
                       FALSE)</f>
        <v>0</v>
      </c>
      <c r="G376" s="122">
        <v>45097</v>
      </c>
      <c r="H376" s="102" t="s">
        <v>1782</v>
      </c>
      <c r="I376" s="122">
        <v>45026</v>
      </c>
      <c r="J376" s="103" t="s">
        <v>728</v>
      </c>
      <c r="K376" s="103" t="s">
        <v>1512</v>
      </c>
      <c r="L376" s="103"/>
      <c r="M376" s="105">
        <v>861000</v>
      </c>
      <c r="N376" s="147">
        <v>0</v>
      </c>
      <c r="O376" s="147">
        <v>0</v>
      </c>
      <c r="P376" s="148">
        <v>0</v>
      </c>
      <c r="Q376" s="147">
        <v>0</v>
      </c>
      <c r="R376" s="149">
        <v>861000</v>
      </c>
      <c r="S3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6" s="150">
        <f ca="1">+IF(PROVEEDORES[[#This Row],[FECHA DE PAGO]]=0,TODAY()-PROVEEDORES[[#This Row],[FECHA DE FACTURACIÓN]]-PROVEEDORES[[#This Row],[PLAZO Días]],0)</f>
        <v>0</v>
      </c>
      <c r="U376" s="150">
        <f>+VLOOKUP(PROVEEDORES[[#This Row],[PROVEEDOR]],Terceros!$A:$E,4,FALSE)</f>
        <v>0</v>
      </c>
      <c r="V376" s="150">
        <f>+YEAR(PROVEEDORES[[#This Row],[FECHA DE FACTURACIÓN]])</f>
        <v>2023</v>
      </c>
      <c r="W376" s="150">
        <f>+MATCH(PROVEEDORES[[#This Row],[año facturado]],Retenciones!$1:$1,0)</f>
        <v>6</v>
      </c>
      <c r="X376" s="151">
        <f>+VLOOKUP(PROVEEDORES[[#This Row],[ID RETENCION]],Retenciones!$A$1:$O$25,PROVEEDORES[[#This Row],[indicador de columna]],FALSE)</f>
        <v>0</v>
      </c>
      <c r="Y376" s="152">
        <f>+VLOOKUP(PROVEEDORES[[#This Row],[ID RETENCION]],Retenciones!$A$1:$O$25,2,FALSE)</f>
        <v>0</v>
      </c>
      <c r="Z376" s="153" t="b">
        <f>+OR(COUNTIF(PROVEEDORES[[#This Row],[PROVEEDOR]],"*"&amp;'Palabra que no opera y Listas d'!$A$2&amp;"*"))</f>
        <v>0</v>
      </c>
    </row>
    <row r="377" spans="1:26" ht="27.75" customHeight="1" x14ac:dyDescent="0.3">
      <c r="A377" s="144" t="str">
        <f>+IF(PROVEEDORES[[#This Row],[FECHA DE PAGO]]=PROVEEDORES[[#This Row],[FECHA DE FACTURACIÓN]],"DE CONTADO","CRÉDITO")</f>
        <v>CRÉDITO</v>
      </c>
      <c r="B377" s="144" t="str">
        <f>+IF((PROVEEDORES[[#This Row],[FECHA DE PAGO]]-PROVEEDORES[[#This Row],[FECHA DE FACTURACIÓN]])&gt;PROVEEDORES[[#This Row],[PLAZO Días]],"PAGO VENCIDO")</f>
        <v>PAGO VENCIDO</v>
      </c>
      <c r="C377" s="144">
        <f>+VLOOKUP(PROVEEDORES[[#This Row],[PROVEEDOR]],TERCEROS_INFO[#All],2,FALSE)</f>
        <v>0</v>
      </c>
      <c r="D377" s="145">
        <f>+SUMIFS(PROVEEDORES[Total],PROVEEDORES[PROVEEDOR],PROVEEDORES[[#This Row],[PROVEEDOR]],PROVEEDORES[FECHA DE PAGO],"")</f>
        <v>0</v>
      </c>
      <c r="E377" s="146"/>
      <c r="F377" s="144">
        <f>+VLOOKUP(PROVEEDORES[[#This Row],[PROVEEDOR]],
                       Terceros!$A:$G,
                       5,
                       FALSE)</f>
        <v>0</v>
      </c>
      <c r="G377" s="122">
        <v>45097</v>
      </c>
      <c r="H377" s="102" t="s">
        <v>1785</v>
      </c>
      <c r="I377" s="122">
        <v>45030</v>
      </c>
      <c r="J377" s="103">
        <v>4056</v>
      </c>
      <c r="K377" s="103" t="s">
        <v>1512</v>
      </c>
      <c r="L377" s="103"/>
      <c r="M377" s="105">
        <v>3121200</v>
      </c>
      <c r="N377" s="147">
        <v>0</v>
      </c>
      <c r="O377" s="147">
        <v>0</v>
      </c>
      <c r="P377" s="148">
        <v>0</v>
      </c>
      <c r="Q377" s="147">
        <v>0</v>
      </c>
      <c r="R377" s="149">
        <v>3121200</v>
      </c>
      <c r="S3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7" s="150">
        <f ca="1">+IF(PROVEEDORES[[#This Row],[FECHA DE PAGO]]=0,TODAY()-PROVEEDORES[[#This Row],[FECHA DE FACTURACIÓN]]-PROVEEDORES[[#This Row],[PLAZO Días]],0)</f>
        <v>0</v>
      </c>
      <c r="U377" s="150">
        <f>+VLOOKUP(PROVEEDORES[[#This Row],[PROVEEDOR]],Terceros!$A:$E,4,FALSE)</f>
        <v>0</v>
      </c>
      <c r="V377" s="150">
        <f>+YEAR(PROVEEDORES[[#This Row],[FECHA DE FACTURACIÓN]])</f>
        <v>2023</v>
      </c>
      <c r="W377" s="150">
        <f>+MATCH(PROVEEDORES[[#This Row],[año facturado]],Retenciones!$1:$1,0)</f>
        <v>6</v>
      </c>
      <c r="X377" s="151">
        <f>+VLOOKUP(PROVEEDORES[[#This Row],[ID RETENCION]],Retenciones!$A$1:$O$25,PROVEEDORES[[#This Row],[indicador de columna]],FALSE)</f>
        <v>0</v>
      </c>
      <c r="Y377" s="152">
        <f>+VLOOKUP(PROVEEDORES[[#This Row],[ID RETENCION]],Retenciones!$A$1:$O$25,2,FALSE)</f>
        <v>0</v>
      </c>
      <c r="Z377" s="153" t="b">
        <f>+OR(COUNTIF(PROVEEDORES[[#This Row],[PROVEEDOR]],"*"&amp;'Palabra que no opera y Listas d'!$A$2&amp;"*"))</f>
        <v>0</v>
      </c>
    </row>
    <row r="378" spans="1:26" ht="27.75" customHeight="1" x14ac:dyDescent="0.3">
      <c r="A378" s="144" t="str">
        <f>+IF(PROVEEDORES[[#This Row],[FECHA DE PAGO]]=PROVEEDORES[[#This Row],[FECHA DE FACTURACIÓN]],"DE CONTADO","CRÉDITO")</f>
        <v>CRÉDITO</v>
      </c>
      <c r="B378" s="144" t="str">
        <f>+IF((PROVEEDORES[[#This Row],[FECHA DE PAGO]]-PROVEEDORES[[#This Row],[FECHA DE FACTURACIÓN]])&gt;PROVEEDORES[[#This Row],[PLAZO Días]],"PAGO VENCIDO")</f>
        <v>PAGO VENCIDO</v>
      </c>
      <c r="C378" s="144">
        <f>+VLOOKUP(PROVEEDORES[[#This Row],[PROVEEDOR]],TERCEROS_INFO[#All],2,FALSE)</f>
        <v>0</v>
      </c>
      <c r="D378" s="145">
        <f>+SUMIFS(PROVEEDORES[Total],PROVEEDORES[PROVEEDOR],PROVEEDORES[[#This Row],[PROVEEDOR]],PROVEEDORES[FECHA DE PAGO],"")</f>
        <v>0</v>
      </c>
      <c r="E378" s="146"/>
      <c r="F378" s="144" t="str">
        <f>+VLOOKUP(PROVEEDORES[[#This Row],[PROVEEDOR]],
                       Terceros!$A:$G,
                       5,
                       FALSE)</f>
        <v>2,5% con base</v>
      </c>
      <c r="G378" s="122">
        <v>45097</v>
      </c>
      <c r="H378" s="102" t="s">
        <v>1574</v>
      </c>
      <c r="I378" s="122">
        <v>45041</v>
      </c>
      <c r="J378" s="103" t="s">
        <v>760</v>
      </c>
      <c r="K378" s="103" t="s">
        <v>1512</v>
      </c>
      <c r="L378" s="103"/>
      <c r="M378" s="105">
        <v>2657001</v>
      </c>
      <c r="N378" s="147">
        <v>504830.19</v>
      </c>
      <c r="O378" s="147">
        <v>0</v>
      </c>
      <c r="P378" s="148">
        <v>2.5000000000000001E-2</v>
      </c>
      <c r="Q378" s="147">
        <v>66425.025000000009</v>
      </c>
      <c r="R378" s="149">
        <v>3095406.165</v>
      </c>
      <c r="S3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8" s="150">
        <f ca="1">+IF(PROVEEDORES[[#This Row],[FECHA DE PAGO]]=0,TODAY()-PROVEEDORES[[#This Row],[FECHA DE FACTURACIÓN]]-PROVEEDORES[[#This Row],[PLAZO Días]],0)</f>
        <v>0</v>
      </c>
      <c r="U378" s="150">
        <f>+VLOOKUP(PROVEEDORES[[#This Row],[PROVEEDOR]],Terceros!$A:$E,4,FALSE)</f>
        <v>0.19</v>
      </c>
      <c r="V378" s="150">
        <f>+YEAR(PROVEEDORES[[#This Row],[FECHA DE FACTURACIÓN]])</f>
        <v>2023</v>
      </c>
      <c r="W378" s="150">
        <f>+MATCH(PROVEEDORES[[#This Row],[año facturado]],Retenciones!$1:$1,0)</f>
        <v>6</v>
      </c>
      <c r="X378" s="151" t="e">
        <f>+VLOOKUP(PROVEEDORES[[#This Row],[ID RETENCION]],Retenciones!$A$1:$O$25,PROVEEDORES[[#This Row],[indicador de columna]],FALSE)</f>
        <v>#N/A</v>
      </c>
      <c r="Y378" s="152" t="e">
        <f>+VLOOKUP(PROVEEDORES[[#This Row],[ID RETENCION]],Retenciones!$A$1:$O$25,2,FALSE)</f>
        <v>#N/A</v>
      </c>
      <c r="Z378" s="153" t="b">
        <f>+OR(COUNTIF(PROVEEDORES[[#This Row],[PROVEEDOR]],"*"&amp;'Palabra que no opera y Listas d'!$A$2&amp;"*"))</f>
        <v>0</v>
      </c>
    </row>
    <row r="379" spans="1:26" ht="27.75" customHeight="1" x14ac:dyDescent="0.3">
      <c r="A379" s="144" t="str">
        <f>+IF(PROVEEDORES[[#This Row],[FECHA DE PAGO]]=PROVEEDORES[[#This Row],[FECHA DE FACTURACIÓN]],"DE CONTADO","CRÉDITO")</f>
        <v>CRÉDITO</v>
      </c>
      <c r="B379" s="144" t="str">
        <f>+IF((PROVEEDORES[[#This Row],[FECHA DE PAGO]]-PROVEEDORES[[#This Row],[FECHA DE FACTURACIÓN]])&gt;PROVEEDORES[[#This Row],[PLAZO Días]],"PAGO VENCIDO")</f>
        <v>PAGO VENCIDO</v>
      </c>
      <c r="C379" s="144">
        <f>+VLOOKUP(PROVEEDORES[[#This Row],[PROVEEDOR]],TERCEROS_INFO[#All],2,FALSE)</f>
        <v>0</v>
      </c>
      <c r="D379" s="145">
        <f>+SUMIFS(PROVEEDORES[Total],PROVEEDORES[PROVEEDOR],PROVEEDORES[[#This Row],[PROVEEDOR]],PROVEEDORES[FECHA DE PAGO],"")</f>
        <v>0</v>
      </c>
      <c r="E379" s="146"/>
      <c r="F379" s="144" t="str">
        <f>+VLOOKUP(PROVEEDORES[[#This Row],[PROVEEDOR]],
                       Terceros!$A:$G,
                       5,
                       FALSE)</f>
        <v>2,5% con base</v>
      </c>
      <c r="G379" s="122">
        <v>45097</v>
      </c>
      <c r="H379" s="102" t="s">
        <v>71</v>
      </c>
      <c r="I379" s="122">
        <v>45042</v>
      </c>
      <c r="J379" s="103" t="s">
        <v>765</v>
      </c>
      <c r="K379" s="103" t="s">
        <v>1512</v>
      </c>
      <c r="L379" s="103"/>
      <c r="M379" s="105">
        <v>8754400</v>
      </c>
      <c r="N379" s="147">
        <v>1663336</v>
      </c>
      <c r="O379" s="147">
        <v>0</v>
      </c>
      <c r="P379" s="148">
        <v>2.5000000000000001E-2</v>
      </c>
      <c r="Q379" s="147">
        <v>218860</v>
      </c>
      <c r="R379" s="149">
        <v>10198876</v>
      </c>
      <c r="S3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9" s="150">
        <f ca="1">+IF(PROVEEDORES[[#This Row],[FECHA DE PAGO]]=0,TODAY()-PROVEEDORES[[#This Row],[FECHA DE FACTURACIÓN]]-PROVEEDORES[[#This Row],[PLAZO Días]],0)</f>
        <v>0</v>
      </c>
      <c r="U379" s="150">
        <f>+VLOOKUP(PROVEEDORES[[#This Row],[PROVEEDOR]],Terceros!$A:$E,4,FALSE)</f>
        <v>0.19</v>
      </c>
      <c r="V379" s="150">
        <f>+YEAR(PROVEEDORES[[#This Row],[FECHA DE FACTURACIÓN]])</f>
        <v>2023</v>
      </c>
      <c r="W379" s="150">
        <f>+MATCH(PROVEEDORES[[#This Row],[año facturado]],Retenciones!$1:$1,0)</f>
        <v>6</v>
      </c>
      <c r="X379" s="151" t="e">
        <f>+VLOOKUP(PROVEEDORES[[#This Row],[ID RETENCION]],Retenciones!$A$1:$O$25,PROVEEDORES[[#This Row],[indicador de columna]],FALSE)</f>
        <v>#N/A</v>
      </c>
      <c r="Y379" s="152" t="e">
        <f>+VLOOKUP(PROVEEDORES[[#This Row],[ID RETENCION]],Retenciones!$A$1:$O$25,2,FALSE)</f>
        <v>#N/A</v>
      </c>
      <c r="Z379" s="153" t="b">
        <f>+OR(COUNTIF(PROVEEDORES[[#This Row],[PROVEEDOR]],"*"&amp;'Palabra que no opera y Listas d'!$A$2&amp;"*"))</f>
        <v>0</v>
      </c>
    </row>
    <row r="380" spans="1:26" ht="27.75" customHeight="1" x14ac:dyDescent="0.3">
      <c r="A380" s="144" t="str">
        <f>+IF(PROVEEDORES[[#This Row],[FECHA DE PAGO]]=PROVEEDORES[[#This Row],[FECHA DE FACTURACIÓN]],"DE CONTADO","CRÉDITO")</f>
        <v>CRÉDITO</v>
      </c>
      <c r="B380" s="144" t="str">
        <f>+IF((PROVEEDORES[[#This Row],[FECHA DE PAGO]]-PROVEEDORES[[#This Row],[FECHA DE FACTURACIÓN]])&gt;PROVEEDORES[[#This Row],[PLAZO Días]],"PAGO VENCIDO")</f>
        <v>PAGO VENCIDO</v>
      </c>
      <c r="C380" s="144">
        <f>+VLOOKUP(PROVEEDORES[[#This Row],[PROVEEDOR]],TERCEROS_INFO[#All],2,FALSE)</f>
        <v>0</v>
      </c>
      <c r="D380" s="145">
        <f>+SUMIFS(PROVEEDORES[Total],PROVEEDORES[PROVEEDOR],PROVEEDORES[[#This Row],[PROVEEDOR]],PROVEEDORES[FECHA DE PAGO],"")</f>
        <v>8493745.8849999998</v>
      </c>
      <c r="E380" s="146"/>
      <c r="F380" s="144" t="str">
        <f>+VLOOKUP(PROVEEDORES[[#This Row],[PROVEEDOR]],
                       Terceros!$A:$G,
                       5,
                       FALSE)</f>
        <v>2,5% con base</v>
      </c>
      <c r="G380" s="122">
        <v>45097</v>
      </c>
      <c r="H380" s="102" t="s">
        <v>10</v>
      </c>
      <c r="I380" s="122">
        <v>45044</v>
      </c>
      <c r="J380" s="103" t="s">
        <v>767</v>
      </c>
      <c r="K380" s="103" t="s">
        <v>1512</v>
      </c>
      <c r="L380" s="103"/>
      <c r="M380" s="105">
        <v>5732114</v>
      </c>
      <c r="N380" s="147">
        <v>1089101.6599999999</v>
      </c>
      <c r="O380" s="147">
        <v>0</v>
      </c>
      <c r="P380" s="148">
        <v>2.5000000000000001E-2</v>
      </c>
      <c r="Q380" s="147">
        <v>143302.85</v>
      </c>
      <c r="R380" s="149">
        <v>6677912.8100000005</v>
      </c>
      <c r="S3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0" s="150">
        <f ca="1">+IF(PROVEEDORES[[#This Row],[FECHA DE PAGO]]=0,TODAY()-PROVEEDORES[[#This Row],[FECHA DE FACTURACIÓN]]-PROVEEDORES[[#This Row],[PLAZO Días]],0)</f>
        <v>0</v>
      </c>
      <c r="U380" s="150">
        <f>+VLOOKUP(PROVEEDORES[[#This Row],[PROVEEDOR]],Terceros!$A:$E,4,FALSE)</f>
        <v>0.19</v>
      </c>
      <c r="V380" s="150">
        <f>+YEAR(PROVEEDORES[[#This Row],[FECHA DE FACTURACIÓN]])</f>
        <v>2023</v>
      </c>
      <c r="W380" s="150">
        <f>+MATCH(PROVEEDORES[[#This Row],[año facturado]],Retenciones!$1:$1,0)</f>
        <v>6</v>
      </c>
      <c r="X380" s="151" t="e">
        <f>+VLOOKUP(PROVEEDORES[[#This Row],[ID RETENCION]],Retenciones!$A$1:$O$25,PROVEEDORES[[#This Row],[indicador de columna]],FALSE)</f>
        <v>#N/A</v>
      </c>
      <c r="Y380" s="152" t="e">
        <f>+VLOOKUP(PROVEEDORES[[#This Row],[ID RETENCION]],Retenciones!$A$1:$O$25,2,FALSE)</f>
        <v>#N/A</v>
      </c>
      <c r="Z380" s="153" t="b">
        <f>+OR(COUNTIF(PROVEEDORES[[#This Row],[PROVEEDOR]],"*"&amp;'Palabra que no opera y Listas d'!$A$2&amp;"*"))</f>
        <v>0</v>
      </c>
    </row>
    <row r="381" spans="1:26" ht="27.75" customHeight="1" x14ac:dyDescent="0.3">
      <c r="A381" s="144" t="str">
        <f>+IF(PROVEEDORES[[#This Row],[FECHA DE PAGO]]=PROVEEDORES[[#This Row],[FECHA DE FACTURACIÓN]],"DE CONTADO","CRÉDITO")</f>
        <v>CRÉDITO</v>
      </c>
      <c r="B381" s="144" t="str">
        <f>+IF((PROVEEDORES[[#This Row],[FECHA DE PAGO]]-PROVEEDORES[[#This Row],[FECHA DE FACTURACIÓN]])&gt;PROVEEDORES[[#This Row],[PLAZO Días]],"PAGO VENCIDO")</f>
        <v>PAGO VENCIDO</v>
      </c>
      <c r="C381" s="144">
        <f>+VLOOKUP(PROVEEDORES[[#This Row],[PROVEEDOR]],TERCEROS_INFO[#All],2,FALSE)</f>
        <v>0</v>
      </c>
      <c r="D381" s="145">
        <f>+SUMIFS(PROVEEDORES[Total],PROVEEDORES[PROVEEDOR],PROVEEDORES[[#This Row],[PROVEEDOR]],PROVEEDORES[FECHA DE PAGO],"")</f>
        <v>8493745.8849999998</v>
      </c>
      <c r="E381" s="146"/>
      <c r="F381" s="144" t="str">
        <f>+VLOOKUP(PROVEEDORES[[#This Row],[PROVEEDOR]],
                       Terceros!$A:$G,
                       5,
                       FALSE)</f>
        <v>2,5% con base</v>
      </c>
      <c r="G381" s="122">
        <v>45097</v>
      </c>
      <c r="H381" s="102" t="s">
        <v>10</v>
      </c>
      <c r="I381" s="122">
        <v>45055</v>
      </c>
      <c r="J381" s="103" t="s">
        <v>788</v>
      </c>
      <c r="K381" s="103" t="s">
        <v>1512</v>
      </c>
      <c r="L381" s="103"/>
      <c r="M381" s="105">
        <v>854119</v>
      </c>
      <c r="N381" s="147">
        <v>162282.61000000002</v>
      </c>
      <c r="O381" s="147">
        <v>0</v>
      </c>
      <c r="P381" s="148">
        <v>0</v>
      </c>
      <c r="Q381" s="147">
        <v>0</v>
      </c>
      <c r="R381" s="149">
        <v>1016401.61</v>
      </c>
      <c r="S3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1" s="150">
        <f ca="1">+IF(PROVEEDORES[[#This Row],[FECHA DE PAGO]]=0,TODAY()-PROVEEDORES[[#This Row],[FECHA DE FACTURACIÓN]]-PROVEEDORES[[#This Row],[PLAZO Días]],0)</f>
        <v>0</v>
      </c>
      <c r="U381" s="150">
        <f>+VLOOKUP(PROVEEDORES[[#This Row],[PROVEEDOR]],Terceros!$A:$E,4,FALSE)</f>
        <v>0.19</v>
      </c>
      <c r="V381" s="150">
        <f>+YEAR(PROVEEDORES[[#This Row],[FECHA DE FACTURACIÓN]])</f>
        <v>2023</v>
      </c>
      <c r="W381" s="150">
        <f>+MATCH(PROVEEDORES[[#This Row],[año facturado]],Retenciones!$1:$1,0)</f>
        <v>6</v>
      </c>
      <c r="X381" s="151" t="e">
        <f>+VLOOKUP(PROVEEDORES[[#This Row],[ID RETENCION]],Retenciones!$A$1:$O$25,PROVEEDORES[[#This Row],[indicador de columna]],FALSE)</f>
        <v>#N/A</v>
      </c>
      <c r="Y381" s="152" t="e">
        <f>+VLOOKUP(PROVEEDORES[[#This Row],[ID RETENCION]],Retenciones!$A$1:$O$25,2,FALSE)</f>
        <v>#N/A</v>
      </c>
      <c r="Z381" s="153" t="b">
        <f>+OR(COUNTIF(PROVEEDORES[[#This Row],[PROVEEDOR]],"*"&amp;'Palabra que no opera y Listas d'!$A$2&amp;"*"))</f>
        <v>0</v>
      </c>
    </row>
    <row r="382" spans="1:26" ht="27.75" customHeight="1" x14ac:dyDescent="0.3">
      <c r="A382" s="144" t="str">
        <f>+IF(PROVEEDORES[[#This Row],[FECHA DE PAGO]]=PROVEEDORES[[#This Row],[FECHA DE FACTURACIÓN]],"DE CONTADO","CRÉDITO")</f>
        <v>CRÉDITO</v>
      </c>
      <c r="B382" s="144" t="str">
        <f>+IF((PROVEEDORES[[#This Row],[FECHA DE PAGO]]-PROVEEDORES[[#This Row],[FECHA DE FACTURACIÓN]])&gt;PROVEEDORES[[#This Row],[PLAZO Días]],"PAGO VENCIDO")</f>
        <v>PAGO VENCIDO</v>
      </c>
      <c r="C382" s="144">
        <f>+VLOOKUP(PROVEEDORES[[#This Row],[PROVEEDOR]],TERCEROS_INFO[#All],2,FALSE)</f>
        <v>0</v>
      </c>
      <c r="D382" s="145">
        <f>+SUMIFS(PROVEEDORES[Total],PROVEEDORES[PROVEEDOR],PROVEEDORES[[#This Row],[PROVEEDOR]],PROVEEDORES[FECHA DE PAGO],"")</f>
        <v>0</v>
      </c>
      <c r="E382" s="146"/>
      <c r="F382" s="144" t="str">
        <f>+VLOOKUP(PROVEEDORES[[#This Row],[PROVEEDOR]],
                       Terceros!$A:$G,
                       5,
                       FALSE)</f>
        <v>2,5% con base</v>
      </c>
      <c r="G382" s="122">
        <v>45097</v>
      </c>
      <c r="H382" s="102" t="s">
        <v>1574</v>
      </c>
      <c r="I382" s="122">
        <v>45056</v>
      </c>
      <c r="J382" s="103" t="s">
        <v>811</v>
      </c>
      <c r="K382" s="103" t="s">
        <v>1512</v>
      </c>
      <c r="L382" s="103"/>
      <c r="M382" s="105">
        <v>1470000</v>
      </c>
      <c r="N382" s="147">
        <v>279300</v>
      </c>
      <c r="O382" s="147">
        <v>0</v>
      </c>
      <c r="P382" s="148">
        <v>2.5000000000000001E-2</v>
      </c>
      <c r="Q382" s="147">
        <v>36750</v>
      </c>
      <c r="R382" s="149">
        <v>1712550</v>
      </c>
      <c r="S3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2" s="150">
        <f ca="1">+IF(PROVEEDORES[[#This Row],[FECHA DE PAGO]]=0,TODAY()-PROVEEDORES[[#This Row],[FECHA DE FACTURACIÓN]]-PROVEEDORES[[#This Row],[PLAZO Días]],0)</f>
        <v>0</v>
      </c>
      <c r="U382" s="150">
        <f>+VLOOKUP(PROVEEDORES[[#This Row],[PROVEEDOR]],Terceros!$A:$E,4,FALSE)</f>
        <v>0.19</v>
      </c>
      <c r="V382" s="150">
        <f>+YEAR(PROVEEDORES[[#This Row],[FECHA DE FACTURACIÓN]])</f>
        <v>2023</v>
      </c>
      <c r="W382" s="150">
        <f>+MATCH(PROVEEDORES[[#This Row],[año facturado]],Retenciones!$1:$1,0)</f>
        <v>6</v>
      </c>
      <c r="X382" s="151" t="e">
        <f>+VLOOKUP(PROVEEDORES[[#This Row],[ID RETENCION]],Retenciones!$A$1:$O$25,PROVEEDORES[[#This Row],[indicador de columna]],FALSE)</f>
        <v>#N/A</v>
      </c>
      <c r="Y382" s="152" t="e">
        <f>+VLOOKUP(PROVEEDORES[[#This Row],[ID RETENCION]],Retenciones!$A$1:$O$25,2,FALSE)</f>
        <v>#N/A</v>
      </c>
      <c r="Z382" s="153" t="b">
        <f>+OR(COUNTIF(PROVEEDORES[[#This Row],[PROVEEDOR]],"*"&amp;'Palabra que no opera y Listas d'!$A$2&amp;"*"))</f>
        <v>0</v>
      </c>
    </row>
    <row r="383" spans="1:26" ht="27.75" customHeight="1" x14ac:dyDescent="0.3">
      <c r="A383" s="144" t="str">
        <f>+IF(PROVEEDORES[[#This Row],[FECHA DE PAGO]]=PROVEEDORES[[#This Row],[FECHA DE FACTURACIÓN]],"DE CONTADO","CRÉDITO")</f>
        <v>CRÉDITO</v>
      </c>
      <c r="B383" s="144" t="str">
        <f>+IF((PROVEEDORES[[#This Row],[FECHA DE PAGO]]-PROVEEDORES[[#This Row],[FECHA DE FACTURACIÓN]])&gt;PROVEEDORES[[#This Row],[PLAZO Días]],"PAGO VENCIDO")</f>
        <v>PAGO VENCIDO</v>
      </c>
      <c r="C383" s="144">
        <f>+VLOOKUP(PROVEEDORES[[#This Row],[PROVEEDOR]],TERCEROS_INFO[#All],2,FALSE)</f>
        <v>0</v>
      </c>
      <c r="D383" s="145">
        <f>+SUMIFS(PROVEEDORES[Total],PROVEEDORES[PROVEEDOR],PROVEEDORES[[#This Row],[PROVEEDOR]],PROVEEDORES[FECHA DE PAGO],"")</f>
        <v>0</v>
      </c>
      <c r="E383" s="146"/>
      <c r="F383" s="144" t="str">
        <f>+VLOOKUP(PROVEEDORES[[#This Row],[PROVEEDOR]],
                       Terceros!$A:$G,
                       5,
                       FALSE)</f>
        <v>2,5% con base</v>
      </c>
      <c r="G383" s="122">
        <v>45097</v>
      </c>
      <c r="H383" s="102" t="s">
        <v>467</v>
      </c>
      <c r="I383" s="122">
        <v>45061</v>
      </c>
      <c r="J383" s="103" t="s">
        <v>806</v>
      </c>
      <c r="K383" s="103" t="s">
        <v>1512</v>
      </c>
      <c r="L383" s="103"/>
      <c r="M383" s="105">
        <v>4516272</v>
      </c>
      <c r="N383" s="147">
        <v>858091.68</v>
      </c>
      <c r="O383" s="147">
        <v>0</v>
      </c>
      <c r="P383" s="148">
        <v>2.5000000000000001E-2</v>
      </c>
      <c r="Q383" s="147">
        <v>112906.8</v>
      </c>
      <c r="R383" s="149">
        <v>5261456.88</v>
      </c>
      <c r="S3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3" s="150">
        <f ca="1">+IF(PROVEEDORES[[#This Row],[FECHA DE PAGO]]=0,TODAY()-PROVEEDORES[[#This Row],[FECHA DE FACTURACIÓN]]-PROVEEDORES[[#This Row],[PLAZO Días]],0)</f>
        <v>0</v>
      </c>
      <c r="U383" s="150">
        <f>+VLOOKUP(PROVEEDORES[[#This Row],[PROVEEDOR]],Terceros!$A:$E,4,FALSE)</f>
        <v>0.19</v>
      </c>
      <c r="V383" s="150">
        <f>+YEAR(PROVEEDORES[[#This Row],[FECHA DE FACTURACIÓN]])</f>
        <v>2023</v>
      </c>
      <c r="W383" s="150">
        <f>+MATCH(PROVEEDORES[[#This Row],[año facturado]],Retenciones!$1:$1,0)</f>
        <v>6</v>
      </c>
      <c r="X383" s="151" t="e">
        <f>+VLOOKUP(PROVEEDORES[[#This Row],[ID RETENCION]],Retenciones!$A$1:$O$25,PROVEEDORES[[#This Row],[indicador de columna]],FALSE)</f>
        <v>#N/A</v>
      </c>
      <c r="Y383" s="152" t="e">
        <f>+VLOOKUP(PROVEEDORES[[#This Row],[ID RETENCION]],Retenciones!$A$1:$O$25,2,FALSE)</f>
        <v>#N/A</v>
      </c>
      <c r="Z383" s="153" t="b">
        <f>+OR(COUNTIF(PROVEEDORES[[#This Row],[PROVEEDOR]],"*"&amp;'Palabra que no opera y Listas d'!$A$2&amp;"*"))</f>
        <v>0</v>
      </c>
    </row>
    <row r="384" spans="1:26" ht="27.75" customHeight="1" x14ac:dyDescent="0.3">
      <c r="A384" s="144" t="str">
        <f>+IF(PROVEEDORES[[#This Row],[FECHA DE PAGO]]=PROVEEDORES[[#This Row],[FECHA DE FACTURACIÓN]],"DE CONTADO","CRÉDITO")</f>
        <v>CRÉDITO</v>
      </c>
      <c r="B384" s="144" t="str">
        <f>+IF((PROVEEDORES[[#This Row],[FECHA DE PAGO]]-PROVEEDORES[[#This Row],[FECHA DE FACTURACIÓN]])&gt;PROVEEDORES[[#This Row],[PLAZO Días]],"PAGO VENCIDO")</f>
        <v>PAGO VENCIDO</v>
      </c>
      <c r="C384" s="144">
        <f>+VLOOKUP(PROVEEDORES[[#This Row],[PROVEEDOR]],TERCEROS_INFO[#All],2,FALSE)</f>
        <v>0</v>
      </c>
      <c r="D384" s="145">
        <f>+SUMIFS(PROVEEDORES[Total],PROVEEDORES[PROVEEDOR],PROVEEDORES[[#This Row],[PROVEEDOR]],PROVEEDORES[FECHA DE PAGO],"")</f>
        <v>0</v>
      </c>
      <c r="E384" s="146"/>
      <c r="F384" s="144" t="str">
        <f>+VLOOKUP(PROVEEDORES[[#This Row],[PROVEEDOR]],
                       Terceros!$A:$G,
                       5,
                       FALSE)</f>
        <v>2,5% con base</v>
      </c>
      <c r="G384" s="122">
        <v>45097</v>
      </c>
      <c r="H384" s="102" t="s">
        <v>218</v>
      </c>
      <c r="I384" s="122">
        <v>45062</v>
      </c>
      <c r="J384" s="103" t="s">
        <v>805</v>
      </c>
      <c r="K384" s="103" t="s">
        <v>1512</v>
      </c>
      <c r="L384" s="103"/>
      <c r="M384" s="105">
        <v>1750000</v>
      </c>
      <c r="N384" s="147">
        <v>332500</v>
      </c>
      <c r="O384" s="147">
        <v>0</v>
      </c>
      <c r="P384" s="148">
        <v>2.5000000000000001E-2</v>
      </c>
      <c r="Q384" s="147">
        <v>43750</v>
      </c>
      <c r="R384" s="149">
        <v>2038750</v>
      </c>
      <c r="S3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4" s="150">
        <f ca="1">+IF(PROVEEDORES[[#This Row],[FECHA DE PAGO]]=0,TODAY()-PROVEEDORES[[#This Row],[FECHA DE FACTURACIÓN]]-PROVEEDORES[[#This Row],[PLAZO Días]],0)</f>
        <v>0</v>
      </c>
      <c r="U384" s="150">
        <f>+VLOOKUP(PROVEEDORES[[#This Row],[PROVEEDOR]],Terceros!$A:$E,4,FALSE)</f>
        <v>0.19</v>
      </c>
      <c r="V384" s="150">
        <f>+YEAR(PROVEEDORES[[#This Row],[FECHA DE FACTURACIÓN]])</f>
        <v>2023</v>
      </c>
      <c r="W384" s="150">
        <f>+MATCH(PROVEEDORES[[#This Row],[año facturado]],Retenciones!$1:$1,0)</f>
        <v>6</v>
      </c>
      <c r="X384" s="151" t="e">
        <f>+VLOOKUP(PROVEEDORES[[#This Row],[ID RETENCION]],Retenciones!$A$1:$O$25,PROVEEDORES[[#This Row],[indicador de columna]],FALSE)</f>
        <v>#N/A</v>
      </c>
      <c r="Y384" s="152" t="e">
        <f>+VLOOKUP(PROVEEDORES[[#This Row],[ID RETENCION]],Retenciones!$A$1:$O$25,2,FALSE)</f>
        <v>#N/A</v>
      </c>
      <c r="Z384" s="153" t="b">
        <f>+OR(COUNTIF(PROVEEDORES[[#This Row],[PROVEEDOR]],"*"&amp;'Palabra que no opera y Listas d'!$A$2&amp;"*"))</f>
        <v>0</v>
      </c>
    </row>
    <row r="385" spans="1:26" ht="27.75" customHeight="1" x14ac:dyDescent="0.3">
      <c r="A385" s="144" t="str">
        <f>+IF(PROVEEDORES[[#This Row],[FECHA DE PAGO]]=PROVEEDORES[[#This Row],[FECHA DE FACTURACIÓN]],"DE CONTADO","CRÉDITO")</f>
        <v>CRÉDITO</v>
      </c>
      <c r="B385" s="144" t="str">
        <f>+IF((PROVEEDORES[[#This Row],[FECHA DE PAGO]]-PROVEEDORES[[#This Row],[FECHA DE FACTURACIÓN]])&gt;PROVEEDORES[[#This Row],[PLAZO Días]],"PAGO VENCIDO")</f>
        <v>PAGO VENCIDO</v>
      </c>
      <c r="C385" s="144">
        <f>+VLOOKUP(PROVEEDORES[[#This Row],[PROVEEDOR]],TERCEROS_INFO[#All],2,FALSE)</f>
        <v>0</v>
      </c>
      <c r="D385" s="145">
        <f>+SUMIFS(PROVEEDORES[Total],PROVEEDORES[PROVEEDOR],PROVEEDORES[[#This Row],[PROVEEDOR]],PROVEEDORES[FECHA DE PAGO],"")</f>
        <v>0</v>
      </c>
      <c r="E385" s="146"/>
      <c r="F385" s="144" t="str">
        <f>+VLOOKUP(PROVEEDORES[[#This Row],[PROVEEDOR]],
                       Terceros!$A:$G,
                       5,
                       FALSE)</f>
        <v>3,5% sin base</v>
      </c>
      <c r="G385" s="122">
        <v>45097</v>
      </c>
      <c r="H385" s="102" t="s">
        <v>409</v>
      </c>
      <c r="I385" s="122">
        <v>45078</v>
      </c>
      <c r="J385" s="103" t="s">
        <v>842</v>
      </c>
      <c r="K385" s="103" t="s">
        <v>1512</v>
      </c>
      <c r="L385" s="103"/>
      <c r="M385" s="105">
        <v>243611</v>
      </c>
      <c r="N385" s="147">
        <v>46286.090000000004</v>
      </c>
      <c r="O385" s="147">
        <v>0</v>
      </c>
      <c r="P385" s="148">
        <v>3.5000000000000003E-2</v>
      </c>
      <c r="Q385" s="147">
        <v>8526.3850000000002</v>
      </c>
      <c r="R385" s="149">
        <v>281370.70500000002</v>
      </c>
      <c r="S3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5" s="150">
        <f ca="1">+IF(PROVEEDORES[[#This Row],[FECHA DE PAGO]]=0,TODAY()-PROVEEDORES[[#This Row],[FECHA DE FACTURACIÓN]]-PROVEEDORES[[#This Row],[PLAZO Días]],0)</f>
        <v>0</v>
      </c>
      <c r="U385" s="150">
        <f>+VLOOKUP(PROVEEDORES[[#This Row],[PROVEEDOR]],Terceros!$A:$E,4,FALSE)</f>
        <v>0.19</v>
      </c>
      <c r="V385" s="150">
        <f>+YEAR(PROVEEDORES[[#This Row],[FECHA DE FACTURACIÓN]])</f>
        <v>2023</v>
      </c>
      <c r="W385" s="150">
        <f>+MATCH(PROVEEDORES[[#This Row],[año facturado]],Retenciones!$1:$1,0)</f>
        <v>6</v>
      </c>
      <c r="X385" s="151" t="e">
        <f>+VLOOKUP(PROVEEDORES[[#This Row],[ID RETENCION]],Retenciones!$A$1:$O$25,PROVEEDORES[[#This Row],[indicador de columna]],FALSE)</f>
        <v>#N/A</v>
      </c>
      <c r="Y385" s="152" t="e">
        <f>+VLOOKUP(PROVEEDORES[[#This Row],[ID RETENCION]],Retenciones!$A$1:$O$25,2,FALSE)</f>
        <v>#N/A</v>
      </c>
      <c r="Z385" s="153" t="b">
        <f>+OR(COUNTIF(PROVEEDORES[[#This Row],[PROVEEDOR]],"*"&amp;'Palabra que no opera y Listas d'!$A$2&amp;"*"))</f>
        <v>1</v>
      </c>
    </row>
    <row r="386" spans="1:26" ht="27.75" customHeight="1" x14ac:dyDescent="0.3">
      <c r="A386" s="144" t="str">
        <f>+IF(PROVEEDORES[[#This Row],[FECHA DE PAGO]]=PROVEEDORES[[#This Row],[FECHA DE FACTURACIÓN]],"DE CONTADO","CRÉDITO")</f>
        <v>CRÉDITO</v>
      </c>
      <c r="B386" s="144" t="str">
        <f>+IF((PROVEEDORES[[#This Row],[FECHA DE PAGO]]-PROVEEDORES[[#This Row],[FECHA DE FACTURACIÓN]])&gt;PROVEEDORES[[#This Row],[PLAZO Días]],"PAGO VENCIDO")</f>
        <v>PAGO VENCIDO</v>
      </c>
      <c r="C386" s="144">
        <f>+VLOOKUP(PROVEEDORES[[#This Row],[PROVEEDOR]],TERCEROS_INFO[#All],2,FALSE)</f>
        <v>0</v>
      </c>
      <c r="D386" s="145">
        <f>+SUMIFS(PROVEEDORES[Total],PROVEEDORES[PROVEEDOR],PROVEEDORES[[#This Row],[PROVEEDOR]],PROVEEDORES[FECHA DE PAGO],"")</f>
        <v>0</v>
      </c>
      <c r="E386" s="146"/>
      <c r="F386" s="144">
        <f>+VLOOKUP(PROVEEDORES[[#This Row],[PROVEEDOR]],
                       Terceros!$A:$G,
                       5,
                       FALSE)</f>
        <v>0</v>
      </c>
      <c r="G386" s="122">
        <v>45097</v>
      </c>
      <c r="H386" s="102" t="s">
        <v>391</v>
      </c>
      <c r="I386" s="122">
        <v>45078</v>
      </c>
      <c r="J386" s="103" t="s">
        <v>843</v>
      </c>
      <c r="K386" s="103" t="s">
        <v>1512</v>
      </c>
      <c r="L386" s="103"/>
      <c r="M386" s="105">
        <v>318603</v>
      </c>
      <c r="N386" s="147">
        <v>0</v>
      </c>
      <c r="O386" s="147">
        <v>0</v>
      </c>
      <c r="P386" s="148">
        <v>0</v>
      </c>
      <c r="Q386" s="147">
        <v>0</v>
      </c>
      <c r="R386" s="149">
        <v>318603</v>
      </c>
      <c r="S3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6" s="150">
        <f ca="1">+IF(PROVEEDORES[[#This Row],[FECHA DE PAGO]]=0,TODAY()-PROVEEDORES[[#This Row],[FECHA DE FACTURACIÓN]]-PROVEEDORES[[#This Row],[PLAZO Días]],0)</f>
        <v>0</v>
      </c>
      <c r="U386" s="150">
        <f>+VLOOKUP(PROVEEDORES[[#This Row],[PROVEEDOR]],Terceros!$A:$E,4,FALSE)</f>
        <v>0</v>
      </c>
      <c r="V386" s="150">
        <f>+YEAR(PROVEEDORES[[#This Row],[FECHA DE FACTURACIÓN]])</f>
        <v>2023</v>
      </c>
      <c r="W386" s="150">
        <f>+MATCH(PROVEEDORES[[#This Row],[año facturado]],Retenciones!$1:$1,0)</f>
        <v>6</v>
      </c>
      <c r="X386" s="151">
        <f>+VLOOKUP(PROVEEDORES[[#This Row],[ID RETENCION]],Retenciones!$A$1:$O$25,PROVEEDORES[[#This Row],[indicador de columna]],FALSE)</f>
        <v>0</v>
      </c>
      <c r="Y386" s="152">
        <f>+VLOOKUP(PROVEEDORES[[#This Row],[ID RETENCION]],Retenciones!$A$1:$O$25,2,FALSE)</f>
        <v>0</v>
      </c>
      <c r="Z386" s="153" t="b">
        <f>+OR(COUNTIF(PROVEEDORES[[#This Row],[PROVEEDOR]],"*"&amp;'Palabra que no opera y Listas d'!$A$2&amp;"*"))</f>
        <v>1</v>
      </c>
    </row>
    <row r="387" spans="1:26" ht="27.75" customHeight="1" x14ac:dyDescent="0.3">
      <c r="A387" s="144" t="str">
        <f>+IF(PROVEEDORES[[#This Row],[FECHA DE PAGO]]=PROVEEDORES[[#This Row],[FECHA DE FACTURACIÓN]],"DE CONTADO","CRÉDITO")</f>
        <v>CRÉDITO</v>
      </c>
      <c r="B387" s="144" t="str">
        <f>+IF((PROVEEDORES[[#This Row],[FECHA DE PAGO]]-PROVEEDORES[[#This Row],[FECHA DE FACTURACIÓN]])&gt;PROVEEDORES[[#This Row],[PLAZO Días]],"PAGO VENCIDO")</f>
        <v>PAGO VENCIDO</v>
      </c>
      <c r="C387" s="144">
        <f>+VLOOKUP(PROVEEDORES[[#This Row],[PROVEEDOR]],TERCEROS_INFO[#All],2,FALSE)</f>
        <v>0</v>
      </c>
      <c r="D387" s="145">
        <f>+SUMIFS(PROVEEDORES[Total],PROVEEDORES[PROVEEDOR],PROVEEDORES[[#This Row],[PROVEEDOR]],PROVEEDORES[FECHA DE PAGO],"")</f>
        <v>0</v>
      </c>
      <c r="E387" s="146"/>
      <c r="F387" s="144">
        <f>+VLOOKUP(PROVEEDORES[[#This Row],[PROVEEDOR]],
                       Terceros!$A:$G,
                       5,
                       FALSE)</f>
        <v>0</v>
      </c>
      <c r="G387" s="122">
        <v>45097</v>
      </c>
      <c r="H387" s="102" t="s">
        <v>496</v>
      </c>
      <c r="I387" s="122">
        <v>45095</v>
      </c>
      <c r="J387" s="103" t="s">
        <v>875</v>
      </c>
      <c r="K387" s="103" t="s">
        <v>1512</v>
      </c>
      <c r="L387" s="103"/>
      <c r="M387" s="105">
        <v>3718000</v>
      </c>
      <c r="N387" s="147">
        <v>0</v>
      </c>
      <c r="O387" s="147">
        <v>0</v>
      </c>
      <c r="P387" s="148">
        <v>0</v>
      </c>
      <c r="Q387" s="147">
        <v>0</v>
      </c>
      <c r="R387" s="149">
        <v>3718000</v>
      </c>
      <c r="S3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7" s="150">
        <f ca="1">+IF(PROVEEDORES[[#This Row],[FECHA DE PAGO]]=0,TODAY()-PROVEEDORES[[#This Row],[FECHA DE FACTURACIÓN]]-PROVEEDORES[[#This Row],[PLAZO Días]],0)</f>
        <v>0</v>
      </c>
      <c r="U387" s="150">
        <f>+VLOOKUP(PROVEEDORES[[#This Row],[PROVEEDOR]],Terceros!$A:$E,4,FALSE)</f>
        <v>0</v>
      </c>
      <c r="V387" s="150">
        <f>+YEAR(PROVEEDORES[[#This Row],[FECHA DE FACTURACIÓN]])</f>
        <v>2023</v>
      </c>
      <c r="W387" s="150">
        <f>+MATCH(PROVEEDORES[[#This Row],[año facturado]],Retenciones!$1:$1,0)</f>
        <v>6</v>
      </c>
      <c r="X387" s="151">
        <f>+VLOOKUP(PROVEEDORES[[#This Row],[ID RETENCION]],Retenciones!$A$1:$O$25,PROVEEDORES[[#This Row],[indicador de columna]],FALSE)</f>
        <v>0</v>
      </c>
      <c r="Y387" s="152">
        <f>+VLOOKUP(PROVEEDORES[[#This Row],[ID RETENCION]],Retenciones!$A$1:$O$25,2,FALSE)</f>
        <v>0</v>
      </c>
      <c r="Z387" s="153" t="b">
        <f>+OR(COUNTIF(PROVEEDORES[[#This Row],[PROVEEDOR]],"*"&amp;'Palabra que no opera y Listas d'!$A$2&amp;"*"))</f>
        <v>0</v>
      </c>
    </row>
    <row r="388" spans="1:26" ht="27.75" customHeight="1" x14ac:dyDescent="0.3">
      <c r="A388" s="144" t="str">
        <f>+IF(PROVEEDORES[[#This Row],[FECHA DE PAGO]]=PROVEEDORES[[#This Row],[FECHA DE FACTURACIÓN]],"DE CONTADO","CRÉDITO")</f>
        <v>CRÉDITO</v>
      </c>
      <c r="B388" s="144" t="str">
        <f>+IF((PROVEEDORES[[#This Row],[FECHA DE PAGO]]-PROVEEDORES[[#This Row],[FECHA DE FACTURACIÓN]])&gt;PROVEEDORES[[#This Row],[PLAZO Días]],"PAGO VENCIDO")</f>
        <v>PAGO VENCIDO</v>
      </c>
      <c r="C388" s="144">
        <f>+VLOOKUP(PROVEEDORES[[#This Row],[PROVEEDOR]],TERCEROS_INFO[#All],2,FALSE)</f>
        <v>0</v>
      </c>
      <c r="D388" s="145">
        <f>+SUMIFS(PROVEEDORES[Total],PROVEEDORES[PROVEEDOR],PROVEEDORES[[#This Row],[PROVEEDOR]],PROVEEDORES[FECHA DE PAGO],"")</f>
        <v>0</v>
      </c>
      <c r="E388" s="146"/>
      <c r="F388" s="144">
        <f>+VLOOKUP(PROVEEDORES[[#This Row],[PROVEEDOR]],
                       Terceros!$A:$G,
                       5,
                       FALSE)</f>
        <v>0</v>
      </c>
      <c r="G388" s="122">
        <v>45098</v>
      </c>
      <c r="H388" s="102" t="s">
        <v>1782</v>
      </c>
      <c r="I388" s="122">
        <v>45047</v>
      </c>
      <c r="J388" s="103">
        <v>378</v>
      </c>
      <c r="K388" s="103" t="s">
        <v>1512</v>
      </c>
      <c r="L388" s="103"/>
      <c r="M388" s="105">
        <v>1512000</v>
      </c>
      <c r="N388" s="147">
        <v>0</v>
      </c>
      <c r="O388" s="147">
        <v>0</v>
      </c>
      <c r="P388" s="148">
        <v>0</v>
      </c>
      <c r="Q388" s="147">
        <v>0</v>
      </c>
      <c r="R388" s="149">
        <v>1512000</v>
      </c>
      <c r="S3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8" s="150">
        <f ca="1">+IF(PROVEEDORES[[#This Row],[FECHA DE PAGO]]=0,TODAY()-PROVEEDORES[[#This Row],[FECHA DE FACTURACIÓN]]-PROVEEDORES[[#This Row],[PLAZO Días]],0)</f>
        <v>0</v>
      </c>
      <c r="U388" s="150">
        <f>+VLOOKUP(PROVEEDORES[[#This Row],[PROVEEDOR]],Terceros!$A:$E,4,FALSE)</f>
        <v>0</v>
      </c>
      <c r="V388" s="150">
        <f>+YEAR(PROVEEDORES[[#This Row],[FECHA DE FACTURACIÓN]])</f>
        <v>2023</v>
      </c>
      <c r="W388" s="150">
        <f>+MATCH(PROVEEDORES[[#This Row],[año facturado]],Retenciones!$1:$1,0)</f>
        <v>6</v>
      </c>
      <c r="X388" s="151">
        <f>+VLOOKUP(PROVEEDORES[[#This Row],[ID RETENCION]],Retenciones!$A$1:$O$25,PROVEEDORES[[#This Row],[indicador de columna]],FALSE)</f>
        <v>0</v>
      </c>
      <c r="Y388" s="152">
        <f>+VLOOKUP(PROVEEDORES[[#This Row],[ID RETENCION]],Retenciones!$A$1:$O$25,2,FALSE)</f>
        <v>0</v>
      </c>
      <c r="Z388" s="153" t="b">
        <f>+OR(COUNTIF(PROVEEDORES[[#This Row],[PROVEEDOR]],"*"&amp;'Palabra que no opera y Listas d'!$A$2&amp;"*"))</f>
        <v>0</v>
      </c>
    </row>
    <row r="389" spans="1:26" ht="27.75" customHeight="1" x14ac:dyDescent="0.3">
      <c r="A389" s="144" t="str">
        <f>+IF(PROVEEDORES[[#This Row],[FECHA DE PAGO]]=PROVEEDORES[[#This Row],[FECHA DE FACTURACIÓN]],"DE CONTADO","CRÉDITO")</f>
        <v>CRÉDITO</v>
      </c>
      <c r="B389" s="144" t="str">
        <f>+IF((PROVEEDORES[[#This Row],[FECHA DE PAGO]]-PROVEEDORES[[#This Row],[FECHA DE FACTURACIÓN]])&gt;PROVEEDORES[[#This Row],[PLAZO Días]],"PAGO VENCIDO")</f>
        <v>PAGO VENCIDO</v>
      </c>
      <c r="C389" s="144">
        <f>+VLOOKUP(PROVEEDORES[[#This Row],[PROVEEDOR]],TERCEROS_INFO[#All],2,FALSE)</f>
        <v>0</v>
      </c>
      <c r="D389" s="145">
        <f>+SUMIFS(PROVEEDORES[Total],PROVEEDORES[PROVEEDOR],PROVEEDORES[[#This Row],[PROVEEDOR]],PROVEEDORES[FECHA DE PAGO],"")</f>
        <v>0</v>
      </c>
      <c r="E389" s="146"/>
      <c r="F389" s="144">
        <f>+VLOOKUP(PROVEEDORES[[#This Row],[PROVEEDOR]],
                       Terceros!$A:$G,
                       5,
                       FALSE)</f>
        <v>0</v>
      </c>
      <c r="G389" s="122">
        <v>45098</v>
      </c>
      <c r="H389" s="102" t="s">
        <v>1788</v>
      </c>
      <c r="I389" s="122">
        <v>45051</v>
      </c>
      <c r="J389" s="103" t="s">
        <v>790</v>
      </c>
      <c r="K389" s="103" t="s">
        <v>1512</v>
      </c>
      <c r="L389" s="103"/>
      <c r="M389" s="105">
        <v>642250</v>
      </c>
      <c r="N389" s="147">
        <v>0</v>
      </c>
      <c r="O389" s="147">
        <v>0</v>
      </c>
      <c r="P389" s="148">
        <v>0</v>
      </c>
      <c r="Q389" s="147">
        <v>0</v>
      </c>
      <c r="R389" s="149">
        <v>642250</v>
      </c>
      <c r="S3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9" s="150">
        <f ca="1">+IF(PROVEEDORES[[#This Row],[FECHA DE PAGO]]=0,TODAY()-PROVEEDORES[[#This Row],[FECHA DE FACTURACIÓN]]-PROVEEDORES[[#This Row],[PLAZO Días]],0)</f>
        <v>0</v>
      </c>
      <c r="U389" s="150">
        <f>+VLOOKUP(PROVEEDORES[[#This Row],[PROVEEDOR]],Terceros!$A:$E,4,FALSE)</f>
        <v>0</v>
      </c>
      <c r="V389" s="150">
        <f>+YEAR(PROVEEDORES[[#This Row],[FECHA DE FACTURACIÓN]])</f>
        <v>2023</v>
      </c>
      <c r="W389" s="150">
        <f>+MATCH(PROVEEDORES[[#This Row],[año facturado]],Retenciones!$1:$1,0)</f>
        <v>6</v>
      </c>
      <c r="X389" s="151">
        <f>+VLOOKUP(PROVEEDORES[[#This Row],[ID RETENCION]],Retenciones!$A$1:$O$25,PROVEEDORES[[#This Row],[indicador de columna]],FALSE)</f>
        <v>0</v>
      </c>
      <c r="Y389" s="152">
        <f>+VLOOKUP(PROVEEDORES[[#This Row],[ID RETENCION]],Retenciones!$A$1:$O$25,2,FALSE)</f>
        <v>0</v>
      </c>
      <c r="Z389" s="153" t="b">
        <f>+OR(COUNTIF(PROVEEDORES[[#This Row],[PROVEEDOR]],"*"&amp;'Palabra que no opera y Listas d'!$A$2&amp;"*"))</f>
        <v>0</v>
      </c>
    </row>
    <row r="390" spans="1:26" ht="27.75" customHeight="1" x14ac:dyDescent="0.3">
      <c r="A390" s="144" t="str">
        <f>+IF(PROVEEDORES[[#This Row],[FECHA DE PAGO]]=PROVEEDORES[[#This Row],[FECHA DE FACTURACIÓN]],"DE CONTADO","CRÉDITO")</f>
        <v>CRÉDITO</v>
      </c>
      <c r="B390" s="144" t="str">
        <f>+IF((PROVEEDORES[[#This Row],[FECHA DE PAGO]]-PROVEEDORES[[#This Row],[FECHA DE FACTURACIÓN]])&gt;PROVEEDORES[[#This Row],[PLAZO Días]],"PAGO VENCIDO")</f>
        <v>PAGO VENCIDO</v>
      </c>
      <c r="C390" s="144">
        <f>+VLOOKUP(PROVEEDORES[[#This Row],[PROVEEDOR]],TERCEROS_INFO[#All],2,FALSE)</f>
        <v>0</v>
      </c>
      <c r="D390" s="145">
        <f>+SUMIFS(PROVEEDORES[Total],PROVEEDORES[PROVEEDOR],PROVEEDORES[[#This Row],[PROVEEDOR]],PROVEEDORES[FECHA DE PAGO],"")</f>
        <v>0</v>
      </c>
      <c r="E390" s="146"/>
      <c r="F390" s="144">
        <f>+VLOOKUP(PROVEEDORES[[#This Row],[PROVEEDOR]],
                       Terceros!$A:$G,
                       5,
                       FALSE)</f>
        <v>0</v>
      </c>
      <c r="G390" s="122">
        <v>45098</v>
      </c>
      <c r="H390" s="102" t="s">
        <v>507</v>
      </c>
      <c r="I390" s="122">
        <v>45077</v>
      </c>
      <c r="J390" s="103">
        <v>437</v>
      </c>
      <c r="K390" s="103" t="s">
        <v>1512</v>
      </c>
      <c r="L390" s="103"/>
      <c r="M390" s="105">
        <v>621600</v>
      </c>
      <c r="N390" s="147">
        <v>0</v>
      </c>
      <c r="O390" s="147">
        <v>0</v>
      </c>
      <c r="P390" s="148">
        <v>0</v>
      </c>
      <c r="Q390" s="147">
        <v>0</v>
      </c>
      <c r="R390" s="149">
        <v>621600</v>
      </c>
      <c r="S3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0" s="150">
        <f ca="1">+IF(PROVEEDORES[[#This Row],[FECHA DE PAGO]]=0,TODAY()-PROVEEDORES[[#This Row],[FECHA DE FACTURACIÓN]]-PROVEEDORES[[#This Row],[PLAZO Días]],0)</f>
        <v>0</v>
      </c>
      <c r="U390" s="150">
        <f>+VLOOKUP(PROVEEDORES[[#This Row],[PROVEEDOR]],Terceros!$A:$E,4,FALSE)</f>
        <v>0</v>
      </c>
      <c r="V390" s="150">
        <f>+YEAR(PROVEEDORES[[#This Row],[FECHA DE FACTURACIÓN]])</f>
        <v>2023</v>
      </c>
      <c r="W390" s="150">
        <f>+MATCH(PROVEEDORES[[#This Row],[año facturado]],Retenciones!$1:$1,0)</f>
        <v>6</v>
      </c>
      <c r="X390" s="151">
        <f>+VLOOKUP(PROVEEDORES[[#This Row],[ID RETENCION]],Retenciones!$A$1:$O$25,PROVEEDORES[[#This Row],[indicador de columna]],FALSE)</f>
        <v>0</v>
      </c>
      <c r="Y390" s="152">
        <f>+VLOOKUP(PROVEEDORES[[#This Row],[ID RETENCION]],Retenciones!$A$1:$O$25,2,FALSE)</f>
        <v>0</v>
      </c>
      <c r="Z390" s="153" t="b">
        <f>+OR(COUNTIF(PROVEEDORES[[#This Row],[PROVEEDOR]],"*"&amp;'Palabra que no opera y Listas d'!$A$2&amp;"*"))</f>
        <v>0</v>
      </c>
    </row>
    <row r="391" spans="1:26" ht="27.75" customHeight="1" x14ac:dyDescent="0.3">
      <c r="A391" s="144" t="str">
        <f>+IF(PROVEEDORES[[#This Row],[FECHA DE PAGO]]=PROVEEDORES[[#This Row],[FECHA DE FACTURACIÓN]],"DE CONTADO","CRÉDITO")</f>
        <v>CRÉDITO</v>
      </c>
      <c r="B391" s="144" t="str">
        <f>+IF((PROVEEDORES[[#This Row],[FECHA DE PAGO]]-PROVEEDORES[[#This Row],[FECHA DE FACTURACIÓN]])&gt;PROVEEDORES[[#This Row],[PLAZO Días]],"PAGO VENCIDO")</f>
        <v>PAGO VENCIDO</v>
      </c>
      <c r="C391" s="144">
        <f>+VLOOKUP(PROVEEDORES[[#This Row],[PROVEEDOR]],TERCEROS_INFO[#All],2,FALSE)</f>
        <v>0</v>
      </c>
      <c r="D391" s="145">
        <f>+SUMIFS(PROVEEDORES[Total],PROVEEDORES[PROVEEDOR],PROVEEDORES[[#This Row],[PROVEEDOR]],PROVEEDORES[FECHA DE PAGO],"")</f>
        <v>4198834.75</v>
      </c>
      <c r="E391" s="146"/>
      <c r="F391" s="144" t="str">
        <f>+VLOOKUP(PROVEEDORES[[#This Row],[PROVEEDOR]],
                       Terceros!$A:$G,
                       5,
                       FALSE)</f>
        <v>2,5% con base</v>
      </c>
      <c r="G391" s="122">
        <v>45098</v>
      </c>
      <c r="H391" s="102" t="s">
        <v>437</v>
      </c>
      <c r="I391" s="122">
        <v>45077</v>
      </c>
      <c r="J391" s="103">
        <v>2718</v>
      </c>
      <c r="K391" s="103" t="s">
        <v>1512</v>
      </c>
      <c r="L391" s="103"/>
      <c r="M391" s="105">
        <v>612000</v>
      </c>
      <c r="N391" s="147">
        <v>116280</v>
      </c>
      <c r="O391" s="147">
        <v>0</v>
      </c>
      <c r="P391" s="148">
        <v>0</v>
      </c>
      <c r="Q391" s="147">
        <v>0</v>
      </c>
      <c r="R391" s="149">
        <v>728280</v>
      </c>
      <c r="S3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1" s="150">
        <f ca="1">+IF(PROVEEDORES[[#This Row],[FECHA DE PAGO]]=0,TODAY()-PROVEEDORES[[#This Row],[FECHA DE FACTURACIÓN]]-PROVEEDORES[[#This Row],[PLAZO Días]],0)</f>
        <v>0</v>
      </c>
      <c r="U391" s="150">
        <f>+VLOOKUP(PROVEEDORES[[#This Row],[PROVEEDOR]],Terceros!$A:$E,4,FALSE)</f>
        <v>0.19</v>
      </c>
      <c r="V391" s="150">
        <f>+YEAR(PROVEEDORES[[#This Row],[FECHA DE FACTURACIÓN]])</f>
        <v>2023</v>
      </c>
      <c r="W391" s="150">
        <f>+MATCH(PROVEEDORES[[#This Row],[año facturado]],Retenciones!$1:$1,0)</f>
        <v>6</v>
      </c>
      <c r="X391" s="151" t="e">
        <f>+VLOOKUP(PROVEEDORES[[#This Row],[ID RETENCION]],Retenciones!$A$1:$O$25,PROVEEDORES[[#This Row],[indicador de columna]],FALSE)</f>
        <v>#N/A</v>
      </c>
      <c r="Y391" s="152" t="e">
        <f>+VLOOKUP(PROVEEDORES[[#This Row],[ID RETENCION]],Retenciones!$A$1:$O$25,2,FALSE)</f>
        <v>#N/A</v>
      </c>
      <c r="Z391" s="153" t="b">
        <f>+OR(COUNTIF(PROVEEDORES[[#This Row],[PROVEEDOR]],"*"&amp;'Palabra que no opera y Listas d'!$A$2&amp;"*"))</f>
        <v>0</v>
      </c>
    </row>
    <row r="392" spans="1:26" ht="27.75" customHeight="1" x14ac:dyDescent="0.3">
      <c r="A392" s="144" t="str">
        <f>+IF(PROVEEDORES[[#This Row],[FECHA DE PAGO]]=PROVEEDORES[[#This Row],[FECHA DE FACTURACIÓN]],"DE CONTADO","CRÉDITO")</f>
        <v>DE CONTADO</v>
      </c>
      <c r="B392" s="144" t="b">
        <f>+IF((PROVEEDORES[[#This Row],[FECHA DE PAGO]]-PROVEEDORES[[#This Row],[FECHA DE FACTURACIÓN]])&gt;PROVEEDORES[[#This Row],[PLAZO Días]],"PAGO VENCIDO")</f>
        <v>0</v>
      </c>
      <c r="C392" s="144">
        <f>+VLOOKUP(PROVEEDORES[[#This Row],[PROVEEDOR]],TERCEROS_INFO[#All],2,FALSE)</f>
        <v>0</v>
      </c>
      <c r="D392" s="145">
        <f>+SUMIFS(PROVEEDORES[Total],PROVEEDORES[PROVEEDOR],PROVEEDORES[[#This Row],[PROVEEDOR]],PROVEEDORES[FECHA DE PAGO],"")</f>
        <v>0</v>
      </c>
      <c r="E392" s="146"/>
      <c r="F392" s="144">
        <f>+VLOOKUP(PROVEEDORES[[#This Row],[PROVEEDOR]],
                       Terceros!$A:$G,
                       5,
                       FALSE)</f>
        <v>0</v>
      </c>
      <c r="G392" s="122">
        <v>45098</v>
      </c>
      <c r="H392" s="102" t="s">
        <v>490</v>
      </c>
      <c r="I392" s="122">
        <v>45098</v>
      </c>
      <c r="J392" s="103" t="s">
        <v>879</v>
      </c>
      <c r="K392" s="103" t="s">
        <v>1512</v>
      </c>
      <c r="L392" s="103"/>
      <c r="M392" s="105">
        <v>452795</v>
      </c>
      <c r="N392" s="147">
        <v>0</v>
      </c>
      <c r="O392" s="147">
        <v>0</v>
      </c>
      <c r="P392" s="148">
        <v>0</v>
      </c>
      <c r="Q392" s="147">
        <v>0</v>
      </c>
      <c r="R392" s="149">
        <v>452795</v>
      </c>
      <c r="S3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2" s="150">
        <f ca="1">+IF(PROVEEDORES[[#This Row],[FECHA DE PAGO]]=0,TODAY()-PROVEEDORES[[#This Row],[FECHA DE FACTURACIÓN]]-PROVEEDORES[[#This Row],[PLAZO Días]],0)</f>
        <v>0</v>
      </c>
      <c r="U392" s="150">
        <f>+VLOOKUP(PROVEEDORES[[#This Row],[PROVEEDOR]],Terceros!$A:$E,4,FALSE)</f>
        <v>0</v>
      </c>
      <c r="V392" s="150">
        <f>+YEAR(PROVEEDORES[[#This Row],[FECHA DE FACTURACIÓN]])</f>
        <v>2023</v>
      </c>
      <c r="W392" s="150">
        <f>+MATCH(PROVEEDORES[[#This Row],[año facturado]],Retenciones!$1:$1,0)</f>
        <v>6</v>
      </c>
      <c r="X392" s="151">
        <f>+VLOOKUP(PROVEEDORES[[#This Row],[ID RETENCION]],Retenciones!$A$1:$O$25,PROVEEDORES[[#This Row],[indicador de columna]],FALSE)</f>
        <v>0</v>
      </c>
      <c r="Y392" s="152">
        <f>+VLOOKUP(PROVEEDORES[[#This Row],[ID RETENCION]],Retenciones!$A$1:$O$25,2,FALSE)</f>
        <v>0</v>
      </c>
      <c r="Z392" s="153" t="b">
        <f>+OR(COUNTIF(PROVEEDORES[[#This Row],[PROVEEDOR]],"*"&amp;'Palabra que no opera y Listas d'!$A$2&amp;"*"))</f>
        <v>0</v>
      </c>
    </row>
    <row r="393" spans="1:26" ht="27.75" customHeight="1" x14ac:dyDescent="0.3">
      <c r="A393" s="144" t="str">
        <f>+IF(PROVEEDORES[[#This Row],[FECHA DE PAGO]]=PROVEEDORES[[#This Row],[FECHA DE FACTURACIÓN]],"DE CONTADO","CRÉDITO")</f>
        <v>DE CONTADO</v>
      </c>
      <c r="B393" s="144" t="b">
        <f>+IF((PROVEEDORES[[#This Row],[FECHA DE PAGO]]-PROVEEDORES[[#This Row],[FECHA DE FACTURACIÓN]])&gt;PROVEEDORES[[#This Row],[PLAZO Días]],"PAGO VENCIDO")</f>
        <v>0</v>
      </c>
      <c r="C393" s="144">
        <f>+VLOOKUP(PROVEEDORES[[#This Row],[PROVEEDOR]],TERCEROS_INFO[#All],2,FALSE)</f>
        <v>0</v>
      </c>
      <c r="D393" s="145">
        <f>+SUMIFS(PROVEEDORES[Total],PROVEEDORES[PROVEEDOR],PROVEEDORES[[#This Row],[PROVEEDOR]],PROVEEDORES[FECHA DE PAGO],"")</f>
        <v>0</v>
      </c>
      <c r="E393" s="146"/>
      <c r="F393" s="144">
        <f>+VLOOKUP(PROVEEDORES[[#This Row],[PROVEEDOR]],
                       Terceros!$A:$G,
                       5,
                       FALSE)</f>
        <v>0</v>
      </c>
      <c r="G393" s="122">
        <v>45098</v>
      </c>
      <c r="H393" s="102" t="s">
        <v>191</v>
      </c>
      <c r="I393" s="122">
        <v>45098</v>
      </c>
      <c r="J393" s="103" t="s">
        <v>847</v>
      </c>
      <c r="K393" s="103" t="s">
        <v>1512</v>
      </c>
      <c r="L393" s="103"/>
      <c r="M393" s="105">
        <v>1632000</v>
      </c>
      <c r="N393" s="147">
        <v>0</v>
      </c>
      <c r="O393" s="147">
        <v>0</v>
      </c>
      <c r="P393" s="148">
        <v>0</v>
      </c>
      <c r="Q393" s="147">
        <v>0</v>
      </c>
      <c r="R393" s="149">
        <v>1632000</v>
      </c>
      <c r="S3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3" s="150">
        <f ca="1">+IF(PROVEEDORES[[#This Row],[FECHA DE PAGO]]=0,TODAY()-PROVEEDORES[[#This Row],[FECHA DE FACTURACIÓN]]-PROVEEDORES[[#This Row],[PLAZO Días]],0)</f>
        <v>0</v>
      </c>
      <c r="U393" s="150">
        <f>+VLOOKUP(PROVEEDORES[[#This Row],[PROVEEDOR]],Terceros!$A:$E,4,FALSE)</f>
        <v>0</v>
      </c>
      <c r="V393" s="150">
        <f>+YEAR(PROVEEDORES[[#This Row],[FECHA DE FACTURACIÓN]])</f>
        <v>2023</v>
      </c>
      <c r="W393" s="150">
        <f>+MATCH(PROVEEDORES[[#This Row],[año facturado]],Retenciones!$1:$1,0)</f>
        <v>6</v>
      </c>
      <c r="X393" s="151">
        <f>+VLOOKUP(PROVEEDORES[[#This Row],[ID RETENCION]],Retenciones!$A$1:$O$25,PROVEEDORES[[#This Row],[indicador de columna]],FALSE)</f>
        <v>0</v>
      </c>
      <c r="Y393" s="152">
        <f>+VLOOKUP(PROVEEDORES[[#This Row],[ID RETENCION]],Retenciones!$A$1:$O$25,2,FALSE)</f>
        <v>0</v>
      </c>
      <c r="Z393" s="153" t="b">
        <f>+OR(COUNTIF(PROVEEDORES[[#This Row],[PROVEEDOR]],"*"&amp;'Palabra que no opera y Listas d'!$A$2&amp;"*"))</f>
        <v>0</v>
      </c>
    </row>
    <row r="394" spans="1:26" ht="27.75" customHeight="1" x14ac:dyDescent="0.3">
      <c r="A394" s="144" t="str">
        <f>+IF(PROVEEDORES[[#This Row],[FECHA DE PAGO]]=PROVEEDORES[[#This Row],[FECHA DE FACTURACIÓN]],"DE CONTADO","CRÉDITO")</f>
        <v>CRÉDITO</v>
      </c>
      <c r="B394" s="144" t="str">
        <f>+IF((PROVEEDORES[[#This Row],[FECHA DE PAGO]]-PROVEEDORES[[#This Row],[FECHA DE FACTURACIÓN]])&gt;PROVEEDORES[[#This Row],[PLAZO Días]],"PAGO VENCIDO")</f>
        <v>PAGO VENCIDO</v>
      </c>
      <c r="C394" s="144">
        <f>+VLOOKUP(PROVEEDORES[[#This Row],[PROVEEDOR]],TERCEROS_INFO[#All],2,FALSE)</f>
        <v>0</v>
      </c>
      <c r="D394" s="145">
        <f>+SUMIFS(PROVEEDORES[Total],PROVEEDORES[PROVEEDOR],PROVEEDORES[[#This Row],[PROVEEDOR]],PROVEEDORES[FECHA DE PAGO],"")</f>
        <v>17710735.315650001</v>
      </c>
      <c r="E394" s="146"/>
      <c r="F394" s="144" t="str">
        <f>+VLOOKUP(PROVEEDORES[[#This Row],[PROVEEDOR]],
                       Terceros!$A:$G,
                       5,
                       FALSE)</f>
        <v>2,5% con base</v>
      </c>
      <c r="G394" s="122">
        <v>45099</v>
      </c>
      <c r="H394" s="102" t="s">
        <v>11</v>
      </c>
      <c r="I394" s="122">
        <v>45008</v>
      </c>
      <c r="J394" s="103" t="s">
        <v>713</v>
      </c>
      <c r="K394" s="103" t="s">
        <v>1512</v>
      </c>
      <c r="L394" s="103"/>
      <c r="M394" s="105">
        <v>537815</v>
      </c>
      <c r="N394" s="147">
        <v>102184.85</v>
      </c>
      <c r="O394" s="147">
        <v>0</v>
      </c>
      <c r="P394" s="148">
        <v>0</v>
      </c>
      <c r="Q394" s="147">
        <v>0</v>
      </c>
      <c r="R394" s="149">
        <v>639999.85</v>
      </c>
      <c r="S3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4" s="150">
        <f ca="1">+IF(PROVEEDORES[[#This Row],[FECHA DE PAGO]]=0,TODAY()-PROVEEDORES[[#This Row],[FECHA DE FACTURACIÓN]]-PROVEEDORES[[#This Row],[PLAZO Días]],0)</f>
        <v>0</v>
      </c>
      <c r="U394" s="150">
        <f>+VLOOKUP(PROVEEDORES[[#This Row],[PROVEEDOR]],Terceros!$A:$E,4,FALSE)</f>
        <v>0.19</v>
      </c>
      <c r="V394" s="150">
        <f>+YEAR(PROVEEDORES[[#This Row],[FECHA DE FACTURACIÓN]])</f>
        <v>2023</v>
      </c>
      <c r="W394" s="150">
        <f>+MATCH(PROVEEDORES[[#This Row],[año facturado]],Retenciones!$1:$1,0)</f>
        <v>6</v>
      </c>
      <c r="X394" s="151" t="e">
        <f>+VLOOKUP(PROVEEDORES[[#This Row],[ID RETENCION]],Retenciones!$A$1:$O$25,PROVEEDORES[[#This Row],[indicador de columna]],FALSE)</f>
        <v>#N/A</v>
      </c>
      <c r="Y394" s="152" t="e">
        <f>+VLOOKUP(PROVEEDORES[[#This Row],[ID RETENCION]],Retenciones!$A$1:$O$25,2,FALSE)</f>
        <v>#N/A</v>
      </c>
      <c r="Z394" s="153" t="b">
        <f>+OR(COUNTIF(PROVEEDORES[[#This Row],[PROVEEDOR]],"*"&amp;'Palabra que no opera y Listas d'!$A$2&amp;"*"))</f>
        <v>0</v>
      </c>
    </row>
    <row r="395" spans="1:26" ht="27.75" customHeight="1" x14ac:dyDescent="0.3">
      <c r="A395" s="144" t="str">
        <f>+IF(PROVEEDORES[[#This Row],[FECHA DE PAGO]]=PROVEEDORES[[#This Row],[FECHA DE FACTURACIÓN]],"DE CONTADO","CRÉDITO")</f>
        <v>CRÉDITO</v>
      </c>
      <c r="B395" s="144" t="str">
        <f>+IF((PROVEEDORES[[#This Row],[FECHA DE PAGO]]-PROVEEDORES[[#This Row],[FECHA DE FACTURACIÓN]])&gt;PROVEEDORES[[#This Row],[PLAZO Días]],"PAGO VENCIDO")</f>
        <v>PAGO VENCIDO</v>
      </c>
      <c r="C395" s="144">
        <f>+VLOOKUP(PROVEEDORES[[#This Row],[PROVEEDOR]],TERCEROS_INFO[#All],2,FALSE)</f>
        <v>0</v>
      </c>
      <c r="D395" s="145">
        <f>+SUMIFS(PROVEEDORES[Total],PROVEEDORES[PROVEEDOR],PROVEEDORES[[#This Row],[PROVEEDOR]],PROVEEDORES[FECHA DE PAGO],"")</f>
        <v>17710735.315650001</v>
      </c>
      <c r="E395" s="146"/>
      <c r="F395" s="144" t="str">
        <f>+VLOOKUP(PROVEEDORES[[#This Row],[PROVEEDOR]],
                       Terceros!$A:$G,
                       5,
                       FALSE)</f>
        <v>2,5% con base</v>
      </c>
      <c r="G395" s="122">
        <v>45099</v>
      </c>
      <c r="H395" s="102" t="s">
        <v>11</v>
      </c>
      <c r="I395" s="122">
        <v>45030</v>
      </c>
      <c r="J395" s="103" t="s">
        <v>719</v>
      </c>
      <c r="K395" s="103" t="s">
        <v>1512</v>
      </c>
      <c r="L395" s="103"/>
      <c r="M395" s="105">
        <v>10529411</v>
      </c>
      <c r="N395" s="147">
        <v>2000588.09</v>
      </c>
      <c r="O395" s="147">
        <v>0</v>
      </c>
      <c r="P395" s="148">
        <v>2.5000000000000001E-2</v>
      </c>
      <c r="Q395" s="147">
        <v>263235.27500000002</v>
      </c>
      <c r="R395" s="149">
        <v>12266763.814999999</v>
      </c>
      <c r="S3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5" s="150">
        <f ca="1">+IF(PROVEEDORES[[#This Row],[FECHA DE PAGO]]=0,TODAY()-PROVEEDORES[[#This Row],[FECHA DE FACTURACIÓN]]-PROVEEDORES[[#This Row],[PLAZO Días]],0)</f>
        <v>0</v>
      </c>
      <c r="U395" s="150">
        <f>+VLOOKUP(PROVEEDORES[[#This Row],[PROVEEDOR]],Terceros!$A:$E,4,FALSE)</f>
        <v>0.19</v>
      </c>
      <c r="V395" s="150">
        <f>+YEAR(PROVEEDORES[[#This Row],[FECHA DE FACTURACIÓN]])</f>
        <v>2023</v>
      </c>
      <c r="W395" s="150">
        <f>+MATCH(PROVEEDORES[[#This Row],[año facturado]],Retenciones!$1:$1,0)</f>
        <v>6</v>
      </c>
      <c r="X395" s="151" t="e">
        <f>+VLOOKUP(PROVEEDORES[[#This Row],[ID RETENCION]],Retenciones!$A$1:$O$25,PROVEEDORES[[#This Row],[indicador de columna]],FALSE)</f>
        <v>#N/A</v>
      </c>
      <c r="Y395" s="152" t="e">
        <f>+VLOOKUP(PROVEEDORES[[#This Row],[ID RETENCION]],Retenciones!$A$1:$O$25,2,FALSE)</f>
        <v>#N/A</v>
      </c>
      <c r="Z395" s="153" t="b">
        <f>+OR(COUNTIF(PROVEEDORES[[#This Row],[PROVEEDOR]],"*"&amp;'Palabra que no opera y Listas d'!$A$2&amp;"*"))</f>
        <v>0</v>
      </c>
    </row>
    <row r="396" spans="1:26" ht="27.75" customHeight="1" x14ac:dyDescent="0.3">
      <c r="A396" s="144" t="str">
        <f>+IF(PROVEEDORES[[#This Row],[FECHA DE PAGO]]=PROVEEDORES[[#This Row],[FECHA DE FACTURACIÓN]],"DE CONTADO","CRÉDITO")</f>
        <v>CRÉDITO</v>
      </c>
      <c r="B396" s="144" t="str">
        <f>+IF((PROVEEDORES[[#This Row],[FECHA DE PAGO]]-PROVEEDORES[[#This Row],[FECHA DE FACTURACIÓN]])&gt;PROVEEDORES[[#This Row],[PLAZO Días]],"PAGO VENCIDO")</f>
        <v>PAGO VENCIDO</v>
      </c>
      <c r="C396" s="144">
        <f>+VLOOKUP(PROVEEDORES[[#This Row],[PROVEEDOR]],TERCEROS_INFO[#All],2,FALSE)</f>
        <v>0</v>
      </c>
      <c r="D396" s="145">
        <f>+SUMIFS(PROVEEDORES[Total],PROVEEDORES[PROVEEDOR],PROVEEDORES[[#This Row],[PROVEEDOR]],PROVEEDORES[FECHA DE PAGO],"")</f>
        <v>2129306.6150000002</v>
      </c>
      <c r="E396" s="146"/>
      <c r="F396" s="144" t="str">
        <f>+VLOOKUP(PROVEEDORES[[#This Row],[PROVEEDOR]],
                       Terceros!$A:$G,
                       5,
                       FALSE)</f>
        <v>2,5% con base</v>
      </c>
      <c r="G396" s="122">
        <v>45099</v>
      </c>
      <c r="H396" s="102" t="s">
        <v>234</v>
      </c>
      <c r="I396" s="122">
        <v>45055</v>
      </c>
      <c r="J396" s="103" t="s">
        <v>795</v>
      </c>
      <c r="K396" s="103" t="s">
        <v>1512</v>
      </c>
      <c r="L396" s="103"/>
      <c r="M396" s="105">
        <v>709916</v>
      </c>
      <c r="N396" s="147">
        <v>134884.04</v>
      </c>
      <c r="O396" s="147">
        <v>0</v>
      </c>
      <c r="P396" s="148">
        <v>0</v>
      </c>
      <c r="Q396" s="147">
        <v>0</v>
      </c>
      <c r="R396" s="149">
        <v>844800.04</v>
      </c>
      <c r="S3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6" s="150">
        <f ca="1">+IF(PROVEEDORES[[#This Row],[FECHA DE PAGO]]=0,TODAY()-PROVEEDORES[[#This Row],[FECHA DE FACTURACIÓN]]-PROVEEDORES[[#This Row],[PLAZO Días]],0)</f>
        <v>0</v>
      </c>
      <c r="U396" s="150">
        <f>+VLOOKUP(PROVEEDORES[[#This Row],[PROVEEDOR]],Terceros!$A:$E,4,FALSE)</f>
        <v>0.19</v>
      </c>
      <c r="V396" s="150">
        <f>+YEAR(PROVEEDORES[[#This Row],[FECHA DE FACTURACIÓN]])</f>
        <v>2023</v>
      </c>
      <c r="W396" s="150">
        <f>+MATCH(PROVEEDORES[[#This Row],[año facturado]],Retenciones!$1:$1,0)</f>
        <v>6</v>
      </c>
      <c r="X396" s="151" t="e">
        <f>+VLOOKUP(PROVEEDORES[[#This Row],[ID RETENCION]],Retenciones!$A$1:$O$25,PROVEEDORES[[#This Row],[indicador de columna]],FALSE)</f>
        <v>#N/A</v>
      </c>
      <c r="Y396" s="152" t="e">
        <f>+VLOOKUP(PROVEEDORES[[#This Row],[ID RETENCION]],Retenciones!$A$1:$O$25,2,FALSE)</f>
        <v>#N/A</v>
      </c>
      <c r="Z396" s="153" t="b">
        <f>+OR(COUNTIF(PROVEEDORES[[#This Row],[PROVEEDOR]],"*"&amp;'Palabra que no opera y Listas d'!$A$2&amp;"*"))</f>
        <v>0</v>
      </c>
    </row>
    <row r="397" spans="1:26" ht="27.75" customHeight="1" x14ac:dyDescent="0.3">
      <c r="A397" s="144" t="str">
        <f>+IF(PROVEEDORES[[#This Row],[FECHA DE PAGO]]=PROVEEDORES[[#This Row],[FECHA DE FACTURACIÓN]],"DE CONTADO","CRÉDITO")</f>
        <v>CRÉDITO</v>
      </c>
      <c r="B397" s="144" t="str">
        <f>+IF((PROVEEDORES[[#This Row],[FECHA DE PAGO]]-PROVEEDORES[[#This Row],[FECHA DE FACTURACIÓN]])&gt;PROVEEDORES[[#This Row],[PLAZO Días]],"PAGO VENCIDO")</f>
        <v>PAGO VENCIDO</v>
      </c>
      <c r="C397" s="144">
        <f>+VLOOKUP(PROVEEDORES[[#This Row],[PROVEEDOR]],TERCEROS_INFO[#All],2,FALSE)</f>
        <v>0</v>
      </c>
      <c r="D397" s="145">
        <f>+SUMIFS(PROVEEDORES[Total],PROVEEDORES[PROVEEDOR],PROVEEDORES[[#This Row],[PROVEEDOR]],PROVEEDORES[FECHA DE PAGO],"")</f>
        <v>5820290</v>
      </c>
      <c r="E397" s="146"/>
      <c r="F397" s="144">
        <f>+VLOOKUP(PROVEEDORES[[#This Row],[PROVEEDOR]],
                       Terceros!$A:$G,
                       5,
                       FALSE)</f>
        <v>0</v>
      </c>
      <c r="G397" s="122">
        <v>45099</v>
      </c>
      <c r="H397" s="102" t="s">
        <v>461</v>
      </c>
      <c r="I397" s="122">
        <v>45058</v>
      </c>
      <c r="J397" s="103" t="s">
        <v>799</v>
      </c>
      <c r="K397" s="103" t="s">
        <v>1512</v>
      </c>
      <c r="L397" s="103"/>
      <c r="M397" s="105">
        <v>2352000</v>
      </c>
      <c r="N397" s="147">
        <v>446880</v>
      </c>
      <c r="O397" s="147">
        <v>0</v>
      </c>
      <c r="P397" s="148">
        <v>0</v>
      </c>
      <c r="Q397" s="147">
        <v>0</v>
      </c>
      <c r="R397" s="149">
        <v>2798880</v>
      </c>
      <c r="S3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7" s="150">
        <f ca="1">+IF(PROVEEDORES[[#This Row],[FECHA DE PAGO]]=0,TODAY()-PROVEEDORES[[#This Row],[FECHA DE FACTURACIÓN]]-PROVEEDORES[[#This Row],[PLAZO Días]],0)</f>
        <v>0</v>
      </c>
      <c r="U397" s="150">
        <f>+VLOOKUP(PROVEEDORES[[#This Row],[PROVEEDOR]],Terceros!$A:$E,4,FALSE)</f>
        <v>0.19</v>
      </c>
      <c r="V397" s="150">
        <f>+YEAR(PROVEEDORES[[#This Row],[FECHA DE FACTURACIÓN]])</f>
        <v>2023</v>
      </c>
      <c r="W397" s="150">
        <f>+MATCH(PROVEEDORES[[#This Row],[año facturado]],Retenciones!$1:$1,0)</f>
        <v>6</v>
      </c>
      <c r="X397" s="151" t="e">
        <f>+VLOOKUP(PROVEEDORES[[#This Row],[ID RETENCION]],Retenciones!$A$1:$O$25,PROVEEDORES[[#This Row],[indicador de columna]],FALSE)</f>
        <v>#N/A</v>
      </c>
      <c r="Y397" s="152" t="e">
        <f>+VLOOKUP(PROVEEDORES[[#This Row],[ID RETENCION]],Retenciones!$A$1:$O$25,2,FALSE)</f>
        <v>#N/A</v>
      </c>
      <c r="Z397" s="153" t="b">
        <f>+OR(COUNTIF(PROVEEDORES[[#This Row],[PROVEEDOR]],"*"&amp;'Palabra que no opera y Listas d'!$A$2&amp;"*"))</f>
        <v>0</v>
      </c>
    </row>
    <row r="398" spans="1:26" ht="27.75" customHeight="1" x14ac:dyDescent="0.3">
      <c r="A398" s="144" t="str">
        <f>+IF(PROVEEDORES[[#This Row],[FECHA DE PAGO]]=PROVEEDORES[[#This Row],[FECHA DE FACTURACIÓN]],"DE CONTADO","CRÉDITO")</f>
        <v>CRÉDITO</v>
      </c>
      <c r="B398" s="144" t="str">
        <f>+IF((PROVEEDORES[[#This Row],[FECHA DE PAGO]]-PROVEEDORES[[#This Row],[FECHA DE FACTURACIÓN]])&gt;PROVEEDORES[[#This Row],[PLAZO Días]],"PAGO VENCIDO")</f>
        <v>PAGO VENCIDO</v>
      </c>
      <c r="C398" s="144">
        <f>+VLOOKUP(PROVEEDORES[[#This Row],[PROVEEDOR]],TERCEROS_INFO[#All],2,FALSE)</f>
        <v>0</v>
      </c>
      <c r="D398" s="145">
        <f>+SUMIFS(PROVEEDORES[Total],PROVEEDORES[PROVEEDOR],PROVEEDORES[[#This Row],[PROVEEDOR]],PROVEEDORES[FECHA DE PAGO],"")</f>
        <v>0</v>
      </c>
      <c r="E398" s="146"/>
      <c r="F398" s="144" t="str">
        <f>+VLOOKUP(PROVEEDORES[[#This Row],[PROVEEDOR]],
                       Terceros!$A:$G,
                       5,
                       FALSE)</f>
        <v>3,5% sin base</v>
      </c>
      <c r="G398" s="122">
        <v>45099</v>
      </c>
      <c r="H398" s="102" t="s">
        <v>400</v>
      </c>
      <c r="I398" s="122">
        <v>45097</v>
      </c>
      <c r="J398" s="103">
        <v>254</v>
      </c>
      <c r="K398" s="103" t="s">
        <v>1512</v>
      </c>
      <c r="L398" s="103"/>
      <c r="M398" s="105">
        <v>540000</v>
      </c>
      <c r="N398" s="147">
        <v>0</v>
      </c>
      <c r="O398" s="147">
        <v>0</v>
      </c>
      <c r="P398" s="148">
        <v>3.5000000000000003E-2</v>
      </c>
      <c r="Q398" s="147">
        <v>18900</v>
      </c>
      <c r="R398" s="149">
        <v>521100</v>
      </c>
      <c r="S3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8" s="150">
        <f ca="1">+IF(PROVEEDORES[[#This Row],[FECHA DE PAGO]]=0,TODAY()-PROVEEDORES[[#This Row],[FECHA DE FACTURACIÓN]]-PROVEEDORES[[#This Row],[PLAZO Días]],0)</f>
        <v>0</v>
      </c>
      <c r="U398" s="150">
        <f>+VLOOKUP(PROVEEDORES[[#This Row],[PROVEEDOR]],Terceros!$A:$E,4,FALSE)</f>
        <v>0</v>
      </c>
      <c r="V398" s="150">
        <f>+YEAR(PROVEEDORES[[#This Row],[FECHA DE FACTURACIÓN]])</f>
        <v>2023</v>
      </c>
      <c r="W398" s="150">
        <f>+MATCH(PROVEEDORES[[#This Row],[año facturado]],Retenciones!$1:$1,0)</f>
        <v>6</v>
      </c>
      <c r="X398" s="151">
        <f>+VLOOKUP(PROVEEDORES[[#This Row],[ID RETENCION]],Retenciones!$A$1:$O$25,PROVEEDORES[[#This Row],[indicador de columna]],FALSE)</f>
        <v>0</v>
      </c>
      <c r="Y398" s="152">
        <f>+VLOOKUP(PROVEEDORES[[#This Row],[ID RETENCION]],Retenciones!$A$1:$O$25,2,FALSE)</f>
        <v>0</v>
      </c>
      <c r="Z398" s="153" t="b">
        <f>+OR(COUNTIF(PROVEEDORES[[#This Row],[PROVEEDOR]],"*"&amp;'Palabra que no opera y Listas d'!$A$2&amp;"*"))</f>
        <v>1</v>
      </c>
    </row>
    <row r="399" spans="1:26" ht="27.75" customHeight="1" x14ac:dyDescent="0.3">
      <c r="A399" s="144" t="str">
        <f>+IF(PROVEEDORES[[#This Row],[FECHA DE PAGO]]=PROVEEDORES[[#This Row],[FECHA DE FACTURACIÓN]],"DE CONTADO","CRÉDITO")</f>
        <v>CRÉDITO</v>
      </c>
      <c r="B399" s="144" t="str">
        <f>+IF((PROVEEDORES[[#This Row],[FECHA DE PAGO]]-PROVEEDORES[[#This Row],[FECHA DE FACTURACIÓN]])&gt;PROVEEDORES[[#This Row],[PLAZO Días]],"PAGO VENCIDO")</f>
        <v>PAGO VENCIDO</v>
      </c>
      <c r="C399" s="144">
        <f>+VLOOKUP(PROVEEDORES[[#This Row],[PROVEEDOR]],TERCEROS_INFO[#All],2,FALSE)</f>
        <v>0</v>
      </c>
      <c r="D399" s="145">
        <f>+SUMIFS(PROVEEDORES[Total],PROVEEDORES[PROVEEDOR],PROVEEDORES[[#This Row],[PROVEEDOR]],PROVEEDORES[FECHA DE PAGO],"")</f>
        <v>0</v>
      </c>
      <c r="E399" s="146"/>
      <c r="F399" s="144" t="str">
        <f>+VLOOKUP(PROVEEDORES[[#This Row],[PROVEEDOR]],
                       Terceros!$A:$G,
                       5,
                       FALSE)</f>
        <v>2,5% con base</v>
      </c>
      <c r="G399" s="122">
        <v>45100</v>
      </c>
      <c r="H399" s="102" t="s">
        <v>562</v>
      </c>
      <c r="I399" s="122">
        <v>44965</v>
      </c>
      <c r="J399" s="103" t="s">
        <v>851</v>
      </c>
      <c r="K399" s="103" t="s">
        <v>1512</v>
      </c>
      <c r="L399" s="103"/>
      <c r="M399" s="105">
        <v>5700</v>
      </c>
      <c r="N399" s="147">
        <v>1083</v>
      </c>
      <c r="O399" s="147">
        <v>0</v>
      </c>
      <c r="P399" s="148">
        <v>0</v>
      </c>
      <c r="Q399" s="147">
        <v>0</v>
      </c>
      <c r="R399" s="149">
        <v>6783</v>
      </c>
      <c r="S3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9" s="150">
        <f ca="1">+IF(PROVEEDORES[[#This Row],[FECHA DE PAGO]]=0,TODAY()-PROVEEDORES[[#This Row],[FECHA DE FACTURACIÓN]]-PROVEEDORES[[#This Row],[PLAZO Días]],0)</f>
        <v>0</v>
      </c>
      <c r="U399" s="150">
        <f>+VLOOKUP(PROVEEDORES[[#This Row],[PROVEEDOR]],Terceros!$A:$E,4,FALSE)</f>
        <v>0.19</v>
      </c>
      <c r="V399" s="150">
        <f>+YEAR(PROVEEDORES[[#This Row],[FECHA DE FACTURACIÓN]])</f>
        <v>2023</v>
      </c>
      <c r="W399" s="150">
        <f>+MATCH(PROVEEDORES[[#This Row],[año facturado]],Retenciones!$1:$1,0)</f>
        <v>6</v>
      </c>
      <c r="X399" s="151" t="e">
        <f>+VLOOKUP(PROVEEDORES[[#This Row],[ID RETENCION]],Retenciones!$A$1:$O$25,PROVEEDORES[[#This Row],[indicador de columna]],FALSE)</f>
        <v>#N/A</v>
      </c>
      <c r="Y399" s="152" t="e">
        <f>+VLOOKUP(PROVEEDORES[[#This Row],[ID RETENCION]],Retenciones!$A$1:$O$25,2,FALSE)</f>
        <v>#N/A</v>
      </c>
      <c r="Z399" s="153" t="b">
        <f>+OR(COUNTIF(PROVEEDORES[[#This Row],[PROVEEDOR]],"*"&amp;'Palabra que no opera y Listas d'!$A$2&amp;"*"))</f>
        <v>1</v>
      </c>
    </row>
    <row r="400" spans="1:26" ht="27.75" customHeight="1" x14ac:dyDescent="0.3">
      <c r="A400" s="144" t="str">
        <f>+IF(PROVEEDORES[[#This Row],[FECHA DE PAGO]]=PROVEEDORES[[#This Row],[FECHA DE FACTURACIÓN]],"DE CONTADO","CRÉDITO")</f>
        <v>CRÉDITO</v>
      </c>
      <c r="B400" s="144" t="str">
        <f>+IF((PROVEEDORES[[#This Row],[FECHA DE PAGO]]-PROVEEDORES[[#This Row],[FECHA DE FACTURACIÓN]])&gt;PROVEEDORES[[#This Row],[PLAZO Días]],"PAGO VENCIDO")</f>
        <v>PAGO VENCIDO</v>
      </c>
      <c r="C400" s="144">
        <f>+VLOOKUP(PROVEEDORES[[#This Row],[PROVEEDOR]],TERCEROS_INFO[#All],2,FALSE)</f>
        <v>0</v>
      </c>
      <c r="D400" s="145">
        <f>+SUMIFS(PROVEEDORES[Total],PROVEEDORES[PROVEEDOR],PROVEEDORES[[#This Row],[PROVEEDOR]],PROVEEDORES[FECHA DE PAGO],"")</f>
        <v>0</v>
      </c>
      <c r="E400" s="146"/>
      <c r="F400" s="144">
        <f>+VLOOKUP(PROVEEDORES[[#This Row],[PROVEEDOR]],
                       Terceros!$A:$G,
                       5,
                       FALSE)</f>
        <v>0</v>
      </c>
      <c r="G400" s="122">
        <v>45100</v>
      </c>
      <c r="H400" s="102" t="s">
        <v>397</v>
      </c>
      <c r="I400" s="122">
        <v>45078</v>
      </c>
      <c r="J400" s="103" t="s">
        <v>852</v>
      </c>
      <c r="K400" s="103" t="s">
        <v>1512</v>
      </c>
      <c r="L400" s="103"/>
      <c r="M400" s="105">
        <v>934363</v>
      </c>
      <c r="N400" s="147">
        <v>0</v>
      </c>
      <c r="O400" s="147">
        <v>0</v>
      </c>
      <c r="P400" s="148">
        <v>0</v>
      </c>
      <c r="Q400" s="147">
        <v>0</v>
      </c>
      <c r="R400" s="149">
        <v>934363</v>
      </c>
      <c r="S4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0" s="150">
        <f ca="1">+IF(PROVEEDORES[[#This Row],[FECHA DE PAGO]]=0,TODAY()-PROVEEDORES[[#This Row],[FECHA DE FACTURACIÓN]]-PROVEEDORES[[#This Row],[PLAZO Días]],0)</f>
        <v>0</v>
      </c>
      <c r="U400" s="150">
        <f>+VLOOKUP(PROVEEDORES[[#This Row],[PROVEEDOR]],Terceros!$A:$E,4,FALSE)</f>
        <v>0</v>
      </c>
      <c r="V400" s="150">
        <f>+YEAR(PROVEEDORES[[#This Row],[FECHA DE FACTURACIÓN]])</f>
        <v>2023</v>
      </c>
      <c r="W400" s="150">
        <f>+MATCH(PROVEEDORES[[#This Row],[año facturado]],Retenciones!$1:$1,0)</f>
        <v>6</v>
      </c>
      <c r="X400" s="151">
        <f>+VLOOKUP(PROVEEDORES[[#This Row],[ID RETENCION]],Retenciones!$A$1:$O$25,PROVEEDORES[[#This Row],[indicador de columna]],FALSE)</f>
        <v>0</v>
      </c>
      <c r="Y400" s="152">
        <f>+VLOOKUP(PROVEEDORES[[#This Row],[ID RETENCION]],Retenciones!$A$1:$O$25,2,FALSE)</f>
        <v>0</v>
      </c>
      <c r="Z400" s="153" t="b">
        <f>+OR(COUNTIF(PROVEEDORES[[#This Row],[PROVEEDOR]],"*"&amp;'Palabra que no opera y Listas d'!$A$2&amp;"*"))</f>
        <v>1</v>
      </c>
    </row>
    <row r="401" spans="1:26" ht="27.75" customHeight="1" x14ac:dyDescent="0.3">
      <c r="A401" s="144" t="str">
        <f>+IF(PROVEEDORES[[#This Row],[FECHA DE PAGO]]=PROVEEDORES[[#This Row],[FECHA DE FACTURACIÓN]],"DE CONTADO","CRÉDITO")</f>
        <v>CRÉDITO</v>
      </c>
      <c r="B401" s="144" t="str">
        <f>+IF((PROVEEDORES[[#This Row],[FECHA DE PAGO]]-PROVEEDORES[[#This Row],[FECHA DE FACTURACIÓN]])&gt;PROVEEDORES[[#This Row],[PLAZO Días]],"PAGO VENCIDO")</f>
        <v>PAGO VENCIDO</v>
      </c>
      <c r="C401" s="144">
        <f>+VLOOKUP(PROVEEDORES[[#This Row],[PROVEEDOR]],TERCEROS_INFO[#All],2,FALSE)</f>
        <v>0</v>
      </c>
      <c r="D401" s="145">
        <f>+SUMIFS(PROVEEDORES[Total],PROVEEDORES[PROVEEDOR],PROVEEDORES[[#This Row],[PROVEEDOR]],PROVEEDORES[FECHA DE PAGO],"")</f>
        <v>0</v>
      </c>
      <c r="E401" s="146"/>
      <c r="F401" s="144">
        <f>+VLOOKUP(PROVEEDORES[[#This Row],[PROVEEDOR]],
                       Terceros!$A:$G,
                       5,
                       FALSE)</f>
        <v>0</v>
      </c>
      <c r="G401" s="122">
        <v>45100</v>
      </c>
      <c r="H401" s="102" t="s">
        <v>397</v>
      </c>
      <c r="I401" s="122">
        <v>45078</v>
      </c>
      <c r="J401" s="103" t="s">
        <v>853</v>
      </c>
      <c r="K401" s="103" t="s">
        <v>1512</v>
      </c>
      <c r="L401" s="103"/>
      <c r="M401" s="105">
        <v>914023</v>
      </c>
      <c r="N401" s="147">
        <v>0</v>
      </c>
      <c r="O401" s="147">
        <v>0</v>
      </c>
      <c r="P401" s="148">
        <v>0</v>
      </c>
      <c r="Q401" s="147">
        <v>0</v>
      </c>
      <c r="R401" s="149">
        <v>914023</v>
      </c>
      <c r="S4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1" s="150">
        <f ca="1">+IF(PROVEEDORES[[#This Row],[FECHA DE PAGO]]=0,TODAY()-PROVEEDORES[[#This Row],[FECHA DE FACTURACIÓN]]-PROVEEDORES[[#This Row],[PLAZO Días]],0)</f>
        <v>0</v>
      </c>
      <c r="U401" s="150">
        <f>+VLOOKUP(PROVEEDORES[[#This Row],[PROVEEDOR]],Terceros!$A:$E,4,FALSE)</f>
        <v>0</v>
      </c>
      <c r="V401" s="150">
        <f>+YEAR(PROVEEDORES[[#This Row],[FECHA DE FACTURACIÓN]])</f>
        <v>2023</v>
      </c>
      <c r="W401" s="150">
        <f>+MATCH(PROVEEDORES[[#This Row],[año facturado]],Retenciones!$1:$1,0)</f>
        <v>6</v>
      </c>
      <c r="X401" s="151">
        <f>+VLOOKUP(PROVEEDORES[[#This Row],[ID RETENCION]],Retenciones!$A$1:$O$25,PROVEEDORES[[#This Row],[indicador de columna]],FALSE)</f>
        <v>0</v>
      </c>
      <c r="Y401" s="152">
        <f>+VLOOKUP(PROVEEDORES[[#This Row],[ID RETENCION]],Retenciones!$A$1:$O$25,2,FALSE)</f>
        <v>0</v>
      </c>
      <c r="Z401" s="153" t="b">
        <f>+OR(COUNTIF(PROVEEDORES[[#This Row],[PROVEEDOR]],"*"&amp;'Palabra que no opera y Listas d'!$A$2&amp;"*"))</f>
        <v>1</v>
      </c>
    </row>
    <row r="402" spans="1:26" ht="27.75" customHeight="1" x14ac:dyDescent="0.3">
      <c r="A402" s="144" t="str">
        <f>+IF(PROVEEDORES[[#This Row],[FECHA DE PAGO]]=PROVEEDORES[[#This Row],[FECHA DE FACTURACIÓN]],"DE CONTADO","CRÉDITO")</f>
        <v>CRÉDITO</v>
      </c>
      <c r="B402" s="144" t="str">
        <f>+IF((PROVEEDORES[[#This Row],[FECHA DE PAGO]]-PROVEEDORES[[#This Row],[FECHA DE FACTURACIÓN]])&gt;PROVEEDORES[[#This Row],[PLAZO Días]],"PAGO VENCIDO")</f>
        <v>PAGO VENCIDO</v>
      </c>
      <c r="C402" s="144">
        <f>+VLOOKUP(PROVEEDORES[[#This Row],[PROVEEDOR]],TERCEROS_INFO[#All],2,FALSE)</f>
        <v>0</v>
      </c>
      <c r="D402" s="145">
        <f>+SUMIFS(PROVEEDORES[Total],PROVEEDORES[PROVEEDOR],PROVEEDORES[[#This Row],[PROVEEDOR]],PROVEEDORES[FECHA DE PAGO],"")</f>
        <v>0</v>
      </c>
      <c r="E402" s="146"/>
      <c r="F402" s="144" t="str">
        <f>+VLOOKUP(PROVEEDORES[[#This Row],[PROVEEDOR]],
                       Terceros!$A:$G,
                       5,
                       FALSE)</f>
        <v>3,5% sin base</v>
      </c>
      <c r="G402" s="122">
        <v>45100</v>
      </c>
      <c r="H402" s="102" t="s">
        <v>395</v>
      </c>
      <c r="I402" s="122">
        <v>45087</v>
      </c>
      <c r="J402" s="103" t="s">
        <v>849</v>
      </c>
      <c r="K402" s="103" t="s">
        <v>1512</v>
      </c>
      <c r="L402" s="103"/>
      <c r="M402" s="105">
        <v>3456200</v>
      </c>
      <c r="N402" s="147">
        <v>0</v>
      </c>
      <c r="O402" s="147">
        <v>0</v>
      </c>
      <c r="P402" s="148">
        <v>3.5000000000000003E-2</v>
      </c>
      <c r="Q402" s="147">
        <v>120967.00000000001</v>
      </c>
      <c r="R402" s="149">
        <v>3335233</v>
      </c>
      <c r="S4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2" s="150">
        <f ca="1">+IF(PROVEEDORES[[#This Row],[FECHA DE PAGO]]=0,TODAY()-PROVEEDORES[[#This Row],[FECHA DE FACTURACIÓN]]-PROVEEDORES[[#This Row],[PLAZO Días]],0)</f>
        <v>0</v>
      </c>
      <c r="U402" s="150">
        <f>+VLOOKUP(PROVEEDORES[[#This Row],[PROVEEDOR]],Terceros!$A:$E,4,FALSE)</f>
        <v>0</v>
      </c>
      <c r="V402" s="150">
        <f>+YEAR(PROVEEDORES[[#This Row],[FECHA DE FACTURACIÓN]])</f>
        <v>2023</v>
      </c>
      <c r="W402" s="150">
        <f>+MATCH(PROVEEDORES[[#This Row],[año facturado]],Retenciones!$1:$1,0)</f>
        <v>6</v>
      </c>
      <c r="X402" s="151">
        <f>+VLOOKUP(PROVEEDORES[[#This Row],[ID RETENCION]],Retenciones!$A$1:$O$25,PROVEEDORES[[#This Row],[indicador de columna]],FALSE)</f>
        <v>0</v>
      </c>
      <c r="Y402" s="152">
        <f>+VLOOKUP(PROVEEDORES[[#This Row],[ID RETENCION]],Retenciones!$A$1:$O$25,2,FALSE)</f>
        <v>0</v>
      </c>
      <c r="Z402" s="153" t="b">
        <f>+OR(COUNTIF(PROVEEDORES[[#This Row],[PROVEEDOR]],"*"&amp;'Palabra que no opera y Listas d'!$A$2&amp;"*"))</f>
        <v>1</v>
      </c>
    </row>
    <row r="403" spans="1:26" ht="27.75" customHeight="1" x14ac:dyDescent="0.3">
      <c r="A403" s="144" t="str">
        <f>+IF(PROVEEDORES[[#This Row],[FECHA DE PAGO]]=PROVEEDORES[[#This Row],[FECHA DE FACTURACIÓN]],"DE CONTADO","CRÉDITO")</f>
        <v>CRÉDITO</v>
      </c>
      <c r="B403" s="144" t="str">
        <f>+IF((PROVEEDORES[[#This Row],[FECHA DE PAGO]]-PROVEEDORES[[#This Row],[FECHA DE FACTURACIÓN]])&gt;PROVEEDORES[[#This Row],[PLAZO Días]],"PAGO VENCIDO")</f>
        <v>PAGO VENCIDO</v>
      </c>
      <c r="C403" s="144">
        <f>+VLOOKUP(PROVEEDORES[[#This Row],[PROVEEDOR]],TERCEROS_INFO[#All],2,FALSE)</f>
        <v>0</v>
      </c>
      <c r="D403" s="145">
        <f>+SUMIFS(PROVEEDORES[Total],PROVEEDORES[PROVEEDOR],PROVEEDORES[[#This Row],[PROVEEDOR]],PROVEEDORES[FECHA DE PAGO],"")</f>
        <v>0</v>
      </c>
      <c r="E403" s="146"/>
      <c r="F403" s="144" t="str">
        <f>+VLOOKUP(PROVEEDORES[[#This Row],[PROVEEDOR]],
                       Terceros!$A:$G,
                       5,
                       FALSE)</f>
        <v>2,5% con base</v>
      </c>
      <c r="G403" s="122">
        <v>45100</v>
      </c>
      <c r="H403" s="102" t="s">
        <v>562</v>
      </c>
      <c r="I403" s="122">
        <v>45098</v>
      </c>
      <c r="J403" s="103" t="s">
        <v>850</v>
      </c>
      <c r="K403" s="103" t="s">
        <v>1512</v>
      </c>
      <c r="L403" s="103"/>
      <c r="M403" s="105">
        <v>217200</v>
      </c>
      <c r="N403" s="147">
        <v>41268</v>
      </c>
      <c r="O403" s="147">
        <v>0</v>
      </c>
      <c r="P403" s="148">
        <v>0</v>
      </c>
      <c r="Q403" s="147">
        <v>0</v>
      </c>
      <c r="R403" s="149">
        <v>258468</v>
      </c>
      <c r="S4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3" s="150">
        <f ca="1">+IF(PROVEEDORES[[#This Row],[FECHA DE PAGO]]=0,TODAY()-PROVEEDORES[[#This Row],[FECHA DE FACTURACIÓN]]-PROVEEDORES[[#This Row],[PLAZO Días]],0)</f>
        <v>0</v>
      </c>
      <c r="U403" s="150">
        <f>+VLOOKUP(PROVEEDORES[[#This Row],[PROVEEDOR]],Terceros!$A:$E,4,FALSE)</f>
        <v>0.19</v>
      </c>
      <c r="V403" s="150">
        <f>+YEAR(PROVEEDORES[[#This Row],[FECHA DE FACTURACIÓN]])</f>
        <v>2023</v>
      </c>
      <c r="W403" s="150">
        <f>+MATCH(PROVEEDORES[[#This Row],[año facturado]],Retenciones!$1:$1,0)</f>
        <v>6</v>
      </c>
      <c r="X403" s="151" t="e">
        <f>+VLOOKUP(PROVEEDORES[[#This Row],[ID RETENCION]],Retenciones!$A$1:$O$25,PROVEEDORES[[#This Row],[indicador de columna]],FALSE)</f>
        <v>#N/A</v>
      </c>
      <c r="Y403" s="152" t="e">
        <f>+VLOOKUP(PROVEEDORES[[#This Row],[ID RETENCION]],Retenciones!$A$1:$O$25,2,FALSE)</f>
        <v>#N/A</v>
      </c>
      <c r="Z403" s="153" t="b">
        <f>+OR(COUNTIF(PROVEEDORES[[#This Row],[PROVEEDOR]],"*"&amp;'Palabra que no opera y Listas d'!$A$2&amp;"*"))</f>
        <v>1</v>
      </c>
    </row>
    <row r="404" spans="1:26" ht="27.75" customHeight="1" x14ac:dyDescent="0.3">
      <c r="A404" s="144" t="str">
        <f>+IF(PROVEEDORES[[#This Row],[FECHA DE PAGO]]=PROVEEDORES[[#This Row],[FECHA DE FACTURACIÓN]],"DE CONTADO","CRÉDITO")</f>
        <v>CRÉDITO</v>
      </c>
      <c r="B404" s="144" t="str">
        <f>+IF((PROVEEDORES[[#This Row],[FECHA DE PAGO]]-PROVEEDORES[[#This Row],[FECHA DE FACTURACIÓN]])&gt;PROVEEDORES[[#This Row],[PLAZO Días]],"PAGO VENCIDO")</f>
        <v>PAGO VENCIDO</v>
      </c>
      <c r="C404" s="144">
        <f>+VLOOKUP(PROVEEDORES[[#This Row],[PROVEEDOR]],TERCEROS_INFO[#All],2,FALSE)</f>
        <v>0</v>
      </c>
      <c r="D404" s="145">
        <f>+SUMIFS(PROVEEDORES[Total],PROVEEDORES[PROVEEDOR],PROVEEDORES[[#This Row],[PROVEEDOR]],PROVEEDORES[FECHA DE PAGO],"")</f>
        <v>0</v>
      </c>
      <c r="E404" s="146"/>
      <c r="F404" s="144">
        <f>+VLOOKUP(PROVEEDORES[[#This Row],[PROVEEDOR]],
                       Terceros!$A:$G,
                       5,
                       FALSE)</f>
        <v>0</v>
      </c>
      <c r="G404" s="122">
        <v>45100</v>
      </c>
      <c r="H404" s="102" t="s">
        <v>439</v>
      </c>
      <c r="I404" s="122">
        <v>45098</v>
      </c>
      <c r="J404" s="103">
        <v>21244</v>
      </c>
      <c r="K404" s="103" t="s">
        <v>1512</v>
      </c>
      <c r="L404" s="103"/>
      <c r="M404" s="105">
        <v>436800</v>
      </c>
      <c r="N404" s="147">
        <v>82992</v>
      </c>
      <c r="O404" s="147">
        <v>0</v>
      </c>
      <c r="P404" s="148">
        <v>0</v>
      </c>
      <c r="Q404" s="147">
        <v>0</v>
      </c>
      <c r="R404" s="149">
        <v>519792</v>
      </c>
      <c r="S4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4" s="150">
        <f ca="1">+IF(PROVEEDORES[[#This Row],[FECHA DE PAGO]]=0,TODAY()-PROVEEDORES[[#This Row],[FECHA DE FACTURACIÓN]]-PROVEEDORES[[#This Row],[PLAZO Días]],0)</f>
        <v>0</v>
      </c>
      <c r="U404" s="150">
        <f>+VLOOKUP(PROVEEDORES[[#This Row],[PROVEEDOR]],Terceros!$A:$E,4,FALSE)</f>
        <v>0.19</v>
      </c>
      <c r="V404" s="150">
        <f>+YEAR(PROVEEDORES[[#This Row],[FECHA DE FACTURACIÓN]])</f>
        <v>2023</v>
      </c>
      <c r="W404" s="150">
        <f>+MATCH(PROVEEDORES[[#This Row],[año facturado]],Retenciones!$1:$1,0)</f>
        <v>6</v>
      </c>
      <c r="X404" s="151" t="e">
        <f>+VLOOKUP(PROVEEDORES[[#This Row],[ID RETENCION]],Retenciones!$A$1:$O$25,PROVEEDORES[[#This Row],[indicador de columna]],FALSE)</f>
        <v>#N/A</v>
      </c>
      <c r="Y404" s="152" t="e">
        <f>+VLOOKUP(PROVEEDORES[[#This Row],[ID RETENCION]],Retenciones!$A$1:$O$25,2,FALSE)</f>
        <v>#N/A</v>
      </c>
      <c r="Z404" s="153" t="b">
        <f>+OR(COUNTIF(PROVEEDORES[[#This Row],[PROVEEDOR]],"*"&amp;'Palabra que no opera y Listas d'!$A$2&amp;"*"))</f>
        <v>1</v>
      </c>
    </row>
    <row r="405" spans="1:26" ht="27.75" customHeight="1" x14ac:dyDescent="0.3">
      <c r="A405" s="144" t="str">
        <f>+IF(PROVEEDORES[[#This Row],[FECHA DE PAGO]]=PROVEEDORES[[#This Row],[FECHA DE FACTURACIÓN]],"DE CONTADO","CRÉDITO")</f>
        <v>DE CONTADO</v>
      </c>
      <c r="B405" s="144" t="b">
        <f>+IF((PROVEEDORES[[#This Row],[FECHA DE PAGO]]-PROVEEDORES[[#This Row],[FECHA DE FACTURACIÓN]])&gt;PROVEEDORES[[#This Row],[PLAZO Días]],"PAGO VENCIDO")</f>
        <v>0</v>
      </c>
      <c r="C405" s="144">
        <f>+VLOOKUP(PROVEEDORES[[#This Row],[PROVEEDOR]],TERCEROS_INFO[#All],2,FALSE)</f>
        <v>0</v>
      </c>
      <c r="D405" s="145">
        <f>+SUMIFS(PROVEEDORES[Total],PROVEEDORES[PROVEEDOR],PROVEEDORES[[#This Row],[PROVEEDOR]],PROVEEDORES[FECHA DE PAGO],"")</f>
        <v>550000</v>
      </c>
      <c r="E405" s="146"/>
      <c r="F405" s="144">
        <f>+VLOOKUP(PROVEEDORES[[#This Row],[PROVEEDOR]],
                       Terceros!$A:$G,
                       5,
                       FALSE)</f>
        <v>0</v>
      </c>
      <c r="G405" s="122">
        <v>45101</v>
      </c>
      <c r="H405" s="102" t="s">
        <v>1784</v>
      </c>
      <c r="I405" s="122">
        <v>45101</v>
      </c>
      <c r="J405" s="103" t="s">
        <v>872</v>
      </c>
      <c r="K405" s="103" t="s">
        <v>1512</v>
      </c>
      <c r="L405" s="103"/>
      <c r="M405" s="105">
        <v>660000</v>
      </c>
      <c r="N405" s="147">
        <v>0</v>
      </c>
      <c r="O405" s="147">
        <v>0</v>
      </c>
      <c r="P405" s="148">
        <v>0</v>
      </c>
      <c r="Q405" s="147">
        <v>0</v>
      </c>
      <c r="R405" s="149">
        <v>660000</v>
      </c>
      <c r="S4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5" s="150">
        <f ca="1">+IF(PROVEEDORES[[#This Row],[FECHA DE PAGO]]=0,TODAY()-PROVEEDORES[[#This Row],[FECHA DE FACTURACIÓN]]-PROVEEDORES[[#This Row],[PLAZO Días]],0)</f>
        <v>0</v>
      </c>
      <c r="U405" s="150">
        <f>+VLOOKUP(PROVEEDORES[[#This Row],[PROVEEDOR]],Terceros!$A:$E,4,FALSE)</f>
        <v>0</v>
      </c>
      <c r="V405" s="150">
        <f>+YEAR(PROVEEDORES[[#This Row],[FECHA DE FACTURACIÓN]])</f>
        <v>2023</v>
      </c>
      <c r="W405" s="150">
        <f>+MATCH(PROVEEDORES[[#This Row],[año facturado]],Retenciones!$1:$1,0)</f>
        <v>6</v>
      </c>
      <c r="X405" s="151">
        <f>+VLOOKUP(PROVEEDORES[[#This Row],[ID RETENCION]],Retenciones!$A$1:$O$25,PROVEEDORES[[#This Row],[indicador de columna]],FALSE)</f>
        <v>0</v>
      </c>
      <c r="Y405" s="152">
        <f>+VLOOKUP(PROVEEDORES[[#This Row],[ID RETENCION]],Retenciones!$A$1:$O$25,2,FALSE)</f>
        <v>0</v>
      </c>
      <c r="Z405" s="153" t="b">
        <f>+OR(COUNTIF(PROVEEDORES[[#This Row],[PROVEEDOR]],"*"&amp;'Palabra que no opera y Listas d'!$A$2&amp;"*"))</f>
        <v>0</v>
      </c>
    </row>
    <row r="406" spans="1:26" ht="27.75" customHeight="1" x14ac:dyDescent="0.3">
      <c r="A406" s="144" t="str">
        <f>+IF(PROVEEDORES[[#This Row],[FECHA DE PAGO]]=PROVEEDORES[[#This Row],[FECHA DE FACTURACIÓN]],"DE CONTADO","CRÉDITO")</f>
        <v>CRÉDITO</v>
      </c>
      <c r="B406" s="144" t="str">
        <f>+IF((PROVEEDORES[[#This Row],[FECHA DE PAGO]]-PROVEEDORES[[#This Row],[FECHA DE FACTURACIÓN]])&gt;PROVEEDORES[[#This Row],[PLAZO Días]],"PAGO VENCIDO")</f>
        <v>PAGO VENCIDO</v>
      </c>
      <c r="C406" s="144">
        <f>+VLOOKUP(PROVEEDORES[[#This Row],[PROVEEDOR]],TERCEROS_INFO[#All],2,FALSE)</f>
        <v>0</v>
      </c>
      <c r="D406" s="145">
        <f>+SUMIFS(PROVEEDORES[Total],PROVEEDORES[PROVEEDOR],PROVEEDORES[[#This Row],[PROVEEDOR]],PROVEEDORES[FECHA DE PAGO],"")</f>
        <v>3461120</v>
      </c>
      <c r="E406" s="146"/>
      <c r="F406" s="144" t="str">
        <f>+VLOOKUP(PROVEEDORES[[#This Row],[PROVEEDOR]],
                       Terceros!$A:$G,
                       5,
                       FALSE)</f>
        <v>2,5% con base</v>
      </c>
      <c r="G406" s="122">
        <v>45103</v>
      </c>
      <c r="H406" s="102" t="s">
        <v>9</v>
      </c>
      <c r="I406" s="122">
        <v>45042</v>
      </c>
      <c r="J406" s="103" t="s">
        <v>758</v>
      </c>
      <c r="K406" s="103" t="s">
        <v>1512</v>
      </c>
      <c r="L406" s="103"/>
      <c r="M406" s="105">
        <v>2179700</v>
      </c>
      <c r="N406" s="147">
        <v>414143</v>
      </c>
      <c r="O406" s="147">
        <v>0</v>
      </c>
      <c r="P406" s="148">
        <v>2.5000000000000001E-2</v>
      </c>
      <c r="Q406" s="147">
        <v>54492.5</v>
      </c>
      <c r="R406" s="149">
        <v>2539350.5</v>
      </c>
      <c r="S4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6" s="150">
        <f ca="1">+IF(PROVEEDORES[[#This Row],[FECHA DE PAGO]]=0,TODAY()-PROVEEDORES[[#This Row],[FECHA DE FACTURACIÓN]]-PROVEEDORES[[#This Row],[PLAZO Días]],0)</f>
        <v>0</v>
      </c>
      <c r="U406" s="150">
        <f>+VLOOKUP(PROVEEDORES[[#This Row],[PROVEEDOR]],Terceros!$A:$E,4,FALSE)</f>
        <v>0.19</v>
      </c>
      <c r="V406" s="150">
        <f>+YEAR(PROVEEDORES[[#This Row],[FECHA DE FACTURACIÓN]])</f>
        <v>2023</v>
      </c>
      <c r="W406" s="150">
        <f>+MATCH(PROVEEDORES[[#This Row],[año facturado]],Retenciones!$1:$1,0)</f>
        <v>6</v>
      </c>
      <c r="X406" s="151" t="e">
        <f>+VLOOKUP(PROVEEDORES[[#This Row],[ID RETENCION]],Retenciones!$A$1:$O$25,PROVEEDORES[[#This Row],[indicador de columna]],FALSE)</f>
        <v>#N/A</v>
      </c>
      <c r="Y406" s="152" t="e">
        <f>+VLOOKUP(PROVEEDORES[[#This Row],[ID RETENCION]],Retenciones!$A$1:$O$25,2,FALSE)</f>
        <v>#N/A</v>
      </c>
      <c r="Z406" s="153" t="b">
        <f>+OR(COUNTIF(PROVEEDORES[[#This Row],[PROVEEDOR]],"*"&amp;'Palabra que no opera y Listas d'!$A$2&amp;"*"))</f>
        <v>0</v>
      </c>
    </row>
    <row r="407" spans="1:26" ht="27.75" customHeight="1" x14ac:dyDescent="0.3">
      <c r="A407" s="144" t="str">
        <f>+IF(PROVEEDORES[[#This Row],[FECHA DE PAGO]]=PROVEEDORES[[#This Row],[FECHA DE FACTURACIÓN]],"DE CONTADO","CRÉDITO")</f>
        <v>CRÉDITO</v>
      </c>
      <c r="B407" s="144" t="str">
        <f>+IF((PROVEEDORES[[#This Row],[FECHA DE PAGO]]-PROVEEDORES[[#This Row],[FECHA DE FACTURACIÓN]])&gt;PROVEEDORES[[#This Row],[PLAZO Días]],"PAGO VENCIDO")</f>
        <v>PAGO VENCIDO</v>
      </c>
      <c r="C407" s="144">
        <f>+VLOOKUP(PROVEEDORES[[#This Row],[PROVEEDOR]],TERCEROS_INFO[#All],2,FALSE)</f>
        <v>0</v>
      </c>
      <c r="D407" s="145">
        <f>+SUMIFS(PROVEEDORES[Total],PROVEEDORES[PROVEEDOR],PROVEEDORES[[#This Row],[PROVEEDOR]],PROVEEDORES[FECHA DE PAGO],"")</f>
        <v>28179645.060000002</v>
      </c>
      <c r="E407" s="146"/>
      <c r="F407" s="144">
        <f>+VLOOKUP(PROVEEDORES[[#This Row],[PROVEEDOR]],
                       Terceros!$A:$G,
                       5,
                       FALSE)</f>
        <v>0</v>
      </c>
      <c r="G407" s="122">
        <v>45103</v>
      </c>
      <c r="H407" s="102" t="s">
        <v>18</v>
      </c>
      <c r="I407" s="122">
        <v>45042</v>
      </c>
      <c r="J407" s="103" t="s">
        <v>768</v>
      </c>
      <c r="K407" s="103" t="s">
        <v>1512</v>
      </c>
      <c r="L407" s="103"/>
      <c r="M407" s="105">
        <v>10467600</v>
      </c>
      <c r="N407" s="147">
        <v>1988844</v>
      </c>
      <c r="O407" s="147">
        <v>0</v>
      </c>
      <c r="P407" s="148">
        <v>0</v>
      </c>
      <c r="Q407" s="147">
        <v>0</v>
      </c>
      <c r="R407" s="149">
        <v>12456444</v>
      </c>
      <c r="S4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7" s="150">
        <f ca="1">+IF(PROVEEDORES[[#This Row],[FECHA DE PAGO]]=0,TODAY()-PROVEEDORES[[#This Row],[FECHA DE FACTURACIÓN]]-PROVEEDORES[[#This Row],[PLAZO Días]],0)</f>
        <v>0</v>
      </c>
      <c r="U407" s="150">
        <f>+VLOOKUP(PROVEEDORES[[#This Row],[PROVEEDOR]],Terceros!$A:$E,4,FALSE)</f>
        <v>0.19</v>
      </c>
      <c r="V407" s="150">
        <f>+YEAR(PROVEEDORES[[#This Row],[FECHA DE FACTURACIÓN]])</f>
        <v>2023</v>
      </c>
      <c r="W407" s="150">
        <f>+MATCH(PROVEEDORES[[#This Row],[año facturado]],Retenciones!$1:$1,0)</f>
        <v>6</v>
      </c>
      <c r="X407" s="151" t="e">
        <f>+VLOOKUP(PROVEEDORES[[#This Row],[ID RETENCION]],Retenciones!$A$1:$O$25,PROVEEDORES[[#This Row],[indicador de columna]],FALSE)</f>
        <v>#N/A</v>
      </c>
      <c r="Y407" s="152" t="e">
        <f>+VLOOKUP(PROVEEDORES[[#This Row],[ID RETENCION]],Retenciones!$A$1:$O$25,2,FALSE)</f>
        <v>#N/A</v>
      </c>
      <c r="Z407" s="153" t="b">
        <f>+OR(COUNTIF(PROVEEDORES[[#This Row],[PROVEEDOR]],"*"&amp;'Palabra que no opera y Listas d'!$A$2&amp;"*"))</f>
        <v>0</v>
      </c>
    </row>
    <row r="408" spans="1:26" ht="27.75" customHeight="1" x14ac:dyDescent="0.3">
      <c r="A408" s="144" t="str">
        <f>+IF(PROVEEDORES[[#This Row],[FECHA DE PAGO]]=PROVEEDORES[[#This Row],[FECHA DE FACTURACIÓN]],"DE CONTADO","CRÉDITO")</f>
        <v>CRÉDITO</v>
      </c>
      <c r="B408" s="144" t="str">
        <f>+IF((PROVEEDORES[[#This Row],[FECHA DE PAGO]]-PROVEEDORES[[#This Row],[FECHA DE FACTURACIÓN]])&gt;PROVEEDORES[[#This Row],[PLAZO Días]],"PAGO VENCIDO")</f>
        <v>PAGO VENCIDO</v>
      </c>
      <c r="C408" s="144">
        <f>+VLOOKUP(PROVEEDORES[[#This Row],[PROVEEDOR]],TERCEROS_INFO[#All],2,FALSE)</f>
        <v>0</v>
      </c>
      <c r="D408" s="145">
        <f>+SUMIFS(PROVEEDORES[Total],PROVEEDORES[PROVEEDOR],PROVEEDORES[[#This Row],[PROVEEDOR]],PROVEEDORES[FECHA DE PAGO],"")</f>
        <v>0</v>
      </c>
      <c r="E408" s="146"/>
      <c r="F408" s="144">
        <f>+VLOOKUP(PROVEEDORES[[#This Row],[PROVEEDOR]],
                       Terceros!$A:$G,
                       5,
                       FALSE)</f>
        <v>0</v>
      </c>
      <c r="G408" s="122">
        <v>45104</v>
      </c>
      <c r="H408" s="102" t="s">
        <v>1792</v>
      </c>
      <c r="I408" s="122">
        <v>45006</v>
      </c>
      <c r="J408" s="103" t="s">
        <v>668</v>
      </c>
      <c r="K408" s="103" t="s">
        <v>1512</v>
      </c>
      <c r="L408" s="103"/>
      <c r="M408" s="105">
        <v>230000</v>
      </c>
      <c r="N408" s="147">
        <v>0</v>
      </c>
      <c r="O408" s="147">
        <v>0</v>
      </c>
      <c r="P408" s="148">
        <v>0</v>
      </c>
      <c r="Q408" s="147">
        <v>0</v>
      </c>
      <c r="R408" s="149">
        <v>230000</v>
      </c>
      <c r="S4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8" s="150">
        <f ca="1">+IF(PROVEEDORES[[#This Row],[FECHA DE PAGO]]=0,TODAY()-PROVEEDORES[[#This Row],[FECHA DE FACTURACIÓN]]-PROVEEDORES[[#This Row],[PLAZO Días]],0)</f>
        <v>0</v>
      </c>
      <c r="U408" s="150">
        <f>+VLOOKUP(PROVEEDORES[[#This Row],[PROVEEDOR]],Terceros!$A:$E,4,FALSE)</f>
        <v>0</v>
      </c>
      <c r="V408" s="150">
        <f>+YEAR(PROVEEDORES[[#This Row],[FECHA DE FACTURACIÓN]])</f>
        <v>2023</v>
      </c>
      <c r="W408" s="150">
        <f>+MATCH(PROVEEDORES[[#This Row],[año facturado]],Retenciones!$1:$1,0)</f>
        <v>6</v>
      </c>
      <c r="X408" s="151">
        <f>+VLOOKUP(PROVEEDORES[[#This Row],[ID RETENCION]],Retenciones!$A$1:$O$25,PROVEEDORES[[#This Row],[indicador de columna]],FALSE)</f>
        <v>0</v>
      </c>
      <c r="Y408" s="152">
        <f>+VLOOKUP(PROVEEDORES[[#This Row],[ID RETENCION]],Retenciones!$A$1:$O$25,2,FALSE)</f>
        <v>0</v>
      </c>
      <c r="Z408" s="153" t="b">
        <f>+OR(COUNTIF(PROVEEDORES[[#This Row],[PROVEEDOR]],"*"&amp;'Palabra que no opera y Listas d'!$A$2&amp;"*"))</f>
        <v>0</v>
      </c>
    </row>
    <row r="409" spans="1:26" ht="27.75" customHeight="1" x14ac:dyDescent="0.3">
      <c r="A409" s="144" t="str">
        <f>+IF(PROVEEDORES[[#This Row],[FECHA DE PAGO]]=PROVEEDORES[[#This Row],[FECHA DE FACTURACIÓN]],"DE CONTADO","CRÉDITO")</f>
        <v>CRÉDITO</v>
      </c>
      <c r="B409" s="144" t="str">
        <f>+IF((PROVEEDORES[[#This Row],[FECHA DE PAGO]]-PROVEEDORES[[#This Row],[FECHA DE FACTURACIÓN]])&gt;PROVEEDORES[[#This Row],[PLAZO Días]],"PAGO VENCIDO")</f>
        <v>PAGO VENCIDO</v>
      </c>
      <c r="C409" s="144">
        <f>+VLOOKUP(PROVEEDORES[[#This Row],[PROVEEDOR]],TERCEROS_INFO[#All],2,FALSE)</f>
        <v>0</v>
      </c>
      <c r="D409" s="145">
        <f>+SUMIFS(PROVEEDORES[Total],PROVEEDORES[PROVEEDOR],PROVEEDORES[[#This Row],[PROVEEDOR]],PROVEEDORES[FECHA DE PAGO],"")</f>
        <v>31839627.134999998</v>
      </c>
      <c r="E409" s="146"/>
      <c r="F409" s="144" t="str">
        <f>+VLOOKUP(PROVEEDORES[[#This Row],[PROVEEDOR]],
                       Terceros!$A:$G,
                       5,
                       FALSE)</f>
        <v>2,5% con base</v>
      </c>
      <c r="G409" s="122">
        <v>45104</v>
      </c>
      <c r="H409" s="102" t="s">
        <v>17</v>
      </c>
      <c r="I409" s="122">
        <v>45055</v>
      </c>
      <c r="J409" s="103" t="s">
        <v>796</v>
      </c>
      <c r="K409" s="103" t="s">
        <v>1512</v>
      </c>
      <c r="L409" s="103"/>
      <c r="M409" s="105">
        <v>743608</v>
      </c>
      <c r="N409" s="147">
        <v>141285.51999999999</v>
      </c>
      <c r="O409" s="147">
        <v>0</v>
      </c>
      <c r="P409" s="148">
        <v>0</v>
      </c>
      <c r="Q409" s="147">
        <v>0</v>
      </c>
      <c r="R409" s="149">
        <v>884893.52</v>
      </c>
      <c r="S4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9" s="150">
        <f ca="1">+IF(PROVEEDORES[[#This Row],[FECHA DE PAGO]]=0,TODAY()-PROVEEDORES[[#This Row],[FECHA DE FACTURACIÓN]]-PROVEEDORES[[#This Row],[PLAZO Días]],0)</f>
        <v>0</v>
      </c>
      <c r="U409" s="150">
        <f>+VLOOKUP(PROVEEDORES[[#This Row],[PROVEEDOR]],Terceros!$A:$E,4,FALSE)</f>
        <v>0.19</v>
      </c>
      <c r="V409" s="150">
        <f>+YEAR(PROVEEDORES[[#This Row],[FECHA DE FACTURACIÓN]])</f>
        <v>2023</v>
      </c>
      <c r="W409" s="150">
        <f>+MATCH(PROVEEDORES[[#This Row],[año facturado]],Retenciones!$1:$1,0)</f>
        <v>6</v>
      </c>
      <c r="X409" s="151" t="e">
        <f>+VLOOKUP(PROVEEDORES[[#This Row],[ID RETENCION]],Retenciones!$A$1:$O$25,PROVEEDORES[[#This Row],[indicador de columna]],FALSE)</f>
        <v>#N/A</v>
      </c>
      <c r="Y409" s="152" t="e">
        <f>+VLOOKUP(PROVEEDORES[[#This Row],[ID RETENCION]],Retenciones!$A$1:$O$25,2,FALSE)</f>
        <v>#N/A</v>
      </c>
      <c r="Z409" s="153" t="b">
        <f>+OR(COUNTIF(PROVEEDORES[[#This Row],[PROVEEDOR]],"*"&amp;'Palabra que no opera y Listas d'!$A$2&amp;"*"))</f>
        <v>0</v>
      </c>
    </row>
    <row r="410" spans="1:26" ht="27.75" customHeight="1" x14ac:dyDescent="0.3">
      <c r="A410" s="144" t="str">
        <f>+IF(PROVEEDORES[[#This Row],[FECHA DE PAGO]]=PROVEEDORES[[#This Row],[FECHA DE FACTURACIÓN]],"DE CONTADO","CRÉDITO")</f>
        <v>CRÉDITO</v>
      </c>
      <c r="B410" s="144" t="str">
        <f>+IF((PROVEEDORES[[#This Row],[FECHA DE PAGO]]-PROVEEDORES[[#This Row],[FECHA DE FACTURACIÓN]])&gt;PROVEEDORES[[#This Row],[PLAZO Días]],"PAGO VENCIDO")</f>
        <v>PAGO VENCIDO</v>
      </c>
      <c r="C410" s="144">
        <f>+VLOOKUP(PROVEEDORES[[#This Row],[PROVEEDOR]],TERCEROS_INFO[#All],2,FALSE)</f>
        <v>0</v>
      </c>
      <c r="D410" s="145">
        <f>+SUMIFS(PROVEEDORES[Total],PROVEEDORES[PROVEEDOR],PROVEEDORES[[#This Row],[PROVEEDOR]],PROVEEDORES[FECHA DE PAGO],"")</f>
        <v>31839627.134999998</v>
      </c>
      <c r="E410" s="146"/>
      <c r="F410" s="144" t="str">
        <f>+VLOOKUP(PROVEEDORES[[#This Row],[PROVEEDOR]],
                       Terceros!$A:$G,
                       5,
                       FALSE)</f>
        <v>2,5% con base</v>
      </c>
      <c r="G410" s="122">
        <v>45104</v>
      </c>
      <c r="H410" s="102" t="s">
        <v>17</v>
      </c>
      <c r="I410" s="122">
        <v>45057</v>
      </c>
      <c r="J410" s="103" t="s">
        <v>797</v>
      </c>
      <c r="K410" s="103" t="s">
        <v>1512</v>
      </c>
      <c r="L410" s="103"/>
      <c r="M410" s="105">
        <v>804018</v>
      </c>
      <c r="N410" s="147">
        <v>152763.42000000001</v>
      </c>
      <c r="O410" s="147">
        <v>0</v>
      </c>
      <c r="P410" s="148">
        <v>0</v>
      </c>
      <c r="Q410" s="147">
        <v>0</v>
      </c>
      <c r="R410" s="149">
        <v>956781.42</v>
      </c>
      <c r="S4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0" s="150">
        <f ca="1">+IF(PROVEEDORES[[#This Row],[FECHA DE PAGO]]=0,TODAY()-PROVEEDORES[[#This Row],[FECHA DE FACTURACIÓN]]-PROVEEDORES[[#This Row],[PLAZO Días]],0)</f>
        <v>0</v>
      </c>
      <c r="U410" s="150">
        <f>+VLOOKUP(PROVEEDORES[[#This Row],[PROVEEDOR]],Terceros!$A:$E,4,FALSE)</f>
        <v>0.19</v>
      </c>
      <c r="V410" s="150">
        <f>+YEAR(PROVEEDORES[[#This Row],[FECHA DE FACTURACIÓN]])</f>
        <v>2023</v>
      </c>
      <c r="W410" s="150">
        <f>+MATCH(PROVEEDORES[[#This Row],[año facturado]],Retenciones!$1:$1,0)</f>
        <v>6</v>
      </c>
      <c r="X410" s="151" t="e">
        <f>+VLOOKUP(PROVEEDORES[[#This Row],[ID RETENCION]],Retenciones!$A$1:$O$25,PROVEEDORES[[#This Row],[indicador de columna]],FALSE)</f>
        <v>#N/A</v>
      </c>
      <c r="Y410" s="152" t="e">
        <f>+VLOOKUP(PROVEEDORES[[#This Row],[ID RETENCION]],Retenciones!$A$1:$O$25,2,FALSE)</f>
        <v>#N/A</v>
      </c>
      <c r="Z410" s="153" t="b">
        <f>+OR(COUNTIF(PROVEEDORES[[#This Row],[PROVEEDOR]],"*"&amp;'Palabra que no opera y Listas d'!$A$2&amp;"*"))</f>
        <v>0</v>
      </c>
    </row>
    <row r="411" spans="1:26" ht="27.75" customHeight="1" x14ac:dyDescent="0.3">
      <c r="A411" s="144" t="str">
        <f>+IF(PROVEEDORES[[#This Row],[FECHA DE PAGO]]=PROVEEDORES[[#This Row],[FECHA DE FACTURACIÓN]],"DE CONTADO","CRÉDITO")</f>
        <v>CRÉDITO</v>
      </c>
      <c r="B411" s="144" t="str">
        <f>+IF((PROVEEDORES[[#This Row],[FECHA DE PAGO]]-PROVEEDORES[[#This Row],[FECHA DE FACTURACIÓN]])&gt;PROVEEDORES[[#This Row],[PLAZO Días]],"PAGO VENCIDO")</f>
        <v>PAGO VENCIDO</v>
      </c>
      <c r="C411" s="144">
        <f>+VLOOKUP(PROVEEDORES[[#This Row],[PROVEEDOR]],TERCEROS_INFO[#All],2,FALSE)</f>
        <v>0</v>
      </c>
      <c r="D411" s="145">
        <f>+SUMIFS(PROVEEDORES[Total],PROVEEDORES[PROVEEDOR],PROVEEDORES[[#This Row],[PROVEEDOR]],PROVEEDORES[FECHA DE PAGO],"")</f>
        <v>0</v>
      </c>
      <c r="E411" s="146"/>
      <c r="F411" s="144">
        <f>+VLOOKUP(PROVEEDORES[[#This Row],[PROVEEDOR]],
                       Terceros!$A:$G,
                       5,
                       FALSE)</f>
        <v>0</v>
      </c>
      <c r="G411" s="122">
        <v>45105</v>
      </c>
      <c r="H411" s="102" t="s">
        <v>375</v>
      </c>
      <c r="I411" s="122">
        <v>45040</v>
      </c>
      <c r="J411" s="103" t="s">
        <v>764</v>
      </c>
      <c r="K411" s="103" t="s">
        <v>1512</v>
      </c>
      <c r="L411" s="103"/>
      <c r="M411" s="105">
        <v>2615172</v>
      </c>
      <c r="N411" s="147">
        <v>496882.68</v>
      </c>
      <c r="O411" s="147">
        <v>0</v>
      </c>
      <c r="P411" s="148">
        <v>0</v>
      </c>
      <c r="Q411" s="147">
        <v>0</v>
      </c>
      <c r="R411" s="149">
        <v>3112054.68</v>
      </c>
      <c r="S4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1" s="150">
        <f ca="1">+IF(PROVEEDORES[[#This Row],[FECHA DE PAGO]]=0,TODAY()-PROVEEDORES[[#This Row],[FECHA DE FACTURACIÓN]]-PROVEEDORES[[#This Row],[PLAZO Días]],0)</f>
        <v>0</v>
      </c>
      <c r="U411" s="150">
        <f>+VLOOKUP(PROVEEDORES[[#This Row],[PROVEEDOR]],Terceros!$A:$E,4,FALSE)</f>
        <v>0.19</v>
      </c>
      <c r="V411" s="150">
        <f>+YEAR(PROVEEDORES[[#This Row],[FECHA DE FACTURACIÓN]])</f>
        <v>2023</v>
      </c>
      <c r="W411" s="150">
        <f>+MATCH(PROVEEDORES[[#This Row],[año facturado]],Retenciones!$1:$1,0)</f>
        <v>6</v>
      </c>
      <c r="X411" s="151" t="e">
        <f>+VLOOKUP(PROVEEDORES[[#This Row],[ID RETENCION]],Retenciones!$A$1:$O$25,PROVEEDORES[[#This Row],[indicador de columna]],FALSE)</f>
        <v>#N/A</v>
      </c>
      <c r="Y411" s="152" t="e">
        <f>+VLOOKUP(PROVEEDORES[[#This Row],[ID RETENCION]],Retenciones!$A$1:$O$25,2,FALSE)</f>
        <v>#N/A</v>
      </c>
      <c r="Z411" s="153" t="b">
        <f>+OR(COUNTIF(PROVEEDORES[[#This Row],[PROVEEDOR]],"*"&amp;'Palabra que no opera y Listas d'!$A$2&amp;"*"))</f>
        <v>1</v>
      </c>
    </row>
    <row r="412" spans="1:26" ht="27.75" customHeight="1" x14ac:dyDescent="0.3">
      <c r="A412" s="144" t="str">
        <f>+IF(PROVEEDORES[[#This Row],[FECHA DE PAGO]]=PROVEEDORES[[#This Row],[FECHA DE FACTURACIÓN]],"DE CONTADO","CRÉDITO")</f>
        <v>DE CONTADO</v>
      </c>
      <c r="B412" s="144" t="b">
        <f>+IF((PROVEEDORES[[#This Row],[FECHA DE PAGO]]-PROVEEDORES[[#This Row],[FECHA DE FACTURACIÓN]])&gt;PROVEEDORES[[#This Row],[PLAZO Días]],"PAGO VENCIDO")</f>
        <v>0</v>
      </c>
      <c r="C412" s="144">
        <f>+VLOOKUP(PROVEEDORES[[#This Row],[PROVEEDOR]],TERCEROS_INFO[#All],2,FALSE)</f>
        <v>0</v>
      </c>
      <c r="D412" s="145">
        <f>+SUMIFS(PROVEEDORES[Total],PROVEEDORES[PROVEEDOR],PROVEEDORES[[#This Row],[PROVEEDOR]],PROVEEDORES[FECHA DE PAGO],"")</f>
        <v>0</v>
      </c>
      <c r="E412" s="146"/>
      <c r="F412" s="144">
        <f>+VLOOKUP(PROVEEDORES[[#This Row],[PROVEEDOR]],
                       Terceros!$A:$G,
                       5,
                       FALSE)</f>
        <v>0</v>
      </c>
      <c r="G412" s="122">
        <v>45106</v>
      </c>
      <c r="H412" s="102" t="s">
        <v>537</v>
      </c>
      <c r="I412" s="122">
        <v>45106</v>
      </c>
      <c r="J412" s="103" t="s">
        <v>869</v>
      </c>
      <c r="K412" s="103" t="s">
        <v>1512</v>
      </c>
      <c r="L412" s="103"/>
      <c r="M412" s="105">
        <v>375000</v>
      </c>
      <c r="N412" s="147">
        <v>0</v>
      </c>
      <c r="O412" s="147">
        <v>0</v>
      </c>
      <c r="P412" s="148">
        <v>0</v>
      </c>
      <c r="Q412" s="147">
        <v>0</v>
      </c>
      <c r="R412" s="149">
        <v>375000</v>
      </c>
      <c r="S4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2" s="150">
        <f ca="1">+IF(PROVEEDORES[[#This Row],[FECHA DE PAGO]]=0,TODAY()-PROVEEDORES[[#This Row],[FECHA DE FACTURACIÓN]]-PROVEEDORES[[#This Row],[PLAZO Días]],0)</f>
        <v>0</v>
      </c>
      <c r="U412" s="150">
        <f>+VLOOKUP(PROVEEDORES[[#This Row],[PROVEEDOR]],Terceros!$A:$E,4,FALSE)</f>
        <v>0</v>
      </c>
      <c r="V412" s="150">
        <f>+YEAR(PROVEEDORES[[#This Row],[FECHA DE FACTURACIÓN]])</f>
        <v>2023</v>
      </c>
      <c r="W412" s="150">
        <f>+MATCH(PROVEEDORES[[#This Row],[año facturado]],Retenciones!$1:$1,0)</f>
        <v>6</v>
      </c>
      <c r="X412" s="151">
        <f>+VLOOKUP(PROVEEDORES[[#This Row],[ID RETENCION]],Retenciones!$A$1:$O$25,PROVEEDORES[[#This Row],[indicador de columna]],FALSE)</f>
        <v>0</v>
      </c>
      <c r="Y412" s="152">
        <f>+VLOOKUP(PROVEEDORES[[#This Row],[ID RETENCION]],Retenciones!$A$1:$O$25,2,FALSE)</f>
        <v>0</v>
      </c>
      <c r="Z412" s="153" t="b">
        <f>+OR(COUNTIF(PROVEEDORES[[#This Row],[PROVEEDOR]],"*"&amp;'Palabra que no opera y Listas d'!$A$2&amp;"*"))</f>
        <v>0</v>
      </c>
    </row>
    <row r="413" spans="1:26" ht="27.75" customHeight="1" x14ac:dyDescent="0.3">
      <c r="A413" s="144" t="str">
        <f>+IF(PROVEEDORES[[#This Row],[FECHA DE PAGO]]=PROVEEDORES[[#This Row],[FECHA DE FACTURACIÓN]],"DE CONTADO","CRÉDITO")</f>
        <v>CRÉDITO</v>
      </c>
      <c r="B413" s="144" t="str">
        <f>+IF((PROVEEDORES[[#This Row],[FECHA DE PAGO]]-PROVEEDORES[[#This Row],[FECHA DE FACTURACIÓN]])&gt;PROVEEDORES[[#This Row],[PLAZO Días]],"PAGO VENCIDO")</f>
        <v>PAGO VENCIDO</v>
      </c>
      <c r="C413" s="144">
        <f>+VLOOKUP(PROVEEDORES[[#This Row],[PROVEEDOR]],TERCEROS_INFO[#All],2,FALSE)</f>
        <v>0</v>
      </c>
      <c r="D413" s="145">
        <f>+SUMIFS(PROVEEDORES[Total],PROVEEDORES[PROVEEDOR],PROVEEDORES[[#This Row],[PROVEEDOR]],PROVEEDORES[FECHA DE PAGO],"")</f>
        <v>0</v>
      </c>
      <c r="E413" s="146"/>
      <c r="F413" s="144">
        <f>+VLOOKUP(PROVEEDORES[[#This Row],[PROVEEDOR]],
                       Terceros!$A:$G,
                       5,
                       FALSE)</f>
        <v>0</v>
      </c>
      <c r="G413" s="122">
        <v>45108</v>
      </c>
      <c r="H413" s="102" t="s">
        <v>1789</v>
      </c>
      <c r="I413" s="122">
        <v>45072</v>
      </c>
      <c r="J413" s="103" t="s">
        <v>819</v>
      </c>
      <c r="K413" s="103" t="s">
        <v>1512</v>
      </c>
      <c r="L413" s="103"/>
      <c r="M413" s="105">
        <v>978000</v>
      </c>
      <c r="N413" s="147">
        <v>0</v>
      </c>
      <c r="O413" s="147">
        <v>0</v>
      </c>
      <c r="P413" s="148">
        <v>0</v>
      </c>
      <c r="Q413" s="147">
        <v>0</v>
      </c>
      <c r="R413" s="149">
        <v>978000</v>
      </c>
      <c r="S4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3" s="150">
        <f ca="1">+IF(PROVEEDORES[[#This Row],[FECHA DE PAGO]]=0,TODAY()-PROVEEDORES[[#This Row],[FECHA DE FACTURACIÓN]]-PROVEEDORES[[#This Row],[PLAZO Días]],0)</f>
        <v>0</v>
      </c>
      <c r="U413" s="150">
        <f>+VLOOKUP(PROVEEDORES[[#This Row],[PROVEEDOR]],Terceros!$A:$E,4,FALSE)</f>
        <v>0</v>
      </c>
      <c r="V413" s="150">
        <f>+YEAR(PROVEEDORES[[#This Row],[FECHA DE FACTURACIÓN]])</f>
        <v>2023</v>
      </c>
      <c r="W413" s="150">
        <f>+MATCH(PROVEEDORES[[#This Row],[año facturado]],Retenciones!$1:$1,0)</f>
        <v>6</v>
      </c>
      <c r="X413" s="151">
        <f>+VLOOKUP(PROVEEDORES[[#This Row],[ID RETENCION]],Retenciones!$A$1:$O$25,PROVEEDORES[[#This Row],[indicador de columna]],FALSE)</f>
        <v>0</v>
      </c>
      <c r="Y413" s="152">
        <f>+VLOOKUP(PROVEEDORES[[#This Row],[ID RETENCION]],Retenciones!$A$1:$O$25,2,FALSE)</f>
        <v>0</v>
      </c>
      <c r="Z413" s="153" t="b">
        <f>+OR(COUNTIF(PROVEEDORES[[#This Row],[PROVEEDOR]],"*"&amp;'Palabra que no opera y Listas d'!$A$2&amp;"*"))</f>
        <v>0</v>
      </c>
    </row>
    <row r="414" spans="1:26" ht="27.75" customHeight="1" x14ac:dyDescent="0.3">
      <c r="A414" s="144" t="str">
        <f>+IF(PROVEEDORES[[#This Row],[FECHA DE PAGO]]=PROVEEDORES[[#This Row],[FECHA DE FACTURACIÓN]],"DE CONTADO","CRÉDITO")</f>
        <v>CRÉDITO</v>
      </c>
      <c r="B414" s="144" t="str">
        <f>+IF((PROVEEDORES[[#This Row],[FECHA DE PAGO]]-PROVEEDORES[[#This Row],[FECHA DE FACTURACIÓN]])&gt;PROVEEDORES[[#This Row],[PLAZO Días]],"PAGO VENCIDO")</f>
        <v>PAGO VENCIDO</v>
      </c>
      <c r="C414" s="144">
        <f>+VLOOKUP(PROVEEDORES[[#This Row],[PROVEEDOR]],TERCEROS_INFO[#All],2,FALSE)</f>
        <v>0</v>
      </c>
      <c r="D414" s="145">
        <f>+SUMIFS(PROVEEDORES[Total],PROVEEDORES[PROVEEDOR],PROVEEDORES[[#This Row],[PROVEEDOR]],PROVEEDORES[FECHA DE PAGO],"")</f>
        <v>0</v>
      </c>
      <c r="E414" s="146"/>
      <c r="F414" s="144" t="str">
        <f>+VLOOKUP(PROVEEDORES[[#This Row],[PROVEEDOR]],
                       Terceros!$A:$G,
                       5,
                       FALSE)</f>
        <v>2,5% con base</v>
      </c>
      <c r="G414" s="122">
        <v>45108</v>
      </c>
      <c r="H414" s="102" t="s">
        <v>873</v>
      </c>
      <c r="I414" s="122">
        <v>45083</v>
      </c>
      <c r="J414" s="103">
        <v>1340</v>
      </c>
      <c r="K414" s="103" t="s">
        <v>1512</v>
      </c>
      <c r="L414" s="103"/>
      <c r="M414" s="105">
        <v>910000</v>
      </c>
      <c r="N414" s="147">
        <v>172900</v>
      </c>
      <c r="O414" s="147">
        <v>0</v>
      </c>
      <c r="P414" s="148">
        <v>0</v>
      </c>
      <c r="Q414" s="147">
        <v>0</v>
      </c>
      <c r="R414" s="149">
        <v>1082900</v>
      </c>
      <c r="S4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4" s="150">
        <f ca="1">+IF(PROVEEDORES[[#This Row],[FECHA DE PAGO]]=0,TODAY()-PROVEEDORES[[#This Row],[FECHA DE FACTURACIÓN]]-PROVEEDORES[[#This Row],[PLAZO Días]],0)</f>
        <v>0</v>
      </c>
      <c r="U414" s="150">
        <f>+VLOOKUP(PROVEEDORES[[#This Row],[PROVEEDOR]],Terceros!$A:$E,4,FALSE)</f>
        <v>0.19</v>
      </c>
      <c r="V414" s="150">
        <f>+YEAR(PROVEEDORES[[#This Row],[FECHA DE FACTURACIÓN]])</f>
        <v>2023</v>
      </c>
      <c r="W414" s="150">
        <f>+MATCH(PROVEEDORES[[#This Row],[año facturado]],Retenciones!$1:$1,0)</f>
        <v>6</v>
      </c>
      <c r="X414" s="151" t="e">
        <f>+VLOOKUP(PROVEEDORES[[#This Row],[ID RETENCION]],Retenciones!$A$1:$O$25,PROVEEDORES[[#This Row],[indicador de columna]],FALSE)</f>
        <v>#N/A</v>
      </c>
      <c r="Y414" s="152" t="e">
        <f>+VLOOKUP(PROVEEDORES[[#This Row],[ID RETENCION]],Retenciones!$A$1:$O$25,2,FALSE)</f>
        <v>#N/A</v>
      </c>
      <c r="Z414" s="153" t="b">
        <f>+OR(COUNTIF(PROVEEDORES[[#This Row],[PROVEEDOR]],"*"&amp;'Palabra que no opera y Listas d'!$A$2&amp;"*"))</f>
        <v>0</v>
      </c>
    </row>
    <row r="415" spans="1:26" ht="27.75" customHeight="1" x14ac:dyDescent="0.3">
      <c r="A415" s="144" t="str">
        <f>+IF(PROVEEDORES[[#This Row],[FECHA DE PAGO]]=PROVEEDORES[[#This Row],[FECHA DE FACTURACIÓN]],"DE CONTADO","CRÉDITO")</f>
        <v>CRÉDITO</v>
      </c>
      <c r="B415" s="144" t="str">
        <f>+IF((PROVEEDORES[[#This Row],[FECHA DE PAGO]]-PROVEEDORES[[#This Row],[FECHA DE FACTURACIÓN]])&gt;PROVEEDORES[[#This Row],[PLAZO Días]],"PAGO VENCIDO")</f>
        <v>PAGO VENCIDO</v>
      </c>
      <c r="C415" s="144">
        <f>+VLOOKUP(PROVEEDORES[[#This Row],[PROVEEDOR]],TERCEROS_INFO[#All],2,FALSE)</f>
        <v>0</v>
      </c>
      <c r="D415" s="145">
        <f>+SUMIFS(PROVEEDORES[Total],PROVEEDORES[PROVEEDOR],PROVEEDORES[[#This Row],[PROVEEDOR]],PROVEEDORES[FECHA DE PAGO],"")</f>
        <v>0</v>
      </c>
      <c r="E415" s="146"/>
      <c r="F415" s="144">
        <f>+VLOOKUP(PROVEEDORES[[#This Row],[PROVEEDOR]],
                       Terceros!$A:$G,
                       5,
                       FALSE)</f>
        <v>0</v>
      </c>
      <c r="G415" s="122">
        <v>45108</v>
      </c>
      <c r="H415" s="102" t="s">
        <v>496</v>
      </c>
      <c r="I415" s="122">
        <v>45107</v>
      </c>
      <c r="J415" s="103" t="s">
        <v>939</v>
      </c>
      <c r="K415" s="103" t="s">
        <v>1512</v>
      </c>
      <c r="L415" s="103"/>
      <c r="M415" s="105">
        <v>2505000</v>
      </c>
      <c r="N415" s="147">
        <v>0</v>
      </c>
      <c r="O415" s="147">
        <v>0</v>
      </c>
      <c r="P415" s="148">
        <v>0</v>
      </c>
      <c r="Q415" s="147">
        <v>0</v>
      </c>
      <c r="R415" s="149">
        <v>2505000</v>
      </c>
      <c r="S4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5" s="150">
        <f ca="1">+IF(PROVEEDORES[[#This Row],[FECHA DE PAGO]]=0,TODAY()-PROVEEDORES[[#This Row],[FECHA DE FACTURACIÓN]]-PROVEEDORES[[#This Row],[PLAZO Días]],0)</f>
        <v>0</v>
      </c>
      <c r="U415" s="150">
        <f>+VLOOKUP(PROVEEDORES[[#This Row],[PROVEEDOR]],Terceros!$A:$E,4,FALSE)</f>
        <v>0</v>
      </c>
      <c r="V415" s="150">
        <f>+YEAR(PROVEEDORES[[#This Row],[FECHA DE FACTURACIÓN]])</f>
        <v>2023</v>
      </c>
      <c r="W415" s="150">
        <f>+MATCH(PROVEEDORES[[#This Row],[año facturado]],Retenciones!$1:$1,0)</f>
        <v>6</v>
      </c>
      <c r="X415" s="151">
        <f>+VLOOKUP(PROVEEDORES[[#This Row],[ID RETENCION]],Retenciones!$A$1:$O$25,PROVEEDORES[[#This Row],[indicador de columna]],FALSE)</f>
        <v>0</v>
      </c>
      <c r="Y415" s="152">
        <f>+VLOOKUP(PROVEEDORES[[#This Row],[ID RETENCION]],Retenciones!$A$1:$O$25,2,FALSE)</f>
        <v>0</v>
      </c>
      <c r="Z415" s="153" t="b">
        <f>+OR(COUNTIF(PROVEEDORES[[#This Row],[PROVEEDOR]],"*"&amp;'Palabra que no opera y Listas d'!$A$2&amp;"*"))</f>
        <v>0</v>
      </c>
    </row>
    <row r="416" spans="1:26" ht="27.75" customHeight="1" x14ac:dyDescent="0.3">
      <c r="A416" s="144" t="str">
        <f>+IF(PROVEEDORES[[#This Row],[FECHA DE PAGO]]=PROVEEDORES[[#This Row],[FECHA DE FACTURACIÓN]],"DE CONTADO","CRÉDITO")</f>
        <v>DE CONTADO</v>
      </c>
      <c r="B416" s="144" t="b">
        <f>+IF((PROVEEDORES[[#This Row],[FECHA DE PAGO]]-PROVEEDORES[[#This Row],[FECHA DE FACTURACIÓN]])&gt;PROVEEDORES[[#This Row],[PLAZO Días]],"PAGO VENCIDO")</f>
        <v>0</v>
      </c>
      <c r="C416" s="144">
        <f>+VLOOKUP(PROVEEDORES[[#This Row],[PROVEEDOR]],TERCEROS_INFO[#All],2,FALSE)</f>
        <v>0</v>
      </c>
      <c r="D416" s="145">
        <f>+SUMIFS(PROVEEDORES[Total],PROVEEDORES[PROVEEDOR],PROVEEDORES[[#This Row],[PROVEEDOR]],PROVEEDORES[FECHA DE PAGO],"")</f>
        <v>0</v>
      </c>
      <c r="E416" s="146"/>
      <c r="F416" s="144">
        <f>+VLOOKUP(PROVEEDORES[[#This Row],[PROVEEDOR]],
                       Terceros!$A:$G,
                       5,
                       FALSE)</f>
        <v>0</v>
      </c>
      <c r="G416" s="122">
        <v>45108</v>
      </c>
      <c r="H416" s="102" t="s">
        <v>537</v>
      </c>
      <c r="I416" s="122">
        <v>45108</v>
      </c>
      <c r="J416" s="103" t="s">
        <v>494</v>
      </c>
      <c r="K416" s="103" t="s">
        <v>1512</v>
      </c>
      <c r="L416" s="103"/>
      <c r="M416" s="105">
        <v>62997</v>
      </c>
      <c r="N416" s="147">
        <v>0</v>
      </c>
      <c r="O416" s="147">
        <v>0</v>
      </c>
      <c r="P416" s="148">
        <v>0</v>
      </c>
      <c r="Q416" s="147">
        <v>0</v>
      </c>
      <c r="R416" s="149">
        <v>62997</v>
      </c>
      <c r="S4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6" s="150">
        <f ca="1">+IF(PROVEEDORES[[#This Row],[FECHA DE PAGO]]=0,TODAY()-PROVEEDORES[[#This Row],[FECHA DE FACTURACIÓN]]-PROVEEDORES[[#This Row],[PLAZO Días]],0)</f>
        <v>0</v>
      </c>
      <c r="U416" s="150">
        <f>+VLOOKUP(PROVEEDORES[[#This Row],[PROVEEDOR]],Terceros!$A:$E,4,FALSE)</f>
        <v>0</v>
      </c>
      <c r="V416" s="150">
        <f>+YEAR(PROVEEDORES[[#This Row],[FECHA DE FACTURACIÓN]])</f>
        <v>2023</v>
      </c>
      <c r="W416" s="150">
        <f>+MATCH(PROVEEDORES[[#This Row],[año facturado]],Retenciones!$1:$1,0)</f>
        <v>6</v>
      </c>
      <c r="X416" s="151">
        <f>+VLOOKUP(PROVEEDORES[[#This Row],[ID RETENCION]],Retenciones!$A$1:$O$25,PROVEEDORES[[#This Row],[indicador de columna]],FALSE)</f>
        <v>0</v>
      </c>
      <c r="Y416" s="152">
        <f>+VLOOKUP(PROVEEDORES[[#This Row],[ID RETENCION]],Retenciones!$A$1:$O$25,2,FALSE)</f>
        <v>0</v>
      </c>
      <c r="Z416" s="153" t="b">
        <f>+OR(COUNTIF(PROVEEDORES[[#This Row],[PROVEEDOR]],"*"&amp;'Palabra que no opera y Listas d'!$A$2&amp;"*"))</f>
        <v>0</v>
      </c>
    </row>
    <row r="417" spans="1:26" ht="27.75" customHeight="1" x14ac:dyDescent="0.3">
      <c r="A417" s="144" t="str">
        <f>+IF(PROVEEDORES[[#This Row],[FECHA DE PAGO]]=PROVEEDORES[[#This Row],[FECHA DE FACTURACIÓN]],"DE CONTADO","CRÉDITO")</f>
        <v>DE CONTADO</v>
      </c>
      <c r="B417" s="144" t="b">
        <f>+IF((PROVEEDORES[[#This Row],[FECHA DE PAGO]]-PROVEEDORES[[#This Row],[FECHA DE FACTURACIÓN]])&gt;PROVEEDORES[[#This Row],[PLAZO Días]],"PAGO VENCIDO")</f>
        <v>0</v>
      </c>
      <c r="C417" s="144">
        <f>+VLOOKUP(PROVEEDORES[[#This Row],[PROVEEDOR]],TERCEROS_INFO[#All],2,FALSE)</f>
        <v>0</v>
      </c>
      <c r="D417" s="145">
        <f>+SUMIFS(PROVEEDORES[Total],PROVEEDORES[PROVEEDOR],PROVEEDORES[[#This Row],[PROVEEDOR]],PROVEEDORES[FECHA DE PAGO],"")</f>
        <v>0</v>
      </c>
      <c r="E417" s="146"/>
      <c r="F417" s="144">
        <f>+VLOOKUP(PROVEEDORES[[#This Row],[PROVEEDOR]],
                       Terceros!$A:$G,
                       5,
                       FALSE)</f>
        <v>0</v>
      </c>
      <c r="G417" s="122">
        <v>45108</v>
      </c>
      <c r="H417" s="102" t="s">
        <v>537</v>
      </c>
      <c r="I417" s="122">
        <v>45108</v>
      </c>
      <c r="J417" s="103" t="s">
        <v>1513</v>
      </c>
      <c r="K417" s="103" t="s">
        <v>1512</v>
      </c>
      <c r="L417" s="103"/>
      <c r="M417" s="105">
        <v>171400</v>
      </c>
      <c r="N417" s="147">
        <v>0</v>
      </c>
      <c r="O417" s="147">
        <v>0</v>
      </c>
      <c r="P417" s="148">
        <v>0</v>
      </c>
      <c r="Q417" s="147">
        <v>0</v>
      </c>
      <c r="R417" s="149">
        <v>171400</v>
      </c>
      <c r="S4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7" s="150">
        <f ca="1">+IF(PROVEEDORES[[#This Row],[FECHA DE PAGO]]=0,TODAY()-PROVEEDORES[[#This Row],[FECHA DE FACTURACIÓN]]-PROVEEDORES[[#This Row],[PLAZO Días]],0)</f>
        <v>0</v>
      </c>
      <c r="U417" s="150">
        <f>+VLOOKUP(PROVEEDORES[[#This Row],[PROVEEDOR]],Terceros!$A:$E,4,FALSE)</f>
        <v>0</v>
      </c>
      <c r="V417" s="150">
        <f>+YEAR(PROVEEDORES[[#This Row],[FECHA DE FACTURACIÓN]])</f>
        <v>2023</v>
      </c>
      <c r="W417" s="150">
        <f>+MATCH(PROVEEDORES[[#This Row],[año facturado]],Retenciones!$1:$1,0)</f>
        <v>6</v>
      </c>
      <c r="X417" s="151">
        <f>+VLOOKUP(PROVEEDORES[[#This Row],[ID RETENCION]],Retenciones!$A$1:$O$25,PROVEEDORES[[#This Row],[indicador de columna]],FALSE)</f>
        <v>0</v>
      </c>
      <c r="Y417" s="152">
        <f>+VLOOKUP(PROVEEDORES[[#This Row],[ID RETENCION]],Retenciones!$A$1:$O$25,2,FALSE)</f>
        <v>0</v>
      </c>
      <c r="Z417" s="153" t="b">
        <f>+OR(COUNTIF(PROVEEDORES[[#This Row],[PROVEEDOR]],"*"&amp;'Palabra que no opera y Listas d'!$A$2&amp;"*"))</f>
        <v>0</v>
      </c>
    </row>
    <row r="418" spans="1:26" ht="27.75" customHeight="1" x14ac:dyDescent="0.3">
      <c r="A418" s="144" t="str">
        <f>+IF(PROVEEDORES[[#This Row],[FECHA DE PAGO]]=PROVEEDORES[[#This Row],[FECHA DE FACTURACIÓN]],"DE CONTADO","CRÉDITO")</f>
        <v>DE CONTADO</v>
      </c>
      <c r="B418" s="144" t="b">
        <f>+IF((PROVEEDORES[[#This Row],[FECHA DE PAGO]]-PROVEEDORES[[#This Row],[FECHA DE FACTURACIÓN]])&gt;PROVEEDORES[[#This Row],[PLAZO Días]],"PAGO VENCIDO")</f>
        <v>0</v>
      </c>
      <c r="C418" s="144">
        <f>+VLOOKUP(PROVEEDORES[[#This Row],[PROVEEDOR]],TERCEROS_INFO[#All],2,FALSE)</f>
        <v>0</v>
      </c>
      <c r="D418" s="145">
        <f>+SUMIFS(PROVEEDORES[Total],PROVEEDORES[PROVEEDOR],PROVEEDORES[[#This Row],[PROVEEDOR]],PROVEEDORES[FECHA DE PAGO],"")</f>
        <v>0</v>
      </c>
      <c r="E418" s="146"/>
      <c r="F418" s="144">
        <f>+VLOOKUP(PROVEEDORES[[#This Row],[PROVEEDOR]],
                       Terceros!$A:$G,
                       5,
                       FALSE)</f>
        <v>0</v>
      </c>
      <c r="G418" s="122">
        <v>45108</v>
      </c>
      <c r="H418" s="102" t="s">
        <v>537</v>
      </c>
      <c r="I418" s="122">
        <v>45108</v>
      </c>
      <c r="J418" s="103" t="s">
        <v>491</v>
      </c>
      <c r="K418" s="103" t="s">
        <v>1512</v>
      </c>
      <c r="L418" s="103"/>
      <c r="M418" s="105">
        <v>300500</v>
      </c>
      <c r="N418" s="147">
        <v>0</v>
      </c>
      <c r="O418" s="147">
        <v>0</v>
      </c>
      <c r="P418" s="148">
        <v>0</v>
      </c>
      <c r="Q418" s="147">
        <v>0</v>
      </c>
      <c r="R418" s="149">
        <v>300500</v>
      </c>
      <c r="S4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8" s="150">
        <f ca="1">+IF(PROVEEDORES[[#This Row],[FECHA DE PAGO]]=0,TODAY()-PROVEEDORES[[#This Row],[FECHA DE FACTURACIÓN]]-PROVEEDORES[[#This Row],[PLAZO Días]],0)</f>
        <v>0</v>
      </c>
      <c r="U418" s="150">
        <f>+VLOOKUP(PROVEEDORES[[#This Row],[PROVEEDOR]],Terceros!$A:$E,4,FALSE)</f>
        <v>0</v>
      </c>
      <c r="V418" s="150">
        <f>+YEAR(PROVEEDORES[[#This Row],[FECHA DE FACTURACIÓN]])</f>
        <v>2023</v>
      </c>
      <c r="W418" s="150">
        <f>+MATCH(PROVEEDORES[[#This Row],[año facturado]],Retenciones!$1:$1,0)</f>
        <v>6</v>
      </c>
      <c r="X418" s="151">
        <f>+VLOOKUP(PROVEEDORES[[#This Row],[ID RETENCION]],Retenciones!$A$1:$O$25,PROVEEDORES[[#This Row],[indicador de columna]],FALSE)</f>
        <v>0</v>
      </c>
      <c r="Y418" s="152">
        <f>+VLOOKUP(PROVEEDORES[[#This Row],[ID RETENCION]],Retenciones!$A$1:$O$25,2,FALSE)</f>
        <v>0</v>
      </c>
      <c r="Z418" s="153" t="b">
        <f>+OR(COUNTIF(PROVEEDORES[[#This Row],[PROVEEDOR]],"*"&amp;'Palabra que no opera y Listas d'!$A$2&amp;"*"))</f>
        <v>0</v>
      </c>
    </row>
    <row r="419" spans="1:26" ht="27.75" customHeight="1" x14ac:dyDescent="0.3">
      <c r="A419" s="144" t="str">
        <f>+IF(PROVEEDORES[[#This Row],[FECHA DE PAGO]]=PROVEEDORES[[#This Row],[FECHA DE FACTURACIÓN]],"DE CONTADO","CRÉDITO")</f>
        <v>DE CONTADO</v>
      </c>
      <c r="B419" s="144" t="b">
        <f>+IF((PROVEEDORES[[#This Row],[FECHA DE PAGO]]-PROVEEDORES[[#This Row],[FECHA DE FACTURACIÓN]])&gt;PROVEEDORES[[#This Row],[PLAZO Días]],"PAGO VENCIDO")</f>
        <v>0</v>
      </c>
      <c r="C419" s="144">
        <f>+VLOOKUP(PROVEEDORES[[#This Row],[PROVEEDOR]],TERCEROS_INFO[#All],2,FALSE)</f>
        <v>0</v>
      </c>
      <c r="D419" s="145">
        <f>+SUMIFS(PROVEEDORES[Total],PROVEEDORES[PROVEEDOR],PROVEEDORES[[#This Row],[PROVEEDOR]],PROVEEDORES[FECHA DE PAGO],"")</f>
        <v>0</v>
      </c>
      <c r="E419" s="146"/>
      <c r="F419" s="144">
        <f>+VLOOKUP(PROVEEDORES[[#This Row],[PROVEEDOR]],
                       Terceros!$A:$G,
                       5,
                       FALSE)</f>
        <v>0</v>
      </c>
      <c r="G419" s="122">
        <v>45108</v>
      </c>
      <c r="H419" s="102" t="s">
        <v>537</v>
      </c>
      <c r="I419" s="122">
        <v>45108</v>
      </c>
      <c r="J419" s="103" t="s">
        <v>495</v>
      </c>
      <c r="K419" s="103" t="s">
        <v>1512</v>
      </c>
      <c r="L419" s="103"/>
      <c r="M419" s="105">
        <v>783800</v>
      </c>
      <c r="N419" s="147">
        <v>0</v>
      </c>
      <c r="O419" s="147">
        <v>0</v>
      </c>
      <c r="P419" s="148">
        <v>0</v>
      </c>
      <c r="Q419" s="147">
        <v>0</v>
      </c>
      <c r="R419" s="149">
        <v>783800</v>
      </c>
      <c r="S4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9" s="150">
        <f ca="1">+IF(PROVEEDORES[[#This Row],[FECHA DE PAGO]]=0,TODAY()-PROVEEDORES[[#This Row],[FECHA DE FACTURACIÓN]]-PROVEEDORES[[#This Row],[PLAZO Días]],0)</f>
        <v>0</v>
      </c>
      <c r="U419" s="150">
        <f>+VLOOKUP(PROVEEDORES[[#This Row],[PROVEEDOR]],Terceros!$A:$E,4,FALSE)</f>
        <v>0</v>
      </c>
      <c r="V419" s="150">
        <f>+YEAR(PROVEEDORES[[#This Row],[FECHA DE FACTURACIÓN]])</f>
        <v>2023</v>
      </c>
      <c r="W419" s="150">
        <f>+MATCH(PROVEEDORES[[#This Row],[año facturado]],Retenciones!$1:$1,0)</f>
        <v>6</v>
      </c>
      <c r="X419" s="151">
        <f>+VLOOKUP(PROVEEDORES[[#This Row],[ID RETENCION]],Retenciones!$A$1:$O$25,PROVEEDORES[[#This Row],[indicador de columna]],FALSE)</f>
        <v>0</v>
      </c>
      <c r="Y419" s="152">
        <f>+VLOOKUP(PROVEEDORES[[#This Row],[ID RETENCION]],Retenciones!$A$1:$O$25,2,FALSE)</f>
        <v>0</v>
      </c>
      <c r="Z419" s="153" t="b">
        <f>+OR(COUNTIF(PROVEEDORES[[#This Row],[PROVEEDOR]],"*"&amp;'Palabra que no opera y Listas d'!$A$2&amp;"*"))</f>
        <v>0</v>
      </c>
    </row>
    <row r="420" spans="1:26" ht="27.75" customHeight="1" x14ac:dyDescent="0.3">
      <c r="A420" s="144" t="str">
        <f>+IF(PROVEEDORES[[#This Row],[FECHA DE PAGO]]=PROVEEDORES[[#This Row],[FECHA DE FACTURACIÓN]],"DE CONTADO","CRÉDITO")</f>
        <v>DE CONTADO</v>
      </c>
      <c r="B420" s="144" t="b">
        <f>+IF((PROVEEDORES[[#This Row],[FECHA DE PAGO]]-PROVEEDORES[[#This Row],[FECHA DE FACTURACIÓN]])&gt;PROVEEDORES[[#This Row],[PLAZO Días]],"PAGO VENCIDO")</f>
        <v>0</v>
      </c>
      <c r="C420" s="144">
        <f>+VLOOKUP(PROVEEDORES[[#This Row],[PROVEEDOR]],TERCEROS_INFO[#All],2,FALSE)</f>
        <v>0</v>
      </c>
      <c r="D420" s="145">
        <f>+SUMIFS(PROVEEDORES[Total],PROVEEDORES[PROVEEDOR],PROVEEDORES[[#This Row],[PROVEEDOR]],PROVEEDORES[FECHA DE PAGO],"")</f>
        <v>0</v>
      </c>
      <c r="E420" s="146"/>
      <c r="F420" s="144">
        <f>+VLOOKUP(PROVEEDORES[[#This Row],[PROVEEDOR]],
                       Terceros!$A:$G,
                       5,
                       FALSE)</f>
        <v>0</v>
      </c>
      <c r="G420" s="122">
        <v>45108</v>
      </c>
      <c r="H420" s="102" t="s">
        <v>537</v>
      </c>
      <c r="I420" s="122">
        <v>45108</v>
      </c>
      <c r="J420" s="103" t="s">
        <v>493</v>
      </c>
      <c r="K420" s="103" t="s">
        <v>1512</v>
      </c>
      <c r="L420" s="103"/>
      <c r="M420" s="105">
        <v>840000</v>
      </c>
      <c r="N420" s="147">
        <v>0</v>
      </c>
      <c r="O420" s="147">
        <v>0</v>
      </c>
      <c r="P420" s="148">
        <v>0</v>
      </c>
      <c r="Q420" s="147">
        <v>0</v>
      </c>
      <c r="R420" s="149">
        <v>840000</v>
      </c>
      <c r="S4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0" s="150">
        <f ca="1">+IF(PROVEEDORES[[#This Row],[FECHA DE PAGO]]=0,TODAY()-PROVEEDORES[[#This Row],[FECHA DE FACTURACIÓN]]-PROVEEDORES[[#This Row],[PLAZO Días]],0)</f>
        <v>0</v>
      </c>
      <c r="U420" s="150">
        <f>+VLOOKUP(PROVEEDORES[[#This Row],[PROVEEDOR]],Terceros!$A:$E,4,FALSE)</f>
        <v>0</v>
      </c>
      <c r="V420" s="150">
        <f>+YEAR(PROVEEDORES[[#This Row],[FECHA DE FACTURACIÓN]])</f>
        <v>2023</v>
      </c>
      <c r="W420" s="150">
        <f>+MATCH(PROVEEDORES[[#This Row],[año facturado]],Retenciones!$1:$1,0)</f>
        <v>6</v>
      </c>
      <c r="X420" s="151">
        <f>+VLOOKUP(PROVEEDORES[[#This Row],[ID RETENCION]],Retenciones!$A$1:$O$25,PROVEEDORES[[#This Row],[indicador de columna]],FALSE)</f>
        <v>0</v>
      </c>
      <c r="Y420" s="152">
        <f>+VLOOKUP(PROVEEDORES[[#This Row],[ID RETENCION]],Retenciones!$A$1:$O$25,2,FALSE)</f>
        <v>0</v>
      </c>
      <c r="Z420" s="153" t="b">
        <f>+OR(COUNTIF(PROVEEDORES[[#This Row],[PROVEEDOR]],"*"&amp;'Palabra que no opera y Listas d'!$A$2&amp;"*"))</f>
        <v>0</v>
      </c>
    </row>
    <row r="421" spans="1:26" ht="27.75" customHeight="1" x14ac:dyDescent="0.3">
      <c r="A421" s="144" t="str">
        <f>+IF(PROVEEDORES[[#This Row],[FECHA DE PAGO]]=PROVEEDORES[[#This Row],[FECHA DE FACTURACIÓN]],"DE CONTADO","CRÉDITO")</f>
        <v>DE CONTADO</v>
      </c>
      <c r="B421" s="144" t="b">
        <f>+IF((PROVEEDORES[[#This Row],[FECHA DE PAGO]]-PROVEEDORES[[#This Row],[FECHA DE FACTURACIÓN]])&gt;PROVEEDORES[[#This Row],[PLAZO Días]],"PAGO VENCIDO")</f>
        <v>0</v>
      </c>
      <c r="C421" s="144">
        <f>+VLOOKUP(PROVEEDORES[[#This Row],[PROVEEDOR]],TERCEROS_INFO[#All],2,FALSE)</f>
        <v>0</v>
      </c>
      <c r="D421" s="145">
        <f>+SUMIFS(PROVEEDORES[Total],PROVEEDORES[PROVEEDOR],PROVEEDORES[[#This Row],[PROVEEDOR]],PROVEEDORES[FECHA DE PAGO],"")</f>
        <v>0</v>
      </c>
      <c r="E421" s="146"/>
      <c r="F421" s="144">
        <f>+VLOOKUP(PROVEEDORES[[#This Row],[PROVEEDOR]],
                       Terceros!$A:$G,
                       5,
                       FALSE)</f>
        <v>0</v>
      </c>
      <c r="G421" s="122">
        <v>45108</v>
      </c>
      <c r="H421" s="102" t="s">
        <v>537</v>
      </c>
      <c r="I421" s="122">
        <v>45108</v>
      </c>
      <c r="J421" s="103" t="s">
        <v>492</v>
      </c>
      <c r="K421" s="103" t="s">
        <v>1512</v>
      </c>
      <c r="L421" s="103"/>
      <c r="M421" s="105">
        <v>1419000</v>
      </c>
      <c r="N421" s="147">
        <v>0</v>
      </c>
      <c r="O421" s="147">
        <v>0</v>
      </c>
      <c r="P421" s="148">
        <v>0</v>
      </c>
      <c r="Q421" s="147">
        <v>0</v>
      </c>
      <c r="R421" s="149">
        <v>1419000</v>
      </c>
      <c r="S4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1" s="150">
        <f ca="1">+IF(PROVEEDORES[[#This Row],[FECHA DE PAGO]]=0,TODAY()-PROVEEDORES[[#This Row],[FECHA DE FACTURACIÓN]]-PROVEEDORES[[#This Row],[PLAZO Días]],0)</f>
        <v>0</v>
      </c>
      <c r="U421" s="150">
        <f>+VLOOKUP(PROVEEDORES[[#This Row],[PROVEEDOR]],Terceros!$A:$E,4,FALSE)</f>
        <v>0</v>
      </c>
      <c r="V421" s="150">
        <f>+YEAR(PROVEEDORES[[#This Row],[FECHA DE FACTURACIÓN]])</f>
        <v>2023</v>
      </c>
      <c r="W421" s="150">
        <f>+MATCH(PROVEEDORES[[#This Row],[año facturado]],Retenciones!$1:$1,0)</f>
        <v>6</v>
      </c>
      <c r="X421" s="151">
        <f>+VLOOKUP(PROVEEDORES[[#This Row],[ID RETENCION]],Retenciones!$A$1:$O$25,PROVEEDORES[[#This Row],[indicador de columna]],FALSE)</f>
        <v>0</v>
      </c>
      <c r="Y421" s="152">
        <f>+VLOOKUP(PROVEEDORES[[#This Row],[ID RETENCION]],Retenciones!$A$1:$O$25,2,FALSE)</f>
        <v>0</v>
      </c>
      <c r="Z421" s="153" t="b">
        <f>+OR(COUNTIF(PROVEEDORES[[#This Row],[PROVEEDOR]],"*"&amp;'Palabra que no opera y Listas d'!$A$2&amp;"*"))</f>
        <v>0</v>
      </c>
    </row>
    <row r="422" spans="1:26" ht="27.75" customHeight="1" x14ac:dyDescent="0.3">
      <c r="A422" s="144" t="str">
        <f>+IF(PROVEEDORES[[#This Row],[FECHA DE PAGO]]=PROVEEDORES[[#This Row],[FECHA DE FACTURACIÓN]],"DE CONTADO","CRÉDITO")</f>
        <v>CRÉDITO</v>
      </c>
      <c r="B422" s="144" t="str">
        <f>+IF((PROVEEDORES[[#This Row],[FECHA DE PAGO]]-PROVEEDORES[[#This Row],[FECHA DE FACTURACIÓN]])&gt;PROVEEDORES[[#This Row],[PLAZO Días]],"PAGO VENCIDO")</f>
        <v>PAGO VENCIDO</v>
      </c>
      <c r="C422" s="144">
        <f>+VLOOKUP(PROVEEDORES[[#This Row],[PROVEEDOR]],TERCEROS_INFO[#All],2,FALSE)</f>
        <v>0</v>
      </c>
      <c r="D422" s="145">
        <f>+SUMIFS(PROVEEDORES[Total],PROVEEDORES[PROVEEDOR],PROVEEDORES[[#This Row],[PROVEEDOR]],PROVEEDORES[FECHA DE PAGO],"")</f>
        <v>224000</v>
      </c>
      <c r="E422" s="146"/>
      <c r="F422" s="144">
        <f>+VLOOKUP(PROVEEDORES[[#This Row],[PROVEEDOR]],
                       Terceros!$A:$G,
                       5,
                       FALSE)</f>
        <v>0</v>
      </c>
      <c r="G422" s="122">
        <v>45111</v>
      </c>
      <c r="H422" s="102" t="s">
        <v>539</v>
      </c>
      <c r="I422" s="122">
        <v>45047</v>
      </c>
      <c r="J422" s="103">
        <v>45</v>
      </c>
      <c r="K422" s="103" t="s">
        <v>1512</v>
      </c>
      <c r="L422" s="103"/>
      <c r="M422" s="105">
        <v>420500</v>
      </c>
      <c r="N422" s="147">
        <v>0</v>
      </c>
      <c r="O422" s="147">
        <v>0</v>
      </c>
      <c r="P422" s="148">
        <v>0</v>
      </c>
      <c r="Q422" s="147">
        <v>0</v>
      </c>
      <c r="R422" s="149">
        <v>420500</v>
      </c>
      <c r="S4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2" s="150">
        <f ca="1">+IF(PROVEEDORES[[#This Row],[FECHA DE PAGO]]=0,TODAY()-PROVEEDORES[[#This Row],[FECHA DE FACTURACIÓN]]-PROVEEDORES[[#This Row],[PLAZO Días]],0)</f>
        <v>0</v>
      </c>
      <c r="U422" s="150">
        <f>+VLOOKUP(PROVEEDORES[[#This Row],[PROVEEDOR]],Terceros!$A:$E,4,FALSE)</f>
        <v>0</v>
      </c>
      <c r="V422" s="150">
        <f>+YEAR(PROVEEDORES[[#This Row],[FECHA DE FACTURACIÓN]])</f>
        <v>2023</v>
      </c>
      <c r="W422" s="150">
        <f>+MATCH(PROVEEDORES[[#This Row],[año facturado]],Retenciones!$1:$1,0)</f>
        <v>6</v>
      </c>
      <c r="X422" s="151">
        <f>+VLOOKUP(PROVEEDORES[[#This Row],[ID RETENCION]],Retenciones!$A$1:$O$25,PROVEEDORES[[#This Row],[indicador de columna]],FALSE)</f>
        <v>0</v>
      </c>
      <c r="Y422" s="152">
        <f>+VLOOKUP(PROVEEDORES[[#This Row],[ID RETENCION]],Retenciones!$A$1:$O$25,2,FALSE)</f>
        <v>0</v>
      </c>
      <c r="Z422" s="153" t="b">
        <f>+OR(COUNTIF(PROVEEDORES[[#This Row],[PROVEEDOR]],"*"&amp;'Palabra que no opera y Listas d'!$A$2&amp;"*"))</f>
        <v>0</v>
      </c>
    </row>
    <row r="423" spans="1:26" ht="27.75" customHeight="1" x14ac:dyDescent="0.3">
      <c r="A423" s="144" t="str">
        <f>+IF(PROVEEDORES[[#This Row],[FECHA DE PAGO]]=PROVEEDORES[[#This Row],[FECHA DE FACTURACIÓN]],"DE CONTADO","CRÉDITO")</f>
        <v>CRÉDITO</v>
      </c>
      <c r="B423" s="144" t="str">
        <f>+IF((PROVEEDORES[[#This Row],[FECHA DE PAGO]]-PROVEEDORES[[#This Row],[FECHA DE FACTURACIÓN]])&gt;PROVEEDORES[[#This Row],[PLAZO Días]],"PAGO VENCIDO")</f>
        <v>PAGO VENCIDO</v>
      </c>
      <c r="C423" s="144">
        <f>+VLOOKUP(PROVEEDORES[[#This Row],[PROVEEDOR]],TERCEROS_INFO[#All],2,FALSE)</f>
        <v>0</v>
      </c>
      <c r="D423" s="145">
        <f>+SUMIFS(PROVEEDORES[Total],PROVEEDORES[PROVEEDOR],PROVEEDORES[[#This Row],[PROVEEDOR]],PROVEEDORES[FECHA DE PAGO],"")</f>
        <v>224000</v>
      </c>
      <c r="E423" s="146"/>
      <c r="F423" s="144">
        <f>+VLOOKUP(PROVEEDORES[[#This Row],[PROVEEDOR]],
                       Terceros!$A:$G,
                       5,
                       FALSE)</f>
        <v>0</v>
      </c>
      <c r="G423" s="122">
        <v>45111</v>
      </c>
      <c r="H423" s="102" t="s">
        <v>539</v>
      </c>
      <c r="I423" s="122">
        <v>45055</v>
      </c>
      <c r="J423" s="103">
        <v>46</v>
      </c>
      <c r="K423" s="103" t="s">
        <v>1512</v>
      </c>
      <c r="L423" s="103"/>
      <c r="M423" s="105">
        <v>59000</v>
      </c>
      <c r="N423" s="147">
        <v>0</v>
      </c>
      <c r="O423" s="147">
        <v>0</v>
      </c>
      <c r="P423" s="148">
        <v>0</v>
      </c>
      <c r="Q423" s="147">
        <v>0</v>
      </c>
      <c r="R423" s="149">
        <v>59000</v>
      </c>
      <c r="S4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3" s="150">
        <f ca="1">+IF(PROVEEDORES[[#This Row],[FECHA DE PAGO]]=0,TODAY()-PROVEEDORES[[#This Row],[FECHA DE FACTURACIÓN]]-PROVEEDORES[[#This Row],[PLAZO Días]],0)</f>
        <v>0</v>
      </c>
      <c r="U423" s="150">
        <f>+VLOOKUP(PROVEEDORES[[#This Row],[PROVEEDOR]],Terceros!$A:$E,4,FALSE)</f>
        <v>0</v>
      </c>
      <c r="V423" s="150">
        <f>+YEAR(PROVEEDORES[[#This Row],[FECHA DE FACTURACIÓN]])</f>
        <v>2023</v>
      </c>
      <c r="W423" s="150">
        <f>+MATCH(PROVEEDORES[[#This Row],[año facturado]],Retenciones!$1:$1,0)</f>
        <v>6</v>
      </c>
      <c r="X423" s="151">
        <f>+VLOOKUP(PROVEEDORES[[#This Row],[ID RETENCION]],Retenciones!$A$1:$O$25,PROVEEDORES[[#This Row],[indicador de columna]],FALSE)</f>
        <v>0</v>
      </c>
      <c r="Y423" s="152">
        <f>+VLOOKUP(PROVEEDORES[[#This Row],[ID RETENCION]],Retenciones!$A$1:$O$25,2,FALSE)</f>
        <v>0</v>
      </c>
      <c r="Z423" s="153" t="b">
        <f>+OR(COUNTIF(PROVEEDORES[[#This Row],[PROVEEDOR]],"*"&amp;'Palabra que no opera y Listas d'!$A$2&amp;"*"))</f>
        <v>0</v>
      </c>
    </row>
    <row r="424" spans="1:26" ht="27.75" customHeight="1" x14ac:dyDescent="0.3">
      <c r="A424" s="144" t="str">
        <f>+IF(PROVEEDORES[[#This Row],[FECHA DE PAGO]]=PROVEEDORES[[#This Row],[FECHA DE FACTURACIÓN]],"DE CONTADO","CRÉDITO")</f>
        <v>CRÉDITO</v>
      </c>
      <c r="B424" s="144" t="str">
        <f>+IF((PROVEEDORES[[#This Row],[FECHA DE PAGO]]-PROVEEDORES[[#This Row],[FECHA DE FACTURACIÓN]])&gt;PROVEEDORES[[#This Row],[PLAZO Días]],"PAGO VENCIDO")</f>
        <v>PAGO VENCIDO</v>
      </c>
      <c r="C424" s="144">
        <f>+VLOOKUP(PROVEEDORES[[#This Row],[PROVEEDOR]],TERCEROS_INFO[#All],2,FALSE)</f>
        <v>0</v>
      </c>
      <c r="D424" s="145">
        <f>+SUMIFS(PROVEEDORES[Total],PROVEEDORES[PROVEEDOR],PROVEEDORES[[#This Row],[PROVEEDOR]],PROVEEDORES[FECHA DE PAGO],"")</f>
        <v>9349257.8100000005</v>
      </c>
      <c r="E424" s="146"/>
      <c r="F424" s="144" t="str">
        <f>+VLOOKUP(PROVEEDORES[[#This Row],[PROVEEDOR]],
                       Terceros!$A:$G,
                       5,
                       FALSE)</f>
        <v>2,5% con base</v>
      </c>
      <c r="G424" s="122">
        <v>45111</v>
      </c>
      <c r="H424" s="102" t="s">
        <v>242</v>
      </c>
      <c r="I424" s="122">
        <v>45056</v>
      </c>
      <c r="J424" s="103" t="s">
        <v>808</v>
      </c>
      <c r="K424" s="103" t="s">
        <v>1512</v>
      </c>
      <c r="L424" s="103"/>
      <c r="M424" s="105">
        <v>3156811</v>
      </c>
      <c r="N424" s="147">
        <v>599794.09</v>
      </c>
      <c r="O424" s="147">
        <v>0</v>
      </c>
      <c r="P424" s="148">
        <v>2.5000000000000001E-2</v>
      </c>
      <c r="Q424" s="147">
        <v>78920.275000000009</v>
      </c>
      <c r="R424" s="149">
        <v>3677684.8149999999</v>
      </c>
      <c r="S4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4" s="150">
        <f ca="1">+IF(PROVEEDORES[[#This Row],[FECHA DE PAGO]]=0,TODAY()-PROVEEDORES[[#This Row],[FECHA DE FACTURACIÓN]]-PROVEEDORES[[#This Row],[PLAZO Días]],0)</f>
        <v>0</v>
      </c>
      <c r="U424" s="150">
        <f>+VLOOKUP(PROVEEDORES[[#This Row],[PROVEEDOR]],Terceros!$A:$E,4,FALSE)</f>
        <v>0.19</v>
      </c>
      <c r="V424" s="150">
        <f>+YEAR(PROVEEDORES[[#This Row],[FECHA DE FACTURACIÓN]])</f>
        <v>2023</v>
      </c>
      <c r="W424" s="150">
        <f>+MATCH(PROVEEDORES[[#This Row],[año facturado]],Retenciones!$1:$1,0)</f>
        <v>6</v>
      </c>
      <c r="X424" s="151" t="e">
        <f>+VLOOKUP(PROVEEDORES[[#This Row],[ID RETENCION]],Retenciones!$A$1:$O$25,PROVEEDORES[[#This Row],[indicador de columna]],FALSE)</f>
        <v>#N/A</v>
      </c>
      <c r="Y424" s="152" t="e">
        <f>+VLOOKUP(PROVEEDORES[[#This Row],[ID RETENCION]],Retenciones!$A$1:$O$25,2,FALSE)</f>
        <v>#N/A</v>
      </c>
      <c r="Z424" s="153" t="b">
        <f>+OR(COUNTIF(PROVEEDORES[[#This Row],[PROVEEDOR]],"*"&amp;'Palabra que no opera y Listas d'!$A$2&amp;"*"))</f>
        <v>0</v>
      </c>
    </row>
    <row r="425" spans="1:26" ht="27.75" customHeight="1" x14ac:dyDescent="0.3">
      <c r="A425" s="144" t="str">
        <f>+IF(PROVEEDORES[[#This Row],[FECHA DE PAGO]]=PROVEEDORES[[#This Row],[FECHA DE FACTURACIÓN]],"DE CONTADO","CRÉDITO")</f>
        <v>CRÉDITO</v>
      </c>
      <c r="B425" s="144" t="str">
        <f>+IF((PROVEEDORES[[#This Row],[FECHA DE PAGO]]-PROVEEDORES[[#This Row],[FECHA DE FACTURACIÓN]])&gt;PROVEEDORES[[#This Row],[PLAZO Días]],"PAGO VENCIDO")</f>
        <v>PAGO VENCIDO</v>
      </c>
      <c r="C425" s="144">
        <f>+VLOOKUP(PROVEEDORES[[#This Row],[PROVEEDOR]],TERCEROS_INFO[#All],2,FALSE)</f>
        <v>0</v>
      </c>
      <c r="D425" s="145">
        <f>+SUMIFS(PROVEEDORES[Total],PROVEEDORES[PROVEEDOR],PROVEEDORES[[#This Row],[PROVEEDOR]],PROVEEDORES[FECHA DE PAGO],"")</f>
        <v>0</v>
      </c>
      <c r="E425" s="146"/>
      <c r="F425" s="144" t="str">
        <f>+VLOOKUP(PROVEEDORES[[#This Row],[PROVEEDOR]],
                       Terceros!$A:$G,
                       5,
                       FALSE)</f>
        <v>2,5% con base</v>
      </c>
      <c r="G425" s="122">
        <v>45111</v>
      </c>
      <c r="H425" s="102" t="s">
        <v>15</v>
      </c>
      <c r="I425" s="122">
        <v>45057</v>
      </c>
      <c r="J425" s="103" t="s">
        <v>807</v>
      </c>
      <c r="K425" s="103" t="s">
        <v>1512</v>
      </c>
      <c r="L425" s="103"/>
      <c r="M425" s="105">
        <v>436975</v>
      </c>
      <c r="N425" s="147">
        <v>83025.25</v>
      </c>
      <c r="O425" s="147">
        <v>0</v>
      </c>
      <c r="P425" s="148">
        <v>0</v>
      </c>
      <c r="Q425" s="147">
        <v>0</v>
      </c>
      <c r="R425" s="149">
        <v>520000.25</v>
      </c>
      <c r="S4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5" s="150">
        <f ca="1">+IF(PROVEEDORES[[#This Row],[FECHA DE PAGO]]=0,TODAY()-PROVEEDORES[[#This Row],[FECHA DE FACTURACIÓN]]-PROVEEDORES[[#This Row],[PLAZO Días]],0)</f>
        <v>0</v>
      </c>
      <c r="U425" s="150">
        <f>+VLOOKUP(PROVEEDORES[[#This Row],[PROVEEDOR]],Terceros!$A:$E,4,FALSE)</f>
        <v>0.19</v>
      </c>
      <c r="V425" s="150">
        <f>+YEAR(PROVEEDORES[[#This Row],[FECHA DE FACTURACIÓN]])</f>
        <v>2023</v>
      </c>
      <c r="W425" s="150">
        <f>+MATCH(PROVEEDORES[[#This Row],[año facturado]],Retenciones!$1:$1,0)</f>
        <v>6</v>
      </c>
      <c r="X425" s="151" t="e">
        <f>+VLOOKUP(PROVEEDORES[[#This Row],[ID RETENCION]],Retenciones!$A$1:$O$25,PROVEEDORES[[#This Row],[indicador de columna]],FALSE)</f>
        <v>#N/A</v>
      </c>
      <c r="Y425" s="152" t="e">
        <f>+VLOOKUP(PROVEEDORES[[#This Row],[ID RETENCION]],Retenciones!$A$1:$O$25,2,FALSE)</f>
        <v>#N/A</v>
      </c>
      <c r="Z425" s="153" t="b">
        <f>+OR(COUNTIF(PROVEEDORES[[#This Row],[PROVEEDOR]],"*"&amp;'Palabra que no opera y Listas d'!$A$2&amp;"*"))</f>
        <v>0</v>
      </c>
    </row>
    <row r="426" spans="1:26" ht="27.75" customHeight="1" x14ac:dyDescent="0.3">
      <c r="A426" s="144" t="str">
        <f>+IF(PROVEEDORES[[#This Row],[FECHA DE PAGO]]=PROVEEDORES[[#This Row],[FECHA DE FACTURACIÓN]],"DE CONTADO","CRÉDITO")</f>
        <v>CRÉDITO</v>
      </c>
      <c r="B426" s="144" t="str">
        <f>+IF((PROVEEDORES[[#This Row],[FECHA DE PAGO]]-PROVEEDORES[[#This Row],[FECHA DE FACTURACIÓN]])&gt;PROVEEDORES[[#This Row],[PLAZO Días]],"PAGO VENCIDO")</f>
        <v>PAGO VENCIDO</v>
      </c>
      <c r="C426" s="144">
        <f>+VLOOKUP(PROVEEDORES[[#This Row],[PROVEEDOR]],TERCEROS_INFO[#All],2,FALSE)</f>
        <v>0</v>
      </c>
      <c r="D426" s="145">
        <f>+SUMIFS(PROVEEDORES[Total],PROVEEDORES[PROVEEDOR],PROVEEDORES[[#This Row],[PROVEEDOR]],PROVEEDORES[FECHA DE PAGO],"")</f>
        <v>9349257.8100000005</v>
      </c>
      <c r="E426" s="146"/>
      <c r="F426" s="144" t="str">
        <f>+VLOOKUP(PROVEEDORES[[#This Row],[PROVEEDOR]],
                       Terceros!$A:$G,
                       5,
                       FALSE)</f>
        <v>2,5% con base</v>
      </c>
      <c r="G426" s="122">
        <v>45111</v>
      </c>
      <c r="H426" s="102" t="s">
        <v>242</v>
      </c>
      <c r="I426" s="122">
        <v>45062</v>
      </c>
      <c r="J426" s="103" t="s">
        <v>809</v>
      </c>
      <c r="K426" s="103" t="s">
        <v>1512</v>
      </c>
      <c r="L426" s="103"/>
      <c r="M426" s="105">
        <v>-123655</v>
      </c>
      <c r="N426" s="147">
        <v>-23494.45</v>
      </c>
      <c r="O426" s="147">
        <v>0</v>
      </c>
      <c r="P426" s="148">
        <v>0</v>
      </c>
      <c r="Q426" s="147">
        <v>0</v>
      </c>
      <c r="R426" s="149">
        <v>-147149.45000000001</v>
      </c>
      <c r="S4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6" s="150">
        <f ca="1">+IF(PROVEEDORES[[#This Row],[FECHA DE PAGO]]=0,TODAY()-PROVEEDORES[[#This Row],[FECHA DE FACTURACIÓN]]-PROVEEDORES[[#This Row],[PLAZO Días]],0)</f>
        <v>0</v>
      </c>
      <c r="U426" s="150">
        <f>+VLOOKUP(PROVEEDORES[[#This Row],[PROVEEDOR]],Terceros!$A:$E,4,FALSE)</f>
        <v>0.19</v>
      </c>
      <c r="V426" s="150">
        <f>+YEAR(PROVEEDORES[[#This Row],[FECHA DE FACTURACIÓN]])</f>
        <v>2023</v>
      </c>
      <c r="W426" s="150">
        <f>+MATCH(PROVEEDORES[[#This Row],[año facturado]],Retenciones!$1:$1,0)</f>
        <v>6</v>
      </c>
      <c r="X426" s="151" t="e">
        <f>+VLOOKUP(PROVEEDORES[[#This Row],[ID RETENCION]],Retenciones!$A$1:$O$25,PROVEEDORES[[#This Row],[indicador de columna]],FALSE)</f>
        <v>#N/A</v>
      </c>
      <c r="Y426" s="152" t="e">
        <f>+VLOOKUP(PROVEEDORES[[#This Row],[ID RETENCION]],Retenciones!$A$1:$O$25,2,FALSE)</f>
        <v>#N/A</v>
      </c>
      <c r="Z426" s="153" t="b">
        <f>+OR(COUNTIF(PROVEEDORES[[#This Row],[PROVEEDOR]],"*"&amp;'Palabra que no opera y Listas d'!$A$2&amp;"*"))</f>
        <v>0</v>
      </c>
    </row>
    <row r="427" spans="1:26" ht="27.75" customHeight="1" x14ac:dyDescent="0.3">
      <c r="A427" s="144" t="str">
        <f>+IF(PROVEEDORES[[#This Row],[FECHA DE PAGO]]=PROVEEDORES[[#This Row],[FECHA DE FACTURACIÓN]],"DE CONTADO","CRÉDITO")</f>
        <v>CRÉDITO</v>
      </c>
      <c r="B427" s="144" t="str">
        <f>+IF((PROVEEDORES[[#This Row],[FECHA DE PAGO]]-PROVEEDORES[[#This Row],[FECHA DE FACTURACIÓN]])&gt;PROVEEDORES[[#This Row],[PLAZO Días]],"PAGO VENCIDO")</f>
        <v>PAGO VENCIDO</v>
      </c>
      <c r="C427" s="144">
        <f>+VLOOKUP(PROVEEDORES[[#This Row],[PROVEEDOR]],TERCEROS_INFO[#All],2,FALSE)</f>
        <v>0</v>
      </c>
      <c r="D427" s="145">
        <f>+SUMIFS(PROVEEDORES[Total],PROVEEDORES[PROVEEDOR],PROVEEDORES[[#This Row],[PROVEEDOR]],PROVEEDORES[FECHA DE PAGO],"")</f>
        <v>224000</v>
      </c>
      <c r="E427" s="146"/>
      <c r="F427" s="144">
        <f>+VLOOKUP(PROVEEDORES[[#This Row],[PROVEEDOR]],
                       Terceros!$A:$G,
                       5,
                       FALSE)</f>
        <v>0</v>
      </c>
      <c r="G427" s="122">
        <v>45111</v>
      </c>
      <c r="H427" s="102" t="s">
        <v>539</v>
      </c>
      <c r="I427" s="122">
        <v>45065</v>
      </c>
      <c r="J427" s="103">
        <v>47</v>
      </c>
      <c r="K427" s="103" t="s">
        <v>1512</v>
      </c>
      <c r="L427" s="103"/>
      <c r="M427" s="105">
        <v>58000</v>
      </c>
      <c r="N427" s="147">
        <v>0</v>
      </c>
      <c r="O427" s="147">
        <v>0</v>
      </c>
      <c r="P427" s="148">
        <v>0</v>
      </c>
      <c r="Q427" s="147">
        <v>0</v>
      </c>
      <c r="R427" s="149">
        <v>58000</v>
      </c>
      <c r="S4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7" s="150">
        <f ca="1">+IF(PROVEEDORES[[#This Row],[FECHA DE PAGO]]=0,TODAY()-PROVEEDORES[[#This Row],[FECHA DE FACTURACIÓN]]-PROVEEDORES[[#This Row],[PLAZO Días]],0)</f>
        <v>0</v>
      </c>
      <c r="U427" s="150">
        <f>+VLOOKUP(PROVEEDORES[[#This Row],[PROVEEDOR]],Terceros!$A:$E,4,FALSE)</f>
        <v>0</v>
      </c>
      <c r="V427" s="150">
        <f>+YEAR(PROVEEDORES[[#This Row],[FECHA DE FACTURACIÓN]])</f>
        <v>2023</v>
      </c>
      <c r="W427" s="150">
        <f>+MATCH(PROVEEDORES[[#This Row],[año facturado]],Retenciones!$1:$1,0)</f>
        <v>6</v>
      </c>
      <c r="X427" s="151">
        <f>+VLOOKUP(PROVEEDORES[[#This Row],[ID RETENCION]],Retenciones!$A$1:$O$25,PROVEEDORES[[#This Row],[indicador de columna]],FALSE)</f>
        <v>0</v>
      </c>
      <c r="Y427" s="152">
        <f>+VLOOKUP(PROVEEDORES[[#This Row],[ID RETENCION]],Retenciones!$A$1:$O$25,2,FALSE)</f>
        <v>0</v>
      </c>
      <c r="Z427" s="153" t="b">
        <f>+OR(COUNTIF(PROVEEDORES[[#This Row],[PROVEEDOR]],"*"&amp;'Palabra que no opera y Listas d'!$A$2&amp;"*"))</f>
        <v>0</v>
      </c>
    </row>
    <row r="428" spans="1:26" ht="27.75" customHeight="1" x14ac:dyDescent="0.3">
      <c r="A428" s="144" t="str">
        <f>+IF(PROVEEDORES[[#This Row],[FECHA DE PAGO]]=PROVEEDORES[[#This Row],[FECHA DE FACTURACIÓN]],"DE CONTADO","CRÉDITO")</f>
        <v>CRÉDITO</v>
      </c>
      <c r="B428" s="144" t="str">
        <f>+IF((PROVEEDORES[[#This Row],[FECHA DE PAGO]]-PROVEEDORES[[#This Row],[FECHA DE FACTURACIÓN]])&gt;PROVEEDORES[[#This Row],[PLAZO Días]],"PAGO VENCIDO")</f>
        <v>PAGO VENCIDO</v>
      </c>
      <c r="C428" s="144">
        <f>+VLOOKUP(PROVEEDORES[[#This Row],[PROVEEDOR]],TERCEROS_INFO[#All],2,FALSE)</f>
        <v>0</v>
      </c>
      <c r="D428" s="145">
        <f>+SUMIFS(PROVEEDORES[Total],PROVEEDORES[PROVEEDOR],PROVEEDORES[[#This Row],[PROVEEDOR]],PROVEEDORES[FECHA DE PAGO],"")</f>
        <v>224000</v>
      </c>
      <c r="E428" s="146"/>
      <c r="F428" s="144">
        <f>+VLOOKUP(PROVEEDORES[[#This Row],[PROVEEDOR]],
                       Terceros!$A:$G,
                       5,
                       FALSE)</f>
        <v>0</v>
      </c>
      <c r="G428" s="122">
        <v>45111</v>
      </c>
      <c r="H428" s="102" t="s">
        <v>539</v>
      </c>
      <c r="I428" s="122">
        <v>45067</v>
      </c>
      <c r="J428" s="103">
        <v>48</v>
      </c>
      <c r="K428" s="103" t="s">
        <v>1512</v>
      </c>
      <c r="L428" s="103"/>
      <c r="M428" s="105">
        <v>54000</v>
      </c>
      <c r="N428" s="147">
        <v>0</v>
      </c>
      <c r="O428" s="147">
        <v>0</v>
      </c>
      <c r="P428" s="148">
        <v>0</v>
      </c>
      <c r="Q428" s="147">
        <v>0</v>
      </c>
      <c r="R428" s="149">
        <v>54000</v>
      </c>
      <c r="S4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8" s="150">
        <f ca="1">+IF(PROVEEDORES[[#This Row],[FECHA DE PAGO]]=0,TODAY()-PROVEEDORES[[#This Row],[FECHA DE FACTURACIÓN]]-PROVEEDORES[[#This Row],[PLAZO Días]],0)</f>
        <v>0</v>
      </c>
      <c r="U428" s="150">
        <f>+VLOOKUP(PROVEEDORES[[#This Row],[PROVEEDOR]],Terceros!$A:$E,4,FALSE)</f>
        <v>0</v>
      </c>
      <c r="V428" s="150">
        <f>+YEAR(PROVEEDORES[[#This Row],[FECHA DE FACTURACIÓN]])</f>
        <v>2023</v>
      </c>
      <c r="W428" s="150">
        <f>+MATCH(PROVEEDORES[[#This Row],[año facturado]],Retenciones!$1:$1,0)</f>
        <v>6</v>
      </c>
      <c r="X428" s="151">
        <f>+VLOOKUP(PROVEEDORES[[#This Row],[ID RETENCION]],Retenciones!$A$1:$O$25,PROVEEDORES[[#This Row],[indicador de columna]],FALSE)</f>
        <v>0</v>
      </c>
      <c r="Y428" s="152">
        <f>+VLOOKUP(PROVEEDORES[[#This Row],[ID RETENCION]],Retenciones!$A$1:$O$25,2,FALSE)</f>
        <v>0</v>
      </c>
      <c r="Z428" s="153" t="b">
        <f>+OR(COUNTIF(PROVEEDORES[[#This Row],[PROVEEDOR]],"*"&amp;'Palabra que no opera y Listas d'!$A$2&amp;"*"))</f>
        <v>0</v>
      </c>
    </row>
    <row r="429" spans="1:26" ht="27.75" customHeight="1" x14ac:dyDescent="0.3">
      <c r="A429" s="144" t="str">
        <f>+IF(PROVEEDORES[[#This Row],[FECHA DE PAGO]]=PROVEEDORES[[#This Row],[FECHA DE FACTURACIÓN]],"DE CONTADO","CRÉDITO")</f>
        <v>CRÉDITO</v>
      </c>
      <c r="B429" s="144" t="str">
        <f>+IF((PROVEEDORES[[#This Row],[FECHA DE PAGO]]-PROVEEDORES[[#This Row],[FECHA DE FACTURACIÓN]])&gt;PROVEEDORES[[#This Row],[PLAZO Días]],"PAGO VENCIDO")</f>
        <v>PAGO VENCIDO</v>
      </c>
      <c r="C429" s="144">
        <f>+VLOOKUP(PROVEEDORES[[#This Row],[PROVEEDOR]],TERCEROS_INFO[#All],2,FALSE)</f>
        <v>0</v>
      </c>
      <c r="D429" s="145">
        <f>+SUMIFS(PROVEEDORES[Total],PROVEEDORES[PROVEEDOR],PROVEEDORES[[#This Row],[PROVEEDOR]],PROVEEDORES[FECHA DE PAGO],"")</f>
        <v>224000</v>
      </c>
      <c r="E429" s="146"/>
      <c r="F429" s="144">
        <f>+VLOOKUP(PROVEEDORES[[#This Row],[PROVEEDOR]],
                       Terceros!$A:$G,
                       5,
                       FALSE)</f>
        <v>0</v>
      </c>
      <c r="G429" s="122">
        <v>45111</v>
      </c>
      <c r="H429" s="102" t="s">
        <v>539</v>
      </c>
      <c r="I429" s="122">
        <v>45076</v>
      </c>
      <c r="J429" s="103">
        <v>49</v>
      </c>
      <c r="K429" s="103" t="s">
        <v>1512</v>
      </c>
      <c r="L429" s="103"/>
      <c r="M429" s="105">
        <v>101500</v>
      </c>
      <c r="N429" s="147">
        <v>0</v>
      </c>
      <c r="O429" s="147">
        <v>0</v>
      </c>
      <c r="P429" s="148">
        <v>0</v>
      </c>
      <c r="Q429" s="147">
        <v>0</v>
      </c>
      <c r="R429" s="149">
        <v>101500</v>
      </c>
      <c r="S4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9" s="150">
        <f ca="1">+IF(PROVEEDORES[[#This Row],[FECHA DE PAGO]]=0,TODAY()-PROVEEDORES[[#This Row],[FECHA DE FACTURACIÓN]]-PROVEEDORES[[#This Row],[PLAZO Días]],0)</f>
        <v>0</v>
      </c>
      <c r="U429" s="150">
        <f>+VLOOKUP(PROVEEDORES[[#This Row],[PROVEEDOR]],Terceros!$A:$E,4,FALSE)</f>
        <v>0</v>
      </c>
      <c r="V429" s="150">
        <f>+YEAR(PROVEEDORES[[#This Row],[FECHA DE FACTURACIÓN]])</f>
        <v>2023</v>
      </c>
      <c r="W429" s="150">
        <f>+MATCH(PROVEEDORES[[#This Row],[año facturado]],Retenciones!$1:$1,0)</f>
        <v>6</v>
      </c>
      <c r="X429" s="151">
        <f>+VLOOKUP(PROVEEDORES[[#This Row],[ID RETENCION]],Retenciones!$A$1:$O$25,PROVEEDORES[[#This Row],[indicador de columna]],FALSE)</f>
        <v>0</v>
      </c>
      <c r="Y429" s="152">
        <f>+VLOOKUP(PROVEEDORES[[#This Row],[ID RETENCION]],Retenciones!$A$1:$O$25,2,FALSE)</f>
        <v>0</v>
      </c>
      <c r="Z429" s="153" t="b">
        <f>+OR(COUNTIF(PROVEEDORES[[#This Row],[PROVEEDOR]],"*"&amp;'Palabra que no opera y Listas d'!$A$2&amp;"*"))</f>
        <v>0</v>
      </c>
    </row>
    <row r="430" spans="1:26" ht="27.75" customHeight="1" x14ac:dyDescent="0.3">
      <c r="A430" s="144" t="str">
        <f>+IF(PROVEEDORES[[#This Row],[FECHA DE PAGO]]=PROVEEDORES[[#This Row],[FECHA DE FACTURACIÓN]],"DE CONTADO","CRÉDITO")</f>
        <v>CRÉDITO</v>
      </c>
      <c r="B430" s="144" t="str">
        <f>+IF((PROVEEDORES[[#This Row],[FECHA DE PAGO]]-PROVEEDORES[[#This Row],[FECHA DE FACTURACIÓN]])&gt;PROVEEDORES[[#This Row],[PLAZO Días]],"PAGO VENCIDO")</f>
        <v>PAGO VENCIDO</v>
      </c>
      <c r="C430" s="144">
        <f>+VLOOKUP(PROVEEDORES[[#This Row],[PROVEEDOR]],TERCEROS_INFO[#All],2,FALSE)</f>
        <v>0</v>
      </c>
      <c r="D430" s="145">
        <f>+SUMIFS(PROVEEDORES[Total],PROVEEDORES[PROVEEDOR],PROVEEDORES[[#This Row],[PROVEEDOR]],PROVEEDORES[FECHA DE PAGO],"")</f>
        <v>224000</v>
      </c>
      <c r="E430" s="146"/>
      <c r="F430" s="144">
        <f>+VLOOKUP(PROVEEDORES[[#This Row],[PROVEEDOR]],
                       Terceros!$A:$G,
                       5,
                       FALSE)</f>
        <v>0</v>
      </c>
      <c r="G430" s="122">
        <v>45111</v>
      </c>
      <c r="H430" s="102" t="s">
        <v>539</v>
      </c>
      <c r="I430" s="122">
        <v>45079</v>
      </c>
      <c r="J430" s="103">
        <v>50</v>
      </c>
      <c r="K430" s="103" t="s">
        <v>1512</v>
      </c>
      <c r="L430" s="103"/>
      <c r="M430" s="105">
        <v>170000</v>
      </c>
      <c r="N430" s="147">
        <v>0</v>
      </c>
      <c r="O430" s="147">
        <v>0</v>
      </c>
      <c r="P430" s="148">
        <v>0</v>
      </c>
      <c r="Q430" s="147">
        <v>0</v>
      </c>
      <c r="R430" s="149">
        <v>170000</v>
      </c>
      <c r="S4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0" s="150">
        <f ca="1">+IF(PROVEEDORES[[#This Row],[FECHA DE PAGO]]=0,TODAY()-PROVEEDORES[[#This Row],[FECHA DE FACTURACIÓN]]-PROVEEDORES[[#This Row],[PLAZO Días]],0)</f>
        <v>0</v>
      </c>
      <c r="U430" s="150">
        <f>+VLOOKUP(PROVEEDORES[[#This Row],[PROVEEDOR]],Terceros!$A:$E,4,FALSE)</f>
        <v>0</v>
      </c>
      <c r="V430" s="150">
        <f>+YEAR(PROVEEDORES[[#This Row],[FECHA DE FACTURACIÓN]])</f>
        <v>2023</v>
      </c>
      <c r="W430" s="150">
        <f>+MATCH(PROVEEDORES[[#This Row],[año facturado]],Retenciones!$1:$1,0)</f>
        <v>6</v>
      </c>
      <c r="X430" s="151">
        <f>+VLOOKUP(PROVEEDORES[[#This Row],[ID RETENCION]],Retenciones!$A$1:$O$25,PROVEEDORES[[#This Row],[indicador de columna]],FALSE)</f>
        <v>0</v>
      </c>
      <c r="Y430" s="152">
        <f>+VLOOKUP(PROVEEDORES[[#This Row],[ID RETENCION]],Retenciones!$A$1:$O$25,2,FALSE)</f>
        <v>0</v>
      </c>
      <c r="Z430" s="153" t="b">
        <f>+OR(COUNTIF(PROVEEDORES[[#This Row],[PROVEEDOR]],"*"&amp;'Palabra que no opera y Listas d'!$A$2&amp;"*"))</f>
        <v>0</v>
      </c>
    </row>
    <row r="431" spans="1:26" ht="27.75" customHeight="1" x14ac:dyDescent="0.3">
      <c r="A431" s="144" t="str">
        <f>+IF(PROVEEDORES[[#This Row],[FECHA DE PAGO]]=PROVEEDORES[[#This Row],[FECHA DE FACTURACIÓN]],"DE CONTADO","CRÉDITO")</f>
        <v>CRÉDITO</v>
      </c>
      <c r="B431" s="144" t="str">
        <f>+IF((PROVEEDORES[[#This Row],[FECHA DE PAGO]]-PROVEEDORES[[#This Row],[FECHA DE FACTURACIÓN]])&gt;PROVEEDORES[[#This Row],[PLAZO Días]],"PAGO VENCIDO")</f>
        <v>PAGO VENCIDO</v>
      </c>
      <c r="C431" s="144">
        <f>+VLOOKUP(PROVEEDORES[[#This Row],[PROVEEDOR]],TERCEROS_INFO[#All],2,FALSE)</f>
        <v>0</v>
      </c>
      <c r="D431" s="145">
        <f>+SUMIFS(PROVEEDORES[Total],PROVEEDORES[PROVEEDOR],PROVEEDORES[[#This Row],[PROVEEDOR]],PROVEEDORES[FECHA DE PAGO],"")</f>
        <v>224000</v>
      </c>
      <c r="E431" s="146"/>
      <c r="F431" s="144">
        <f>+VLOOKUP(PROVEEDORES[[#This Row],[PROVEEDOR]],
                       Terceros!$A:$G,
                       5,
                       FALSE)</f>
        <v>0</v>
      </c>
      <c r="G431" s="122">
        <v>45111</v>
      </c>
      <c r="H431" s="102" t="s">
        <v>539</v>
      </c>
      <c r="I431" s="122">
        <v>45083</v>
      </c>
      <c r="J431" s="103">
        <v>51</v>
      </c>
      <c r="K431" s="103" t="s">
        <v>1512</v>
      </c>
      <c r="L431" s="103"/>
      <c r="M431" s="105">
        <v>330000</v>
      </c>
      <c r="N431" s="147">
        <v>0</v>
      </c>
      <c r="O431" s="147">
        <v>0</v>
      </c>
      <c r="P431" s="148">
        <v>0</v>
      </c>
      <c r="Q431" s="147">
        <v>0</v>
      </c>
      <c r="R431" s="149">
        <v>330000</v>
      </c>
      <c r="S4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1" s="150">
        <f ca="1">+IF(PROVEEDORES[[#This Row],[FECHA DE PAGO]]=0,TODAY()-PROVEEDORES[[#This Row],[FECHA DE FACTURACIÓN]]-PROVEEDORES[[#This Row],[PLAZO Días]],0)</f>
        <v>0</v>
      </c>
      <c r="U431" s="150">
        <f>+VLOOKUP(PROVEEDORES[[#This Row],[PROVEEDOR]],Terceros!$A:$E,4,FALSE)</f>
        <v>0</v>
      </c>
      <c r="V431" s="150">
        <f>+YEAR(PROVEEDORES[[#This Row],[FECHA DE FACTURACIÓN]])</f>
        <v>2023</v>
      </c>
      <c r="W431" s="150">
        <f>+MATCH(PROVEEDORES[[#This Row],[año facturado]],Retenciones!$1:$1,0)</f>
        <v>6</v>
      </c>
      <c r="X431" s="151">
        <f>+VLOOKUP(PROVEEDORES[[#This Row],[ID RETENCION]],Retenciones!$A$1:$O$25,PROVEEDORES[[#This Row],[indicador de columna]],FALSE)</f>
        <v>0</v>
      </c>
      <c r="Y431" s="152">
        <f>+VLOOKUP(PROVEEDORES[[#This Row],[ID RETENCION]],Retenciones!$A$1:$O$25,2,FALSE)</f>
        <v>0</v>
      </c>
      <c r="Z431" s="153" t="b">
        <f>+OR(COUNTIF(PROVEEDORES[[#This Row],[PROVEEDOR]],"*"&amp;'Palabra que no opera y Listas d'!$A$2&amp;"*"))</f>
        <v>0</v>
      </c>
    </row>
    <row r="432" spans="1:26" ht="27.75" customHeight="1" x14ac:dyDescent="0.3">
      <c r="A432" s="144" t="str">
        <f>+IF(PROVEEDORES[[#This Row],[FECHA DE PAGO]]=PROVEEDORES[[#This Row],[FECHA DE FACTURACIÓN]],"DE CONTADO","CRÉDITO")</f>
        <v>CRÉDITO</v>
      </c>
      <c r="B432" s="144" t="str">
        <f>+IF((PROVEEDORES[[#This Row],[FECHA DE PAGO]]-PROVEEDORES[[#This Row],[FECHA DE FACTURACIÓN]])&gt;PROVEEDORES[[#This Row],[PLAZO Días]],"PAGO VENCIDO")</f>
        <v>PAGO VENCIDO</v>
      </c>
      <c r="C432" s="144">
        <f>+VLOOKUP(PROVEEDORES[[#This Row],[PROVEEDOR]],TERCEROS_INFO[#All],2,FALSE)</f>
        <v>0</v>
      </c>
      <c r="D432" s="145">
        <f>+SUMIFS(PROVEEDORES[Total],PROVEEDORES[PROVEEDOR],PROVEEDORES[[#This Row],[PROVEEDOR]],PROVEEDORES[FECHA DE PAGO],"")</f>
        <v>224000</v>
      </c>
      <c r="E432" s="146"/>
      <c r="F432" s="144">
        <f>+VLOOKUP(PROVEEDORES[[#This Row],[PROVEEDOR]],
                       Terceros!$A:$G,
                       5,
                       FALSE)</f>
        <v>0</v>
      </c>
      <c r="G432" s="122">
        <v>45111</v>
      </c>
      <c r="H432" s="102" t="s">
        <v>539</v>
      </c>
      <c r="I432" s="122">
        <v>45084</v>
      </c>
      <c r="J432" s="103">
        <v>52</v>
      </c>
      <c r="K432" s="103" t="s">
        <v>1512</v>
      </c>
      <c r="L432" s="103"/>
      <c r="M432" s="105">
        <v>110000</v>
      </c>
      <c r="N432" s="147">
        <v>0</v>
      </c>
      <c r="O432" s="147">
        <v>0</v>
      </c>
      <c r="P432" s="148">
        <v>0</v>
      </c>
      <c r="Q432" s="147">
        <v>0</v>
      </c>
      <c r="R432" s="149">
        <v>110000</v>
      </c>
      <c r="S4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2" s="150">
        <f ca="1">+IF(PROVEEDORES[[#This Row],[FECHA DE PAGO]]=0,TODAY()-PROVEEDORES[[#This Row],[FECHA DE FACTURACIÓN]]-PROVEEDORES[[#This Row],[PLAZO Días]],0)</f>
        <v>0</v>
      </c>
      <c r="U432" s="150">
        <f>+VLOOKUP(PROVEEDORES[[#This Row],[PROVEEDOR]],Terceros!$A:$E,4,FALSE)</f>
        <v>0</v>
      </c>
      <c r="V432" s="150">
        <f>+YEAR(PROVEEDORES[[#This Row],[FECHA DE FACTURACIÓN]])</f>
        <v>2023</v>
      </c>
      <c r="W432" s="150">
        <f>+MATCH(PROVEEDORES[[#This Row],[año facturado]],Retenciones!$1:$1,0)</f>
        <v>6</v>
      </c>
      <c r="X432" s="151">
        <f>+VLOOKUP(PROVEEDORES[[#This Row],[ID RETENCION]],Retenciones!$A$1:$O$25,PROVEEDORES[[#This Row],[indicador de columna]],FALSE)</f>
        <v>0</v>
      </c>
      <c r="Y432" s="152">
        <f>+VLOOKUP(PROVEEDORES[[#This Row],[ID RETENCION]],Retenciones!$A$1:$O$25,2,FALSE)</f>
        <v>0</v>
      </c>
      <c r="Z432" s="153" t="b">
        <f>+OR(COUNTIF(PROVEEDORES[[#This Row],[PROVEEDOR]],"*"&amp;'Palabra que no opera y Listas d'!$A$2&amp;"*"))</f>
        <v>0</v>
      </c>
    </row>
    <row r="433" spans="1:26" ht="27.75" customHeight="1" x14ac:dyDescent="0.3">
      <c r="A433" s="144" t="str">
        <f>+IF(PROVEEDORES[[#This Row],[FECHA DE PAGO]]=PROVEEDORES[[#This Row],[FECHA DE FACTURACIÓN]],"DE CONTADO","CRÉDITO")</f>
        <v>CRÉDITO</v>
      </c>
      <c r="B433" s="144" t="str">
        <f>+IF((PROVEEDORES[[#This Row],[FECHA DE PAGO]]-PROVEEDORES[[#This Row],[FECHA DE FACTURACIÓN]])&gt;PROVEEDORES[[#This Row],[PLAZO Días]],"PAGO VENCIDO")</f>
        <v>PAGO VENCIDO</v>
      </c>
      <c r="C433" s="144">
        <f>+VLOOKUP(PROVEEDORES[[#This Row],[PROVEEDOR]],TERCEROS_INFO[#All],2,FALSE)</f>
        <v>0</v>
      </c>
      <c r="D433" s="145">
        <f>+SUMIFS(PROVEEDORES[Total],PROVEEDORES[PROVEEDOR],PROVEEDORES[[#This Row],[PROVEEDOR]],PROVEEDORES[FECHA DE PAGO],"")</f>
        <v>224000</v>
      </c>
      <c r="E433" s="146"/>
      <c r="F433" s="144">
        <f>+VLOOKUP(PROVEEDORES[[#This Row],[PROVEEDOR]],
                       Terceros!$A:$G,
                       5,
                       FALSE)</f>
        <v>0</v>
      </c>
      <c r="G433" s="122">
        <v>45111</v>
      </c>
      <c r="H433" s="102" t="s">
        <v>539</v>
      </c>
      <c r="I433" s="122">
        <v>45093</v>
      </c>
      <c r="J433" s="103">
        <v>53</v>
      </c>
      <c r="K433" s="103" t="s">
        <v>1512</v>
      </c>
      <c r="L433" s="103"/>
      <c r="M433" s="105">
        <v>170000</v>
      </c>
      <c r="N433" s="147">
        <v>0</v>
      </c>
      <c r="O433" s="147">
        <v>0</v>
      </c>
      <c r="P433" s="148">
        <v>0</v>
      </c>
      <c r="Q433" s="147">
        <v>0</v>
      </c>
      <c r="R433" s="149">
        <v>170000</v>
      </c>
      <c r="S4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3" s="150">
        <f ca="1">+IF(PROVEEDORES[[#This Row],[FECHA DE PAGO]]=0,TODAY()-PROVEEDORES[[#This Row],[FECHA DE FACTURACIÓN]]-PROVEEDORES[[#This Row],[PLAZO Días]],0)</f>
        <v>0</v>
      </c>
      <c r="U433" s="150">
        <f>+VLOOKUP(PROVEEDORES[[#This Row],[PROVEEDOR]],Terceros!$A:$E,4,FALSE)</f>
        <v>0</v>
      </c>
      <c r="V433" s="150">
        <f>+YEAR(PROVEEDORES[[#This Row],[FECHA DE FACTURACIÓN]])</f>
        <v>2023</v>
      </c>
      <c r="W433" s="150">
        <f>+MATCH(PROVEEDORES[[#This Row],[año facturado]],Retenciones!$1:$1,0)</f>
        <v>6</v>
      </c>
      <c r="X433" s="151">
        <f>+VLOOKUP(PROVEEDORES[[#This Row],[ID RETENCION]],Retenciones!$A$1:$O$25,PROVEEDORES[[#This Row],[indicador de columna]],FALSE)</f>
        <v>0</v>
      </c>
      <c r="Y433" s="152">
        <f>+VLOOKUP(PROVEEDORES[[#This Row],[ID RETENCION]],Retenciones!$A$1:$O$25,2,FALSE)</f>
        <v>0</v>
      </c>
      <c r="Z433" s="153" t="b">
        <f>+OR(COUNTIF(PROVEEDORES[[#This Row],[PROVEEDOR]],"*"&amp;'Palabra que no opera y Listas d'!$A$2&amp;"*"))</f>
        <v>0</v>
      </c>
    </row>
    <row r="434" spans="1:26" ht="27.75" customHeight="1" x14ac:dyDescent="0.3">
      <c r="A434" s="144" t="str">
        <f>+IF(PROVEEDORES[[#This Row],[FECHA DE PAGO]]=PROVEEDORES[[#This Row],[FECHA DE FACTURACIÓN]],"DE CONTADO","CRÉDITO")</f>
        <v>CRÉDITO</v>
      </c>
      <c r="B434" s="144" t="str">
        <f>+IF((PROVEEDORES[[#This Row],[FECHA DE PAGO]]-PROVEEDORES[[#This Row],[FECHA DE FACTURACIÓN]])&gt;PROVEEDORES[[#This Row],[PLAZO Días]],"PAGO VENCIDO")</f>
        <v>PAGO VENCIDO</v>
      </c>
      <c r="C434" s="144">
        <f>+VLOOKUP(PROVEEDORES[[#This Row],[PROVEEDOR]],TERCEROS_INFO[#All],2,FALSE)</f>
        <v>0</v>
      </c>
      <c r="D434" s="145">
        <f>+SUMIFS(PROVEEDORES[Total],PROVEEDORES[PROVEEDOR],PROVEEDORES[[#This Row],[PROVEEDOR]],PROVEEDORES[FECHA DE PAGO],"")</f>
        <v>224000</v>
      </c>
      <c r="E434" s="146"/>
      <c r="F434" s="144">
        <f>+VLOOKUP(PROVEEDORES[[#This Row],[PROVEEDOR]],
                       Terceros!$A:$G,
                       5,
                       FALSE)</f>
        <v>0</v>
      </c>
      <c r="G434" s="122">
        <v>45111</v>
      </c>
      <c r="H434" s="102" t="s">
        <v>539</v>
      </c>
      <c r="I434" s="122">
        <v>45097</v>
      </c>
      <c r="J434" s="103">
        <v>54</v>
      </c>
      <c r="K434" s="103" t="s">
        <v>1512</v>
      </c>
      <c r="L434" s="103"/>
      <c r="M434" s="105">
        <v>103000</v>
      </c>
      <c r="N434" s="147">
        <v>0</v>
      </c>
      <c r="O434" s="147">
        <v>0</v>
      </c>
      <c r="P434" s="148">
        <v>0</v>
      </c>
      <c r="Q434" s="147">
        <v>0</v>
      </c>
      <c r="R434" s="149">
        <v>103000</v>
      </c>
      <c r="S4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4" s="150">
        <f ca="1">+IF(PROVEEDORES[[#This Row],[FECHA DE PAGO]]=0,TODAY()-PROVEEDORES[[#This Row],[FECHA DE FACTURACIÓN]]-PROVEEDORES[[#This Row],[PLAZO Días]],0)</f>
        <v>0</v>
      </c>
      <c r="U434" s="150">
        <f>+VLOOKUP(PROVEEDORES[[#This Row],[PROVEEDOR]],Terceros!$A:$E,4,FALSE)</f>
        <v>0</v>
      </c>
      <c r="V434" s="150">
        <f>+YEAR(PROVEEDORES[[#This Row],[FECHA DE FACTURACIÓN]])</f>
        <v>2023</v>
      </c>
      <c r="W434" s="150">
        <f>+MATCH(PROVEEDORES[[#This Row],[año facturado]],Retenciones!$1:$1,0)</f>
        <v>6</v>
      </c>
      <c r="X434" s="151">
        <f>+VLOOKUP(PROVEEDORES[[#This Row],[ID RETENCION]],Retenciones!$A$1:$O$25,PROVEEDORES[[#This Row],[indicador de columna]],FALSE)</f>
        <v>0</v>
      </c>
      <c r="Y434" s="152">
        <f>+VLOOKUP(PROVEEDORES[[#This Row],[ID RETENCION]],Retenciones!$A$1:$O$25,2,FALSE)</f>
        <v>0</v>
      </c>
      <c r="Z434" s="153" t="b">
        <f>+OR(COUNTIF(PROVEEDORES[[#This Row],[PROVEEDOR]],"*"&amp;'Palabra que no opera y Listas d'!$A$2&amp;"*"))</f>
        <v>0</v>
      </c>
    </row>
    <row r="435" spans="1:26" ht="27.75" customHeight="1" x14ac:dyDescent="0.3">
      <c r="A435" s="144" t="str">
        <f>+IF(PROVEEDORES[[#This Row],[FECHA DE PAGO]]=PROVEEDORES[[#This Row],[FECHA DE FACTURACIÓN]],"DE CONTADO","CRÉDITO")</f>
        <v>CRÉDITO</v>
      </c>
      <c r="B435" s="144" t="str">
        <f>+IF((PROVEEDORES[[#This Row],[FECHA DE PAGO]]-PROVEEDORES[[#This Row],[FECHA DE FACTURACIÓN]])&gt;PROVEEDORES[[#This Row],[PLAZO Días]],"PAGO VENCIDO")</f>
        <v>PAGO VENCIDO</v>
      </c>
      <c r="C435" s="144">
        <f>+VLOOKUP(PROVEEDORES[[#This Row],[PROVEEDOR]],TERCEROS_INFO[#All],2,FALSE)</f>
        <v>0</v>
      </c>
      <c r="D435" s="145">
        <f>+SUMIFS(PROVEEDORES[Total],PROVEEDORES[PROVEEDOR],PROVEEDORES[[#This Row],[PROVEEDOR]],PROVEEDORES[FECHA DE PAGO],"")</f>
        <v>224000</v>
      </c>
      <c r="E435" s="146"/>
      <c r="F435" s="144">
        <f>+VLOOKUP(PROVEEDORES[[#This Row],[PROVEEDOR]],
                       Terceros!$A:$G,
                       5,
                       FALSE)</f>
        <v>0</v>
      </c>
      <c r="G435" s="122">
        <v>45111</v>
      </c>
      <c r="H435" s="102" t="s">
        <v>539</v>
      </c>
      <c r="I435" s="122">
        <v>45098</v>
      </c>
      <c r="J435" s="103">
        <v>56</v>
      </c>
      <c r="K435" s="103" t="s">
        <v>1512</v>
      </c>
      <c r="L435" s="103"/>
      <c r="M435" s="105">
        <v>302000</v>
      </c>
      <c r="N435" s="147">
        <v>0</v>
      </c>
      <c r="O435" s="147">
        <v>0</v>
      </c>
      <c r="P435" s="148">
        <v>0</v>
      </c>
      <c r="Q435" s="147">
        <v>0</v>
      </c>
      <c r="R435" s="149">
        <v>302000</v>
      </c>
      <c r="S4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5" s="150">
        <f ca="1">+IF(PROVEEDORES[[#This Row],[FECHA DE PAGO]]=0,TODAY()-PROVEEDORES[[#This Row],[FECHA DE FACTURACIÓN]]-PROVEEDORES[[#This Row],[PLAZO Días]],0)</f>
        <v>0</v>
      </c>
      <c r="U435" s="150">
        <f>+VLOOKUP(PROVEEDORES[[#This Row],[PROVEEDOR]],Terceros!$A:$E,4,FALSE)</f>
        <v>0</v>
      </c>
      <c r="V435" s="150">
        <f>+YEAR(PROVEEDORES[[#This Row],[FECHA DE FACTURACIÓN]])</f>
        <v>2023</v>
      </c>
      <c r="W435" s="150">
        <f>+MATCH(PROVEEDORES[[#This Row],[año facturado]],Retenciones!$1:$1,0)</f>
        <v>6</v>
      </c>
      <c r="X435" s="151">
        <f>+VLOOKUP(PROVEEDORES[[#This Row],[ID RETENCION]],Retenciones!$A$1:$O$25,PROVEEDORES[[#This Row],[indicador de columna]],FALSE)</f>
        <v>0</v>
      </c>
      <c r="Y435" s="152">
        <f>+VLOOKUP(PROVEEDORES[[#This Row],[ID RETENCION]],Retenciones!$A$1:$O$25,2,FALSE)</f>
        <v>0</v>
      </c>
      <c r="Z435" s="153" t="b">
        <f>+OR(COUNTIF(PROVEEDORES[[#This Row],[PROVEEDOR]],"*"&amp;'Palabra que no opera y Listas d'!$A$2&amp;"*"))</f>
        <v>0</v>
      </c>
    </row>
    <row r="436" spans="1:26" ht="27.75" customHeight="1" x14ac:dyDescent="0.3">
      <c r="A436" s="144" t="str">
        <f>+IF(PROVEEDORES[[#This Row],[FECHA DE PAGO]]=PROVEEDORES[[#This Row],[FECHA DE FACTURACIÓN]],"DE CONTADO","CRÉDITO")</f>
        <v>CRÉDITO</v>
      </c>
      <c r="B436" s="144" t="str">
        <f>+IF((PROVEEDORES[[#This Row],[FECHA DE PAGO]]-PROVEEDORES[[#This Row],[FECHA DE FACTURACIÓN]])&gt;PROVEEDORES[[#This Row],[PLAZO Días]],"PAGO VENCIDO")</f>
        <v>PAGO VENCIDO</v>
      </c>
      <c r="C436" s="144">
        <f>+VLOOKUP(PROVEEDORES[[#This Row],[PROVEEDOR]],TERCEROS_INFO[#All],2,FALSE)</f>
        <v>0</v>
      </c>
      <c r="D436" s="145">
        <f>+SUMIFS(PROVEEDORES[Total],PROVEEDORES[PROVEEDOR],PROVEEDORES[[#This Row],[PROVEEDOR]],PROVEEDORES[FECHA DE PAGO],"")</f>
        <v>224000</v>
      </c>
      <c r="E436" s="146"/>
      <c r="F436" s="144">
        <f>+VLOOKUP(PROVEEDORES[[#This Row],[PROVEEDOR]],
                       Terceros!$A:$G,
                       5,
                       FALSE)</f>
        <v>0</v>
      </c>
      <c r="G436" s="122">
        <v>45111</v>
      </c>
      <c r="H436" s="102" t="s">
        <v>539</v>
      </c>
      <c r="I436" s="122">
        <v>45098</v>
      </c>
      <c r="J436" s="103">
        <v>55</v>
      </c>
      <c r="K436" s="103" t="s">
        <v>1512</v>
      </c>
      <c r="L436" s="103"/>
      <c r="M436" s="105">
        <v>687000</v>
      </c>
      <c r="N436" s="147">
        <v>0</v>
      </c>
      <c r="O436" s="147">
        <v>0</v>
      </c>
      <c r="P436" s="148">
        <v>0</v>
      </c>
      <c r="Q436" s="147">
        <v>0</v>
      </c>
      <c r="R436" s="149">
        <v>687000</v>
      </c>
      <c r="S4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6" s="150">
        <f ca="1">+IF(PROVEEDORES[[#This Row],[FECHA DE PAGO]]=0,TODAY()-PROVEEDORES[[#This Row],[FECHA DE FACTURACIÓN]]-PROVEEDORES[[#This Row],[PLAZO Días]],0)</f>
        <v>0</v>
      </c>
      <c r="U436" s="150">
        <f>+VLOOKUP(PROVEEDORES[[#This Row],[PROVEEDOR]],Terceros!$A:$E,4,FALSE)</f>
        <v>0</v>
      </c>
      <c r="V436" s="150">
        <f>+YEAR(PROVEEDORES[[#This Row],[FECHA DE FACTURACIÓN]])</f>
        <v>2023</v>
      </c>
      <c r="W436" s="150">
        <f>+MATCH(PROVEEDORES[[#This Row],[año facturado]],Retenciones!$1:$1,0)</f>
        <v>6</v>
      </c>
      <c r="X436" s="151">
        <f>+VLOOKUP(PROVEEDORES[[#This Row],[ID RETENCION]],Retenciones!$A$1:$O$25,PROVEEDORES[[#This Row],[indicador de columna]],FALSE)</f>
        <v>0</v>
      </c>
      <c r="Y436" s="152">
        <f>+VLOOKUP(PROVEEDORES[[#This Row],[ID RETENCION]],Retenciones!$A$1:$O$25,2,FALSE)</f>
        <v>0</v>
      </c>
      <c r="Z436" s="153" t="b">
        <f>+OR(COUNTIF(PROVEEDORES[[#This Row],[PROVEEDOR]],"*"&amp;'Palabra que no opera y Listas d'!$A$2&amp;"*"))</f>
        <v>0</v>
      </c>
    </row>
    <row r="437" spans="1:26" ht="27.75" customHeight="1" x14ac:dyDescent="0.3">
      <c r="A437" s="144" t="str">
        <f>+IF(PROVEEDORES[[#This Row],[FECHA DE PAGO]]=PROVEEDORES[[#This Row],[FECHA DE FACTURACIÓN]],"DE CONTADO","CRÉDITO")</f>
        <v>DE CONTADO</v>
      </c>
      <c r="B437" s="144" t="b">
        <f>+IF((PROVEEDORES[[#This Row],[FECHA DE PAGO]]-PROVEEDORES[[#This Row],[FECHA DE FACTURACIÓN]])&gt;PROVEEDORES[[#This Row],[PLAZO Días]],"PAGO VENCIDO")</f>
        <v>0</v>
      </c>
      <c r="C437" s="144">
        <f>+VLOOKUP(PROVEEDORES[[#This Row],[PROVEEDOR]],TERCEROS_INFO[#All],2,FALSE)</f>
        <v>0</v>
      </c>
      <c r="D437" s="145">
        <f>+SUMIFS(PROVEEDORES[Total],PROVEEDORES[PROVEEDOR],PROVEEDORES[[#This Row],[PROVEEDOR]],PROVEEDORES[FECHA DE PAGO],"")</f>
        <v>0</v>
      </c>
      <c r="E437" s="146"/>
      <c r="F437" s="144">
        <f>+VLOOKUP(PROVEEDORES[[#This Row],[PROVEEDOR]],
                       Terceros!$A:$G,
                       5,
                       FALSE)</f>
        <v>0</v>
      </c>
      <c r="G437" s="122">
        <v>45113</v>
      </c>
      <c r="H437" s="102" t="s">
        <v>907</v>
      </c>
      <c r="I437" s="122">
        <v>45113</v>
      </c>
      <c r="J437" s="103" t="s">
        <v>908</v>
      </c>
      <c r="K437" s="103" t="s">
        <v>1512</v>
      </c>
      <c r="L437" s="103"/>
      <c r="M437" s="105">
        <v>587000</v>
      </c>
      <c r="N437" s="147">
        <v>0</v>
      </c>
      <c r="O437" s="147">
        <v>0</v>
      </c>
      <c r="P437" s="148">
        <v>0</v>
      </c>
      <c r="Q437" s="147">
        <v>0</v>
      </c>
      <c r="R437" s="149">
        <v>587000</v>
      </c>
      <c r="S4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7" s="150">
        <f ca="1">+IF(PROVEEDORES[[#This Row],[FECHA DE PAGO]]=0,TODAY()-PROVEEDORES[[#This Row],[FECHA DE FACTURACIÓN]]-PROVEEDORES[[#This Row],[PLAZO Días]],0)</f>
        <v>0</v>
      </c>
      <c r="U437" s="150">
        <f>+VLOOKUP(PROVEEDORES[[#This Row],[PROVEEDOR]],Terceros!$A:$E,4,FALSE)</f>
        <v>0</v>
      </c>
      <c r="V437" s="150">
        <f>+YEAR(PROVEEDORES[[#This Row],[FECHA DE FACTURACIÓN]])</f>
        <v>2023</v>
      </c>
      <c r="W437" s="150">
        <f>+MATCH(PROVEEDORES[[#This Row],[año facturado]],Retenciones!$1:$1,0)</f>
        <v>6</v>
      </c>
      <c r="X437" s="151">
        <f>+VLOOKUP(PROVEEDORES[[#This Row],[ID RETENCION]],Retenciones!$A$1:$O$25,PROVEEDORES[[#This Row],[indicador de columna]],FALSE)</f>
        <v>0</v>
      </c>
      <c r="Y437" s="152">
        <f>+VLOOKUP(PROVEEDORES[[#This Row],[ID RETENCION]],Retenciones!$A$1:$O$25,2,FALSE)</f>
        <v>0</v>
      </c>
      <c r="Z437" s="153" t="b">
        <f>+OR(COUNTIF(PROVEEDORES[[#This Row],[PROVEEDOR]],"*"&amp;'Palabra que no opera y Listas d'!$A$2&amp;"*"))</f>
        <v>0</v>
      </c>
    </row>
    <row r="438" spans="1:26" ht="27.75" customHeight="1" x14ac:dyDescent="0.3">
      <c r="A438" s="144" t="str">
        <f>+IF(PROVEEDORES[[#This Row],[FECHA DE PAGO]]=PROVEEDORES[[#This Row],[FECHA DE FACTURACIÓN]],"DE CONTADO","CRÉDITO")</f>
        <v>DE CONTADO</v>
      </c>
      <c r="B438" s="144" t="b">
        <f>+IF((PROVEEDORES[[#This Row],[FECHA DE PAGO]]-PROVEEDORES[[#This Row],[FECHA DE FACTURACIÓN]])&gt;PROVEEDORES[[#This Row],[PLAZO Días]],"PAGO VENCIDO")</f>
        <v>0</v>
      </c>
      <c r="C438" s="144">
        <f>+VLOOKUP(PROVEEDORES[[#This Row],[PROVEEDOR]],TERCEROS_INFO[#All],2,FALSE)</f>
        <v>0</v>
      </c>
      <c r="D438" s="145">
        <f>+SUMIFS(PROVEEDORES[Total],PROVEEDORES[PROVEEDOR],PROVEEDORES[[#This Row],[PROVEEDOR]],PROVEEDORES[FECHA DE PAGO],"")</f>
        <v>0</v>
      </c>
      <c r="E438" s="146"/>
      <c r="F438" s="144">
        <f>+VLOOKUP(PROVEEDORES[[#This Row],[PROVEEDOR]],
                       Terceros!$A:$G,
                       5,
                       FALSE)</f>
        <v>0</v>
      </c>
      <c r="G438" s="122">
        <v>45113</v>
      </c>
      <c r="H438" s="102" t="s">
        <v>870</v>
      </c>
      <c r="I438" s="122">
        <v>45113</v>
      </c>
      <c r="J438" s="103" t="s">
        <v>906</v>
      </c>
      <c r="K438" s="103" t="s">
        <v>1512</v>
      </c>
      <c r="L438" s="103"/>
      <c r="M438" s="105">
        <v>582000</v>
      </c>
      <c r="N438" s="147">
        <v>0</v>
      </c>
      <c r="O438" s="147">
        <v>0</v>
      </c>
      <c r="P438" s="148">
        <v>0</v>
      </c>
      <c r="Q438" s="147">
        <v>0</v>
      </c>
      <c r="R438" s="149">
        <v>582000</v>
      </c>
      <c r="S4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8" s="150">
        <f ca="1">+IF(PROVEEDORES[[#This Row],[FECHA DE PAGO]]=0,TODAY()-PROVEEDORES[[#This Row],[FECHA DE FACTURACIÓN]]-PROVEEDORES[[#This Row],[PLAZO Días]],0)</f>
        <v>0</v>
      </c>
      <c r="U438" s="150">
        <f>+VLOOKUP(PROVEEDORES[[#This Row],[PROVEEDOR]],Terceros!$A:$E,4,FALSE)</f>
        <v>0</v>
      </c>
      <c r="V438" s="150">
        <f>+YEAR(PROVEEDORES[[#This Row],[FECHA DE FACTURACIÓN]])</f>
        <v>2023</v>
      </c>
      <c r="W438" s="150">
        <f>+MATCH(PROVEEDORES[[#This Row],[año facturado]],Retenciones!$1:$1,0)</f>
        <v>6</v>
      </c>
      <c r="X438" s="151">
        <f>+VLOOKUP(PROVEEDORES[[#This Row],[ID RETENCION]],Retenciones!$A$1:$O$25,PROVEEDORES[[#This Row],[indicador de columna]],FALSE)</f>
        <v>0</v>
      </c>
      <c r="Y438" s="152">
        <f>+VLOOKUP(PROVEEDORES[[#This Row],[ID RETENCION]],Retenciones!$A$1:$O$25,2,FALSE)</f>
        <v>0</v>
      </c>
      <c r="Z438" s="153" t="b">
        <f>+OR(COUNTIF(PROVEEDORES[[#This Row],[PROVEEDOR]],"*"&amp;'Palabra que no opera y Listas d'!$A$2&amp;"*"))</f>
        <v>0</v>
      </c>
    </row>
    <row r="439" spans="1:26" ht="27.75" customHeight="1" x14ac:dyDescent="0.3">
      <c r="A439" s="144" t="str">
        <f>+IF(PROVEEDORES[[#This Row],[FECHA DE PAGO]]=PROVEEDORES[[#This Row],[FECHA DE FACTURACIÓN]],"DE CONTADO","CRÉDITO")</f>
        <v>CRÉDITO</v>
      </c>
      <c r="B439" s="144" t="str">
        <f>+IF((PROVEEDORES[[#This Row],[FECHA DE PAGO]]-PROVEEDORES[[#This Row],[FECHA DE FACTURACIÓN]])&gt;PROVEEDORES[[#This Row],[PLAZO Días]],"PAGO VENCIDO")</f>
        <v>PAGO VENCIDO</v>
      </c>
      <c r="C439" s="144">
        <f>+VLOOKUP(PROVEEDORES[[#This Row],[PROVEEDOR]],TERCEROS_INFO[#All],2,FALSE)</f>
        <v>0</v>
      </c>
      <c r="D439" s="145">
        <f>+SUMIFS(PROVEEDORES[Total],PROVEEDORES[PROVEEDOR],PROVEEDORES[[#This Row],[PROVEEDOR]],PROVEEDORES[FECHA DE PAGO],"")</f>
        <v>0</v>
      </c>
      <c r="E439" s="146"/>
      <c r="F439" s="144">
        <f>+VLOOKUP(PROVEEDORES[[#This Row],[PROVEEDOR]],
                       Terceros!$A:$G,
                       5,
                       FALSE)</f>
        <v>0</v>
      </c>
      <c r="G439" s="122">
        <v>45115</v>
      </c>
      <c r="H439" s="102" t="s">
        <v>845</v>
      </c>
      <c r="I439" s="122">
        <v>45111</v>
      </c>
      <c r="J439" s="103">
        <v>3</v>
      </c>
      <c r="K439" s="103" t="s">
        <v>1512</v>
      </c>
      <c r="L439" s="103"/>
      <c r="M439" s="105">
        <v>430000</v>
      </c>
      <c r="N439" s="147">
        <v>0</v>
      </c>
      <c r="O439" s="147">
        <v>0</v>
      </c>
      <c r="P439" s="148">
        <v>0</v>
      </c>
      <c r="Q439" s="147">
        <v>0</v>
      </c>
      <c r="R439" s="149">
        <v>430000</v>
      </c>
      <c r="S4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9" s="150">
        <f ca="1">+IF(PROVEEDORES[[#This Row],[FECHA DE PAGO]]=0,TODAY()-PROVEEDORES[[#This Row],[FECHA DE FACTURACIÓN]]-PROVEEDORES[[#This Row],[PLAZO Días]],0)</f>
        <v>0</v>
      </c>
      <c r="U439" s="150">
        <f>+VLOOKUP(PROVEEDORES[[#This Row],[PROVEEDOR]],Terceros!$A:$E,4,FALSE)</f>
        <v>0</v>
      </c>
      <c r="V439" s="150">
        <f>+YEAR(PROVEEDORES[[#This Row],[FECHA DE FACTURACIÓN]])</f>
        <v>2023</v>
      </c>
      <c r="W439" s="150">
        <f>+MATCH(PROVEEDORES[[#This Row],[año facturado]],Retenciones!$1:$1,0)</f>
        <v>6</v>
      </c>
      <c r="X439" s="151">
        <f>+VLOOKUP(PROVEEDORES[[#This Row],[ID RETENCION]],Retenciones!$A$1:$O$25,PROVEEDORES[[#This Row],[indicador de columna]],FALSE)</f>
        <v>0</v>
      </c>
      <c r="Y439" s="152">
        <f>+VLOOKUP(PROVEEDORES[[#This Row],[ID RETENCION]],Retenciones!$A$1:$O$25,2,FALSE)</f>
        <v>0</v>
      </c>
      <c r="Z439" s="153" t="b">
        <f>+OR(COUNTIF(PROVEEDORES[[#This Row],[PROVEEDOR]],"*"&amp;'Palabra que no opera y Listas d'!$A$2&amp;"*"))</f>
        <v>0</v>
      </c>
    </row>
    <row r="440" spans="1:26" ht="27.75" customHeight="1" x14ac:dyDescent="0.3">
      <c r="A440" s="144" t="str">
        <f>+IF(PROVEEDORES[[#This Row],[FECHA DE PAGO]]=PROVEEDORES[[#This Row],[FECHA DE FACTURACIÓN]],"DE CONTADO","CRÉDITO")</f>
        <v>DE CONTADO</v>
      </c>
      <c r="B440" s="144" t="b">
        <f>+IF((PROVEEDORES[[#This Row],[FECHA DE PAGO]]-PROVEEDORES[[#This Row],[FECHA DE FACTURACIÓN]])&gt;PROVEEDORES[[#This Row],[PLAZO Días]],"PAGO VENCIDO")</f>
        <v>0</v>
      </c>
      <c r="C440" s="144">
        <f>+VLOOKUP(PROVEEDORES[[#This Row],[PROVEEDOR]],TERCEROS_INFO[#All],2,FALSE)</f>
        <v>0</v>
      </c>
      <c r="D440" s="145">
        <f>+SUMIFS(PROVEEDORES[Total],PROVEEDORES[PROVEEDOR],PROVEEDORES[[#This Row],[PROVEEDOR]],PROVEEDORES[FECHA DE PAGO],"")</f>
        <v>550000</v>
      </c>
      <c r="E440" s="146"/>
      <c r="F440" s="144">
        <f>+VLOOKUP(PROVEEDORES[[#This Row],[PROVEEDOR]],
                       Terceros!$A:$G,
                       5,
                       FALSE)</f>
        <v>0</v>
      </c>
      <c r="G440" s="122">
        <v>45115</v>
      </c>
      <c r="H440" s="102" t="s">
        <v>1784</v>
      </c>
      <c r="I440" s="122">
        <v>45115</v>
      </c>
      <c r="J440" s="103" t="s">
        <v>905</v>
      </c>
      <c r="K440" s="103" t="s">
        <v>1512</v>
      </c>
      <c r="L440" s="103"/>
      <c r="M440" s="105">
        <v>625000</v>
      </c>
      <c r="N440" s="147">
        <v>0</v>
      </c>
      <c r="O440" s="147">
        <v>0</v>
      </c>
      <c r="P440" s="148">
        <v>0</v>
      </c>
      <c r="Q440" s="147">
        <v>0</v>
      </c>
      <c r="R440" s="149">
        <v>625000</v>
      </c>
      <c r="S4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0" s="150">
        <f ca="1">+IF(PROVEEDORES[[#This Row],[FECHA DE PAGO]]=0,TODAY()-PROVEEDORES[[#This Row],[FECHA DE FACTURACIÓN]]-PROVEEDORES[[#This Row],[PLAZO Días]],0)</f>
        <v>0</v>
      </c>
      <c r="U440" s="150">
        <f>+VLOOKUP(PROVEEDORES[[#This Row],[PROVEEDOR]],Terceros!$A:$E,4,FALSE)</f>
        <v>0</v>
      </c>
      <c r="V440" s="150">
        <f>+YEAR(PROVEEDORES[[#This Row],[FECHA DE FACTURACIÓN]])</f>
        <v>2023</v>
      </c>
      <c r="W440" s="150">
        <f>+MATCH(PROVEEDORES[[#This Row],[año facturado]],Retenciones!$1:$1,0)</f>
        <v>6</v>
      </c>
      <c r="X440" s="151">
        <f>+VLOOKUP(PROVEEDORES[[#This Row],[ID RETENCION]],Retenciones!$A$1:$O$25,PROVEEDORES[[#This Row],[indicador de columna]],FALSE)</f>
        <v>0</v>
      </c>
      <c r="Y440" s="152">
        <f>+VLOOKUP(PROVEEDORES[[#This Row],[ID RETENCION]],Retenciones!$A$1:$O$25,2,FALSE)</f>
        <v>0</v>
      </c>
      <c r="Z440" s="153" t="b">
        <f>+OR(COUNTIF(PROVEEDORES[[#This Row],[PROVEEDOR]],"*"&amp;'Palabra que no opera y Listas d'!$A$2&amp;"*"))</f>
        <v>0</v>
      </c>
    </row>
    <row r="441" spans="1:26" ht="27.75" customHeight="1" x14ac:dyDescent="0.3">
      <c r="A441" s="144" t="str">
        <f>+IF(PROVEEDORES[[#This Row],[FECHA DE PAGO]]=PROVEEDORES[[#This Row],[FECHA DE FACTURACIÓN]],"DE CONTADO","CRÉDITO")</f>
        <v>CRÉDITO</v>
      </c>
      <c r="B441" s="144" t="str">
        <f>+IF((PROVEEDORES[[#This Row],[FECHA DE PAGO]]-PROVEEDORES[[#This Row],[FECHA DE FACTURACIÓN]])&gt;PROVEEDORES[[#This Row],[PLAZO Días]],"PAGO VENCIDO")</f>
        <v>PAGO VENCIDO</v>
      </c>
      <c r="C441" s="144">
        <f>+VLOOKUP(PROVEEDORES[[#This Row],[PROVEEDOR]],TERCEROS_INFO[#All],2,FALSE)</f>
        <v>0</v>
      </c>
      <c r="D441" s="145">
        <f>+SUMIFS(PROVEEDORES[Total],PROVEEDORES[PROVEEDOR],PROVEEDORES[[#This Row],[PROVEEDOR]],PROVEEDORES[FECHA DE PAGO],"")</f>
        <v>0</v>
      </c>
      <c r="E441" s="146"/>
      <c r="F441" s="144" t="str">
        <f>+VLOOKUP(PROVEEDORES[[#This Row],[PROVEEDOR]],
                       Terceros!$A:$G,
                       5,
                       FALSE)</f>
        <v>3,5% sin base</v>
      </c>
      <c r="G441" s="122">
        <v>45116</v>
      </c>
      <c r="H441" s="102" t="s">
        <v>398</v>
      </c>
      <c r="I441" s="122">
        <v>45108</v>
      </c>
      <c r="J441" s="103" t="s">
        <v>990</v>
      </c>
      <c r="K441" s="103" t="s">
        <v>1512</v>
      </c>
      <c r="L441" s="103"/>
      <c r="M441" s="105">
        <v>3935776</v>
      </c>
      <c r="N441" s="147">
        <v>747797.44000000006</v>
      </c>
      <c r="O441" s="147">
        <v>0</v>
      </c>
      <c r="P441" s="148">
        <v>3.5000000000000003E-2</v>
      </c>
      <c r="Q441" s="147">
        <v>137752.16</v>
      </c>
      <c r="R441" s="149">
        <v>4545821.28</v>
      </c>
      <c r="S4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1" s="150">
        <f ca="1">+IF(PROVEEDORES[[#This Row],[FECHA DE PAGO]]=0,TODAY()-PROVEEDORES[[#This Row],[FECHA DE FACTURACIÓN]]-PROVEEDORES[[#This Row],[PLAZO Días]],0)</f>
        <v>0</v>
      </c>
      <c r="U441" s="150">
        <f>+VLOOKUP(PROVEEDORES[[#This Row],[PROVEEDOR]],Terceros!$A:$E,4,FALSE)</f>
        <v>0.19</v>
      </c>
      <c r="V441" s="150">
        <f>+YEAR(PROVEEDORES[[#This Row],[FECHA DE FACTURACIÓN]])</f>
        <v>2023</v>
      </c>
      <c r="W441" s="150">
        <f>+MATCH(PROVEEDORES[[#This Row],[año facturado]],Retenciones!$1:$1,0)</f>
        <v>6</v>
      </c>
      <c r="X441" s="151" t="e">
        <f>+VLOOKUP(PROVEEDORES[[#This Row],[ID RETENCION]],Retenciones!$A$1:$O$25,PROVEEDORES[[#This Row],[indicador de columna]],FALSE)</f>
        <v>#N/A</v>
      </c>
      <c r="Y441" s="152" t="e">
        <f>+VLOOKUP(PROVEEDORES[[#This Row],[ID RETENCION]],Retenciones!$A$1:$O$25,2,FALSE)</f>
        <v>#N/A</v>
      </c>
      <c r="Z441" s="153" t="b">
        <f>+OR(COUNTIF(PROVEEDORES[[#This Row],[PROVEEDOR]],"*"&amp;'Palabra que no opera y Listas d'!$A$2&amp;"*"))</f>
        <v>1</v>
      </c>
    </row>
    <row r="442" spans="1:26" ht="27.75" customHeight="1" x14ac:dyDescent="0.3">
      <c r="A442" s="144" t="str">
        <f>+IF(PROVEEDORES[[#This Row],[FECHA DE PAGO]]=PROVEEDORES[[#This Row],[FECHA DE FACTURACIÓN]],"DE CONTADO","CRÉDITO")</f>
        <v>CRÉDITO</v>
      </c>
      <c r="B442" s="144" t="str">
        <f>+IF((PROVEEDORES[[#This Row],[FECHA DE PAGO]]-PROVEEDORES[[#This Row],[FECHA DE FACTURACIÓN]])&gt;PROVEEDORES[[#This Row],[PLAZO Días]],"PAGO VENCIDO")</f>
        <v>PAGO VENCIDO</v>
      </c>
      <c r="C442" s="144">
        <f>+VLOOKUP(PROVEEDORES[[#This Row],[PROVEEDOR]],TERCEROS_INFO[#All],2,FALSE)</f>
        <v>0</v>
      </c>
      <c r="D442" s="145">
        <f>+SUMIFS(PROVEEDORES[Total],PROVEEDORES[PROVEEDOR],PROVEEDORES[[#This Row],[PROVEEDOR]],PROVEEDORES[FECHA DE PAGO],"")</f>
        <v>0</v>
      </c>
      <c r="E442" s="146"/>
      <c r="F442" s="144">
        <f>+VLOOKUP(PROVEEDORES[[#This Row],[PROVEEDOR]],
                       Terceros!$A:$G,
                       5,
                       FALSE)</f>
        <v>0</v>
      </c>
      <c r="G442" s="122">
        <v>45117</v>
      </c>
      <c r="H442" s="102" t="s">
        <v>1794</v>
      </c>
      <c r="I442" s="122">
        <v>45026</v>
      </c>
      <c r="J442" s="103" t="s">
        <v>726</v>
      </c>
      <c r="K442" s="103" t="s">
        <v>1512</v>
      </c>
      <c r="L442" s="103"/>
      <c r="M442" s="105">
        <v>2131000</v>
      </c>
      <c r="N442" s="147">
        <v>0</v>
      </c>
      <c r="O442" s="147">
        <v>0</v>
      </c>
      <c r="P442" s="148">
        <v>0</v>
      </c>
      <c r="Q442" s="147">
        <v>0</v>
      </c>
      <c r="R442" s="149">
        <v>2131000</v>
      </c>
      <c r="S4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2" s="150">
        <f ca="1">+IF(PROVEEDORES[[#This Row],[FECHA DE PAGO]]=0,TODAY()-PROVEEDORES[[#This Row],[FECHA DE FACTURACIÓN]]-PROVEEDORES[[#This Row],[PLAZO Días]],0)</f>
        <v>0</v>
      </c>
      <c r="U442" s="150">
        <f>+VLOOKUP(PROVEEDORES[[#This Row],[PROVEEDOR]],Terceros!$A:$E,4,FALSE)</f>
        <v>0</v>
      </c>
      <c r="V442" s="150">
        <f>+YEAR(PROVEEDORES[[#This Row],[FECHA DE FACTURACIÓN]])</f>
        <v>2023</v>
      </c>
      <c r="W442" s="150">
        <f>+MATCH(PROVEEDORES[[#This Row],[año facturado]],Retenciones!$1:$1,0)</f>
        <v>6</v>
      </c>
      <c r="X442" s="151">
        <f>+VLOOKUP(PROVEEDORES[[#This Row],[ID RETENCION]],Retenciones!$A$1:$O$25,PROVEEDORES[[#This Row],[indicador de columna]],FALSE)</f>
        <v>0</v>
      </c>
      <c r="Y442" s="152">
        <f>+VLOOKUP(PROVEEDORES[[#This Row],[ID RETENCION]],Retenciones!$A$1:$O$25,2,FALSE)</f>
        <v>0</v>
      </c>
      <c r="Z442" s="153" t="b">
        <f>+OR(COUNTIF(PROVEEDORES[[#This Row],[PROVEEDOR]],"*"&amp;'Palabra que no opera y Listas d'!$A$2&amp;"*"))</f>
        <v>0</v>
      </c>
    </row>
    <row r="443" spans="1:26" ht="27.75" customHeight="1" x14ac:dyDescent="0.3">
      <c r="A443" s="144" t="str">
        <f>+IF(PROVEEDORES[[#This Row],[FECHA DE PAGO]]=PROVEEDORES[[#This Row],[FECHA DE FACTURACIÓN]],"DE CONTADO","CRÉDITO")</f>
        <v>CRÉDITO</v>
      </c>
      <c r="B443" s="144" t="str">
        <f>+IF((PROVEEDORES[[#This Row],[FECHA DE PAGO]]-PROVEEDORES[[#This Row],[FECHA DE FACTURACIÓN]])&gt;PROVEEDORES[[#This Row],[PLAZO Días]],"PAGO VENCIDO")</f>
        <v>PAGO VENCIDO</v>
      </c>
      <c r="C443" s="144">
        <f>+VLOOKUP(PROVEEDORES[[#This Row],[PROVEEDOR]],TERCEROS_INFO[#All],2,FALSE)</f>
        <v>0</v>
      </c>
      <c r="D443" s="145">
        <f>+SUMIFS(PROVEEDORES[Total],PROVEEDORES[PROVEEDOR],PROVEEDORES[[#This Row],[PROVEEDOR]],PROVEEDORES[FECHA DE PAGO],"")</f>
        <v>3130000</v>
      </c>
      <c r="E443" s="146"/>
      <c r="F443" s="144">
        <f>+VLOOKUP(PROVEEDORES[[#This Row],[PROVEEDOR]],
                       Terceros!$A:$G,
                       5,
                       FALSE)</f>
        <v>0</v>
      </c>
      <c r="G443" s="122">
        <v>45117</v>
      </c>
      <c r="H443" s="102" t="s">
        <v>487</v>
      </c>
      <c r="I443" s="122">
        <v>45056</v>
      </c>
      <c r="J443" s="103">
        <v>843</v>
      </c>
      <c r="K443" s="103" t="s">
        <v>1512</v>
      </c>
      <c r="L443" s="103"/>
      <c r="M443" s="105">
        <v>1294500</v>
      </c>
      <c r="N443" s="147">
        <v>0</v>
      </c>
      <c r="O443" s="147">
        <v>0</v>
      </c>
      <c r="P443" s="148">
        <v>0</v>
      </c>
      <c r="Q443" s="147">
        <v>0</v>
      </c>
      <c r="R443" s="149">
        <v>1294500</v>
      </c>
      <c r="S4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3" s="150">
        <f ca="1">+IF(PROVEEDORES[[#This Row],[FECHA DE PAGO]]=0,TODAY()-PROVEEDORES[[#This Row],[FECHA DE FACTURACIÓN]]-PROVEEDORES[[#This Row],[PLAZO Días]],0)</f>
        <v>0</v>
      </c>
      <c r="U443" s="150">
        <f>+VLOOKUP(PROVEEDORES[[#This Row],[PROVEEDOR]],Terceros!$A:$E,4,FALSE)</f>
        <v>0</v>
      </c>
      <c r="V443" s="150">
        <f>+YEAR(PROVEEDORES[[#This Row],[FECHA DE FACTURACIÓN]])</f>
        <v>2023</v>
      </c>
      <c r="W443" s="150">
        <f>+MATCH(PROVEEDORES[[#This Row],[año facturado]],Retenciones!$1:$1,0)</f>
        <v>6</v>
      </c>
      <c r="X443" s="151">
        <f>+VLOOKUP(PROVEEDORES[[#This Row],[ID RETENCION]],Retenciones!$A$1:$O$25,PROVEEDORES[[#This Row],[indicador de columna]],FALSE)</f>
        <v>0</v>
      </c>
      <c r="Y443" s="152">
        <f>+VLOOKUP(PROVEEDORES[[#This Row],[ID RETENCION]],Retenciones!$A$1:$O$25,2,FALSE)</f>
        <v>0</v>
      </c>
      <c r="Z443" s="153" t="b">
        <f>+OR(COUNTIF(PROVEEDORES[[#This Row],[PROVEEDOR]],"*"&amp;'Palabra que no opera y Listas d'!$A$2&amp;"*"))</f>
        <v>0</v>
      </c>
    </row>
    <row r="444" spans="1:26" ht="27.75" customHeight="1" x14ac:dyDescent="0.3">
      <c r="A444" s="144" t="str">
        <f>+IF(PROVEEDORES[[#This Row],[FECHA DE PAGO]]=PROVEEDORES[[#This Row],[FECHA DE FACTURACIÓN]],"DE CONTADO","CRÉDITO")</f>
        <v>CRÉDITO</v>
      </c>
      <c r="B444" s="144" t="str">
        <f>+IF((PROVEEDORES[[#This Row],[FECHA DE PAGO]]-PROVEEDORES[[#This Row],[FECHA DE FACTURACIÓN]])&gt;PROVEEDORES[[#This Row],[PLAZO Días]],"PAGO VENCIDO")</f>
        <v>PAGO VENCIDO</v>
      </c>
      <c r="C444" s="144">
        <f>+VLOOKUP(PROVEEDORES[[#This Row],[PROVEEDOR]],TERCEROS_INFO[#All],2,FALSE)</f>
        <v>0</v>
      </c>
      <c r="D444" s="145">
        <f>+SUMIFS(PROVEEDORES[Total],PROVEEDORES[PROVEEDOR],PROVEEDORES[[#This Row],[PROVEEDOR]],PROVEEDORES[FECHA DE PAGO],"")</f>
        <v>31839627.134999998</v>
      </c>
      <c r="E444" s="146"/>
      <c r="F444" s="144" t="str">
        <f>+VLOOKUP(PROVEEDORES[[#This Row],[PROVEEDOR]],
                       Terceros!$A:$G,
                       5,
                       FALSE)</f>
        <v>2,5% con base</v>
      </c>
      <c r="G444" s="122">
        <v>45117</v>
      </c>
      <c r="H444" s="102" t="s">
        <v>17</v>
      </c>
      <c r="I444" s="122">
        <v>45058</v>
      </c>
      <c r="J444" s="103" t="s">
        <v>798</v>
      </c>
      <c r="K444" s="103" t="s">
        <v>1512</v>
      </c>
      <c r="L444" s="103"/>
      <c r="M444" s="105">
        <v>2115236</v>
      </c>
      <c r="N444" s="147">
        <v>401894.84</v>
      </c>
      <c r="O444" s="147">
        <v>0</v>
      </c>
      <c r="P444" s="148">
        <v>2.5000000000000001E-2</v>
      </c>
      <c r="Q444" s="147">
        <v>52880.9</v>
      </c>
      <c r="R444" s="149">
        <v>2464249.94</v>
      </c>
      <c r="S4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4" s="150">
        <f ca="1">+IF(PROVEEDORES[[#This Row],[FECHA DE PAGO]]=0,TODAY()-PROVEEDORES[[#This Row],[FECHA DE FACTURACIÓN]]-PROVEEDORES[[#This Row],[PLAZO Días]],0)</f>
        <v>0</v>
      </c>
      <c r="U444" s="150">
        <f>+VLOOKUP(PROVEEDORES[[#This Row],[PROVEEDOR]],Terceros!$A:$E,4,FALSE)</f>
        <v>0.19</v>
      </c>
      <c r="V444" s="150">
        <f>+YEAR(PROVEEDORES[[#This Row],[FECHA DE FACTURACIÓN]])</f>
        <v>2023</v>
      </c>
      <c r="W444" s="150">
        <f>+MATCH(PROVEEDORES[[#This Row],[año facturado]],Retenciones!$1:$1,0)</f>
        <v>6</v>
      </c>
      <c r="X444" s="151" t="e">
        <f>+VLOOKUP(PROVEEDORES[[#This Row],[ID RETENCION]],Retenciones!$A$1:$O$25,PROVEEDORES[[#This Row],[indicador de columna]],FALSE)</f>
        <v>#N/A</v>
      </c>
      <c r="Y444" s="152" t="e">
        <f>+VLOOKUP(PROVEEDORES[[#This Row],[ID RETENCION]],Retenciones!$A$1:$O$25,2,FALSE)</f>
        <v>#N/A</v>
      </c>
      <c r="Z444" s="153" t="b">
        <f>+OR(COUNTIF(PROVEEDORES[[#This Row],[PROVEEDOR]],"*"&amp;'Palabra que no opera y Listas d'!$A$2&amp;"*"))</f>
        <v>0</v>
      </c>
    </row>
    <row r="445" spans="1:26" ht="27.75" customHeight="1" x14ac:dyDescent="0.3">
      <c r="A445" s="144" t="str">
        <f>+IF(PROVEEDORES[[#This Row],[FECHA DE PAGO]]=PROVEEDORES[[#This Row],[FECHA DE FACTURACIÓN]],"DE CONTADO","CRÉDITO")</f>
        <v>CRÉDITO</v>
      </c>
      <c r="B445" s="144" t="str">
        <f>+IF((PROVEEDORES[[#This Row],[FECHA DE PAGO]]-PROVEEDORES[[#This Row],[FECHA DE FACTURACIÓN]])&gt;PROVEEDORES[[#This Row],[PLAZO Días]],"PAGO VENCIDO")</f>
        <v>PAGO VENCIDO</v>
      </c>
      <c r="C445" s="144">
        <f>+VLOOKUP(PROVEEDORES[[#This Row],[PROVEEDOR]],TERCEROS_INFO[#All],2,FALSE)</f>
        <v>0</v>
      </c>
      <c r="D445" s="145">
        <f>+SUMIFS(PROVEEDORES[Total],PROVEEDORES[PROVEEDOR],PROVEEDORES[[#This Row],[PROVEEDOR]],PROVEEDORES[FECHA DE PAGO],"")</f>
        <v>31839627.134999998</v>
      </c>
      <c r="E445" s="146"/>
      <c r="F445" s="144" t="str">
        <f>+VLOOKUP(PROVEEDORES[[#This Row],[PROVEEDOR]],
                       Terceros!$A:$G,
                       5,
                       FALSE)</f>
        <v>2,5% con base</v>
      </c>
      <c r="G445" s="122">
        <v>45117</v>
      </c>
      <c r="H445" s="102" t="s">
        <v>17</v>
      </c>
      <c r="I445" s="122">
        <v>45071</v>
      </c>
      <c r="J445" s="103" t="s">
        <v>895</v>
      </c>
      <c r="K445" s="103" t="s">
        <v>1512</v>
      </c>
      <c r="L445" s="103"/>
      <c r="M445" s="105">
        <v>2231250</v>
      </c>
      <c r="N445" s="147">
        <v>423937.5</v>
      </c>
      <c r="O445" s="147">
        <v>0</v>
      </c>
      <c r="P445" s="148">
        <v>2.5000000000000001E-2</v>
      </c>
      <c r="Q445" s="147">
        <v>55781.25</v>
      </c>
      <c r="R445" s="149">
        <v>2599406.25</v>
      </c>
      <c r="S4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5" s="150">
        <f ca="1">+IF(PROVEEDORES[[#This Row],[FECHA DE PAGO]]=0,TODAY()-PROVEEDORES[[#This Row],[FECHA DE FACTURACIÓN]]-PROVEEDORES[[#This Row],[PLAZO Días]],0)</f>
        <v>0</v>
      </c>
      <c r="U445" s="150">
        <f>+VLOOKUP(PROVEEDORES[[#This Row],[PROVEEDOR]],Terceros!$A:$E,4,FALSE)</f>
        <v>0.19</v>
      </c>
      <c r="V445" s="150">
        <f>+YEAR(PROVEEDORES[[#This Row],[FECHA DE FACTURACIÓN]])</f>
        <v>2023</v>
      </c>
      <c r="W445" s="150">
        <f>+MATCH(PROVEEDORES[[#This Row],[año facturado]],Retenciones!$1:$1,0)</f>
        <v>6</v>
      </c>
      <c r="X445" s="151" t="e">
        <f>+VLOOKUP(PROVEEDORES[[#This Row],[ID RETENCION]],Retenciones!$A$1:$O$25,PROVEEDORES[[#This Row],[indicador de columna]],FALSE)</f>
        <v>#N/A</v>
      </c>
      <c r="Y445" s="152" t="e">
        <f>+VLOOKUP(PROVEEDORES[[#This Row],[ID RETENCION]],Retenciones!$A$1:$O$25,2,FALSE)</f>
        <v>#N/A</v>
      </c>
      <c r="Z445" s="153" t="b">
        <f>+OR(COUNTIF(PROVEEDORES[[#This Row],[PROVEEDOR]],"*"&amp;'Palabra que no opera y Listas d'!$A$2&amp;"*"))</f>
        <v>0</v>
      </c>
    </row>
    <row r="446" spans="1:26" ht="27.75" customHeight="1" x14ac:dyDescent="0.3">
      <c r="A446" s="144" t="str">
        <f>+IF(PROVEEDORES[[#This Row],[FECHA DE PAGO]]=PROVEEDORES[[#This Row],[FECHA DE FACTURACIÓN]],"DE CONTADO","CRÉDITO")</f>
        <v>CRÉDITO</v>
      </c>
      <c r="B446" s="144" t="str">
        <f>+IF((PROVEEDORES[[#This Row],[FECHA DE PAGO]]-PROVEEDORES[[#This Row],[FECHA DE FACTURACIÓN]])&gt;PROVEEDORES[[#This Row],[PLAZO Días]],"PAGO VENCIDO")</f>
        <v>PAGO VENCIDO</v>
      </c>
      <c r="C446" s="144">
        <f>+VLOOKUP(PROVEEDORES[[#This Row],[PROVEEDOR]],TERCEROS_INFO[#All],2,FALSE)</f>
        <v>0</v>
      </c>
      <c r="D446" s="145">
        <f>+SUMIFS(PROVEEDORES[Total],PROVEEDORES[PROVEEDOR],PROVEEDORES[[#This Row],[PROVEEDOR]],PROVEEDORES[FECHA DE PAGO],"")</f>
        <v>1794100</v>
      </c>
      <c r="E446" s="146"/>
      <c r="F446" s="144" t="str">
        <f>+VLOOKUP(PROVEEDORES[[#This Row],[PROVEEDOR]],
                       Terceros!$A:$G,
                       5,
                       FALSE)</f>
        <v>2,5% con base</v>
      </c>
      <c r="G446" s="122">
        <v>45117</v>
      </c>
      <c r="H446" s="102" t="s">
        <v>426</v>
      </c>
      <c r="I446" s="122">
        <v>45083</v>
      </c>
      <c r="J446" s="103" t="s">
        <v>837</v>
      </c>
      <c r="K446" s="103" t="s">
        <v>1512</v>
      </c>
      <c r="L446" s="103"/>
      <c r="M446" s="105">
        <v>720000</v>
      </c>
      <c r="N446" s="147">
        <v>136800</v>
      </c>
      <c r="O446" s="147">
        <v>0</v>
      </c>
      <c r="P446" s="148">
        <v>0</v>
      </c>
      <c r="Q446" s="147">
        <v>0</v>
      </c>
      <c r="R446" s="149">
        <v>856800</v>
      </c>
      <c r="S4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6" s="150">
        <f ca="1">+IF(PROVEEDORES[[#This Row],[FECHA DE PAGO]]=0,TODAY()-PROVEEDORES[[#This Row],[FECHA DE FACTURACIÓN]]-PROVEEDORES[[#This Row],[PLAZO Días]],0)</f>
        <v>0</v>
      </c>
      <c r="U446" s="150">
        <f>+VLOOKUP(PROVEEDORES[[#This Row],[PROVEEDOR]],Terceros!$A:$E,4,FALSE)</f>
        <v>0.19</v>
      </c>
      <c r="V446" s="150">
        <f>+YEAR(PROVEEDORES[[#This Row],[FECHA DE FACTURACIÓN]])</f>
        <v>2023</v>
      </c>
      <c r="W446" s="150">
        <f>+MATCH(PROVEEDORES[[#This Row],[año facturado]],Retenciones!$1:$1,0)</f>
        <v>6</v>
      </c>
      <c r="X446" s="151" t="e">
        <f>+VLOOKUP(PROVEEDORES[[#This Row],[ID RETENCION]],Retenciones!$A$1:$O$25,PROVEEDORES[[#This Row],[indicador de columna]],FALSE)</f>
        <v>#N/A</v>
      </c>
      <c r="Y446" s="152" t="e">
        <f>+VLOOKUP(PROVEEDORES[[#This Row],[ID RETENCION]],Retenciones!$A$1:$O$25,2,FALSE)</f>
        <v>#N/A</v>
      </c>
      <c r="Z446" s="153" t="b">
        <f>+OR(COUNTIF(PROVEEDORES[[#This Row],[PROVEEDOR]],"*"&amp;'Palabra que no opera y Listas d'!$A$2&amp;"*"))</f>
        <v>0</v>
      </c>
    </row>
    <row r="447" spans="1:26" ht="27.75" customHeight="1" x14ac:dyDescent="0.3">
      <c r="A447" s="144" t="str">
        <f>+IF(PROVEEDORES[[#This Row],[FECHA DE PAGO]]=PROVEEDORES[[#This Row],[FECHA DE FACTURACIÓN]],"DE CONTADO","CRÉDITO")</f>
        <v>CRÉDITO</v>
      </c>
      <c r="B447" s="144" t="str">
        <f>+IF((PROVEEDORES[[#This Row],[FECHA DE PAGO]]-PROVEEDORES[[#This Row],[FECHA DE FACTURACIÓN]])&gt;PROVEEDORES[[#This Row],[PLAZO Días]],"PAGO VENCIDO")</f>
        <v>PAGO VENCIDO</v>
      </c>
      <c r="C447" s="144">
        <f>+VLOOKUP(PROVEEDORES[[#This Row],[PROVEEDOR]],TERCEROS_INFO[#All],2,FALSE)</f>
        <v>0</v>
      </c>
      <c r="D447" s="145">
        <f>+SUMIFS(PROVEEDORES[Total],PROVEEDORES[PROVEEDOR],PROVEEDORES[[#This Row],[PROVEEDOR]],PROVEEDORES[FECHA DE PAGO],"")</f>
        <v>0</v>
      </c>
      <c r="E447" s="146"/>
      <c r="F447" s="144" t="str">
        <f>+VLOOKUP(PROVEEDORES[[#This Row],[PROVEEDOR]],
                       Terceros!$A:$G,
                       5,
                       FALSE)</f>
        <v>3,5% sin base</v>
      </c>
      <c r="G447" s="122">
        <v>45117</v>
      </c>
      <c r="H447" s="102" t="s">
        <v>409</v>
      </c>
      <c r="I447" s="122">
        <v>45108</v>
      </c>
      <c r="J447" s="103" t="s">
        <v>896</v>
      </c>
      <c r="K447" s="103" t="s">
        <v>1512</v>
      </c>
      <c r="L447" s="103"/>
      <c r="M447" s="105">
        <v>243611</v>
      </c>
      <c r="N447" s="147">
        <v>46286.090000000004</v>
      </c>
      <c r="O447" s="147">
        <v>0</v>
      </c>
      <c r="P447" s="148">
        <v>3.5000000000000003E-2</v>
      </c>
      <c r="Q447" s="147">
        <v>8526.3850000000002</v>
      </c>
      <c r="R447" s="149">
        <v>281370.70500000002</v>
      </c>
      <c r="S4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7" s="150">
        <f ca="1">+IF(PROVEEDORES[[#This Row],[FECHA DE PAGO]]=0,TODAY()-PROVEEDORES[[#This Row],[FECHA DE FACTURACIÓN]]-PROVEEDORES[[#This Row],[PLAZO Días]],0)</f>
        <v>0</v>
      </c>
      <c r="U447" s="150">
        <f>+VLOOKUP(PROVEEDORES[[#This Row],[PROVEEDOR]],Terceros!$A:$E,4,FALSE)</f>
        <v>0.19</v>
      </c>
      <c r="V447" s="150">
        <f>+YEAR(PROVEEDORES[[#This Row],[FECHA DE FACTURACIÓN]])</f>
        <v>2023</v>
      </c>
      <c r="W447" s="150">
        <f>+MATCH(PROVEEDORES[[#This Row],[año facturado]],Retenciones!$1:$1,0)</f>
        <v>6</v>
      </c>
      <c r="X447" s="151" t="e">
        <f>+VLOOKUP(PROVEEDORES[[#This Row],[ID RETENCION]],Retenciones!$A$1:$O$25,PROVEEDORES[[#This Row],[indicador de columna]],FALSE)</f>
        <v>#N/A</v>
      </c>
      <c r="Y447" s="152" t="e">
        <f>+VLOOKUP(PROVEEDORES[[#This Row],[ID RETENCION]],Retenciones!$A$1:$O$25,2,FALSE)</f>
        <v>#N/A</v>
      </c>
      <c r="Z447" s="153" t="b">
        <f>+OR(COUNTIF(PROVEEDORES[[#This Row],[PROVEEDOR]],"*"&amp;'Palabra que no opera y Listas d'!$A$2&amp;"*"))</f>
        <v>1</v>
      </c>
    </row>
    <row r="448" spans="1:26" ht="27.75" customHeight="1" x14ac:dyDescent="0.3">
      <c r="A448" s="144" t="str">
        <f>+IF(PROVEEDORES[[#This Row],[FECHA DE PAGO]]=PROVEEDORES[[#This Row],[FECHA DE FACTURACIÓN]],"DE CONTADO","CRÉDITO")</f>
        <v>CRÉDITO</v>
      </c>
      <c r="B448" s="144" t="str">
        <f>+IF((PROVEEDORES[[#This Row],[FECHA DE PAGO]]-PROVEEDORES[[#This Row],[FECHA DE FACTURACIÓN]])&gt;PROVEEDORES[[#This Row],[PLAZO Días]],"PAGO VENCIDO")</f>
        <v>PAGO VENCIDO</v>
      </c>
      <c r="C448" s="144">
        <f>+VLOOKUP(PROVEEDORES[[#This Row],[PROVEEDOR]],TERCEROS_INFO[#All],2,FALSE)</f>
        <v>0</v>
      </c>
      <c r="D448" s="145">
        <f>+SUMIFS(PROVEEDORES[Total],PROVEEDORES[PROVEEDOR],PROVEEDORES[[#This Row],[PROVEEDOR]],PROVEEDORES[FECHA DE PAGO],"")</f>
        <v>181631</v>
      </c>
      <c r="E448" s="146"/>
      <c r="F448" s="144">
        <f>+VLOOKUP(PROVEEDORES[[#This Row],[PROVEEDOR]],
                       Terceros!$A:$G,
                       5,
                       FALSE)</f>
        <v>0</v>
      </c>
      <c r="G448" s="122">
        <v>45117</v>
      </c>
      <c r="H448" s="102" t="s">
        <v>383</v>
      </c>
      <c r="I448" s="122">
        <v>45108</v>
      </c>
      <c r="J448" s="103" t="s">
        <v>969</v>
      </c>
      <c r="K448" s="103" t="s">
        <v>1512</v>
      </c>
      <c r="L448" s="103"/>
      <c r="M448" s="105">
        <v>908172</v>
      </c>
      <c r="N448" s="147">
        <v>172552.68</v>
      </c>
      <c r="O448" s="147">
        <v>0</v>
      </c>
      <c r="P448" s="148">
        <v>0</v>
      </c>
      <c r="Q448" s="147">
        <v>0</v>
      </c>
      <c r="R448" s="149">
        <v>1080724.68</v>
      </c>
      <c r="S4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8" s="150">
        <f ca="1">+IF(PROVEEDORES[[#This Row],[FECHA DE PAGO]]=0,TODAY()-PROVEEDORES[[#This Row],[FECHA DE FACTURACIÓN]]-PROVEEDORES[[#This Row],[PLAZO Días]],0)</f>
        <v>0</v>
      </c>
      <c r="U448" s="150">
        <f>+VLOOKUP(PROVEEDORES[[#This Row],[PROVEEDOR]],Terceros!$A:$E,4,FALSE)</f>
        <v>0.19</v>
      </c>
      <c r="V448" s="150">
        <f>+YEAR(PROVEEDORES[[#This Row],[FECHA DE FACTURACIÓN]])</f>
        <v>2023</v>
      </c>
      <c r="W448" s="150">
        <f>+MATCH(PROVEEDORES[[#This Row],[año facturado]],Retenciones!$1:$1,0)</f>
        <v>6</v>
      </c>
      <c r="X448" s="151" t="e">
        <f>+VLOOKUP(PROVEEDORES[[#This Row],[ID RETENCION]],Retenciones!$A$1:$O$25,PROVEEDORES[[#This Row],[indicador de columna]],FALSE)</f>
        <v>#N/A</v>
      </c>
      <c r="Y448" s="152" t="e">
        <f>+VLOOKUP(PROVEEDORES[[#This Row],[ID RETENCION]],Retenciones!$A$1:$O$25,2,FALSE)</f>
        <v>#N/A</v>
      </c>
      <c r="Z448" s="153" t="b">
        <f>+OR(COUNTIF(PROVEEDORES[[#This Row],[PROVEEDOR]],"*"&amp;'Palabra que no opera y Listas d'!$A$2&amp;"*"))</f>
        <v>1</v>
      </c>
    </row>
    <row r="449" spans="1:26" ht="27.75" customHeight="1" x14ac:dyDescent="0.3">
      <c r="A449" s="144" t="str">
        <f>+IF(PROVEEDORES[[#This Row],[FECHA DE PAGO]]=PROVEEDORES[[#This Row],[FECHA DE FACTURACIÓN]],"DE CONTADO","CRÉDITO")</f>
        <v>CRÉDITO</v>
      </c>
      <c r="B449" s="144" t="str">
        <f>+IF((PROVEEDORES[[#This Row],[FECHA DE PAGO]]-PROVEEDORES[[#This Row],[FECHA DE FACTURACIÓN]])&gt;PROVEEDORES[[#This Row],[PLAZO Días]],"PAGO VENCIDO")</f>
        <v>PAGO VENCIDO</v>
      </c>
      <c r="C449" s="144">
        <f>+VLOOKUP(PROVEEDORES[[#This Row],[PROVEEDOR]],TERCEROS_INFO[#All],2,FALSE)</f>
        <v>0</v>
      </c>
      <c r="D449" s="145">
        <f>+SUMIFS(PROVEEDORES[Total],PROVEEDORES[PROVEEDOR],PROVEEDORES[[#This Row],[PROVEEDOR]],PROVEEDORES[FECHA DE PAGO],"")</f>
        <v>181631</v>
      </c>
      <c r="E449" s="146"/>
      <c r="F449" s="144">
        <f>+VLOOKUP(PROVEEDORES[[#This Row],[PROVEEDOR]],
                       Terceros!$A:$G,
                       5,
                       FALSE)</f>
        <v>0</v>
      </c>
      <c r="G449" s="122">
        <v>45117</v>
      </c>
      <c r="H449" s="102" t="s">
        <v>383</v>
      </c>
      <c r="I449" s="122">
        <v>45108</v>
      </c>
      <c r="J449" s="103" t="s">
        <v>970</v>
      </c>
      <c r="K449" s="103" t="s">
        <v>1512</v>
      </c>
      <c r="L449" s="103"/>
      <c r="M449" s="105">
        <v>3792544</v>
      </c>
      <c r="N449" s="147">
        <v>720583.36</v>
      </c>
      <c r="O449" s="147">
        <v>0</v>
      </c>
      <c r="P449" s="148">
        <v>0</v>
      </c>
      <c r="Q449" s="147">
        <v>0</v>
      </c>
      <c r="R449" s="149">
        <v>4513127.3600000003</v>
      </c>
      <c r="S4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9" s="150">
        <f ca="1">+IF(PROVEEDORES[[#This Row],[FECHA DE PAGO]]=0,TODAY()-PROVEEDORES[[#This Row],[FECHA DE FACTURACIÓN]]-PROVEEDORES[[#This Row],[PLAZO Días]],0)</f>
        <v>0</v>
      </c>
      <c r="U449" s="150">
        <f>+VLOOKUP(PROVEEDORES[[#This Row],[PROVEEDOR]],Terceros!$A:$E,4,FALSE)</f>
        <v>0.19</v>
      </c>
      <c r="V449" s="150">
        <f>+YEAR(PROVEEDORES[[#This Row],[FECHA DE FACTURACIÓN]])</f>
        <v>2023</v>
      </c>
      <c r="W449" s="150">
        <f>+MATCH(PROVEEDORES[[#This Row],[año facturado]],Retenciones!$1:$1,0)</f>
        <v>6</v>
      </c>
      <c r="X449" s="151" t="e">
        <f>+VLOOKUP(PROVEEDORES[[#This Row],[ID RETENCION]],Retenciones!$A$1:$O$25,PROVEEDORES[[#This Row],[indicador de columna]],FALSE)</f>
        <v>#N/A</v>
      </c>
      <c r="Y449" s="152" t="e">
        <f>+VLOOKUP(PROVEEDORES[[#This Row],[ID RETENCION]],Retenciones!$A$1:$O$25,2,FALSE)</f>
        <v>#N/A</v>
      </c>
      <c r="Z449" s="153" t="b">
        <f>+OR(COUNTIF(PROVEEDORES[[#This Row],[PROVEEDOR]],"*"&amp;'Palabra que no opera y Listas d'!$A$2&amp;"*"))</f>
        <v>1</v>
      </c>
    </row>
    <row r="450" spans="1:26" ht="27.75" customHeight="1" x14ac:dyDescent="0.3">
      <c r="A450" s="144" t="str">
        <f>+IF(PROVEEDORES[[#This Row],[FECHA DE PAGO]]=PROVEEDORES[[#This Row],[FECHA DE FACTURACIÓN]],"DE CONTADO","CRÉDITO")</f>
        <v>CRÉDITO</v>
      </c>
      <c r="B450" s="144" t="str">
        <f>+IF((PROVEEDORES[[#This Row],[FECHA DE PAGO]]-PROVEEDORES[[#This Row],[FECHA DE FACTURACIÓN]])&gt;PROVEEDORES[[#This Row],[PLAZO Días]],"PAGO VENCIDO")</f>
        <v>PAGO VENCIDO</v>
      </c>
      <c r="C450" s="144">
        <f>+VLOOKUP(PROVEEDORES[[#This Row],[PROVEEDOR]],TERCEROS_INFO[#All],2,FALSE)</f>
        <v>0</v>
      </c>
      <c r="D450" s="145">
        <f>+SUMIFS(PROVEEDORES[Total],PROVEEDORES[PROVEEDOR],PROVEEDORES[[#This Row],[PROVEEDOR]],PROVEEDORES[FECHA DE PAGO],"")</f>
        <v>7281829.8799999999</v>
      </c>
      <c r="E450" s="146"/>
      <c r="F450" s="144" t="str">
        <f>+VLOOKUP(PROVEEDORES[[#This Row],[PROVEEDOR]],
                       Terceros!$A:$G,
                       5,
                       FALSE)</f>
        <v>2,5% con base</v>
      </c>
      <c r="G450" s="122">
        <v>45118</v>
      </c>
      <c r="H450" s="102" t="s">
        <v>1445</v>
      </c>
      <c r="I450" s="122">
        <v>45072</v>
      </c>
      <c r="J450" s="103" t="s">
        <v>821</v>
      </c>
      <c r="K450" s="103" t="s">
        <v>1512</v>
      </c>
      <c r="L450" s="103"/>
      <c r="M450" s="105">
        <v>151261</v>
      </c>
      <c r="N450" s="147">
        <v>28739.59</v>
      </c>
      <c r="O450" s="147">
        <v>0</v>
      </c>
      <c r="P450" s="148">
        <v>0</v>
      </c>
      <c r="Q450" s="147">
        <v>0</v>
      </c>
      <c r="R450" s="149">
        <v>180000.59</v>
      </c>
      <c r="S4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0" s="150">
        <f ca="1">+IF(PROVEEDORES[[#This Row],[FECHA DE PAGO]]=0,TODAY()-PROVEEDORES[[#This Row],[FECHA DE FACTURACIÓN]]-PROVEEDORES[[#This Row],[PLAZO Días]],0)</f>
        <v>0</v>
      </c>
      <c r="U450" s="150">
        <f>+VLOOKUP(PROVEEDORES[[#This Row],[PROVEEDOR]],Terceros!$A:$E,4,FALSE)</f>
        <v>0.19</v>
      </c>
      <c r="V450" s="150">
        <f>+YEAR(PROVEEDORES[[#This Row],[FECHA DE FACTURACIÓN]])</f>
        <v>2023</v>
      </c>
      <c r="W450" s="150">
        <f>+MATCH(PROVEEDORES[[#This Row],[año facturado]],Retenciones!$1:$1,0)</f>
        <v>6</v>
      </c>
      <c r="X450" s="151" t="e">
        <f>+VLOOKUP(PROVEEDORES[[#This Row],[ID RETENCION]],Retenciones!$A$1:$O$25,PROVEEDORES[[#This Row],[indicador de columna]],FALSE)</f>
        <v>#N/A</v>
      </c>
      <c r="Y450" s="152" t="e">
        <f>+VLOOKUP(PROVEEDORES[[#This Row],[ID RETENCION]],Retenciones!$A$1:$O$25,2,FALSE)</f>
        <v>#N/A</v>
      </c>
      <c r="Z450" s="153" t="b">
        <f>+OR(COUNTIF(PROVEEDORES[[#This Row],[PROVEEDOR]],"*"&amp;'Palabra que no opera y Listas d'!$A$2&amp;"*"))</f>
        <v>0</v>
      </c>
    </row>
    <row r="451" spans="1:26" ht="27.75" customHeight="1" x14ac:dyDescent="0.3">
      <c r="A451" s="144" t="str">
        <f>+IF(PROVEEDORES[[#This Row],[FECHA DE PAGO]]=PROVEEDORES[[#This Row],[FECHA DE FACTURACIÓN]],"DE CONTADO","CRÉDITO")</f>
        <v>CRÉDITO</v>
      </c>
      <c r="B451" s="144" t="str">
        <f>+IF((PROVEEDORES[[#This Row],[FECHA DE PAGO]]-PROVEEDORES[[#This Row],[FECHA DE FACTURACIÓN]])&gt;PROVEEDORES[[#This Row],[PLAZO Días]],"PAGO VENCIDO")</f>
        <v>PAGO VENCIDO</v>
      </c>
      <c r="C451" s="144">
        <f>+VLOOKUP(PROVEEDORES[[#This Row],[PROVEEDOR]],TERCEROS_INFO[#All],2,FALSE)</f>
        <v>0</v>
      </c>
      <c r="D451" s="145">
        <f>+SUMIFS(PROVEEDORES[Total],PROVEEDORES[PROVEEDOR],PROVEEDORES[[#This Row],[PROVEEDOR]],PROVEEDORES[FECHA DE PAGO],"")</f>
        <v>2095000</v>
      </c>
      <c r="E451" s="146"/>
      <c r="F451" s="144">
        <f>+VLOOKUP(PROVEEDORES[[#This Row],[PROVEEDOR]],
                       Terceros!$A:$G,
                       5,
                       FALSE)</f>
        <v>0</v>
      </c>
      <c r="G451" s="122">
        <v>45118</v>
      </c>
      <c r="H451" s="102" t="s">
        <v>1781</v>
      </c>
      <c r="I451" s="122">
        <v>45076</v>
      </c>
      <c r="J451" s="103">
        <v>85</v>
      </c>
      <c r="K451" s="103" t="s">
        <v>1512</v>
      </c>
      <c r="L451" s="103"/>
      <c r="M451" s="105">
        <v>1980000</v>
      </c>
      <c r="N451" s="147">
        <v>0</v>
      </c>
      <c r="O451" s="147">
        <v>0</v>
      </c>
      <c r="P451" s="148">
        <v>0</v>
      </c>
      <c r="Q451" s="147">
        <v>0</v>
      </c>
      <c r="R451" s="149">
        <v>1980000</v>
      </c>
      <c r="S4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1" s="150">
        <f ca="1">+IF(PROVEEDORES[[#This Row],[FECHA DE PAGO]]=0,TODAY()-PROVEEDORES[[#This Row],[FECHA DE FACTURACIÓN]]-PROVEEDORES[[#This Row],[PLAZO Días]],0)</f>
        <v>0</v>
      </c>
      <c r="U451" s="150">
        <f>+VLOOKUP(PROVEEDORES[[#This Row],[PROVEEDOR]],Terceros!$A:$E,4,FALSE)</f>
        <v>0</v>
      </c>
      <c r="V451" s="150">
        <f>+YEAR(PROVEEDORES[[#This Row],[FECHA DE FACTURACIÓN]])</f>
        <v>2023</v>
      </c>
      <c r="W451" s="150">
        <f>+MATCH(PROVEEDORES[[#This Row],[año facturado]],Retenciones!$1:$1,0)</f>
        <v>6</v>
      </c>
      <c r="X451" s="151">
        <f>+VLOOKUP(PROVEEDORES[[#This Row],[ID RETENCION]],Retenciones!$A$1:$O$25,PROVEEDORES[[#This Row],[indicador de columna]],FALSE)</f>
        <v>0</v>
      </c>
      <c r="Y451" s="152">
        <f>+VLOOKUP(PROVEEDORES[[#This Row],[ID RETENCION]],Retenciones!$A$1:$O$25,2,FALSE)</f>
        <v>0</v>
      </c>
      <c r="Z451" s="153" t="b">
        <f>+OR(COUNTIF(PROVEEDORES[[#This Row],[PROVEEDOR]],"*"&amp;'Palabra que no opera y Listas d'!$A$2&amp;"*"))</f>
        <v>0</v>
      </c>
    </row>
    <row r="452" spans="1:26" ht="27.75" customHeight="1" x14ac:dyDescent="0.3">
      <c r="A452" s="144" t="str">
        <f>+IF(PROVEEDORES[[#This Row],[FECHA DE PAGO]]=PROVEEDORES[[#This Row],[FECHA DE FACTURACIÓN]],"DE CONTADO","CRÉDITO")</f>
        <v>CRÉDITO</v>
      </c>
      <c r="B452" s="144" t="str">
        <f>+IF((PROVEEDORES[[#This Row],[FECHA DE PAGO]]-PROVEEDORES[[#This Row],[FECHA DE FACTURACIÓN]])&gt;PROVEEDORES[[#This Row],[PLAZO Días]],"PAGO VENCIDO")</f>
        <v>PAGO VENCIDO</v>
      </c>
      <c r="C452" s="144">
        <f>+VLOOKUP(PROVEEDORES[[#This Row],[PROVEEDOR]],TERCEROS_INFO[#All],2,FALSE)</f>
        <v>0</v>
      </c>
      <c r="D452" s="145">
        <f>+SUMIFS(PROVEEDORES[Total],PROVEEDORES[PROVEEDOR],PROVEEDORES[[#This Row],[PROVEEDOR]],PROVEEDORES[FECHA DE PAGO],"")</f>
        <v>0</v>
      </c>
      <c r="E452" s="146"/>
      <c r="F452" s="144">
        <f>+VLOOKUP(PROVEEDORES[[#This Row],[PROVEEDOR]],
                       Terceros!$A:$G,
                       5,
                       FALSE)</f>
        <v>0</v>
      </c>
      <c r="G452" s="122">
        <v>45118</v>
      </c>
      <c r="H452" s="102" t="s">
        <v>512</v>
      </c>
      <c r="I452" s="122">
        <v>45076</v>
      </c>
      <c r="J452" s="103">
        <v>2127</v>
      </c>
      <c r="K452" s="103" t="s">
        <v>1512</v>
      </c>
      <c r="L452" s="103"/>
      <c r="M452" s="105">
        <v>84000</v>
      </c>
      <c r="N452" s="147">
        <v>0</v>
      </c>
      <c r="O452" s="147">
        <v>0</v>
      </c>
      <c r="P452" s="148">
        <v>0</v>
      </c>
      <c r="Q452" s="147">
        <v>0</v>
      </c>
      <c r="R452" s="149">
        <v>84000</v>
      </c>
      <c r="S4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2" s="150">
        <f ca="1">+IF(PROVEEDORES[[#This Row],[FECHA DE PAGO]]=0,TODAY()-PROVEEDORES[[#This Row],[FECHA DE FACTURACIÓN]]-PROVEEDORES[[#This Row],[PLAZO Días]],0)</f>
        <v>0</v>
      </c>
      <c r="U452" s="150">
        <f>+VLOOKUP(PROVEEDORES[[#This Row],[PROVEEDOR]],Terceros!$A:$E,4,FALSE)</f>
        <v>0</v>
      </c>
      <c r="V452" s="150">
        <f>+YEAR(PROVEEDORES[[#This Row],[FECHA DE FACTURACIÓN]])</f>
        <v>2023</v>
      </c>
      <c r="W452" s="150">
        <f>+MATCH(PROVEEDORES[[#This Row],[año facturado]],Retenciones!$1:$1,0)</f>
        <v>6</v>
      </c>
      <c r="X452" s="151">
        <f>+VLOOKUP(PROVEEDORES[[#This Row],[ID RETENCION]],Retenciones!$A$1:$O$25,PROVEEDORES[[#This Row],[indicador de columna]],FALSE)</f>
        <v>0</v>
      </c>
      <c r="Y452" s="152">
        <f>+VLOOKUP(PROVEEDORES[[#This Row],[ID RETENCION]],Retenciones!$A$1:$O$25,2,FALSE)</f>
        <v>0</v>
      </c>
      <c r="Z452" s="153" t="b">
        <f>+OR(COUNTIF(PROVEEDORES[[#This Row],[PROVEEDOR]],"*"&amp;'Palabra que no opera y Listas d'!$A$2&amp;"*"))</f>
        <v>0</v>
      </c>
    </row>
    <row r="453" spans="1:26" ht="27.75" customHeight="1" x14ac:dyDescent="0.3">
      <c r="A453" s="144" t="str">
        <f>+IF(PROVEEDORES[[#This Row],[FECHA DE PAGO]]=PROVEEDORES[[#This Row],[FECHA DE FACTURACIÓN]],"DE CONTADO","CRÉDITO")</f>
        <v>CRÉDITO</v>
      </c>
      <c r="B453" s="144" t="str">
        <f>+IF((PROVEEDORES[[#This Row],[FECHA DE PAGO]]-PROVEEDORES[[#This Row],[FECHA DE FACTURACIÓN]])&gt;PROVEEDORES[[#This Row],[PLAZO Días]],"PAGO VENCIDO")</f>
        <v>PAGO VENCIDO</v>
      </c>
      <c r="C453" s="144">
        <f>+VLOOKUP(PROVEEDORES[[#This Row],[PROVEEDOR]],TERCEROS_INFO[#All],2,FALSE)</f>
        <v>0</v>
      </c>
      <c r="D453" s="145">
        <f>+SUMIFS(PROVEEDORES[Total],PROVEEDORES[PROVEEDOR],PROVEEDORES[[#This Row],[PROVEEDOR]],PROVEEDORES[FECHA DE PAGO],"")</f>
        <v>7281829.8799999999</v>
      </c>
      <c r="E453" s="146"/>
      <c r="F453" s="144" t="str">
        <f>+VLOOKUP(PROVEEDORES[[#This Row],[PROVEEDOR]],
                       Terceros!$A:$G,
                       5,
                       FALSE)</f>
        <v>2,5% con base</v>
      </c>
      <c r="G453" s="122">
        <v>45118</v>
      </c>
      <c r="H453" s="102" t="s">
        <v>1445</v>
      </c>
      <c r="I453" s="122">
        <v>45082</v>
      </c>
      <c r="J453" s="103" t="s">
        <v>840</v>
      </c>
      <c r="K453" s="103" t="s">
        <v>1512</v>
      </c>
      <c r="L453" s="103"/>
      <c r="M453" s="105">
        <v>1949799</v>
      </c>
      <c r="N453" s="147">
        <v>370461.81</v>
      </c>
      <c r="O453" s="147">
        <v>0</v>
      </c>
      <c r="P453" s="148">
        <v>2.5000000000000001E-2</v>
      </c>
      <c r="Q453" s="147">
        <v>48744.975000000006</v>
      </c>
      <c r="R453" s="149">
        <v>2271515.835</v>
      </c>
      <c r="S4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3" s="150">
        <f ca="1">+IF(PROVEEDORES[[#This Row],[FECHA DE PAGO]]=0,TODAY()-PROVEEDORES[[#This Row],[FECHA DE FACTURACIÓN]]-PROVEEDORES[[#This Row],[PLAZO Días]],0)</f>
        <v>0</v>
      </c>
      <c r="U453" s="150">
        <f>+VLOOKUP(PROVEEDORES[[#This Row],[PROVEEDOR]],Terceros!$A:$E,4,FALSE)</f>
        <v>0.19</v>
      </c>
      <c r="V453" s="150">
        <f>+YEAR(PROVEEDORES[[#This Row],[FECHA DE FACTURACIÓN]])</f>
        <v>2023</v>
      </c>
      <c r="W453" s="150">
        <f>+MATCH(PROVEEDORES[[#This Row],[año facturado]],Retenciones!$1:$1,0)</f>
        <v>6</v>
      </c>
      <c r="X453" s="151" t="e">
        <f>+VLOOKUP(PROVEEDORES[[#This Row],[ID RETENCION]],Retenciones!$A$1:$O$25,PROVEEDORES[[#This Row],[indicador de columna]],FALSE)</f>
        <v>#N/A</v>
      </c>
      <c r="Y453" s="152" t="e">
        <f>+VLOOKUP(PROVEEDORES[[#This Row],[ID RETENCION]],Retenciones!$A$1:$O$25,2,FALSE)</f>
        <v>#N/A</v>
      </c>
      <c r="Z453" s="153" t="b">
        <f>+OR(COUNTIF(PROVEEDORES[[#This Row],[PROVEEDOR]],"*"&amp;'Palabra que no opera y Listas d'!$A$2&amp;"*"))</f>
        <v>0</v>
      </c>
    </row>
    <row r="454" spans="1:26" ht="27.75" customHeight="1" x14ac:dyDescent="0.3">
      <c r="A454" s="144" t="str">
        <f>+IF(PROVEEDORES[[#This Row],[FECHA DE PAGO]]=PROVEEDORES[[#This Row],[FECHA DE FACTURACIÓN]],"DE CONTADO","CRÉDITO")</f>
        <v>CRÉDITO</v>
      </c>
      <c r="B454" s="144" t="str">
        <f>+IF((PROVEEDORES[[#This Row],[FECHA DE PAGO]]-PROVEEDORES[[#This Row],[FECHA DE FACTURACIÓN]])&gt;PROVEEDORES[[#This Row],[PLAZO Días]],"PAGO VENCIDO")</f>
        <v>PAGO VENCIDO</v>
      </c>
      <c r="C454" s="144">
        <f>+VLOOKUP(PROVEEDORES[[#This Row],[PROVEEDOR]],TERCEROS_INFO[#All],2,FALSE)</f>
        <v>0</v>
      </c>
      <c r="D454" s="145">
        <f>+SUMIFS(PROVEEDORES[Total],PROVEEDORES[PROVEEDOR],PROVEEDORES[[#This Row],[PROVEEDOR]],PROVEEDORES[FECHA DE PAGO],"")</f>
        <v>7281829.8799999999</v>
      </c>
      <c r="E454" s="146"/>
      <c r="F454" s="144" t="str">
        <f>+VLOOKUP(PROVEEDORES[[#This Row],[PROVEEDOR]],
                       Terceros!$A:$G,
                       5,
                       FALSE)</f>
        <v>2,5% con base</v>
      </c>
      <c r="G454" s="122">
        <v>45118</v>
      </c>
      <c r="H454" s="102" t="s">
        <v>1445</v>
      </c>
      <c r="I454" s="122">
        <v>45084</v>
      </c>
      <c r="J454" s="103" t="s">
        <v>867</v>
      </c>
      <c r="K454" s="103" t="s">
        <v>1512</v>
      </c>
      <c r="L454" s="103"/>
      <c r="M454" s="105">
        <v>128033</v>
      </c>
      <c r="N454" s="147">
        <v>24326.27</v>
      </c>
      <c r="O454" s="147">
        <v>0</v>
      </c>
      <c r="P454" s="148">
        <v>0</v>
      </c>
      <c r="Q454" s="147">
        <v>0</v>
      </c>
      <c r="R454" s="149">
        <v>152359.26999999999</v>
      </c>
      <c r="S4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4" s="150">
        <f ca="1">+IF(PROVEEDORES[[#This Row],[FECHA DE PAGO]]=0,TODAY()-PROVEEDORES[[#This Row],[FECHA DE FACTURACIÓN]]-PROVEEDORES[[#This Row],[PLAZO Días]],0)</f>
        <v>0</v>
      </c>
      <c r="U454" s="150">
        <f>+VLOOKUP(PROVEEDORES[[#This Row],[PROVEEDOR]],Terceros!$A:$E,4,FALSE)</f>
        <v>0.19</v>
      </c>
      <c r="V454" s="150">
        <f>+YEAR(PROVEEDORES[[#This Row],[FECHA DE FACTURACIÓN]])</f>
        <v>2023</v>
      </c>
      <c r="W454" s="150">
        <f>+MATCH(PROVEEDORES[[#This Row],[año facturado]],Retenciones!$1:$1,0)</f>
        <v>6</v>
      </c>
      <c r="X454" s="151" t="e">
        <f>+VLOOKUP(PROVEEDORES[[#This Row],[ID RETENCION]],Retenciones!$A$1:$O$25,PROVEEDORES[[#This Row],[indicador de columna]],FALSE)</f>
        <v>#N/A</v>
      </c>
      <c r="Y454" s="152" t="e">
        <f>+VLOOKUP(PROVEEDORES[[#This Row],[ID RETENCION]],Retenciones!$A$1:$O$25,2,FALSE)</f>
        <v>#N/A</v>
      </c>
      <c r="Z454" s="153" t="b">
        <f>+OR(COUNTIF(PROVEEDORES[[#This Row],[PROVEEDOR]],"*"&amp;'Palabra que no opera y Listas d'!$A$2&amp;"*"))</f>
        <v>0</v>
      </c>
    </row>
    <row r="455" spans="1:26" ht="27.75" customHeight="1" x14ac:dyDescent="0.3">
      <c r="A455" s="144" t="str">
        <f>+IF(PROVEEDORES[[#This Row],[FECHA DE PAGO]]=PROVEEDORES[[#This Row],[FECHA DE FACTURACIÓN]],"DE CONTADO","CRÉDITO")</f>
        <v>CRÉDITO</v>
      </c>
      <c r="B455" s="144" t="str">
        <f>+IF((PROVEEDORES[[#This Row],[FECHA DE PAGO]]-PROVEEDORES[[#This Row],[FECHA DE FACTURACIÓN]])&gt;PROVEEDORES[[#This Row],[PLAZO Días]],"PAGO VENCIDO")</f>
        <v>PAGO VENCIDO</v>
      </c>
      <c r="C455" s="144">
        <f>+VLOOKUP(PROVEEDORES[[#This Row],[PROVEEDOR]],TERCEROS_INFO[#All],2,FALSE)</f>
        <v>0</v>
      </c>
      <c r="D455" s="145">
        <f>+SUMIFS(PROVEEDORES[Total],PROVEEDORES[PROVEEDOR],PROVEEDORES[[#This Row],[PROVEEDOR]],PROVEEDORES[FECHA DE PAGO],"")</f>
        <v>7281829.8799999999</v>
      </c>
      <c r="E455" s="146"/>
      <c r="F455" s="144" t="str">
        <f>+VLOOKUP(PROVEEDORES[[#This Row],[PROVEEDOR]],
                       Terceros!$A:$G,
                       5,
                       FALSE)</f>
        <v>2,5% con base</v>
      </c>
      <c r="G455" s="122">
        <v>45118</v>
      </c>
      <c r="H455" s="102" t="s">
        <v>1445</v>
      </c>
      <c r="I455" s="122">
        <v>45084</v>
      </c>
      <c r="J455" s="103" t="s">
        <v>866</v>
      </c>
      <c r="K455" s="103" t="s">
        <v>1512</v>
      </c>
      <c r="L455" s="103"/>
      <c r="M455" s="105">
        <v>458352</v>
      </c>
      <c r="N455" s="147">
        <v>87086.88</v>
      </c>
      <c r="O455" s="147">
        <v>0</v>
      </c>
      <c r="P455" s="148">
        <v>0</v>
      </c>
      <c r="Q455" s="147">
        <v>0</v>
      </c>
      <c r="R455" s="149">
        <v>545438.88</v>
      </c>
      <c r="S4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5" s="150">
        <f ca="1">+IF(PROVEEDORES[[#This Row],[FECHA DE PAGO]]=0,TODAY()-PROVEEDORES[[#This Row],[FECHA DE FACTURACIÓN]]-PROVEEDORES[[#This Row],[PLAZO Días]],0)</f>
        <v>0</v>
      </c>
      <c r="U455" s="150">
        <f>+VLOOKUP(PROVEEDORES[[#This Row],[PROVEEDOR]],Terceros!$A:$E,4,FALSE)</f>
        <v>0.19</v>
      </c>
      <c r="V455" s="150">
        <f>+YEAR(PROVEEDORES[[#This Row],[FECHA DE FACTURACIÓN]])</f>
        <v>2023</v>
      </c>
      <c r="W455" s="150">
        <f>+MATCH(PROVEEDORES[[#This Row],[año facturado]],Retenciones!$1:$1,0)</f>
        <v>6</v>
      </c>
      <c r="X455" s="151" t="e">
        <f>+VLOOKUP(PROVEEDORES[[#This Row],[ID RETENCION]],Retenciones!$A$1:$O$25,PROVEEDORES[[#This Row],[indicador de columna]],FALSE)</f>
        <v>#N/A</v>
      </c>
      <c r="Y455" s="152" t="e">
        <f>+VLOOKUP(PROVEEDORES[[#This Row],[ID RETENCION]],Retenciones!$A$1:$O$25,2,FALSE)</f>
        <v>#N/A</v>
      </c>
      <c r="Z455" s="153" t="b">
        <f>+OR(COUNTIF(PROVEEDORES[[#This Row],[PROVEEDOR]],"*"&amp;'Palabra que no opera y Listas d'!$A$2&amp;"*"))</f>
        <v>0</v>
      </c>
    </row>
    <row r="456" spans="1:26" ht="27.75" customHeight="1" x14ac:dyDescent="0.3">
      <c r="A456" s="144" t="str">
        <f>+IF(PROVEEDORES[[#This Row],[FECHA DE PAGO]]=PROVEEDORES[[#This Row],[FECHA DE FACTURACIÓN]],"DE CONTADO","CRÉDITO")</f>
        <v>CRÉDITO</v>
      </c>
      <c r="B456" s="144" t="str">
        <f>+IF((PROVEEDORES[[#This Row],[FECHA DE PAGO]]-PROVEEDORES[[#This Row],[FECHA DE FACTURACIÓN]])&gt;PROVEEDORES[[#This Row],[PLAZO Días]],"PAGO VENCIDO")</f>
        <v>PAGO VENCIDO</v>
      </c>
      <c r="C456" s="144">
        <f>+VLOOKUP(PROVEEDORES[[#This Row],[PROVEEDOR]],TERCEROS_INFO[#All],2,FALSE)</f>
        <v>0</v>
      </c>
      <c r="D456" s="145">
        <f>+SUMIFS(PROVEEDORES[Total],PROVEEDORES[PROVEEDOR],PROVEEDORES[[#This Row],[PROVEEDOR]],PROVEEDORES[FECHA DE PAGO],"")</f>
        <v>0</v>
      </c>
      <c r="E456" s="146"/>
      <c r="F456" s="144">
        <f>+VLOOKUP(PROVEEDORES[[#This Row],[PROVEEDOR]],
                       Terceros!$A:$G,
                       5,
                       FALSE)</f>
        <v>0</v>
      </c>
      <c r="G456" s="122">
        <v>45119</v>
      </c>
      <c r="H456" s="102" t="s">
        <v>496</v>
      </c>
      <c r="I456" s="122">
        <v>45118</v>
      </c>
      <c r="J456" s="103" t="s">
        <v>940</v>
      </c>
      <c r="K456" s="103" t="s">
        <v>1512</v>
      </c>
      <c r="L456" s="103"/>
      <c r="M456" s="105">
        <v>4587000</v>
      </c>
      <c r="N456" s="147">
        <v>0</v>
      </c>
      <c r="O456" s="147">
        <v>0</v>
      </c>
      <c r="P456" s="148">
        <v>0</v>
      </c>
      <c r="Q456" s="147">
        <v>0</v>
      </c>
      <c r="R456" s="149">
        <v>4587000</v>
      </c>
      <c r="S4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6" s="150">
        <f ca="1">+IF(PROVEEDORES[[#This Row],[FECHA DE PAGO]]=0,TODAY()-PROVEEDORES[[#This Row],[FECHA DE FACTURACIÓN]]-PROVEEDORES[[#This Row],[PLAZO Días]],0)</f>
        <v>0</v>
      </c>
      <c r="U456" s="150">
        <f>+VLOOKUP(PROVEEDORES[[#This Row],[PROVEEDOR]],Terceros!$A:$E,4,FALSE)</f>
        <v>0</v>
      </c>
      <c r="V456" s="150">
        <f>+YEAR(PROVEEDORES[[#This Row],[FECHA DE FACTURACIÓN]])</f>
        <v>2023</v>
      </c>
      <c r="W456" s="150">
        <f>+MATCH(PROVEEDORES[[#This Row],[año facturado]],Retenciones!$1:$1,0)</f>
        <v>6</v>
      </c>
      <c r="X456" s="151">
        <f>+VLOOKUP(PROVEEDORES[[#This Row],[ID RETENCION]],Retenciones!$A$1:$O$25,PROVEEDORES[[#This Row],[indicador de columna]],FALSE)</f>
        <v>0</v>
      </c>
      <c r="Y456" s="152">
        <f>+VLOOKUP(PROVEEDORES[[#This Row],[ID RETENCION]],Retenciones!$A$1:$O$25,2,FALSE)</f>
        <v>0</v>
      </c>
      <c r="Z456" s="153" t="b">
        <f>+OR(COUNTIF(PROVEEDORES[[#This Row],[PROVEEDOR]],"*"&amp;'Palabra que no opera y Listas d'!$A$2&amp;"*"))</f>
        <v>0</v>
      </c>
    </row>
    <row r="457" spans="1:26" ht="27.75" customHeight="1" x14ac:dyDescent="0.3">
      <c r="A457" s="144" t="str">
        <f>+IF(PROVEEDORES[[#This Row],[FECHA DE PAGO]]=PROVEEDORES[[#This Row],[FECHA DE FACTURACIÓN]],"DE CONTADO","CRÉDITO")</f>
        <v>CRÉDITO</v>
      </c>
      <c r="B457" s="144" t="str">
        <f>+IF((PROVEEDORES[[#This Row],[FECHA DE PAGO]]-PROVEEDORES[[#This Row],[FECHA DE FACTURACIÓN]])&gt;PROVEEDORES[[#This Row],[PLAZO Días]],"PAGO VENCIDO")</f>
        <v>PAGO VENCIDO</v>
      </c>
      <c r="C457" s="144">
        <f>+VLOOKUP(PROVEEDORES[[#This Row],[PROVEEDOR]],TERCEROS_INFO[#All],2,FALSE)</f>
        <v>0</v>
      </c>
      <c r="D457" s="145">
        <f>+SUMIFS(PROVEEDORES[Total],PROVEEDORES[PROVEEDOR],PROVEEDORES[[#This Row],[PROVEEDOR]],PROVEEDORES[FECHA DE PAGO],"")</f>
        <v>0</v>
      </c>
      <c r="E457" s="146"/>
      <c r="F457" s="144">
        <f>+VLOOKUP(PROVEEDORES[[#This Row],[PROVEEDOR]],
                       Terceros!$A:$G,
                       5,
                       FALSE)</f>
        <v>0</v>
      </c>
      <c r="G457" s="122">
        <v>45121</v>
      </c>
      <c r="H457" s="102" t="s">
        <v>497</v>
      </c>
      <c r="I457" s="122">
        <v>45108</v>
      </c>
      <c r="J457" s="103" t="s">
        <v>900</v>
      </c>
      <c r="K457" s="103" t="s">
        <v>1512</v>
      </c>
      <c r="L457" s="103"/>
      <c r="M457" s="105">
        <v>5350576</v>
      </c>
      <c r="N457" s="147">
        <v>1016609.4400000001</v>
      </c>
      <c r="O457" s="147">
        <v>0</v>
      </c>
      <c r="P457" s="148">
        <v>0</v>
      </c>
      <c r="Q457" s="147">
        <v>0</v>
      </c>
      <c r="R457" s="149">
        <v>6367185.4400000004</v>
      </c>
      <c r="S4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7" s="150">
        <f ca="1">+IF(PROVEEDORES[[#This Row],[FECHA DE PAGO]]=0,TODAY()-PROVEEDORES[[#This Row],[FECHA DE FACTURACIÓN]]-PROVEEDORES[[#This Row],[PLAZO Días]],0)</f>
        <v>0</v>
      </c>
      <c r="U457" s="150">
        <f>+VLOOKUP(PROVEEDORES[[#This Row],[PROVEEDOR]],Terceros!$A:$E,4,FALSE)</f>
        <v>0.19</v>
      </c>
      <c r="V457" s="150">
        <f>+YEAR(PROVEEDORES[[#This Row],[FECHA DE FACTURACIÓN]])</f>
        <v>2023</v>
      </c>
      <c r="W457" s="150">
        <f>+MATCH(PROVEEDORES[[#This Row],[año facturado]],Retenciones!$1:$1,0)</f>
        <v>6</v>
      </c>
      <c r="X457" s="151" t="e">
        <f>+VLOOKUP(PROVEEDORES[[#This Row],[ID RETENCION]],Retenciones!$A$1:$O$25,PROVEEDORES[[#This Row],[indicador de columna]],FALSE)</f>
        <v>#N/A</v>
      </c>
      <c r="Y457" s="152" t="e">
        <f>+VLOOKUP(PROVEEDORES[[#This Row],[ID RETENCION]],Retenciones!$A$1:$O$25,2,FALSE)</f>
        <v>#N/A</v>
      </c>
      <c r="Z457" s="153" t="b">
        <f>+OR(COUNTIF(PROVEEDORES[[#This Row],[PROVEEDOR]],"*"&amp;'Palabra que no opera y Listas d'!$A$2&amp;"*"))</f>
        <v>1</v>
      </c>
    </row>
    <row r="458" spans="1:26" ht="27.75" customHeight="1" x14ac:dyDescent="0.3">
      <c r="A458" s="144" t="str">
        <f>+IF(PROVEEDORES[[#This Row],[FECHA DE PAGO]]=PROVEEDORES[[#This Row],[FECHA DE FACTURACIÓN]],"DE CONTADO","CRÉDITO")</f>
        <v>DE CONTADO</v>
      </c>
      <c r="B458" s="144" t="b">
        <f>+IF((PROVEEDORES[[#This Row],[FECHA DE PAGO]]-PROVEEDORES[[#This Row],[FECHA DE FACTURACIÓN]])&gt;PROVEEDORES[[#This Row],[PLAZO Días]],"PAGO VENCIDO")</f>
        <v>0</v>
      </c>
      <c r="C458" s="144">
        <f>+VLOOKUP(PROVEEDORES[[#This Row],[PROVEEDOR]],TERCEROS_INFO[#All],2,FALSE)</f>
        <v>0</v>
      </c>
      <c r="D458" s="145">
        <f>+SUMIFS(PROVEEDORES[Total],PROVEEDORES[PROVEEDOR],PROVEEDORES[[#This Row],[PROVEEDOR]],PROVEEDORES[FECHA DE PAGO],"")</f>
        <v>0</v>
      </c>
      <c r="E458" s="146"/>
      <c r="F458" s="144">
        <f>+VLOOKUP(PROVEEDORES[[#This Row],[PROVEEDOR]],
                       Terceros!$A:$G,
                       5,
                       FALSE)</f>
        <v>0</v>
      </c>
      <c r="G458" s="122">
        <v>45121</v>
      </c>
      <c r="H458" s="102" t="s">
        <v>191</v>
      </c>
      <c r="I458" s="122">
        <v>45121</v>
      </c>
      <c r="J458" s="103" t="s">
        <v>909</v>
      </c>
      <c r="K458" s="103" t="s">
        <v>1512</v>
      </c>
      <c r="L458" s="103"/>
      <c r="M458" s="105">
        <v>1550000</v>
      </c>
      <c r="N458" s="147">
        <v>0</v>
      </c>
      <c r="O458" s="147">
        <v>0</v>
      </c>
      <c r="P458" s="148">
        <v>0</v>
      </c>
      <c r="Q458" s="147">
        <v>0</v>
      </c>
      <c r="R458" s="149">
        <v>1550000</v>
      </c>
      <c r="S4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8" s="150">
        <f ca="1">+IF(PROVEEDORES[[#This Row],[FECHA DE PAGO]]=0,TODAY()-PROVEEDORES[[#This Row],[FECHA DE FACTURACIÓN]]-PROVEEDORES[[#This Row],[PLAZO Días]],0)</f>
        <v>0</v>
      </c>
      <c r="U458" s="150">
        <f>+VLOOKUP(PROVEEDORES[[#This Row],[PROVEEDOR]],Terceros!$A:$E,4,FALSE)</f>
        <v>0</v>
      </c>
      <c r="V458" s="150">
        <f>+YEAR(PROVEEDORES[[#This Row],[FECHA DE FACTURACIÓN]])</f>
        <v>2023</v>
      </c>
      <c r="W458" s="150">
        <f>+MATCH(PROVEEDORES[[#This Row],[año facturado]],Retenciones!$1:$1,0)</f>
        <v>6</v>
      </c>
      <c r="X458" s="151">
        <f>+VLOOKUP(PROVEEDORES[[#This Row],[ID RETENCION]],Retenciones!$A$1:$O$25,PROVEEDORES[[#This Row],[indicador de columna]],FALSE)</f>
        <v>0</v>
      </c>
      <c r="Y458" s="152">
        <f>+VLOOKUP(PROVEEDORES[[#This Row],[ID RETENCION]],Retenciones!$A$1:$O$25,2,FALSE)</f>
        <v>0</v>
      </c>
      <c r="Z458" s="153" t="b">
        <f>+OR(COUNTIF(PROVEEDORES[[#This Row],[PROVEEDOR]],"*"&amp;'Palabra que no opera y Listas d'!$A$2&amp;"*"))</f>
        <v>0</v>
      </c>
    </row>
    <row r="459" spans="1:26" ht="27.75" customHeight="1" x14ac:dyDescent="0.3">
      <c r="A459" s="144" t="str">
        <f>+IF(PROVEEDORES[[#This Row],[FECHA DE PAGO]]=PROVEEDORES[[#This Row],[FECHA DE FACTURACIÓN]],"DE CONTADO","CRÉDITO")</f>
        <v>CRÉDITO</v>
      </c>
      <c r="B459" s="144" t="str">
        <f>+IF((PROVEEDORES[[#This Row],[FECHA DE PAGO]]-PROVEEDORES[[#This Row],[FECHA DE FACTURACIÓN]])&gt;PROVEEDORES[[#This Row],[PLAZO Días]],"PAGO VENCIDO")</f>
        <v>PAGO VENCIDO</v>
      </c>
      <c r="C459" s="144">
        <f>+VLOOKUP(PROVEEDORES[[#This Row],[PROVEEDOR]],TERCEROS_INFO[#All],2,FALSE)</f>
        <v>0</v>
      </c>
      <c r="D459" s="145">
        <f>+SUMIFS(PROVEEDORES[Total],PROVEEDORES[PROVEEDOR],PROVEEDORES[[#This Row],[PROVEEDOR]],PROVEEDORES[FECHA DE PAGO],"")</f>
        <v>0</v>
      </c>
      <c r="E459" s="146"/>
      <c r="F459" s="144">
        <f>+VLOOKUP(PROVEEDORES[[#This Row],[PROVEEDOR]],
                       Terceros!$A:$G,
                       5,
                       FALSE)</f>
        <v>0</v>
      </c>
      <c r="G459" s="122">
        <v>45122</v>
      </c>
      <c r="H459" s="102" t="s">
        <v>496</v>
      </c>
      <c r="I459" s="122">
        <v>45121</v>
      </c>
      <c r="J459" s="103" t="s">
        <v>941</v>
      </c>
      <c r="K459" s="103" t="s">
        <v>1512</v>
      </c>
      <c r="L459" s="103"/>
      <c r="M459" s="105">
        <v>6643000</v>
      </c>
      <c r="N459" s="147">
        <v>0</v>
      </c>
      <c r="O459" s="147">
        <v>0</v>
      </c>
      <c r="P459" s="148">
        <v>0</v>
      </c>
      <c r="Q459" s="147">
        <v>0</v>
      </c>
      <c r="R459" s="149">
        <v>6643000</v>
      </c>
      <c r="S4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9" s="150">
        <f ca="1">+IF(PROVEEDORES[[#This Row],[FECHA DE PAGO]]=0,TODAY()-PROVEEDORES[[#This Row],[FECHA DE FACTURACIÓN]]-PROVEEDORES[[#This Row],[PLAZO Días]],0)</f>
        <v>0</v>
      </c>
      <c r="U459" s="150">
        <f>+VLOOKUP(PROVEEDORES[[#This Row],[PROVEEDOR]],Terceros!$A:$E,4,FALSE)</f>
        <v>0</v>
      </c>
      <c r="V459" s="150">
        <f>+YEAR(PROVEEDORES[[#This Row],[FECHA DE FACTURACIÓN]])</f>
        <v>2023</v>
      </c>
      <c r="W459" s="150">
        <f>+MATCH(PROVEEDORES[[#This Row],[año facturado]],Retenciones!$1:$1,0)</f>
        <v>6</v>
      </c>
      <c r="X459" s="151">
        <f>+VLOOKUP(PROVEEDORES[[#This Row],[ID RETENCION]],Retenciones!$A$1:$O$25,PROVEEDORES[[#This Row],[indicador de columna]],FALSE)</f>
        <v>0</v>
      </c>
      <c r="Y459" s="152">
        <f>+VLOOKUP(PROVEEDORES[[#This Row],[ID RETENCION]],Retenciones!$A$1:$O$25,2,FALSE)</f>
        <v>0</v>
      </c>
      <c r="Z459" s="153" t="b">
        <f>+OR(COUNTIF(PROVEEDORES[[#This Row],[PROVEEDOR]],"*"&amp;'Palabra que no opera y Listas d'!$A$2&amp;"*"))</f>
        <v>0</v>
      </c>
    </row>
    <row r="460" spans="1:26" ht="27.75" customHeight="1" x14ac:dyDescent="0.3">
      <c r="A460" s="144" t="str">
        <f>+IF(PROVEEDORES[[#This Row],[FECHA DE PAGO]]=PROVEEDORES[[#This Row],[FECHA DE FACTURACIÓN]],"DE CONTADO","CRÉDITO")</f>
        <v>CRÉDITO</v>
      </c>
      <c r="B460" s="144" t="str">
        <f>+IF((PROVEEDORES[[#This Row],[FECHA DE PAGO]]-PROVEEDORES[[#This Row],[FECHA DE FACTURACIÓN]])&gt;PROVEEDORES[[#This Row],[PLAZO Días]],"PAGO VENCIDO")</f>
        <v>PAGO VENCIDO</v>
      </c>
      <c r="C460" s="144">
        <f>+VLOOKUP(PROVEEDORES[[#This Row],[PROVEEDOR]],TERCEROS_INFO[#All],2,FALSE)</f>
        <v>0</v>
      </c>
      <c r="D460" s="145">
        <f>+SUMIFS(PROVEEDORES[Total],PROVEEDORES[PROVEEDOR],PROVEEDORES[[#This Row],[PROVEEDOR]],PROVEEDORES[FECHA DE PAGO],"")</f>
        <v>26134091.5</v>
      </c>
      <c r="E460" s="146"/>
      <c r="F460" s="144">
        <f>+VLOOKUP(PROVEEDORES[[#This Row],[PROVEEDOR]],
                       Terceros!$A:$G,
                       5,
                       FALSE)</f>
        <v>0</v>
      </c>
      <c r="G460" s="122">
        <v>45124</v>
      </c>
      <c r="H460" s="102" t="s">
        <v>238</v>
      </c>
      <c r="I460" s="122">
        <v>45051</v>
      </c>
      <c r="J460" s="103">
        <v>1672</v>
      </c>
      <c r="K460" s="103" t="s">
        <v>1512</v>
      </c>
      <c r="L460" s="103"/>
      <c r="M460" s="105">
        <v>224640</v>
      </c>
      <c r="N460" s="147">
        <v>0</v>
      </c>
      <c r="O460" s="147">
        <v>0</v>
      </c>
      <c r="P460" s="148">
        <v>0</v>
      </c>
      <c r="Q460" s="147">
        <v>0</v>
      </c>
      <c r="R460" s="149">
        <v>224640</v>
      </c>
      <c r="S4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0" s="150">
        <f ca="1">+IF(PROVEEDORES[[#This Row],[FECHA DE PAGO]]=0,TODAY()-PROVEEDORES[[#This Row],[FECHA DE FACTURACIÓN]]-PROVEEDORES[[#This Row],[PLAZO Días]],0)</f>
        <v>0</v>
      </c>
      <c r="U460" s="150">
        <f>+VLOOKUP(PROVEEDORES[[#This Row],[PROVEEDOR]],Terceros!$A:$E,4,FALSE)</f>
        <v>0</v>
      </c>
      <c r="V460" s="150">
        <f>+YEAR(PROVEEDORES[[#This Row],[FECHA DE FACTURACIÓN]])</f>
        <v>2023</v>
      </c>
      <c r="W460" s="150">
        <f>+MATCH(PROVEEDORES[[#This Row],[año facturado]],Retenciones!$1:$1,0)</f>
        <v>6</v>
      </c>
      <c r="X460" s="151">
        <f>+VLOOKUP(PROVEEDORES[[#This Row],[ID RETENCION]],Retenciones!$A$1:$O$25,PROVEEDORES[[#This Row],[indicador de columna]],FALSE)</f>
        <v>0</v>
      </c>
      <c r="Y460" s="152">
        <f>+VLOOKUP(PROVEEDORES[[#This Row],[ID RETENCION]],Retenciones!$A$1:$O$25,2,FALSE)</f>
        <v>0</v>
      </c>
      <c r="Z460" s="153" t="b">
        <f>+OR(COUNTIF(PROVEEDORES[[#This Row],[PROVEEDOR]],"*"&amp;'Palabra que no opera y Listas d'!$A$2&amp;"*"))</f>
        <v>0</v>
      </c>
    </row>
    <row r="461" spans="1:26" ht="27.75" customHeight="1" x14ac:dyDescent="0.3">
      <c r="A461" s="144" t="str">
        <f>+IF(PROVEEDORES[[#This Row],[FECHA DE PAGO]]=PROVEEDORES[[#This Row],[FECHA DE FACTURACIÓN]],"DE CONTADO","CRÉDITO")</f>
        <v>CRÉDITO</v>
      </c>
      <c r="B461" s="144" t="str">
        <f>+IF((PROVEEDORES[[#This Row],[FECHA DE PAGO]]-PROVEEDORES[[#This Row],[FECHA DE FACTURACIÓN]])&gt;PROVEEDORES[[#This Row],[PLAZO Días]],"PAGO VENCIDO")</f>
        <v>PAGO VENCIDO</v>
      </c>
      <c r="C461" s="144">
        <f>+VLOOKUP(PROVEEDORES[[#This Row],[PROVEEDOR]],TERCEROS_INFO[#All],2,FALSE)</f>
        <v>0</v>
      </c>
      <c r="D461" s="145">
        <f>+SUMIFS(PROVEEDORES[Total],PROVEEDORES[PROVEEDOR],PROVEEDORES[[#This Row],[PROVEEDOR]],PROVEEDORES[FECHA DE PAGO],"")</f>
        <v>26134091.5</v>
      </c>
      <c r="E461" s="146"/>
      <c r="F461" s="144">
        <f>+VLOOKUP(PROVEEDORES[[#This Row],[PROVEEDOR]],
                       Terceros!$A:$G,
                       5,
                       FALSE)</f>
        <v>0</v>
      </c>
      <c r="G461" s="122">
        <v>45124</v>
      </c>
      <c r="H461" s="102" t="s">
        <v>238</v>
      </c>
      <c r="I461" s="122">
        <v>45051</v>
      </c>
      <c r="J461" s="103">
        <v>1673</v>
      </c>
      <c r="K461" s="103" t="s">
        <v>1512</v>
      </c>
      <c r="L461" s="103"/>
      <c r="M461" s="105">
        <v>187200</v>
      </c>
      <c r="N461" s="147">
        <v>0</v>
      </c>
      <c r="O461" s="147">
        <v>0</v>
      </c>
      <c r="P461" s="148">
        <v>0</v>
      </c>
      <c r="Q461" s="147">
        <v>0</v>
      </c>
      <c r="R461" s="149">
        <v>187200</v>
      </c>
      <c r="S4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1" s="150">
        <f ca="1">+IF(PROVEEDORES[[#This Row],[FECHA DE PAGO]]=0,TODAY()-PROVEEDORES[[#This Row],[FECHA DE FACTURACIÓN]]-PROVEEDORES[[#This Row],[PLAZO Días]],0)</f>
        <v>0</v>
      </c>
      <c r="U461" s="150">
        <f>+VLOOKUP(PROVEEDORES[[#This Row],[PROVEEDOR]],Terceros!$A:$E,4,FALSE)</f>
        <v>0</v>
      </c>
      <c r="V461" s="150">
        <f>+YEAR(PROVEEDORES[[#This Row],[FECHA DE FACTURACIÓN]])</f>
        <v>2023</v>
      </c>
      <c r="W461" s="150">
        <f>+MATCH(PROVEEDORES[[#This Row],[año facturado]],Retenciones!$1:$1,0)</f>
        <v>6</v>
      </c>
      <c r="X461" s="151">
        <f>+VLOOKUP(PROVEEDORES[[#This Row],[ID RETENCION]],Retenciones!$A$1:$O$25,PROVEEDORES[[#This Row],[indicador de columna]],FALSE)</f>
        <v>0</v>
      </c>
      <c r="Y461" s="152">
        <f>+VLOOKUP(PROVEEDORES[[#This Row],[ID RETENCION]],Retenciones!$A$1:$O$25,2,FALSE)</f>
        <v>0</v>
      </c>
      <c r="Z461" s="153" t="b">
        <f>+OR(COUNTIF(PROVEEDORES[[#This Row],[PROVEEDOR]],"*"&amp;'Palabra que no opera y Listas d'!$A$2&amp;"*"))</f>
        <v>0</v>
      </c>
    </row>
    <row r="462" spans="1:26" ht="27.75" customHeight="1" x14ac:dyDescent="0.3">
      <c r="A462" s="144" t="str">
        <f>+IF(PROVEEDORES[[#This Row],[FECHA DE PAGO]]=PROVEEDORES[[#This Row],[FECHA DE FACTURACIÓN]],"DE CONTADO","CRÉDITO")</f>
        <v>CRÉDITO</v>
      </c>
      <c r="B462" s="144" t="str">
        <f>+IF((PROVEEDORES[[#This Row],[FECHA DE PAGO]]-PROVEEDORES[[#This Row],[FECHA DE FACTURACIÓN]])&gt;PROVEEDORES[[#This Row],[PLAZO Días]],"PAGO VENCIDO")</f>
        <v>PAGO VENCIDO</v>
      </c>
      <c r="C462" s="144">
        <f>+VLOOKUP(PROVEEDORES[[#This Row],[PROVEEDOR]],TERCEROS_INFO[#All],2,FALSE)</f>
        <v>0</v>
      </c>
      <c r="D462" s="145">
        <f>+SUMIFS(PROVEEDORES[Total],PROVEEDORES[PROVEEDOR],PROVEEDORES[[#This Row],[PROVEEDOR]],PROVEEDORES[FECHA DE PAGO],"")</f>
        <v>26134091.5</v>
      </c>
      <c r="E462" s="146"/>
      <c r="F462" s="144">
        <f>+VLOOKUP(PROVEEDORES[[#This Row],[PROVEEDOR]],
                       Terceros!$A:$G,
                       5,
                       FALSE)</f>
        <v>0</v>
      </c>
      <c r="G462" s="122">
        <v>45124</v>
      </c>
      <c r="H462" s="102" t="s">
        <v>238</v>
      </c>
      <c r="I462" s="122">
        <v>45051</v>
      </c>
      <c r="J462" s="103">
        <v>1681</v>
      </c>
      <c r="K462" s="103" t="s">
        <v>1512</v>
      </c>
      <c r="L462" s="103"/>
      <c r="M462" s="105">
        <v>355680</v>
      </c>
      <c r="N462" s="147">
        <v>0</v>
      </c>
      <c r="O462" s="147">
        <v>0</v>
      </c>
      <c r="P462" s="148">
        <v>0</v>
      </c>
      <c r="Q462" s="147">
        <v>0</v>
      </c>
      <c r="R462" s="149">
        <v>355680</v>
      </c>
      <c r="S4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2" s="150">
        <f ca="1">+IF(PROVEEDORES[[#This Row],[FECHA DE PAGO]]=0,TODAY()-PROVEEDORES[[#This Row],[FECHA DE FACTURACIÓN]]-PROVEEDORES[[#This Row],[PLAZO Días]],0)</f>
        <v>0</v>
      </c>
      <c r="U462" s="150">
        <f>+VLOOKUP(PROVEEDORES[[#This Row],[PROVEEDOR]],Terceros!$A:$E,4,FALSE)</f>
        <v>0</v>
      </c>
      <c r="V462" s="150">
        <f>+YEAR(PROVEEDORES[[#This Row],[FECHA DE FACTURACIÓN]])</f>
        <v>2023</v>
      </c>
      <c r="W462" s="150">
        <f>+MATCH(PROVEEDORES[[#This Row],[año facturado]],Retenciones!$1:$1,0)</f>
        <v>6</v>
      </c>
      <c r="X462" s="151">
        <f>+VLOOKUP(PROVEEDORES[[#This Row],[ID RETENCION]],Retenciones!$A$1:$O$25,PROVEEDORES[[#This Row],[indicador de columna]],FALSE)</f>
        <v>0</v>
      </c>
      <c r="Y462" s="152">
        <f>+VLOOKUP(PROVEEDORES[[#This Row],[ID RETENCION]],Retenciones!$A$1:$O$25,2,FALSE)</f>
        <v>0</v>
      </c>
      <c r="Z462" s="153" t="b">
        <f>+OR(COUNTIF(PROVEEDORES[[#This Row],[PROVEEDOR]],"*"&amp;'Palabra que no opera y Listas d'!$A$2&amp;"*"))</f>
        <v>0</v>
      </c>
    </row>
    <row r="463" spans="1:26" ht="27.75" customHeight="1" x14ac:dyDescent="0.3">
      <c r="A463" s="144" t="str">
        <f>+IF(PROVEEDORES[[#This Row],[FECHA DE PAGO]]=PROVEEDORES[[#This Row],[FECHA DE FACTURACIÓN]],"DE CONTADO","CRÉDITO")</f>
        <v>CRÉDITO</v>
      </c>
      <c r="B463" s="144" t="str">
        <f>+IF((PROVEEDORES[[#This Row],[FECHA DE PAGO]]-PROVEEDORES[[#This Row],[FECHA DE FACTURACIÓN]])&gt;PROVEEDORES[[#This Row],[PLAZO Días]],"PAGO VENCIDO")</f>
        <v>PAGO VENCIDO</v>
      </c>
      <c r="C463" s="144">
        <f>+VLOOKUP(PROVEEDORES[[#This Row],[PROVEEDOR]],TERCEROS_INFO[#All],2,FALSE)</f>
        <v>0</v>
      </c>
      <c r="D463" s="145">
        <f>+SUMIFS(PROVEEDORES[Total],PROVEEDORES[PROVEEDOR],PROVEEDORES[[#This Row],[PROVEEDOR]],PROVEEDORES[FECHA DE PAGO],"")</f>
        <v>26134091.5</v>
      </c>
      <c r="E463" s="146"/>
      <c r="F463" s="144">
        <f>+VLOOKUP(PROVEEDORES[[#This Row],[PROVEEDOR]],
                       Terceros!$A:$G,
                       5,
                       FALSE)</f>
        <v>0</v>
      </c>
      <c r="G463" s="122">
        <v>45124</v>
      </c>
      <c r="H463" s="102" t="s">
        <v>238</v>
      </c>
      <c r="I463" s="122">
        <v>45051</v>
      </c>
      <c r="J463" s="103">
        <v>1682</v>
      </c>
      <c r="K463" s="103" t="s">
        <v>1512</v>
      </c>
      <c r="L463" s="103"/>
      <c r="M463" s="105">
        <v>411840</v>
      </c>
      <c r="N463" s="147">
        <v>0</v>
      </c>
      <c r="O463" s="147">
        <v>0</v>
      </c>
      <c r="P463" s="148">
        <v>0</v>
      </c>
      <c r="Q463" s="147">
        <v>0</v>
      </c>
      <c r="R463" s="149">
        <v>411840</v>
      </c>
      <c r="S4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3" s="150">
        <f ca="1">+IF(PROVEEDORES[[#This Row],[FECHA DE PAGO]]=0,TODAY()-PROVEEDORES[[#This Row],[FECHA DE FACTURACIÓN]]-PROVEEDORES[[#This Row],[PLAZO Días]],0)</f>
        <v>0</v>
      </c>
      <c r="U463" s="150">
        <f>+VLOOKUP(PROVEEDORES[[#This Row],[PROVEEDOR]],Terceros!$A:$E,4,FALSE)</f>
        <v>0</v>
      </c>
      <c r="V463" s="150">
        <f>+YEAR(PROVEEDORES[[#This Row],[FECHA DE FACTURACIÓN]])</f>
        <v>2023</v>
      </c>
      <c r="W463" s="150">
        <f>+MATCH(PROVEEDORES[[#This Row],[año facturado]],Retenciones!$1:$1,0)</f>
        <v>6</v>
      </c>
      <c r="X463" s="151">
        <f>+VLOOKUP(PROVEEDORES[[#This Row],[ID RETENCION]],Retenciones!$A$1:$O$25,PROVEEDORES[[#This Row],[indicador de columna]],FALSE)</f>
        <v>0</v>
      </c>
      <c r="Y463" s="152">
        <f>+VLOOKUP(PROVEEDORES[[#This Row],[ID RETENCION]],Retenciones!$A$1:$O$25,2,FALSE)</f>
        <v>0</v>
      </c>
      <c r="Z463" s="153" t="b">
        <f>+OR(COUNTIF(PROVEEDORES[[#This Row],[PROVEEDOR]],"*"&amp;'Palabra que no opera y Listas d'!$A$2&amp;"*"))</f>
        <v>0</v>
      </c>
    </row>
    <row r="464" spans="1:26" ht="27.75" customHeight="1" x14ac:dyDescent="0.3">
      <c r="A464" s="144" t="str">
        <f>+IF(PROVEEDORES[[#This Row],[FECHA DE PAGO]]=PROVEEDORES[[#This Row],[FECHA DE FACTURACIÓN]],"DE CONTADO","CRÉDITO")</f>
        <v>CRÉDITO</v>
      </c>
      <c r="B464" s="144" t="str">
        <f>+IF((PROVEEDORES[[#This Row],[FECHA DE PAGO]]-PROVEEDORES[[#This Row],[FECHA DE FACTURACIÓN]])&gt;PROVEEDORES[[#This Row],[PLAZO Días]],"PAGO VENCIDO")</f>
        <v>PAGO VENCIDO</v>
      </c>
      <c r="C464" s="144">
        <f>+VLOOKUP(PROVEEDORES[[#This Row],[PROVEEDOR]],TERCEROS_INFO[#All],2,FALSE)</f>
        <v>0</v>
      </c>
      <c r="D464" s="145">
        <f>+SUMIFS(PROVEEDORES[Total],PROVEEDORES[PROVEEDOR],PROVEEDORES[[#This Row],[PROVEEDOR]],PROVEEDORES[FECHA DE PAGO],"")</f>
        <v>26134091.5</v>
      </c>
      <c r="E464" s="146"/>
      <c r="F464" s="144">
        <f>+VLOOKUP(PROVEEDORES[[#This Row],[PROVEEDOR]],
                       Terceros!$A:$G,
                       5,
                       FALSE)</f>
        <v>0</v>
      </c>
      <c r="G464" s="122">
        <v>45124</v>
      </c>
      <c r="H464" s="102" t="s">
        <v>238</v>
      </c>
      <c r="I464" s="122">
        <v>45051</v>
      </c>
      <c r="J464" s="103">
        <v>1683</v>
      </c>
      <c r="K464" s="103" t="s">
        <v>1512</v>
      </c>
      <c r="L464" s="103"/>
      <c r="M464" s="105">
        <v>430560</v>
      </c>
      <c r="N464" s="147">
        <v>0</v>
      </c>
      <c r="O464" s="147">
        <v>0</v>
      </c>
      <c r="P464" s="148">
        <v>0</v>
      </c>
      <c r="Q464" s="147">
        <v>0</v>
      </c>
      <c r="R464" s="149">
        <v>430560</v>
      </c>
      <c r="S4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4" s="150">
        <f ca="1">+IF(PROVEEDORES[[#This Row],[FECHA DE PAGO]]=0,TODAY()-PROVEEDORES[[#This Row],[FECHA DE FACTURACIÓN]]-PROVEEDORES[[#This Row],[PLAZO Días]],0)</f>
        <v>0</v>
      </c>
      <c r="U464" s="150">
        <f>+VLOOKUP(PROVEEDORES[[#This Row],[PROVEEDOR]],Terceros!$A:$E,4,FALSE)</f>
        <v>0</v>
      </c>
      <c r="V464" s="150">
        <f>+YEAR(PROVEEDORES[[#This Row],[FECHA DE FACTURACIÓN]])</f>
        <v>2023</v>
      </c>
      <c r="W464" s="150">
        <f>+MATCH(PROVEEDORES[[#This Row],[año facturado]],Retenciones!$1:$1,0)</f>
        <v>6</v>
      </c>
      <c r="X464" s="151">
        <f>+VLOOKUP(PROVEEDORES[[#This Row],[ID RETENCION]],Retenciones!$A$1:$O$25,PROVEEDORES[[#This Row],[indicador de columna]],FALSE)</f>
        <v>0</v>
      </c>
      <c r="Y464" s="152">
        <f>+VLOOKUP(PROVEEDORES[[#This Row],[ID RETENCION]],Retenciones!$A$1:$O$25,2,FALSE)</f>
        <v>0</v>
      </c>
      <c r="Z464" s="153" t="b">
        <f>+OR(COUNTIF(PROVEEDORES[[#This Row],[PROVEEDOR]],"*"&amp;'Palabra que no opera y Listas d'!$A$2&amp;"*"))</f>
        <v>0</v>
      </c>
    </row>
    <row r="465" spans="1:26" ht="27.75" customHeight="1" x14ac:dyDescent="0.3">
      <c r="A465" s="144" t="str">
        <f>+IF(PROVEEDORES[[#This Row],[FECHA DE PAGO]]=PROVEEDORES[[#This Row],[FECHA DE FACTURACIÓN]],"DE CONTADO","CRÉDITO")</f>
        <v>CRÉDITO</v>
      </c>
      <c r="B465" s="144" t="str">
        <f>+IF((PROVEEDORES[[#This Row],[FECHA DE PAGO]]-PROVEEDORES[[#This Row],[FECHA DE FACTURACIÓN]])&gt;PROVEEDORES[[#This Row],[PLAZO Días]],"PAGO VENCIDO")</f>
        <v>PAGO VENCIDO</v>
      </c>
      <c r="C465" s="144">
        <f>+VLOOKUP(PROVEEDORES[[#This Row],[PROVEEDOR]],TERCEROS_INFO[#All],2,FALSE)</f>
        <v>0</v>
      </c>
      <c r="D465" s="145">
        <f>+SUMIFS(PROVEEDORES[Total],PROVEEDORES[PROVEEDOR],PROVEEDORES[[#This Row],[PROVEEDOR]],PROVEEDORES[FECHA DE PAGO],"")</f>
        <v>0</v>
      </c>
      <c r="E465" s="146"/>
      <c r="F465" s="144">
        <f>+VLOOKUP(PROVEEDORES[[#This Row],[PROVEEDOR]],
                       Terceros!$A:$G,
                       5,
                       FALSE)</f>
        <v>0</v>
      </c>
      <c r="G465" s="122">
        <v>45124</v>
      </c>
      <c r="H465" s="102" t="s">
        <v>375</v>
      </c>
      <c r="I465" s="122">
        <v>45069</v>
      </c>
      <c r="J465" s="103" t="s">
        <v>823</v>
      </c>
      <c r="K465" s="103" t="s">
        <v>1512</v>
      </c>
      <c r="L465" s="103"/>
      <c r="M465" s="105">
        <v>3548068</v>
      </c>
      <c r="N465" s="147">
        <v>674132.92</v>
      </c>
      <c r="O465" s="147">
        <v>0</v>
      </c>
      <c r="P465" s="148">
        <v>0</v>
      </c>
      <c r="Q465" s="147">
        <v>0</v>
      </c>
      <c r="R465" s="149">
        <v>4222200.92</v>
      </c>
      <c r="S4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5" s="150">
        <f ca="1">+IF(PROVEEDORES[[#This Row],[FECHA DE PAGO]]=0,TODAY()-PROVEEDORES[[#This Row],[FECHA DE FACTURACIÓN]]-PROVEEDORES[[#This Row],[PLAZO Días]],0)</f>
        <v>0</v>
      </c>
      <c r="U465" s="150">
        <f>+VLOOKUP(PROVEEDORES[[#This Row],[PROVEEDOR]],Terceros!$A:$E,4,FALSE)</f>
        <v>0.19</v>
      </c>
      <c r="V465" s="150">
        <f>+YEAR(PROVEEDORES[[#This Row],[FECHA DE FACTURACIÓN]])</f>
        <v>2023</v>
      </c>
      <c r="W465" s="150">
        <f>+MATCH(PROVEEDORES[[#This Row],[año facturado]],Retenciones!$1:$1,0)</f>
        <v>6</v>
      </c>
      <c r="X465" s="151" t="e">
        <f>+VLOOKUP(PROVEEDORES[[#This Row],[ID RETENCION]],Retenciones!$A$1:$O$25,PROVEEDORES[[#This Row],[indicador de columna]],FALSE)</f>
        <v>#N/A</v>
      </c>
      <c r="Y465" s="152" t="e">
        <f>+VLOOKUP(PROVEEDORES[[#This Row],[ID RETENCION]],Retenciones!$A$1:$O$25,2,FALSE)</f>
        <v>#N/A</v>
      </c>
      <c r="Z465" s="153" t="b">
        <f>+OR(COUNTIF(PROVEEDORES[[#This Row],[PROVEEDOR]],"*"&amp;'Palabra que no opera y Listas d'!$A$2&amp;"*"))</f>
        <v>1</v>
      </c>
    </row>
    <row r="466" spans="1:26" ht="27.75" customHeight="1" x14ac:dyDescent="0.3">
      <c r="A466" s="144" t="str">
        <f>+IF(PROVEEDORES[[#This Row],[FECHA DE PAGO]]=PROVEEDORES[[#This Row],[FECHA DE FACTURACIÓN]],"DE CONTADO","CRÉDITO")</f>
        <v>CRÉDITO</v>
      </c>
      <c r="B466" s="144" t="str">
        <f>+IF((PROVEEDORES[[#This Row],[FECHA DE PAGO]]-PROVEEDORES[[#This Row],[FECHA DE FACTURACIÓN]])&gt;PROVEEDORES[[#This Row],[PLAZO Días]],"PAGO VENCIDO")</f>
        <v>PAGO VENCIDO</v>
      </c>
      <c r="C466" s="144">
        <f>+VLOOKUP(PROVEEDORES[[#This Row],[PROVEEDOR]],TERCEROS_INFO[#All],2,FALSE)</f>
        <v>0</v>
      </c>
      <c r="D466" s="145">
        <f>+SUMIFS(PROVEEDORES[Total],PROVEEDORES[PROVEEDOR],PROVEEDORES[[#This Row],[PROVEEDOR]],PROVEEDORES[FECHA DE PAGO],"")</f>
        <v>0</v>
      </c>
      <c r="E466" s="146"/>
      <c r="F466" s="144">
        <f>+VLOOKUP(PROVEEDORES[[#This Row],[PROVEEDOR]],
                       Terceros!$A:$G,
                       5,
                       FALSE)</f>
        <v>0</v>
      </c>
      <c r="G466" s="122">
        <v>45124</v>
      </c>
      <c r="H466" s="102" t="s">
        <v>375</v>
      </c>
      <c r="I466" s="122">
        <v>45069</v>
      </c>
      <c r="J466" s="103" t="s">
        <v>824</v>
      </c>
      <c r="K466" s="103" t="s">
        <v>1512</v>
      </c>
      <c r="L466" s="103"/>
      <c r="M466" s="105">
        <v>3548068</v>
      </c>
      <c r="N466" s="147">
        <v>674132.92</v>
      </c>
      <c r="O466" s="147">
        <v>0</v>
      </c>
      <c r="P466" s="148">
        <v>0</v>
      </c>
      <c r="Q466" s="147">
        <v>0</v>
      </c>
      <c r="R466" s="149">
        <v>4222200.92</v>
      </c>
      <c r="S4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6" s="150">
        <f ca="1">+IF(PROVEEDORES[[#This Row],[FECHA DE PAGO]]=0,TODAY()-PROVEEDORES[[#This Row],[FECHA DE FACTURACIÓN]]-PROVEEDORES[[#This Row],[PLAZO Días]],0)</f>
        <v>0</v>
      </c>
      <c r="U466" s="150">
        <f>+VLOOKUP(PROVEEDORES[[#This Row],[PROVEEDOR]],Terceros!$A:$E,4,FALSE)</f>
        <v>0.19</v>
      </c>
      <c r="V466" s="150">
        <f>+YEAR(PROVEEDORES[[#This Row],[FECHA DE FACTURACIÓN]])</f>
        <v>2023</v>
      </c>
      <c r="W466" s="150">
        <f>+MATCH(PROVEEDORES[[#This Row],[año facturado]],Retenciones!$1:$1,0)</f>
        <v>6</v>
      </c>
      <c r="X466" s="151" t="e">
        <f>+VLOOKUP(PROVEEDORES[[#This Row],[ID RETENCION]],Retenciones!$A$1:$O$25,PROVEEDORES[[#This Row],[indicador de columna]],FALSE)</f>
        <v>#N/A</v>
      </c>
      <c r="Y466" s="152" t="e">
        <f>+VLOOKUP(PROVEEDORES[[#This Row],[ID RETENCION]],Retenciones!$A$1:$O$25,2,FALSE)</f>
        <v>#N/A</v>
      </c>
      <c r="Z466" s="153" t="b">
        <f>+OR(COUNTIF(PROVEEDORES[[#This Row],[PROVEEDOR]],"*"&amp;'Palabra que no opera y Listas d'!$A$2&amp;"*"))</f>
        <v>1</v>
      </c>
    </row>
    <row r="467" spans="1:26" ht="27.75" customHeight="1" x14ac:dyDescent="0.3">
      <c r="A467" s="144" t="str">
        <f>+IF(PROVEEDORES[[#This Row],[FECHA DE PAGO]]=PROVEEDORES[[#This Row],[FECHA DE FACTURACIÓN]],"DE CONTADO","CRÉDITO")</f>
        <v>CRÉDITO</v>
      </c>
      <c r="B467" s="144" t="str">
        <f>+IF((PROVEEDORES[[#This Row],[FECHA DE PAGO]]-PROVEEDORES[[#This Row],[FECHA DE FACTURACIÓN]])&gt;PROVEEDORES[[#This Row],[PLAZO Días]],"PAGO VENCIDO")</f>
        <v>PAGO VENCIDO</v>
      </c>
      <c r="C467" s="144">
        <f>+VLOOKUP(PROVEEDORES[[#This Row],[PROVEEDOR]],TERCEROS_INFO[#All],2,FALSE)</f>
        <v>0</v>
      </c>
      <c r="D467" s="145">
        <f>+SUMIFS(PROVEEDORES[Total],PROVEEDORES[PROVEEDOR],PROVEEDORES[[#This Row],[PROVEEDOR]],PROVEEDORES[FECHA DE PAGO],"")</f>
        <v>26134091.5</v>
      </c>
      <c r="E467" s="146"/>
      <c r="F467" s="144">
        <f>+VLOOKUP(PROVEEDORES[[#This Row],[PROVEEDOR]],
                       Terceros!$A:$G,
                       5,
                       FALSE)</f>
        <v>0</v>
      </c>
      <c r="G467" s="122">
        <v>45124</v>
      </c>
      <c r="H467" s="102" t="s">
        <v>238</v>
      </c>
      <c r="I467" s="122">
        <v>45076</v>
      </c>
      <c r="J467" s="103">
        <v>1687</v>
      </c>
      <c r="K467" s="103" t="s">
        <v>1512</v>
      </c>
      <c r="L467" s="103"/>
      <c r="M467" s="105">
        <v>180000</v>
      </c>
      <c r="N467" s="147">
        <v>0</v>
      </c>
      <c r="O467" s="147">
        <v>0</v>
      </c>
      <c r="P467" s="148">
        <v>0</v>
      </c>
      <c r="Q467" s="147">
        <v>0</v>
      </c>
      <c r="R467" s="149">
        <v>180000</v>
      </c>
      <c r="S4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7" s="150">
        <f ca="1">+IF(PROVEEDORES[[#This Row],[FECHA DE PAGO]]=0,TODAY()-PROVEEDORES[[#This Row],[FECHA DE FACTURACIÓN]]-PROVEEDORES[[#This Row],[PLAZO Días]],0)</f>
        <v>0</v>
      </c>
      <c r="U467" s="150">
        <f>+VLOOKUP(PROVEEDORES[[#This Row],[PROVEEDOR]],Terceros!$A:$E,4,FALSE)</f>
        <v>0</v>
      </c>
      <c r="V467" s="150">
        <f>+YEAR(PROVEEDORES[[#This Row],[FECHA DE FACTURACIÓN]])</f>
        <v>2023</v>
      </c>
      <c r="W467" s="150">
        <f>+MATCH(PROVEEDORES[[#This Row],[año facturado]],Retenciones!$1:$1,0)</f>
        <v>6</v>
      </c>
      <c r="X467" s="151">
        <f>+VLOOKUP(PROVEEDORES[[#This Row],[ID RETENCION]],Retenciones!$A$1:$O$25,PROVEEDORES[[#This Row],[indicador de columna]],FALSE)</f>
        <v>0</v>
      </c>
      <c r="Y467" s="152">
        <f>+VLOOKUP(PROVEEDORES[[#This Row],[ID RETENCION]],Retenciones!$A$1:$O$25,2,FALSE)</f>
        <v>0</v>
      </c>
      <c r="Z467" s="153" t="b">
        <f>+OR(COUNTIF(PROVEEDORES[[#This Row],[PROVEEDOR]],"*"&amp;'Palabra que no opera y Listas d'!$A$2&amp;"*"))</f>
        <v>0</v>
      </c>
    </row>
    <row r="468" spans="1:26" ht="27.75" customHeight="1" x14ac:dyDescent="0.3">
      <c r="A468" s="144" t="str">
        <f>+IF(PROVEEDORES[[#This Row],[FECHA DE PAGO]]=PROVEEDORES[[#This Row],[FECHA DE FACTURACIÓN]],"DE CONTADO","CRÉDITO")</f>
        <v>CRÉDITO</v>
      </c>
      <c r="B468" s="144" t="str">
        <f>+IF((PROVEEDORES[[#This Row],[FECHA DE PAGO]]-PROVEEDORES[[#This Row],[FECHA DE FACTURACIÓN]])&gt;PROVEEDORES[[#This Row],[PLAZO Días]],"PAGO VENCIDO")</f>
        <v>PAGO VENCIDO</v>
      </c>
      <c r="C468" s="144">
        <f>+VLOOKUP(PROVEEDORES[[#This Row],[PROVEEDOR]],TERCEROS_INFO[#All],2,FALSE)</f>
        <v>0</v>
      </c>
      <c r="D468" s="145">
        <f>+SUMIFS(PROVEEDORES[Total],PROVEEDORES[PROVEEDOR],PROVEEDORES[[#This Row],[PROVEEDOR]],PROVEEDORES[FECHA DE PAGO],"")</f>
        <v>26134091.5</v>
      </c>
      <c r="E468" s="146"/>
      <c r="F468" s="144">
        <f>+VLOOKUP(PROVEEDORES[[#This Row],[PROVEEDOR]],
                       Terceros!$A:$G,
                       5,
                       FALSE)</f>
        <v>0</v>
      </c>
      <c r="G468" s="122">
        <v>45124</v>
      </c>
      <c r="H468" s="102" t="s">
        <v>238</v>
      </c>
      <c r="I468" s="122">
        <v>45076</v>
      </c>
      <c r="J468" s="103">
        <v>1688</v>
      </c>
      <c r="K468" s="103" t="s">
        <v>1512</v>
      </c>
      <c r="L468" s="103"/>
      <c r="M468" s="105">
        <v>180000</v>
      </c>
      <c r="N468" s="147">
        <v>0</v>
      </c>
      <c r="O468" s="147">
        <v>0</v>
      </c>
      <c r="P468" s="148">
        <v>0</v>
      </c>
      <c r="Q468" s="147">
        <v>0</v>
      </c>
      <c r="R468" s="149">
        <v>180000</v>
      </c>
      <c r="S4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8" s="150">
        <f ca="1">+IF(PROVEEDORES[[#This Row],[FECHA DE PAGO]]=0,TODAY()-PROVEEDORES[[#This Row],[FECHA DE FACTURACIÓN]]-PROVEEDORES[[#This Row],[PLAZO Días]],0)</f>
        <v>0</v>
      </c>
      <c r="U468" s="150">
        <f>+VLOOKUP(PROVEEDORES[[#This Row],[PROVEEDOR]],Terceros!$A:$E,4,FALSE)</f>
        <v>0</v>
      </c>
      <c r="V468" s="150">
        <f>+YEAR(PROVEEDORES[[#This Row],[FECHA DE FACTURACIÓN]])</f>
        <v>2023</v>
      </c>
      <c r="W468" s="150">
        <f>+MATCH(PROVEEDORES[[#This Row],[año facturado]],Retenciones!$1:$1,0)</f>
        <v>6</v>
      </c>
      <c r="X468" s="151">
        <f>+VLOOKUP(PROVEEDORES[[#This Row],[ID RETENCION]],Retenciones!$A$1:$O$25,PROVEEDORES[[#This Row],[indicador de columna]],FALSE)</f>
        <v>0</v>
      </c>
      <c r="Y468" s="152">
        <f>+VLOOKUP(PROVEEDORES[[#This Row],[ID RETENCION]],Retenciones!$A$1:$O$25,2,FALSE)</f>
        <v>0</v>
      </c>
      <c r="Z468" s="153" t="b">
        <f>+OR(COUNTIF(PROVEEDORES[[#This Row],[PROVEEDOR]],"*"&amp;'Palabra que no opera y Listas d'!$A$2&amp;"*"))</f>
        <v>0</v>
      </c>
    </row>
    <row r="469" spans="1:26" ht="27.75" customHeight="1" x14ac:dyDescent="0.3">
      <c r="A469" s="144" t="str">
        <f>+IF(PROVEEDORES[[#This Row],[FECHA DE PAGO]]=PROVEEDORES[[#This Row],[FECHA DE FACTURACIÓN]],"DE CONTADO","CRÉDITO")</f>
        <v>CRÉDITO</v>
      </c>
      <c r="B469" s="144" t="str">
        <f>+IF((PROVEEDORES[[#This Row],[FECHA DE PAGO]]-PROVEEDORES[[#This Row],[FECHA DE FACTURACIÓN]])&gt;PROVEEDORES[[#This Row],[PLAZO Días]],"PAGO VENCIDO")</f>
        <v>PAGO VENCIDO</v>
      </c>
      <c r="C469" s="144">
        <f>+VLOOKUP(PROVEEDORES[[#This Row],[PROVEEDOR]],TERCEROS_INFO[#All],2,FALSE)</f>
        <v>0</v>
      </c>
      <c r="D469" s="145">
        <f>+SUMIFS(PROVEEDORES[Total],PROVEEDORES[PROVEEDOR],PROVEEDORES[[#This Row],[PROVEEDOR]],PROVEEDORES[FECHA DE PAGO],"")</f>
        <v>5820290</v>
      </c>
      <c r="E469" s="146"/>
      <c r="F469" s="144">
        <f>+VLOOKUP(PROVEEDORES[[#This Row],[PROVEEDOR]],
                       Terceros!$A:$G,
                       5,
                       FALSE)</f>
        <v>0</v>
      </c>
      <c r="G469" s="122">
        <v>45124</v>
      </c>
      <c r="H469" s="102" t="s">
        <v>461</v>
      </c>
      <c r="I469" s="122">
        <v>45078</v>
      </c>
      <c r="J469" s="103" t="s">
        <v>839</v>
      </c>
      <c r="K469" s="103" t="s">
        <v>1512</v>
      </c>
      <c r="L469" s="103"/>
      <c r="M469" s="105">
        <v>4512000</v>
      </c>
      <c r="N469" s="147">
        <v>857280</v>
      </c>
      <c r="O469" s="147">
        <v>0</v>
      </c>
      <c r="P469" s="148">
        <v>0</v>
      </c>
      <c r="Q469" s="147">
        <v>0</v>
      </c>
      <c r="R469" s="149">
        <v>5369280</v>
      </c>
      <c r="S4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9" s="150">
        <f ca="1">+IF(PROVEEDORES[[#This Row],[FECHA DE PAGO]]=0,TODAY()-PROVEEDORES[[#This Row],[FECHA DE FACTURACIÓN]]-PROVEEDORES[[#This Row],[PLAZO Días]],0)</f>
        <v>0</v>
      </c>
      <c r="U469" s="150">
        <f>+VLOOKUP(PROVEEDORES[[#This Row],[PROVEEDOR]],Terceros!$A:$E,4,FALSE)</f>
        <v>0.19</v>
      </c>
      <c r="V469" s="150">
        <f>+YEAR(PROVEEDORES[[#This Row],[FECHA DE FACTURACIÓN]])</f>
        <v>2023</v>
      </c>
      <c r="W469" s="150">
        <f>+MATCH(PROVEEDORES[[#This Row],[año facturado]],Retenciones!$1:$1,0)</f>
        <v>6</v>
      </c>
      <c r="X469" s="151" t="e">
        <f>+VLOOKUP(PROVEEDORES[[#This Row],[ID RETENCION]],Retenciones!$A$1:$O$25,PROVEEDORES[[#This Row],[indicador de columna]],FALSE)</f>
        <v>#N/A</v>
      </c>
      <c r="Y469" s="152" t="e">
        <f>+VLOOKUP(PROVEEDORES[[#This Row],[ID RETENCION]],Retenciones!$A$1:$O$25,2,FALSE)</f>
        <v>#N/A</v>
      </c>
      <c r="Z469" s="153" t="b">
        <f>+OR(COUNTIF(PROVEEDORES[[#This Row],[PROVEEDOR]],"*"&amp;'Palabra que no opera y Listas d'!$A$2&amp;"*"))</f>
        <v>0</v>
      </c>
    </row>
    <row r="470" spans="1:26" ht="27.75" customHeight="1" x14ac:dyDescent="0.3">
      <c r="A470" s="144" t="str">
        <f>+IF(PROVEEDORES[[#This Row],[FECHA DE PAGO]]=PROVEEDORES[[#This Row],[FECHA DE FACTURACIÓN]],"DE CONTADO","CRÉDITO")</f>
        <v>CRÉDITO</v>
      </c>
      <c r="B470" s="144" t="str">
        <f>+IF((PROVEEDORES[[#This Row],[FECHA DE PAGO]]-PROVEEDORES[[#This Row],[FECHA DE FACTURACIÓN]])&gt;PROVEEDORES[[#This Row],[PLAZO Días]],"PAGO VENCIDO")</f>
        <v>PAGO VENCIDO</v>
      </c>
      <c r="C470" s="144">
        <f>+VLOOKUP(PROVEEDORES[[#This Row],[PROVEEDOR]],TERCEROS_INFO[#All],2,FALSE)</f>
        <v>0</v>
      </c>
      <c r="D470" s="145">
        <f>+SUMIFS(PROVEEDORES[Total],PROVEEDORES[PROVEEDOR],PROVEEDORES[[#This Row],[PROVEEDOR]],PROVEEDORES[FECHA DE PAGO],"")</f>
        <v>5820290</v>
      </c>
      <c r="E470" s="146"/>
      <c r="F470" s="144">
        <f>+VLOOKUP(PROVEEDORES[[#This Row],[PROVEEDOR]],
                       Terceros!$A:$G,
                       5,
                       FALSE)</f>
        <v>0</v>
      </c>
      <c r="G470" s="122">
        <v>45124</v>
      </c>
      <c r="H470" s="102" t="s">
        <v>461</v>
      </c>
      <c r="I470" s="122">
        <v>45086</v>
      </c>
      <c r="J470" s="103" t="s">
        <v>863</v>
      </c>
      <c r="K470" s="103" t="s">
        <v>1512</v>
      </c>
      <c r="L470" s="103"/>
      <c r="M470" s="105">
        <v>7056000</v>
      </c>
      <c r="N470" s="147">
        <v>1340640</v>
      </c>
      <c r="O470" s="147">
        <v>0</v>
      </c>
      <c r="P470" s="148">
        <v>0</v>
      </c>
      <c r="Q470" s="147">
        <v>0</v>
      </c>
      <c r="R470" s="149">
        <v>8396640</v>
      </c>
      <c r="S4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0" s="150">
        <f ca="1">+IF(PROVEEDORES[[#This Row],[FECHA DE PAGO]]=0,TODAY()-PROVEEDORES[[#This Row],[FECHA DE FACTURACIÓN]]-PROVEEDORES[[#This Row],[PLAZO Días]],0)</f>
        <v>0</v>
      </c>
      <c r="U470" s="150">
        <f>+VLOOKUP(PROVEEDORES[[#This Row],[PROVEEDOR]],Terceros!$A:$E,4,FALSE)</f>
        <v>0.19</v>
      </c>
      <c r="V470" s="150">
        <f>+YEAR(PROVEEDORES[[#This Row],[FECHA DE FACTURACIÓN]])</f>
        <v>2023</v>
      </c>
      <c r="W470" s="150">
        <f>+MATCH(PROVEEDORES[[#This Row],[año facturado]],Retenciones!$1:$1,0)</f>
        <v>6</v>
      </c>
      <c r="X470" s="151" t="e">
        <f>+VLOOKUP(PROVEEDORES[[#This Row],[ID RETENCION]],Retenciones!$A$1:$O$25,PROVEEDORES[[#This Row],[indicador de columna]],FALSE)</f>
        <v>#N/A</v>
      </c>
      <c r="Y470" s="152" t="e">
        <f>+VLOOKUP(PROVEEDORES[[#This Row],[ID RETENCION]],Retenciones!$A$1:$O$25,2,FALSE)</f>
        <v>#N/A</v>
      </c>
      <c r="Z470" s="153" t="b">
        <f>+OR(COUNTIF(PROVEEDORES[[#This Row],[PROVEEDOR]],"*"&amp;'Palabra que no opera y Listas d'!$A$2&amp;"*"))</f>
        <v>0</v>
      </c>
    </row>
    <row r="471" spans="1:26" ht="27.75" customHeight="1" x14ac:dyDescent="0.3">
      <c r="A471" s="144" t="str">
        <f>+IF(PROVEEDORES[[#This Row],[FECHA DE PAGO]]=PROVEEDORES[[#This Row],[FECHA DE FACTURACIÓN]],"DE CONTADO","CRÉDITO")</f>
        <v>CRÉDITO</v>
      </c>
      <c r="B471" s="144" t="str">
        <f>+IF((PROVEEDORES[[#This Row],[FECHA DE PAGO]]-PROVEEDORES[[#This Row],[FECHA DE FACTURACIÓN]])&gt;PROVEEDORES[[#This Row],[PLAZO Días]],"PAGO VENCIDO")</f>
        <v>PAGO VENCIDO</v>
      </c>
      <c r="C471" s="144">
        <f>+VLOOKUP(PROVEEDORES[[#This Row],[PROVEEDOR]],TERCEROS_INFO[#All],2,FALSE)</f>
        <v>0</v>
      </c>
      <c r="D471" s="145">
        <f>+SUMIFS(PROVEEDORES[Total],PROVEEDORES[PROVEEDOR],PROVEEDORES[[#This Row],[PROVEEDOR]],PROVEEDORES[FECHA DE PAGO],"")</f>
        <v>856185.96</v>
      </c>
      <c r="E471" s="146"/>
      <c r="F471" s="144">
        <f>+VLOOKUP(PROVEEDORES[[#This Row],[PROVEEDOR]],
                       Terceros!$A:$G,
                       5,
                       FALSE)</f>
        <v>0</v>
      </c>
      <c r="G471" s="122">
        <v>45124</v>
      </c>
      <c r="H471" s="102" t="s">
        <v>209</v>
      </c>
      <c r="I471" s="122">
        <v>45090</v>
      </c>
      <c r="J471" s="103" t="s">
        <v>859</v>
      </c>
      <c r="K471" s="103" t="s">
        <v>1512</v>
      </c>
      <c r="L471" s="103"/>
      <c r="M471" s="105">
        <v>974525</v>
      </c>
      <c r="N471" s="147">
        <v>185159.75</v>
      </c>
      <c r="O471" s="147">
        <v>0</v>
      </c>
      <c r="P471" s="148">
        <v>0</v>
      </c>
      <c r="Q471" s="147">
        <v>0</v>
      </c>
      <c r="R471" s="149">
        <v>1159684.75</v>
      </c>
      <c r="S4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1" s="150">
        <f ca="1">+IF(PROVEEDORES[[#This Row],[FECHA DE PAGO]]=0,TODAY()-PROVEEDORES[[#This Row],[FECHA DE FACTURACIÓN]]-PROVEEDORES[[#This Row],[PLAZO Días]],0)</f>
        <v>0</v>
      </c>
      <c r="U471" s="150">
        <f>+VLOOKUP(PROVEEDORES[[#This Row],[PROVEEDOR]],Terceros!$A:$E,4,FALSE)</f>
        <v>0.19</v>
      </c>
      <c r="V471" s="150">
        <f>+YEAR(PROVEEDORES[[#This Row],[FECHA DE FACTURACIÓN]])</f>
        <v>2023</v>
      </c>
      <c r="W471" s="150">
        <f>+MATCH(PROVEEDORES[[#This Row],[año facturado]],Retenciones!$1:$1,0)</f>
        <v>6</v>
      </c>
      <c r="X471" s="151" t="e">
        <f>+VLOOKUP(PROVEEDORES[[#This Row],[ID RETENCION]],Retenciones!$A$1:$O$25,PROVEEDORES[[#This Row],[indicador de columna]],FALSE)</f>
        <v>#N/A</v>
      </c>
      <c r="Y471" s="152" t="e">
        <f>+VLOOKUP(PROVEEDORES[[#This Row],[ID RETENCION]],Retenciones!$A$1:$O$25,2,FALSE)</f>
        <v>#N/A</v>
      </c>
      <c r="Z471" s="153" t="b">
        <f>+OR(COUNTIF(PROVEEDORES[[#This Row],[PROVEEDOR]],"*"&amp;'Palabra que no opera y Listas d'!$A$2&amp;"*"))</f>
        <v>0</v>
      </c>
    </row>
    <row r="472" spans="1:26" ht="27.75" customHeight="1" x14ac:dyDescent="0.3">
      <c r="A472" s="144" t="str">
        <f>+IF(PROVEEDORES[[#This Row],[FECHA DE PAGO]]=PROVEEDORES[[#This Row],[FECHA DE FACTURACIÓN]],"DE CONTADO","CRÉDITO")</f>
        <v>CRÉDITO</v>
      </c>
      <c r="B472" s="144" t="str">
        <f>+IF((PROVEEDORES[[#This Row],[FECHA DE PAGO]]-PROVEEDORES[[#This Row],[FECHA DE FACTURACIÓN]])&gt;PROVEEDORES[[#This Row],[PLAZO Días]],"PAGO VENCIDO")</f>
        <v>PAGO VENCIDO</v>
      </c>
      <c r="C472" s="144">
        <f>+VLOOKUP(PROVEEDORES[[#This Row],[PROVEEDOR]],TERCEROS_INFO[#All],2,FALSE)</f>
        <v>0</v>
      </c>
      <c r="D472" s="145">
        <f>+SUMIFS(PROVEEDORES[Total],PROVEEDORES[PROVEEDOR],PROVEEDORES[[#This Row],[PROVEEDOR]],PROVEEDORES[FECHA DE PAGO],"")</f>
        <v>5820290</v>
      </c>
      <c r="E472" s="146"/>
      <c r="F472" s="144">
        <f>+VLOOKUP(PROVEEDORES[[#This Row],[PROVEEDOR]],
                       Terceros!$A:$G,
                       5,
                       FALSE)</f>
        <v>0</v>
      </c>
      <c r="G472" s="122">
        <v>45124</v>
      </c>
      <c r="H472" s="102" t="s">
        <v>461</v>
      </c>
      <c r="I472" s="122">
        <v>45091</v>
      </c>
      <c r="J472" s="103" t="s">
        <v>884</v>
      </c>
      <c r="K472" s="103" t="s">
        <v>1512</v>
      </c>
      <c r="L472" s="103"/>
      <c r="M472" s="105">
        <v>930000</v>
      </c>
      <c r="N472" s="147">
        <v>176700</v>
      </c>
      <c r="O472" s="147">
        <v>0</v>
      </c>
      <c r="P472" s="148">
        <v>0</v>
      </c>
      <c r="Q472" s="147">
        <v>0</v>
      </c>
      <c r="R472" s="149">
        <v>1106700</v>
      </c>
      <c r="S4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2" s="150">
        <f ca="1">+IF(PROVEEDORES[[#This Row],[FECHA DE PAGO]]=0,TODAY()-PROVEEDORES[[#This Row],[FECHA DE FACTURACIÓN]]-PROVEEDORES[[#This Row],[PLAZO Días]],0)</f>
        <v>0</v>
      </c>
      <c r="U472" s="150">
        <f>+VLOOKUP(PROVEEDORES[[#This Row],[PROVEEDOR]],Terceros!$A:$E,4,FALSE)</f>
        <v>0.19</v>
      </c>
      <c r="V472" s="150">
        <f>+YEAR(PROVEEDORES[[#This Row],[FECHA DE FACTURACIÓN]])</f>
        <v>2023</v>
      </c>
      <c r="W472" s="150">
        <f>+MATCH(PROVEEDORES[[#This Row],[año facturado]],Retenciones!$1:$1,0)</f>
        <v>6</v>
      </c>
      <c r="X472" s="151" t="e">
        <f>+VLOOKUP(PROVEEDORES[[#This Row],[ID RETENCION]],Retenciones!$A$1:$O$25,PROVEEDORES[[#This Row],[indicador de columna]],FALSE)</f>
        <v>#N/A</v>
      </c>
      <c r="Y472" s="152" t="e">
        <f>+VLOOKUP(PROVEEDORES[[#This Row],[ID RETENCION]],Retenciones!$A$1:$O$25,2,FALSE)</f>
        <v>#N/A</v>
      </c>
      <c r="Z472" s="153" t="b">
        <f>+OR(COUNTIF(PROVEEDORES[[#This Row],[PROVEEDOR]],"*"&amp;'Palabra que no opera y Listas d'!$A$2&amp;"*"))</f>
        <v>0</v>
      </c>
    </row>
    <row r="473" spans="1:26" ht="27.75" customHeight="1" x14ac:dyDescent="0.3">
      <c r="A473" s="144" t="str">
        <f>+IF(PROVEEDORES[[#This Row],[FECHA DE PAGO]]=PROVEEDORES[[#This Row],[FECHA DE FACTURACIÓN]],"DE CONTADO","CRÉDITO")</f>
        <v>CRÉDITO</v>
      </c>
      <c r="B473" s="144" t="str">
        <f>+IF((PROVEEDORES[[#This Row],[FECHA DE PAGO]]-PROVEEDORES[[#This Row],[FECHA DE FACTURACIÓN]])&gt;PROVEEDORES[[#This Row],[PLAZO Días]],"PAGO VENCIDO")</f>
        <v>PAGO VENCIDO</v>
      </c>
      <c r="C473" s="144">
        <f>+VLOOKUP(PROVEEDORES[[#This Row],[PROVEEDOR]],TERCEROS_INFO[#All],2,FALSE)</f>
        <v>0</v>
      </c>
      <c r="D473" s="145">
        <f>+SUMIFS(PROVEEDORES[Total],PROVEEDORES[PROVEEDOR],PROVEEDORES[[#This Row],[PROVEEDOR]],PROVEEDORES[FECHA DE PAGO],"")</f>
        <v>5820290</v>
      </c>
      <c r="E473" s="146"/>
      <c r="F473" s="144">
        <f>+VLOOKUP(PROVEEDORES[[#This Row],[PROVEEDOR]],
                       Terceros!$A:$G,
                       5,
                       FALSE)</f>
        <v>0</v>
      </c>
      <c r="G473" s="122">
        <v>45124</v>
      </c>
      <c r="H473" s="102" t="s">
        <v>461</v>
      </c>
      <c r="I473" s="122">
        <v>45093</v>
      </c>
      <c r="J473" s="103" t="s">
        <v>885</v>
      </c>
      <c r="K473" s="103" t="s">
        <v>1512</v>
      </c>
      <c r="L473" s="103"/>
      <c r="M473" s="105">
        <v>420000</v>
      </c>
      <c r="N473" s="147">
        <v>79800</v>
      </c>
      <c r="O473" s="147">
        <v>0</v>
      </c>
      <c r="P473" s="148">
        <v>0</v>
      </c>
      <c r="Q473" s="147">
        <v>0</v>
      </c>
      <c r="R473" s="149">
        <v>499800</v>
      </c>
      <c r="S4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3" s="150">
        <f ca="1">+IF(PROVEEDORES[[#This Row],[FECHA DE PAGO]]=0,TODAY()-PROVEEDORES[[#This Row],[FECHA DE FACTURACIÓN]]-PROVEEDORES[[#This Row],[PLAZO Días]],0)</f>
        <v>0</v>
      </c>
      <c r="U473" s="150">
        <f>+VLOOKUP(PROVEEDORES[[#This Row],[PROVEEDOR]],Terceros!$A:$E,4,FALSE)</f>
        <v>0.19</v>
      </c>
      <c r="V473" s="150">
        <f>+YEAR(PROVEEDORES[[#This Row],[FECHA DE FACTURACIÓN]])</f>
        <v>2023</v>
      </c>
      <c r="W473" s="150">
        <f>+MATCH(PROVEEDORES[[#This Row],[año facturado]],Retenciones!$1:$1,0)</f>
        <v>6</v>
      </c>
      <c r="X473" s="151" t="e">
        <f>+VLOOKUP(PROVEEDORES[[#This Row],[ID RETENCION]],Retenciones!$A$1:$O$25,PROVEEDORES[[#This Row],[indicador de columna]],FALSE)</f>
        <v>#N/A</v>
      </c>
      <c r="Y473" s="152" t="e">
        <f>+VLOOKUP(PROVEEDORES[[#This Row],[ID RETENCION]],Retenciones!$A$1:$O$25,2,FALSE)</f>
        <v>#N/A</v>
      </c>
      <c r="Z473" s="153" t="b">
        <f>+OR(COUNTIF(PROVEEDORES[[#This Row],[PROVEEDOR]],"*"&amp;'Palabra que no opera y Listas d'!$A$2&amp;"*"))</f>
        <v>0</v>
      </c>
    </row>
    <row r="474" spans="1:26" ht="27.75" customHeight="1" x14ac:dyDescent="0.3">
      <c r="A474" s="144" t="str">
        <f>+IF(PROVEEDORES[[#This Row],[FECHA DE PAGO]]=PROVEEDORES[[#This Row],[FECHA DE FACTURACIÓN]],"DE CONTADO","CRÉDITO")</f>
        <v>CRÉDITO</v>
      </c>
      <c r="B474" s="144" t="str">
        <f>+IF((PROVEEDORES[[#This Row],[FECHA DE PAGO]]-PROVEEDORES[[#This Row],[FECHA DE FACTURACIÓN]])&gt;PROVEEDORES[[#This Row],[PLAZO Días]],"PAGO VENCIDO")</f>
        <v>PAGO VENCIDO</v>
      </c>
      <c r="C474" s="144">
        <f>+VLOOKUP(PROVEEDORES[[#This Row],[PROVEEDOR]],TERCEROS_INFO[#All],2,FALSE)</f>
        <v>0</v>
      </c>
      <c r="D474" s="145">
        <f>+SUMIFS(PROVEEDORES[Total],PROVEEDORES[PROVEEDOR],PROVEEDORES[[#This Row],[PROVEEDOR]],PROVEEDORES[FECHA DE PAGO],"")</f>
        <v>26134091.5</v>
      </c>
      <c r="E474" s="146"/>
      <c r="F474" s="144">
        <f>+VLOOKUP(PROVEEDORES[[#This Row],[PROVEEDOR]],
                       Terceros!$A:$G,
                       5,
                       FALSE)</f>
        <v>0</v>
      </c>
      <c r="G474" s="122">
        <v>45124</v>
      </c>
      <c r="H474" s="102" t="s">
        <v>238</v>
      </c>
      <c r="I474" s="122">
        <v>45096</v>
      </c>
      <c r="J474" s="103">
        <v>1698</v>
      </c>
      <c r="K474" s="103" t="s">
        <v>1512</v>
      </c>
      <c r="L474" s="103"/>
      <c r="M474" s="105">
        <v>174000</v>
      </c>
      <c r="N474" s="147">
        <v>0</v>
      </c>
      <c r="O474" s="147">
        <v>0</v>
      </c>
      <c r="P474" s="148">
        <v>0</v>
      </c>
      <c r="Q474" s="147">
        <v>0</v>
      </c>
      <c r="R474" s="149">
        <v>174000</v>
      </c>
      <c r="S4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4" s="150">
        <f ca="1">+IF(PROVEEDORES[[#This Row],[FECHA DE PAGO]]=0,TODAY()-PROVEEDORES[[#This Row],[FECHA DE FACTURACIÓN]]-PROVEEDORES[[#This Row],[PLAZO Días]],0)</f>
        <v>0</v>
      </c>
      <c r="U474" s="150">
        <f>+VLOOKUP(PROVEEDORES[[#This Row],[PROVEEDOR]],Terceros!$A:$E,4,FALSE)</f>
        <v>0</v>
      </c>
      <c r="V474" s="150">
        <f>+YEAR(PROVEEDORES[[#This Row],[FECHA DE FACTURACIÓN]])</f>
        <v>2023</v>
      </c>
      <c r="W474" s="150">
        <f>+MATCH(PROVEEDORES[[#This Row],[año facturado]],Retenciones!$1:$1,0)</f>
        <v>6</v>
      </c>
      <c r="X474" s="151">
        <f>+VLOOKUP(PROVEEDORES[[#This Row],[ID RETENCION]],Retenciones!$A$1:$O$25,PROVEEDORES[[#This Row],[indicador de columna]],FALSE)</f>
        <v>0</v>
      </c>
      <c r="Y474" s="152">
        <f>+VLOOKUP(PROVEEDORES[[#This Row],[ID RETENCION]],Retenciones!$A$1:$O$25,2,FALSE)</f>
        <v>0</v>
      </c>
      <c r="Z474" s="153" t="b">
        <f>+OR(COUNTIF(PROVEEDORES[[#This Row],[PROVEEDOR]],"*"&amp;'Palabra que no opera y Listas d'!$A$2&amp;"*"))</f>
        <v>0</v>
      </c>
    </row>
    <row r="475" spans="1:26" ht="27.75" customHeight="1" x14ac:dyDescent="0.3">
      <c r="A475" s="144" t="str">
        <f>+IF(PROVEEDORES[[#This Row],[FECHA DE PAGO]]=PROVEEDORES[[#This Row],[FECHA DE FACTURACIÓN]],"DE CONTADO","CRÉDITO")</f>
        <v>CRÉDITO</v>
      </c>
      <c r="B475" s="144" t="str">
        <f>+IF((PROVEEDORES[[#This Row],[FECHA DE PAGO]]-PROVEEDORES[[#This Row],[FECHA DE FACTURACIÓN]])&gt;PROVEEDORES[[#This Row],[PLAZO Días]],"PAGO VENCIDO")</f>
        <v>PAGO VENCIDO</v>
      </c>
      <c r="C475" s="144">
        <f>+VLOOKUP(PROVEEDORES[[#This Row],[PROVEEDOR]],TERCEROS_INFO[#All],2,FALSE)</f>
        <v>0</v>
      </c>
      <c r="D475" s="145">
        <f>+SUMIFS(PROVEEDORES[Total],PROVEEDORES[PROVEEDOR],PROVEEDORES[[#This Row],[PROVEEDOR]],PROVEEDORES[FECHA DE PAGO],"")</f>
        <v>26134091.5</v>
      </c>
      <c r="E475" s="146"/>
      <c r="F475" s="144">
        <f>+VLOOKUP(PROVEEDORES[[#This Row],[PROVEEDOR]],
                       Terceros!$A:$G,
                       5,
                       FALSE)</f>
        <v>0</v>
      </c>
      <c r="G475" s="122">
        <v>45124</v>
      </c>
      <c r="H475" s="102" t="s">
        <v>238</v>
      </c>
      <c r="I475" s="122">
        <v>45096</v>
      </c>
      <c r="J475" s="103">
        <v>1699</v>
      </c>
      <c r="K475" s="103" t="s">
        <v>1512</v>
      </c>
      <c r="L475" s="103"/>
      <c r="M475" s="105">
        <v>174000</v>
      </c>
      <c r="N475" s="147">
        <v>0</v>
      </c>
      <c r="O475" s="147">
        <v>0</v>
      </c>
      <c r="P475" s="148">
        <v>0</v>
      </c>
      <c r="Q475" s="147">
        <v>0</v>
      </c>
      <c r="R475" s="149">
        <v>174000</v>
      </c>
      <c r="S4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5" s="150">
        <f ca="1">+IF(PROVEEDORES[[#This Row],[FECHA DE PAGO]]=0,TODAY()-PROVEEDORES[[#This Row],[FECHA DE FACTURACIÓN]]-PROVEEDORES[[#This Row],[PLAZO Días]],0)</f>
        <v>0</v>
      </c>
      <c r="U475" s="150">
        <f>+VLOOKUP(PROVEEDORES[[#This Row],[PROVEEDOR]],Terceros!$A:$E,4,FALSE)</f>
        <v>0</v>
      </c>
      <c r="V475" s="150">
        <f>+YEAR(PROVEEDORES[[#This Row],[FECHA DE FACTURACIÓN]])</f>
        <v>2023</v>
      </c>
      <c r="W475" s="150">
        <f>+MATCH(PROVEEDORES[[#This Row],[año facturado]],Retenciones!$1:$1,0)</f>
        <v>6</v>
      </c>
      <c r="X475" s="151">
        <f>+VLOOKUP(PROVEEDORES[[#This Row],[ID RETENCION]],Retenciones!$A$1:$O$25,PROVEEDORES[[#This Row],[indicador de columna]],FALSE)</f>
        <v>0</v>
      </c>
      <c r="Y475" s="152">
        <f>+VLOOKUP(PROVEEDORES[[#This Row],[ID RETENCION]],Retenciones!$A$1:$O$25,2,FALSE)</f>
        <v>0</v>
      </c>
      <c r="Z475" s="153" t="b">
        <f>+OR(COUNTIF(PROVEEDORES[[#This Row],[PROVEEDOR]],"*"&amp;'Palabra que no opera y Listas d'!$A$2&amp;"*"))</f>
        <v>0</v>
      </c>
    </row>
    <row r="476" spans="1:26" ht="27.75" customHeight="1" x14ac:dyDescent="0.3">
      <c r="A476" s="144" t="str">
        <f>+IF(PROVEEDORES[[#This Row],[FECHA DE PAGO]]=PROVEEDORES[[#This Row],[FECHA DE FACTURACIÓN]],"DE CONTADO","CRÉDITO")</f>
        <v>CRÉDITO</v>
      </c>
      <c r="B476" s="144" t="str">
        <f>+IF((PROVEEDORES[[#This Row],[FECHA DE PAGO]]-PROVEEDORES[[#This Row],[FECHA DE FACTURACIÓN]])&gt;PROVEEDORES[[#This Row],[PLAZO Días]],"PAGO VENCIDO")</f>
        <v>PAGO VENCIDO</v>
      </c>
      <c r="C476" s="144">
        <f>+VLOOKUP(PROVEEDORES[[#This Row],[PROVEEDOR]],TERCEROS_INFO[#All],2,FALSE)</f>
        <v>0</v>
      </c>
      <c r="D476" s="145">
        <f>+SUMIFS(PROVEEDORES[Total],PROVEEDORES[PROVEEDOR],PROVEEDORES[[#This Row],[PROVEEDOR]],PROVEEDORES[FECHA DE PAGO],"")</f>
        <v>26134091.5</v>
      </c>
      <c r="E476" s="146"/>
      <c r="F476" s="144">
        <f>+VLOOKUP(PROVEEDORES[[#This Row],[PROVEEDOR]],
                       Terceros!$A:$G,
                       5,
                       FALSE)</f>
        <v>0</v>
      </c>
      <c r="G476" s="122">
        <v>45124</v>
      </c>
      <c r="H476" s="102" t="s">
        <v>238</v>
      </c>
      <c r="I476" s="122">
        <v>45096</v>
      </c>
      <c r="J476" s="103">
        <v>1700</v>
      </c>
      <c r="K476" s="103" t="s">
        <v>1512</v>
      </c>
      <c r="L476" s="103"/>
      <c r="M476" s="105">
        <v>191400</v>
      </c>
      <c r="N476" s="147">
        <v>0</v>
      </c>
      <c r="O476" s="147">
        <v>0</v>
      </c>
      <c r="P476" s="148">
        <v>0</v>
      </c>
      <c r="Q476" s="147">
        <v>0</v>
      </c>
      <c r="R476" s="149">
        <v>191400</v>
      </c>
      <c r="S4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6" s="150">
        <f ca="1">+IF(PROVEEDORES[[#This Row],[FECHA DE PAGO]]=0,TODAY()-PROVEEDORES[[#This Row],[FECHA DE FACTURACIÓN]]-PROVEEDORES[[#This Row],[PLAZO Días]],0)</f>
        <v>0</v>
      </c>
      <c r="U476" s="150">
        <f>+VLOOKUP(PROVEEDORES[[#This Row],[PROVEEDOR]],Terceros!$A:$E,4,FALSE)</f>
        <v>0</v>
      </c>
      <c r="V476" s="150">
        <f>+YEAR(PROVEEDORES[[#This Row],[FECHA DE FACTURACIÓN]])</f>
        <v>2023</v>
      </c>
      <c r="W476" s="150">
        <f>+MATCH(PROVEEDORES[[#This Row],[año facturado]],Retenciones!$1:$1,0)</f>
        <v>6</v>
      </c>
      <c r="X476" s="151">
        <f>+VLOOKUP(PROVEEDORES[[#This Row],[ID RETENCION]],Retenciones!$A$1:$O$25,PROVEEDORES[[#This Row],[indicador de columna]],FALSE)</f>
        <v>0</v>
      </c>
      <c r="Y476" s="152">
        <f>+VLOOKUP(PROVEEDORES[[#This Row],[ID RETENCION]],Retenciones!$A$1:$O$25,2,FALSE)</f>
        <v>0</v>
      </c>
      <c r="Z476" s="153" t="b">
        <f>+OR(COUNTIF(PROVEEDORES[[#This Row],[PROVEEDOR]],"*"&amp;'Palabra que no opera y Listas d'!$A$2&amp;"*"))</f>
        <v>0</v>
      </c>
    </row>
    <row r="477" spans="1:26" ht="27.75" customHeight="1" x14ac:dyDescent="0.3">
      <c r="A477" s="144" t="str">
        <f>+IF(PROVEEDORES[[#This Row],[FECHA DE PAGO]]=PROVEEDORES[[#This Row],[FECHA DE FACTURACIÓN]],"DE CONTADO","CRÉDITO")</f>
        <v>CRÉDITO</v>
      </c>
      <c r="B477" s="144" t="str">
        <f>+IF((PROVEEDORES[[#This Row],[FECHA DE PAGO]]-PROVEEDORES[[#This Row],[FECHA DE FACTURACIÓN]])&gt;PROVEEDORES[[#This Row],[PLAZO Días]],"PAGO VENCIDO")</f>
        <v>PAGO VENCIDO</v>
      </c>
      <c r="C477" s="144">
        <f>+VLOOKUP(PROVEEDORES[[#This Row],[PROVEEDOR]],TERCEROS_INFO[#All],2,FALSE)</f>
        <v>0</v>
      </c>
      <c r="D477" s="145">
        <f>+SUMIFS(PROVEEDORES[Total],PROVEEDORES[PROVEEDOR],PROVEEDORES[[#This Row],[PROVEEDOR]],PROVEEDORES[FECHA DE PAGO],"")</f>
        <v>26134091.5</v>
      </c>
      <c r="E477" s="146"/>
      <c r="F477" s="144">
        <f>+VLOOKUP(PROVEEDORES[[#This Row],[PROVEEDOR]],
                       Terceros!$A:$G,
                       5,
                       FALSE)</f>
        <v>0</v>
      </c>
      <c r="G477" s="122">
        <v>45124</v>
      </c>
      <c r="H477" s="102" t="s">
        <v>238</v>
      </c>
      <c r="I477" s="122">
        <v>45096</v>
      </c>
      <c r="J477" s="103">
        <v>1701</v>
      </c>
      <c r="K477" s="103" t="s">
        <v>1512</v>
      </c>
      <c r="L477" s="103"/>
      <c r="M477" s="105">
        <v>191400</v>
      </c>
      <c r="N477" s="147">
        <v>0</v>
      </c>
      <c r="O477" s="147">
        <v>0</v>
      </c>
      <c r="P477" s="148">
        <v>0</v>
      </c>
      <c r="Q477" s="147">
        <v>0</v>
      </c>
      <c r="R477" s="149">
        <v>191400</v>
      </c>
      <c r="S4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7" s="150">
        <f ca="1">+IF(PROVEEDORES[[#This Row],[FECHA DE PAGO]]=0,TODAY()-PROVEEDORES[[#This Row],[FECHA DE FACTURACIÓN]]-PROVEEDORES[[#This Row],[PLAZO Días]],0)</f>
        <v>0</v>
      </c>
      <c r="U477" s="150">
        <f>+VLOOKUP(PROVEEDORES[[#This Row],[PROVEEDOR]],Terceros!$A:$E,4,FALSE)</f>
        <v>0</v>
      </c>
      <c r="V477" s="150">
        <f>+YEAR(PROVEEDORES[[#This Row],[FECHA DE FACTURACIÓN]])</f>
        <v>2023</v>
      </c>
      <c r="W477" s="150">
        <f>+MATCH(PROVEEDORES[[#This Row],[año facturado]],Retenciones!$1:$1,0)</f>
        <v>6</v>
      </c>
      <c r="X477" s="151">
        <f>+VLOOKUP(PROVEEDORES[[#This Row],[ID RETENCION]],Retenciones!$A$1:$O$25,PROVEEDORES[[#This Row],[indicador de columna]],FALSE)</f>
        <v>0</v>
      </c>
      <c r="Y477" s="152">
        <f>+VLOOKUP(PROVEEDORES[[#This Row],[ID RETENCION]],Retenciones!$A$1:$O$25,2,FALSE)</f>
        <v>0</v>
      </c>
      <c r="Z477" s="153" t="b">
        <f>+OR(COUNTIF(PROVEEDORES[[#This Row],[PROVEEDOR]],"*"&amp;'Palabra que no opera y Listas d'!$A$2&amp;"*"))</f>
        <v>0</v>
      </c>
    </row>
    <row r="478" spans="1:26" ht="27.75" customHeight="1" x14ac:dyDescent="0.3">
      <c r="A478" s="144" t="str">
        <f>+IF(PROVEEDORES[[#This Row],[FECHA DE PAGO]]=PROVEEDORES[[#This Row],[FECHA DE FACTURACIÓN]],"DE CONTADO","CRÉDITO")</f>
        <v>CRÉDITO</v>
      </c>
      <c r="B478" s="144" t="str">
        <f>+IF((PROVEEDORES[[#This Row],[FECHA DE PAGO]]-PROVEEDORES[[#This Row],[FECHA DE FACTURACIÓN]])&gt;PROVEEDORES[[#This Row],[PLAZO Días]],"PAGO VENCIDO")</f>
        <v>PAGO VENCIDO</v>
      </c>
      <c r="C478" s="144">
        <f>+VLOOKUP(PROVEEDORES[[#This Row],[PROVEEDOR]],TERCEROS_INFO[#All],2,FALSE)</f>
        <v>0</v>
      </c>
      <c r="D478" s="145">
        <f>+SUMIFS(PROVEEDORES[Total],PROVEEDORES[PROVEEDOR],PROVEEDORES[[#This Row],[PROVEEDOR]],PROVEEDORES[FECHA DE PAGO],"")</f>
        <v>0</v>
      </c>
      <c r="E478" s="146"/>
      <c r="F478" s="144">
        <f>+VLOOKUP(PROVEEDORES[[#This Row],[PROVEEDOR]],
                       Terceros!$A:$G,
                       5,
                       FALSE)</f>
        <v>0</v>
      </c>
      <c r="G478" s="122">
        <v>45124</v>
      </c>
      <c r="H478" s="102" t="s">
        <v>240</v>
      </c>
      <c r="I478" s="122">
        <v>45100</v>
      </c>
      <c r="J478" s="103">
        <v>1706</v>
      </c>
      <c r="K478" s="103" t="s">
        <v>1512</v>
      </c>
      <c r="L478" s="103"/>
      <c r="M478" s="105">
        <v>2781390</v>
      </c>
      <c r="N478" s="147">
        <v>0</v>
      </c>
      <c r="O478" s="147">
        <v>0</v>
      </c>
      <c r="P478" s="148">
        <v>0</v>
      </c>
      <c r="Q478" s="147">
        <v>0</v>
      </c>
      <c r="R478" s="149">
        <v>2781390</v>
      </c>
      <c r="S4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8" s="150">
        <f ca="1">+IF(PROVEEDORES[[#This Row],[FECHA DE PAGO]]=0,TODAY()-PROVEEDORES[[#This Row],[FECHA DE FACTURACIÓN]]-PROVEEDORES[[#This Row],[PLAZO Días]],0)</f>
        <v>0</v>
      </c>
      <c r="U478" s="150">
        <f>+VLOOKUP(PROVEEDORES[[#This Row],[PROVEEDOR]],Terceros!$A:$E,4,FALSE)</f>
        <v>0</v>
      </c>
      <c r="V478" s="150">
        <f>+YEAR(PROVEEDORES[[#This Row],[FECHA DE FACTURACIÓN]])</f>
        <v>2023</v>
      </c>
      <c r="W478" s="150">
        <f>+MATCH(PROVEEDORES[[#This Row],[año facturado]],Retenciones!$1:$1,0)</f>
        <v>6</v>
      </c>
      <c r="X478" s="151">
        <f>+VLOOKUP(PROVEEDORES[[#This Row],[ID RETENCION]],Retenciones!$A$1:$O$25,PROVEEDORES[[#This Row],[indicador de columna]],FALSE)</f>
        <v>0</v>
      </c>
      <c r="Y478" s="152">
        <f>+VLOOKUP(PROVEEDORES[[#This Row],[ID RETENCION]],Retenciones!$A$1:$O$25,2,FALSE)</f>
        <v>0</v>
      </c>
      <c r="Z478" s="153" t="b">
        <f>+OR(COUNTIF(PROVEEDORES[[#This Row],[PROVEEDOR]],"*"&amp;'Palabra que no opera y Listas d'!$A$2&amp;"*"))</f>
        <v>0</v>
      </c>
    </row>
    <row r="479" spans="1:26" ht="27.75" customHeight="1" x14ac:dyDescent="0.3">
      <c r="A479" s="144" t="str">
        <f>+IF(PROVEEDORES[[#This Row],[FECHA DE PAGO]]=PROVEEDORES[[#This Row],[FECHA DE FACTURACIÓN]],"DE CONTADO","CRÉDITO")</f>
        <v>CRÉDITO</v>
      </c>
      <c r="B479" s="144" t="str">
        <f>+IF((PROVEEDORES[[#This Row],[FECHA DE PAGO]]-PROVEEDORES[[#This Row],[FECHA DE FACTURACIÓN]])&gt;PROVEEDORES[[#This Row],[PLAZO Días]],"PAGO VENCIDO")</f>
        <v>PAGO VENCIDO</v>
      </c>
      <c r="C479" s="144">
        <f>+VLOOKUP(PROVEEDORES[[#This Row],[PROVEEDOR]],TERCEROS_INFO[#All],2,FALSE)</f>
        <v>0</v>
      </c>
      <c r="D479" s="145">
        <f>+SUMIFS(PROVEEDORES[Total],PROVEEDORES[PROVEEDOR],PROVEEDORES[[#This Row],[PROVEEDOR]],PROVEEDORES[FECHA DE PAGO],"")</f>
        <v>26134091.5</v>
      </c>
      <c r="E479" s="146"/>
      <c r="F479" s="144">
        <f>+VLOOKUP(PROVEEDORES[[#This Row],[PROVEEDOR]],
                       Terceros!$A:$G,
                       5,
                       FALSE)</f>
        <v>0</v>
      </c>
      <c r="G479" s="122">
        <v>45124</v>
      </c>
      <c r="H479" s="102" t="s">
        <v>238</v>
      </c>
      <c r="I479" s="122">
        <v>45107</v>
      </c>
      <c r="J479" s="103">
        <v>1715</v>
      </c>
      <c r="K479" s="103" t="s">
        <v>1512</v>
      </c>
      <c r="L479" s="103"/>
      <c r="M479" s="105">
        <v>226200</v>
      </c>
      <c r="N479" s="147">
        <v>0</v>
      </c>
      <c r="O479" s="147">
        <v>0</v>
      </c>
      <c r="P479" s="148">
        <v>0</v>
      </c>
      <c r="Q479" s="147">
        <v>0</v>
      </c>
      <c r="R479" s="149">
        <v>226200</v>
      </c>
      <c r="S4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9" s="150">
        <f ca="1">+IF(PROVEEDORES[[#This Row],[FECHA DE PAGO]]=0,TODAY()-PROVEEDORES[[#This Row],[FECHA DE FACTURACIÓN]]-PROVEEDORES[[#This Row],[PLAZO Días]],0)</f>
        <v>0</v>
      </c>
      <c r="U479" s="150">
        <f>+VLOOKUP(PROVEEDORES[[#This Row],[PROVEEDOR]],Terceros!$A:$E,4,FALSE)</f>
        <v>0</v>
      </c>
      <c r="V479" s="150">
        <f>+YEAR(PROVEEDORES[[#This Row],[FECHA DE FACTURACIÓN]])</f>
        <v>2023</v>
      </c>
      <c r="W479" s="150">
        <f>+MATCH(PROVEEDORES[[#This Row],[año facturado]],Retenciones!$1:$1,0)</f>
        <v>6</v>
      </c>
      <c r="X479" s="151">
        <f>+VLOOKUP(PROVEEDORES[[#This Row],[ID RETENCION]],Retenciones!$A$1:$O$25,PROVEEDORES[[#This Row],[indicador de columna]],FALSE)</f>
        <v>0</v>
      </c>
      <c r="Y479" s="152">
        <f>+VLOOKUP(PROVEEDORES[[#This Row],[ID RETENCION]],Retenciones!$A$1:$O$25,2,FALSE)</f>
        <v>0</v>
      </c>
      <c r="Z479" s="153" t="b">
        <f>+OR(COUNTIF(PROVEEDORES[[#This Row],[PROVEEDOR]],"*"&amp;'Palabra que no opera y Listas d'!$A$2&amp;"*"))</f>
        <v>0</v>
      </c>
    </row>
    <row r="480" spans="1:26" ht="27.75" customHeight="1" x14ac:dyDescent="0.3">
      <c r="A480" s="144" t="str">
        <f>+IF(PROVEEDORES[[#This Row],[FECHA DE PAGO]]=PROVEEDORES[[#This Row],[FECHA DE FACTURACIÓN]],"DE CONTADO","CRÉDITO")</f>
        <v>CRÉDITO</v>
      </c>
      <c r="B480" s="144" t="str">
        <f>+IF((PROVEEDORES[[#This Row],[FECHA DE PAGO]]-PROVEEDORES[[#This Row],[FECHA DE FACTURACIÓN]])&gt;PROVEEDORES[[#This Row],[PLAZO Días]],"PAGO VENCIDO")</f>
        <v>PAGO VENCIDO</v>
      </c>
      <c r="C480" s="144">
        <f>+VLOOKUP(PROVEEDORES[[#This Row],[PROVEEDOR]],TERCEROS_INFO[#All],2,FALSE)</f>
        <v>0</v>
      </c>
      <c r="D480" s="145">
        <f>+SUMIFS(PROVEEDORES[Total],PROVEEDORES[PROVEEDOR],PROVEEDORES[[#This Row],[PROVEEDOR]],PROVEEDORES[FECHA DE PAGO],"")</f>
        <v>26134091.5</v>
      </c>
      <c r="E480" s="146"/>
      <c r="F480" s="144">
        <f>+VLOOKUP(PROVEEDORES[[#This Row],[PROVEEDOR]],
                       Terceros!$A:$G,
                       5,
                       FALSE)</f>
        <v>0</v>
      </c>
      <c r="G480" s="122">
        <v>45124</v>
      </c>
      <c r="H480" s="102" t="s">
        <v>238</v>
      </c>
      <c r="I480" s="122">
        <v>45107</v>
      </c>
      <c r="J480" s="103">
        <v>1716</v>
      </c>
      <c r="K480" s="103" t="s">
        <v>1512</v>
      </c>
      <c r="L480" s="103"/>
      <c r="M480" s="105">
        <v>226200</v>
      </c>
      <c r="N480" s="147">
        <v>0</v>
      </c>
      <c r="O480" s="147">
        <v>0</v>
      </c>
      <c r="P480" s="148">
        <v>0</v>
      </c>
      <c r="Q480" s="147">
        <v>0</v>
      </c>
      <c r="R480" s="149">
        <v>226200</v>
      </c>
      <c r="S4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0" s="150">
        <f ca="1">+IF(PROVEEDORES[[#This Row],[FECHA DE PAGO]]=0,TODAY()-PROVEEDORES[[#This Row],[FECHA DE FACTURACIÓN]]-PROVEEDORES[[#This Row],[PLAZO Días]],0)</f>
        <v>0</v>
      </c>
      <c r="U480" s="150">
        <f>+VLOOKUP(PROVEEDORES[[#This Row],[PROVEEDOR]],Terceros!$A:$E,4,FALSE)</f>
        <v>0</v>
      </c>
      <c r="V480" s="150">
        <f>+YEAR(PROVEEDORES[[#This Row],[FECHA DE FACTURACIÓN]])</f>
        <v>2023</v>
      </c>
      <c r="W480" s="150">
        <f>+MATCH(PROVEEDORES[[#This Row],[año facturado]],Retenciones!$1:$1,0)</f>
        <v>6</v>
      </c>
      <c r="X480" s="151">
        <f>+VLOOKUP(PROVEEDORES[[#This Row],[ID RETENCION]],Retenciones!$A$1:$O$25,PROVEEDORES[[#This Row],[indicador de columna]],FALSE)</f>
        <v>0</v>
      </c>
      <c r="Y480" s="152">
        <f>+VLOOKUP(PROVEEDORES[[#This Row],[ID RETENCION]],Retenciones!$A$1:$O$25,2,FALSE)</f>
        <v>0</v>
      </c>
      <c r="Z480" s="153" t="b">
        <f>+OR(COUNTIF(PROVEEDORES[[#This Row],[PROVEEDOR]],"*"&amp;'Palabra que no opera y Listas d'!$A$2&amp;"*"))</f>
        <v>0</v>
      </c>
    </row>
    <row r="481" spans="1:26" ht="27.75" customHeight="1" x14ac:dyDescent="0.3">
      <c r="A481" s="144" t="str">
        <f>+IF(PROVEEDORES[[#This Row],[FECHA DE PAGO]]=PROVEEDORES[[#This Row],[FECHA DE FACTURACIÓN]],"DE CONTADO","CRÉDITO")</f>
        <v>CRÉDITO</v>
      </c>
      <c r="B481" s="144" t="str">
        <f>+IF((PROVEEDORES[[#This Row],[FECHA DE PAGO]]-PROVEEDORES[[#This Row],[FECHA DE FACTURACIÓN]])&gt;PROVEEDORES[[#This Row],[PLAZO Días]],"PAGO VENCIDO")</f>
        <v>PAGO VENCIDO</v>
      </c>
      <c r="C481" s="144">
        <f>+VLOOKUP(PROVEEDORES[[#This Row],[PROVEEDOR]],TERCEROS_INFO[#All],2,FALSE)</f>
        <v>0</v>
      </c>
      <c r="D481" s="145">
        <f>+SUMIFS(PROVEEDORES[Total],PROVEEDORES[PROVEEDOR],PROVEEDORES[[#This Row],[PROVEEDOR]],PROVEEDORES[FECHA DE PAGO],"")</f>
        <v>0</v>
      </c>
      <c r="E481" s="146"/>
      <c r="F481" s="144">
        <f>+VLOOKUP(PROVEEDORES[[#This Row],[PROVEEDOR]],
                       Terceros!$A:$G,
                       5,
                       FALSE)</f>
        <v>0</v>
      </c>
      <c r="G481" s="122">
        <v>45124</v>
      </c>
      <c r="H481" s="102" t="s">
        <v>388</v>
      </c>
      <c r="I481" s="122">
        <v>45109</v>
      </c>
      <c r="J481" s="103" t="s">
        <v>901</v>
      </c>
      <c r="K481" s="103" t="s">
        <v>1512</v>
      </c>
      <c r="L481" s="103"/>
      <c r="M481" s="105">
        <v>1840056</v>
      </c>
      <c r="N481" s="147">
        <v>0</v>
      </c>
      <c r="O481" s="147">
        <v>0</v>
      </c>
      <c r="P481" s="148">
        <v>0</v>
      </c>
      <c r="Q481" s="147">
        <v>0</v>
      </c>
      <c r="R481" s="149">
        <v>1840056</v>
      </c>
      <c r="S4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1" s="150">
        <f ca="1">+IF(PROVEEDORES[[#This Row],[FECHA DE PAGO]]=0,TODAY()-PROVEEDORES[[#This Row],[FECHA DE FACTURACIÓN]]-PROVEEDORES[[#This Row],[PLAZO Días]],0)</f>
        <v>0</v>
      </c>
      <c r="U481" s="150">
        <f>+VLOOKUP(PROVEEDORES[[#This Row],[PROVEEDOR]],Terceros!$A:$E,4,FALSE)</f>
        <v>0</v>
      </c>
      <c r="V481" s="150">
        <f>+YEAR(PROVEEDORES[[#This Row],[FECHA DE FACTURACIÓN]])</f>
        <v>2023</v>
      </c>
      <c r="W481" s="150">
        <f>+MATCH(PROVEEDORES[[#This Row],[año facturado]],Retenciones!$1:$1,0)</f>
        <v>6</v>
      </c>
      <c r="X481" s="151">
        <f>+VLOOKUP(PROVEEDORES[[#This Row],[ID RETENCION]],Retenciones!$A$1:$O$25,PROVEEDORES[[#This Row],[indicador de columna]],FALSE)</f>
        <v>0</v>
      </c>
      <c r="Y481" s="152">
        <f>+VLOOKUP(PROVEEDORES[[#This Row],[ID RETENCION]],Retenciones!$A$1:$O$25,2,FALSE)</f>
        <v>0</v>
      </c>
      <c r="Z481" s="153" t="b">
        <f>+OR(COUNTIF(PROVEEDORES[[#This Row],[PROVEEDOR]],"*"&amp;'Palabra que no opera y Listas d'!$A$2&amp;"*"))</f>
        <v>1</v>
      </c>
    </row>
    <row r="482" spans="1:26" ht="27.75" customHeight="1" x14ac:dyDescent="0.3">
      <c r="A482" s="144" t="str">
        <f>+IF(PROVEEDORES[[#This Row],[FECHA DE PAGO]]=PROVEEDORES[[#This Row],[FECHA DE FACTURACIÓN]],"DE CONTADO","CRÉDITO")</f>
        <v>CRÉDITO</v>
      </c>
      <c r="B482" s="144" t="str">
        <f>+IF((PROVEEDORES[[#This Row],[FECHA DE PAGO]]-PROVEEDORES[[#This Row],[FECHA DE FACTURACIÓN]])&gt;PROVEEDORES[[#This Row],[PLAZO Días]],"PAGO VENCIDO")</f>
        <v>PAGO VENCIDO</v>
      </c>
      <c r="C482" s="144">
        <f>+VLOOKUP(PROVEEDORES[[#This Row],[PROVEEDOR]],TERCEROS_INFO[#All],2,FALSE)</f>
        <v>0</v>
      </c>
      <c r="D482" s="145">
        <f>+SUMIFS(PROVEEDORES[Total],PROVEEDORES[PROVEEDOR],PROVEEDORES[[#This Row],[PROVEEDOR]],PROVEEDORES[FECHA DE PAGO],"")</f>
        <v>0</v>
      </c>
      <c r="E482" s="146"/>
      <c r="F482" s="144">
        <f>+VLOOKUP(PROVEEDORES[[#This Row],[PROVEEDOR]],
                       Terceros!$A:$G,
                       5,
                       FALSE)</f>
        <v>0</v>
      </c>
      <c r="G482" s="122">
        <v>45124</v>
      </c>
      <c r="H482" s="102" t="s">
        <v>845</v>
      </c>
      <c r="I482" s="122">
        <v>45122</v>
      </c>
      <c r="J482" s="103">
        <v>4</v>
      </c>
      <c r="K482" s="103" t="s">
        <v>1512</v>
      </c>
      <c r="L482" s="103"/>
      <c r="M482" s="105">
        <v>369000</v>
      </c>
      <c r="N482" s="147">
        <v>0</v>
      </c>
      <c r="O482" s="147">
        <v>0</v>
      </c>
      <c r="P482" s="148">
        <v>0</v>
      </c>
      <c r="Q482" s="147">
        <v>0</v>
      </c>
      <c r="R482" s="149">
        <v>369000</v>
      </c>
      <c r="S4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2" s="150">
        <f ca="1">+IF(PROVEEDORES[[#This Row],[FECHA DE PAGO]]=0,TODAY()-PROVEEDORES[[#This Row],[FECHA DE FACTURACIÓN]]-PROVEEDORES[[#This Row],[PLAZO Días]],0)</f>
        <v>0</v>
      </c>
      <c r="U482" s="150">
        <f>+VLOOKUP(PROVEEDORES[[#This Row],[PROVEEDOR]],Terceros!$A:$E,4,FALSE)</f>
        <v>0</v>
      </c>
      <c r="V482" s="150">
        <f>+YEAR(PROVEEDORES[[#This Row],[FECHA DE FACTURACIÓN]])</f>
        <v>2023</v>
      </c>
      <c r="W482" s="150">
        <f>+MATCH(PROVEEDORES[[#This Row],[año facturado]],Retenciones!$1:$1,0)</f>
        <v>6</v>
      </c>
      <c r="X482" s="151">
        <f>+VLOOKUP(PROVEEDORES[[#This Row],[ID RETENCION]],Retenciones!$A$1:$O$25,PROVEEDORES[[#This Row],[indicador de columna]],FALSE)</f>
        <v>0</v>
      </c>
      <c r="Y482" s="152">
        <f>+VLOOKUP(PROVEEDORES[[#This Row],[ID RETENCION]],Retenciones!$A$1:$O$25,2,FALSE)</f>
        <v>0</v>
      </c>
      <c r="Z482" s="153" t="b">
        <f>+OR(COUNTIF(PROVEEDORES[[#This Row],[PROVEEDOR]],"*"&amp;'Palabra que no opera y Listas d'!$A$2&amp;"*"))</f>
        <v>0</v>
      </c>
    </row>
    <row r="483" spans="1:26" ht="27.75" customHeight="1" x14ac:dyDescent="0.3">
      <c r="A483" s="144" t="str">
        <f>+IF(PROVEEDORES[[#This Row],[FECHA DE PAGO]]=PROVEEDORES[[#This Row],[FECHA DE FACTURACIÓN]],"DE CONTADO","CRÉDITO")</f>
        <v>CRÉDITO</v>
      </c>
      <c r="B483" s="144" t="str">
        <f>+IF((PROVEEDORES[[#This Row],[FECHA DE PAGO]]-PROVEEDORES[[#This Row],[FECHA DE FACTURACIÓN]])&gt;PROVEEDORES[[#This Row],[PLAZO Días]],"PAGO VENCIDO")</f>
        <v>PAGO VENCIDO</v>
      </c>
      <c r="C483" s="144">
        <f>+VLOOKUP(PROVEEDORES[[#This Row],[PROVEEDOR]],TERCEROS_INFO[#All],2,FALSE)</f>
        <v>0</v>
      </c>
      <c r="D483" s="145">
        <f>+SUMIFS(PROVEEDORES[Total],PROVEEDORES[PROVEEDOR],PROVEEDORES[[#This Row],[PROVEEDOR]],PROVEEDORES[FECHA DE PAGO],"")</f>
        <v>0</v>
      </c>
      <c r="E483" s="146"/>
      <c r="F483" s="144" t="str">
        <f>+VLOOKUP(PROVEEDORES[[#This Row],[PROVEEDOR]],
                       Terceros!$A:$G,
                       5,
                       FALSE)</f>
        <v>11% sin base</v>
      </c>
      <c r="G483" s="122">
        <v>45125</v>
      </c>
      <c r="H483" s="102" t="s">
        <v>396</v>
      </c>
      <c r="I483" s="122">
        <v>45124</v>
      </c>
      <c r="J483" s="103" t="s">
        <v>910</v>
      </c>
      <c r="K483" s="103" t="s">
        <v>1512</v>
      </c>
      <c r="L483" s="103"/>
      <c r="M483" s="105">
        <v>1650000</v>
      </c>
      <c r="N483" s="147">
        <v>313500</v>
      </c>
      <c r="O483" s="147">
        <v>0</v>
      </c>
      <c r="P483" s="148">
        <v>0.11</v>
      </c>
      <c r="Q483" s="147">
        <v>181500</v>
      </c>
      <c r="R483" s="149">
        <v>1782000</v>
      </c>
      <c r="S4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3" s="150">
        <f ca="1">+IF(PROVEEDORES[[#This Row],[FECHA DE PAGO]]=0,TODAY()-PROVEEDORES[[#This Row],[FECHA DE FACTURACIÓN]]-PROVEEDORES[[#This Row],[PLAZO Días]],0)</f>
        <v>0</v>
      </c>
      <c r="U483" s="150">
        <f>+VLOOKUP(PROVEEDORES[[#This Row],[PROVEEDOR]],Terceros!$A:$E,4,FALSE)</f>
        <v>0.19</v>
      </c>
      <c r="V483" s="150">
        <f>+YEAR(PROVEEDORES[[#This Row],[FECHA DE FACTURACIÓN]])</f>
        <v>2023</v>
      </c>
      <c r="W483" s="150">
        <f>+MATCH(PROVEEDORES[[#This Row],[año facturado]],Retenciones!$1:$1,0)</f>
        <v>6</v>
      </c>
      <c r="X483" s="151" t="e">
        <f>+VLOOKUP(PROVEEDORES[[#This Row],[ID RETENCION]],Retenciones!$A$1:$O$25,PROVEEDORES[[#This Row],[indicador de columna]],FALSE)</f>
        <v>#N/A</v>
      </c>
      <c r="Y483" s="152" t="e">
        <f>+VLOOKUP(PROVEEDORES[[#This Row],[ID RETENCION]],Retenciones!$A$1:$O$25,2,FALSE)</f>
        <v>#N/A</v>
      </c>
      <c r="Z483" s="153" t="b">
        <f>+OR(COUNTIF(PROVEEDORES[[#This Row],[PROVEEDOR]],"*"&amp;'Palabra que no opera y Listas d'!$A$2&amp;"*"))</f>
        <v>1</v>
      </c>
    </row>
    <row r="484" spans="1:26" ht="27.75" customHeight="1" x14ac:dyDescent="0.3">
      <c r="A484" s="144" t="str">
        <f>+IF(PROVEEDORES[[#This Row],[FECHA DE PAGO]]=PROVEEDORES[[#This Row],[FECHA DE FACTURACIÓN]],"DE CONTADO","CRÉDITO")</f>
        <v>DE CONTADO</v>
      </c>
      <c r="B484" s="144" t="b">
        <f>+IF((PROVEEDORES[[#This Row],[FECHA DE PAGO]]-PROVEEDORES[[#This Row],[FECHA DE FACTURACIÓN]])&gt;PROVEEDORES[[#This Row],[PLAZO Días]],"PAGO VENCIDO")</f>
        <v>0</v>
      </c>
      <c r="C484" s="144">
        <f>+VLOOKUP(PROVEEDORES[[#This Row],[PROVEEDOR]],TERCEROS_INFO[#All],2,FALSE)</f>
        <v>0</v>
      </c>
      <c r="D484" s="145">
        <f>+SUMIFS(PROVEEDORES[Total],PROVEEDORES[PROVEEDOR],PROVEEDORES[[#This Row],[PROVEEDOR]],PROVEEDORES[FECHA DE PAGO],"")</f>
        <v>0</v>
      </c>
      <c r="E484" s="146"/>
      <c r="F484" s="144" t="str">
        <f>+VLOOKUP(PROVEEDORES[[#This Row],[PROVEEDOR]],
                       Terceros!$A:$G,
                       5,
                       FALSE)</f>
        <v>2,5% con base</v>
      </c>
      <c r="G484" s="122">
        <v>45125</v>
      </c>
      <c r="H484" s="102" t="s">
        <v>306</v>
      </c>
      <c r="I484" s="122">
        <v>45125</v>
      </c>
      <c r="J484" s="103" t="s">
        <v>902</v>
      </c>
      <c r="K484" s="103" t="s">
        <v>1512</v>
      </c>
      <c r="L484" s="103"/>
      <c r="M484" s="105">
        <v>1431255</v>
      </c>
      <c r="N484" s="147">
        <v>271938.45</v>
      </c>
      <c r="O484" s="147">
        <v>0</v>
      </c>
      <c r="P484" s="148">
        <v>2.5000000000000001E-2</v>
      </c>
      <c r="Q484" s="147">
        <v>35781.375</v>
      </c>
      <c r="R484" s="149">
        <v>1667412.075</v>
      </c>
      <c r="S4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4" s="150">
        <f ca="1">+IF(PROVEEDORES[[#This Row],[FECHA DE PAGO]]=0,TODAY()-PROVEEDORES[[#This Row],[FECHA DE FACTURACIÓN]]-PROVEEDORES[[#This Row],[PLAZO Días]],0)</f>
        <v>0</v>
      </c>
      <c r="U484" s="150">
        <f>+VLOOKUP(PROVEEDORES[[#This Row],[PROVEEDOR]],Terceros!$A:$E,4,FALSE)</f>
        <v>0.19</v>
      </c>
      <c r="V484" s="150">
        <f>+YEAR(PROVEEDORES[[#This Row],[FECHA DE FACTURACIÓN]])</f>
        <v>2023</v>
      </c>
      <c r="W484" s="150">
        <f>+MATCH(PROVEEDORES[[#This Row],[año facturado]],Retenciones!$1:$1,0)</f>
        <v>6</v>
      </c>
      <c r="X484" s="151" t="e">
        <f>+VLOOKUP(PROVEEDORES[[#This Row],[ID RETENCION]],Retenciones!$A$1:$O$25,PROVEEDORES[[#This Row],[indicador de columna]],FALSE)</f>
        <v>#N/A</v>
      </c>
      <c r="Y484" s="152" t="e">
        <f>+VLOOKUP(PROVEEDORES[[#This Row],[ID RETENCION]],Retenciones!$A$1:$O$25,2,FALSE)</f>
        <v>#N/A</v>
      </c>
      <c r="Z484" s="153" t="b">
        <f>+OR(COUNTIF(PROVEEDORES[[#This Row],[PROVEEDOR]],"*"&amp;'Palabra que no opera y Listas d'!$A$2&amp;"*"))</f>
        <v>0</v>
      </c>
    </row>
    <row r="485" spans="1:26" ht="27.75" customHeight="1" x14ac:dyDescent="0.3">
      <c r="A485" s="144" t="str">
        <f>+IF(PROVEEDORES[[#This Row],[FECHA DE PAGO]]=PROVEEDORES[[#This Row],[FECHA DE FACTURACIÓN]],"DE CONTADO","CRÉDITO")</f>
        <v>CRÉDITO</v>
      </c>
      <c r="B485" s="144" t="str">
        <f>+IF((PROVEEDORES[[#This Row],[FECHA DE PAGO]]-PROVEEDORES[[#This Row],[FECHA DE FACTURACIÓN]])&gt;PROVEEDORES[[#This Row],[PLAZO Días]],"PAGO VENCIDO")</f>
        <v>PAGO VENCIDO</v>
      </c>
      <c r="C485" s="144">
        <f>+VLOOKUP(PROVEEDORES[[#This Row],[PROVEEDOR]],TERCEROS_INFO[#All],2,FALSE)</f>
        <v>0</v>
      </c>
      <c r="D485" s="145">
        <f>+SUMIFS(PROVEEDORES[Total],PROVEEDORES[PROVEEDOR],PROVEEDORES[[#This Row],[PROVEEDOR]],PROVEEDORES[FECHA DE PAGO],"")</f>
        <v>1000043.22</v>
      </c>
      <c r="E485" s="146"/>
      <c r="F485" s="144" t="str">
        <f>+VLOOKUP(PROVEEDORES[[#This Row],[PROVEEDOR]],
                       Terceros!$A:$G,
                       5,
                       FALSE)</f>
        <v>2,5% con base</v>
      </c>
      <c r="G485" s="122">
        <v>45126</v>
      </c>
      <c r="H485" s="102" t="s">
        <v>237</v>
      </c>
      <c r="I485" s="122">
        <v>45057</v>
      </c>
      <c r="J485" s="103" t="s">
        <v>804</v>
      </c>
      <c r="K485" s="103" t="s">
        <v>1512</v>
      </c>
      <c r="L485" s="103"/>
      <c r="M485" s="105">
        <v>2302268</v>
      </c>
      <c r="N485" s="147">
        <v>437430.92</v>
      </c>
      <c r="O485" s="147">
        <v>0</v>
      </c>
      <c r="P485" s="148">
        <v>2.5000000000000001E-2</v>
      </c>
      <c r="Q485" s="147">
        <v>57556.700000000004</v>
      </c>
      <c r="R485" s="149">
        <v>2682142.2199999997</v>
      </c>
      <c r="S4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5" s="150">
        <f ca="1">+IF(PROVEEDORES[[#This Row],[FECHA DE PAGO]]=0,TODAY()-PROVEEDORES[[#This Row],[FECHA DE FACTURACIÓN]]-PROVEEDORES[[#This Row],[PLAZO Días]],0)</f>
        <v>0</v>
      </c>
      <c r="U485" s="150">
        <f>+VLOOKUP(PROVEEDORES[[#This Row],[PROVEEDOR]],Terceros!$A:$E,4,FALSE)</f>
        <v>0.19</v>
      </c>
      <c r="V485" s="150">
        <f>+YEAR(PROVEEDORES[[#This Row],[FECHA DE FACTURACIÓN]])</f>
        <v>2023</v>
      </c>
      <c r="W485" s="150">
        <f>+MATCH(PROVEEDORES[[#This Row],[año facturado]],Retenciones!$1:$1,0)</f>
        <v>6</v>
      </c>
      <c r="X485" s="151" t="e">
        <f>+VLOOKUP(PROVEEDORES[[#This Row],[ID RETENCION]],Retenciones!$A$1:$O$25,PROVEEDORES[[#This Row],[indicador de columna]],FALSE)</f>
        <v>#N/A</v>
      </c>
      <c r="Y485" s="152" t="e">
        <f>+VLOOKUP(PROVEEDORES[[#This Row],[ID RETENCION]],Retenciones!$A$1:$O$25,2,FALSE)</f>
        <v>#N/A</v>
      </c>
      <c r="Z485" s="153" t="b">
        <f>+OR(COUNTIF(PROVEEDORES[[#This Row],[PROVEEDOR]],"*"&amp;'Palabra que no opera y Listas d'!$A$2&amp;"*"))</f>
        <v>0</v>
      </c>
    </row>
    <row r="486" spans="1:26" ht="27.75" customHeight="1" x14ac:dyDescent="0.3">
      <c r="A486" s="144" t="str">
        <f>+IF(PROVEEDORES[[#This Row],[FECHA DE PAGO]]=PROVEEDORES[[#This Row],[FECHA DE FACTURACIÓN]],"DE CONTADO","CRÉDITO")</f>
        <v>CRÉDITO</v>
      </c>
      <c r="B486" s="144" t="str">
        <f>+IF((PROVEEDORES[[#This Row],[FECHA DE PAGO]]-PROVEEDORES[[#This Row],[FECHA DE FACTURACIÓN]])&gt;PROVEEDORES[[#This Row],[PLAZO Días]],"PAGO VENCIDO")</f>
        <v>PAGO VENCIDO</v>
      </c>
      <c r="C486" s="144">
        <f>+VLOOKUP(PROVEEDORES[[#This Row],[PROVEEDOR]],TERCEROS_INFO[#All],2,FALSE)</f>
        <v>0</v>
      </c>
      <c r="D486" s="145">
        <f>+SUMIFS(PROVEEDORES[Total],PROVEEDORES[PROVEEDOR],PROVEEDORES[[#This Row],[PROVEEDOR]],PROVEEDORES[FECHA DE PAGO],"")</f>
        <v>0</v>
      </c>
      <c r="E486" s="146"/>
      <c r="F486" s="144">
        <f>+VLOOKUP(PROVEEDORES[[#This Row],[PROVEEDOR]],
                       Terceros!$A:$G,
                       5,
                       FALSE)</f>
        <v>0</v>
      </c>
      <c r="G486" s="122">
        <v>45126</v>
      </c>
      <c r="H486" s="102" t="s">
        <v>391</v>
      </c>
      <c r="I486" s="122">
        <v>45108</v>
      </c>
      <c r="J486" s="103" t="s">
        <v>903</v>
      </c>
      <c r="K486" s="103" t="s">
        <v>1512</v>
      </c>
      <c r="L486" s="103"/>
      <c r="M486" s="105">
        <v>318603</v>
      </c>
      <c r="N486" s="147">
        <v>0</v>
      </c>
      <c r="O486" s="147">
        <v>0</v>
      </c>
      <c r="P486" s="148">
        <v>0</v>
      </c>
      <c r="Q486" s="147">
        <v>0</v>
      </c>
      <c r="R486" s="149">
        <v>318603</v>
      </c>
      <c r="S4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6" s="150">
        <f ca="1">+IF(PROVEEDORES[[#This Row],[FECHA DE PAGO]]=0,TODAY()-PROVEEDORES[[#This Row],[FECHA DE FACTURACIÓN]]-PROVEEDORES[[#This Row],[PLAZO Días]],0)</f>
        <v>0</v>
      </c>
      <c r="U486" s="150">
        <f>+VLOOKUP(PROVEEDORES[[#This Row],[PROVEEDOR]],Terceros!$A:$E,4,FALSE)</f>
        <v>0</v>
      </c>
      <c r="V486" s="150">
        <f>+YEAR(PROVEEDORES[[#This Row],[FECHA DE FACTURACIÓN]])</f>
        <v>2023</v>
      </c>
      <c r="W486" s="150">
        <f>+MATCH(PROVEEDORES[[#This Row],[año facturado]],Retenciones!$1:$1,0)</f>
        <v>6</v>
      </c>
      <c r="X486" s="151">
        <f>+VLOOKUP(PROVEEDORES[[#This Row],[ID RETENCION]],Retenciones!$A$1:$O$25,PROVEEDORES[[#This Row],[indicador de columna]],FALSE)</f>
        <v>0</v>
      </c>
      <c r="Y486" s="152">
        <f>+VLOOKUP(PROVEEDORES[[#This Row],[ID RETENCION]],Retenciones!$A$1:$O$25,2,FALSE)</f>
        <v>0</v>
      </c>
      <c r="Z486" s="153" t="b">
        <f>+OR(COUNTIF(PROVEEDORES[[#This Row],[PROVEEDOR]],"*"&amp;'Palabra que no opera y Listas d'!$A$2&amp;"*"))</f>
        <v>1</v>
      </c>
    </row>
    <row r="487" spans="1:26" ht="27.75" customHeight="1" x14ac:dyDescent="0.3">
      <c r="A487" s="144" t="str">
        <f>+IF(PROVEEDORES[[#This Row],[FECHA DE PAGO]]=PROVEEDORES[[#This Row],[FECHA DE FACTURACIÓN]],"DE CONTADO","CRÉDITO")</f>
        <v>CRÉDITO</v>
      </c>
      <c r="B487" s="144" t="str">
        <f>+IF((PROVEEDORES[[#This Row],[FECHA DE PAGO]]-PROVEEDORES[[#This Row],[FECHA DE FACTURACIÓN]])&gt;PROVEEDORES[[#This Row],[PLAZO Días]],"PAGO VENCIDO")</f>
        <v>PAGO VENCIDO</v>
      </c>
      <c r="C487" s="144">
        <f>+VLOOKUP(PROVEEDORES[[#This Row],[PROVEEDOR]],TERCEROS_INFO[#All],2,FALSE)</f>
        <v>0</v>
      </c>
      <c r="D487" s="145">
        <f>+SUMIFS(PROVEEDORES[Total],PROVEEDORES[PROVEEDOR],PROVEEDORES[[#This Row],[PROVEEDOR]],PROVEEDORES[FECHA DE PAGO],"")</f>
        <v>9343197</v>
      </c>
      <c r="E487" s="146"/>
      <c r="F487" s="144" t="str">
        <f>+VLOOKUP(PROVEEDORES[[#This Row],[PROVEEDOR]],
                       Terceros!$A:$G,
                       5,
                       FALSE)</f>
        <v>2,5% con base</v>
      </c>
      <c r="G487" s="122">
        <v>45128</v>
      </c>
      <c r="H487" s="102" t="s">
        <v>466</v>
      </c>
      <c r="I487" s="122">
        <v>45072</v>
      </c>
      <c r="J487" s="103" t="s">
        <v>825</v>
      </c>
      <c r="K487" s="103" t="s">
        <v>1512</v>
      </c>
      <c r="L487" s="103"/>
      <c r="M487" s="105">
        <v>470000</v>
      </c>
      <c r="N487" s="147">
        <v>89300</v>
      </c>
      <c r="O487" s="147">
        <v>0</v>
      </c>
      <c r="P487" s="148">
        <v>0</v>
      </c>
      <c r="Q487" s="147">
        <v>0</v>
      </c>
      <c r="R487" s="149">
        <v>559300</v>
      </c>
      <c r="S4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7" s="150">
        <f ca="1">+IF(PROVEEDORES[[#This Row],[FECHA DE PAGO]]=0,TODAY()-PROVEEDORES[[#This Row],[FECHA DE FACTURACIÓN]]-PROVEEDORES[[#This Row],[PLAZO Días]],0)</f>
        <v>0</v>
      </c>
      <c r="U487" s="150">
        <f>+VLOOKUP(PROVEEDORES[[#This Row],[PROVEEDOR]],Terceros!$A:$E,4,FALSE)</f>
        <v>0.19</v>
      </c>
      <c r="V487" s="150">
        <f>+YEAR(PROVEEDORES[[#This Row],[FECHA DE FACTURACIÓN]])</f>
        <v>2023</v>
      </c>
      <c r="W487" s="150">
        <f>+MATCH(PROVEEDORES[[#This Row],[año facturado]],Retenciones!$1:$1,0)</f>
        <v>6</v>
      </c>
      <c r="X487" s="151" t="e">
        <f>+VLOOKUP(PROVEEDORES[[#This Row],[ID RETENCION]],Retenciones!$A$1:$O$25,PROVEEDORES[[#This Row],[indicador de columna]],FALSE)</f>
        <v>#N/A</v>
      </c>
      <c r="Y487" s="152" t="e">
        <f>+VLOOKUP(PROVEEDORES[[#This Row],[ID RETENCION]],Retenciones!$A$1:$O$25,2,FALSE)</f>
        <v>#N/A</v>
      </c>
      <c r="Z487" s="153" t="b">
        <f>+OR(COUNTIF(PROVEEDORES[[#This Row],[PROVEEDOR]],"*"&amp;'Palabra que no opera y Listas d'!$A$2&amp;"*"))</f>
        <v>0</v>
      </c>
    </row>
    <row r="488" spans="1:26" ht="27.75" customHeight="1" x14ac:dyDescent="0.3">
      <c r="A488" s="144" t="str">
        <f>+IF(PROVEEDORES[[#This Row],[FECHA DE PAGO]]=PROVEEDORES[[#This Row],[FECHA DE FACTURACIÓN]],"DE CONTADO","CRÉDITO")</f>
        <v>CRÉDITO</v>
      </c>
      <c r="B488" s="144" t="str">
        <f>+IF((PROVEEDORES[[#This Row],[FECHA DE PAGO]]-PROVEEDORES[[#This Row],[FECHA DE FACTURACIÓN]])&gt;PROVEEDORES[[#This Row],[PLAZO Días]],"PAGO VENCIDO")</f>
        <v>PAGO VENCIDO</v>
      </c>
      <c r="C488" s="144">
        <f>+VLOOKUP(PROVEEDORES[[#This Row],[PROVEEDOR]],TERCEROS_INFO[#All],2,FALSE)</f>
        <v>0</v>
      </c>
      <c r="D488" s="145">
        <f>+SUMIFS(PROVEEDORES[Total],PROVEEDORES[PROVEEDOR],PROVEEDORES[[#This Row],[PROVEEDOR]],PROVEEDORES[FECHA DE PAGO],"")</f>
        <v>5813868.5099999998</v>
      </c>
      <c r="E488" s="146"/>
      <c r="F488" s="144" t="str">
        <f>+VLOOKUP(PROVEEDORES[[#This Row],[PROVEEDOR]],
                       Terceros!$A:$G,
                       5,
                       FALSE)</f>
        <v>2,5% con base</v>
      </c>
      <c r="G488" s="122">
        <v>45128</v>
      </c>
      <c r="H488" s="102" t="s">
        <v>23</v>
      </c>
      <c r="I488" s="122">
        <v>45085</v>
      </c>
      <c r="J488" s="103">
        <v>41939</v>
      </c>
      <c r="K488" s="103" t="s">
        <v>516</v>
      </c>
      <c r="L488" s="103"/>
      <c r="M488" s="105">
        <v>2926800</v>
      </c>
      <c r="N488" s="147">
        <v>556092</v>
      </c>
      <c r="O488" s="147">
        <v>0</v>
      </c>
      <c r="P488" s="148">
        <v>2.5000000000000001E-2</v>
      </c>
      <c r="Q488" s="147">
        <v>73170</v>
      </c>
      <c r="R488" s="149">
        <v>3409722</v>
      </c>
      <c r="S4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8" s="150">
        <f ca="1">+IF(PROVEEDORES[[#This Row],[FECHA DE PAGO]]=0,TODAY()-PROVEEDORES[[#This Row],[FECHA DE FACTURACIÓN]]-PROVEEDORES[[#This Row],[PLAZO Días]],0)</f>
        <v>0</v>
      </c>
      <c r="U488" s="150">
        <f>+VLOOKUP(PROVEEDORES[[#This Row],[PROVEEDOR]],Terceros!$A:$E,4,FALSE)</f>
        <v>0.19</v>
      </c>
      <c r="V488" s="150">
        <f>+YEAR(PROVEEDORES[[#This Row],[FECHA DE FACTURACIÓN]])</f>
        <v>2023</v>
      </c>
      <c r="W488" s="150">
        <f>+MATCH(PROVEEDORES[[#This Row],[año facturado]],Retenciones!$1:$1,0)</f>
        <v>6</v>
      </c>
      <c r="X488" s="151" t="e">
        <f>+VLOOKUP(PROVEEDORES[[#This Row],[ID RETENCION]],Retenciones!$A$1:$O$25,PROVEEDORES[[#This Row],[indicador de columna]],FALSE)</f>
        <v>#N/A</v>
      </c>
      <c r="Y488" s="152" t="e">
        <f>+VLOOKUP(PROVEEDORES[[#This Row],[ID RETENCION]],Retenciones!$A$1:$O$25,2,FALSE)</f>
        <v>#N/A</v>
      </c>
      <c r="Z488" s="153" t="b">
        <f>+OR(COUNTIF(PROVEEDORES[[#This Row],[PROVEEDOR]],"*"&amp;'Palabra que no opera y Listas d'!$A$2&amp;"*"))</f>
        <v>0</v>
      </c>
    </row>
    <row r="489" spans="1:26" ht="27.75" customHeight="1" x14ac:dyDescent="0.3">
      <c r="A489" s="144" t="str">
        <f>+IF(PROVEEDORES[[#This Row],[FECHA DE PAGO]]=PROVEEDORES[[#This Row],[FECHA DE FACTURACIÓN]],"DE CONTADO","CRÉDITO")</f>
        <v>CRÉDITO</v>
      </c>
      <c r="B489" s="144" t="str">
        <f>+IF((PROVEEDORES[[#This Row],[FECHA DE PAGO]]-PROVEEDORES[[#This Row],[FECHA DE FACTURACIÓN]])&gt;PROVEEDORES[[#This Row],[PLAZO Días]],"PAGO VENCIDO")</f>
        <v>PAGO VENCIDO</v>
      </c>
      <c r="C489" s="144">
        <f>+VLOOKUP(PROVEEDORES[[#This Row],[PROVEEDOR]],TERCEROS_INFO[#All],2,FALSE)</f>
        <v>0</v>
      </c>
      <c r="D489" s="145">
        <f>+SUMIFS(PROVEEDORES[Total],PROVEEDORES[PROVEEDOR],PROVEEDORES[[#This Row],[PROVEEDOR]],PROVEEDORES[FECHA DE PAGO],"")</f>
        <v>5813868.5099999998</v>
      </c>
      <c r="E489" s="146"/>
      <c r="F489" s="144" t="str">
        <f>+VLOOKUP(PROVEEDORES[[#This Row],[PROVEEDOR]],
                       Terceros!$A:$G,
                       5,
                       FALSE)</f>
        <v>2,5% con base</v>
      </c>
      <c r="G489" s="122">
        <v>45128</v>
      </c>
      <c r="H489" s="102" t="s">
        <v>23</v>
      </c>
      <c r="I489" s="122">
        <v>45090</v>
      </c>
      <c r="J489" s="103">
        <v>5041942</v>
      </c>
      <c r="K489" s="103" t="s">
        <v>516</v>
      </c>
      <c r="L489" s="103"/>
      <c r="M489" s="105">
        <v>4904750</v>
      </c>
      <c r="N489" s="147">
        <v>931902.5</v>
      </c>
      <c r="O489" s="147">
        <v>0</v>
      </c>
      <c r="P489" s="148">
        <v>2.5000000000000001E-2</v>
      </c>
      <c r="Q489" s="147">
        <v>122618.75</v>
      </c>
      <c r="R489" s="149">
        <v>5714033.75</v>
      </c>
      <c r="S4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9" s="150">
        <f ca="1">+IF(PROVEEDORES[[#This Row],[FECHA DE PAGO]]=0,TODAY()-PROVEEDORES[[#This Row],[FECHA DE FACTURACIÓN]]-PROVEEDORES[[#This Row],[PLAZO Días]],0)</f>
        <v>0</v>
      </c>
      <c r="U489" s="150">
        <f>+VLOOKUP(PROVEEDORES[[#This Row],[PROVEEDOR]],Terceros!$A:$E,4,FALSE)</f>
        <v>0.19</v>
      </c>
      <c r="V489" s="150">
        <f>+YEAR(PROVEEDORES[[#This Row],[FECHA DE FACTURACIÓN]])</f>
        <v>2023</v>
      </c>
      <c r="W489" s="150">
        <f>+MATCH(PROVEEDORES[[#This Row],[año facturado]],Retenciones!$1:$1,0)</f>
        <v>6</v>
      </c>
      <c r="X489" s="151" t="e">
        <f>+VLOOKUP(PROVEEDORES[[#This Row],[ID RETENCION]],Retenciones!$A$1:$O$25,PROVEEDORES[[#This Row],[indicador de columna]],FALSE)</f>
        <v>#N/A</v>
      </c>
      <c r="Y489" s="152" t="e">
        <f>+VLOOKUP(PROVEEDORES[[#This Row],[ID RETENCION]],Retenciones!$A$1:$O$25,2,FALSE)</f>
        <v>#N/A</v>
      </c>
      <c r="Z489" s="153" t="b">
        <f>+OR(COUNTIF(PROVEEDORES[[#This Row],[PROVEEDOR]],"*"&amp;'Palabra que no opera y Listas d'!$A$2&amp;"*"))</f>
        <v>0</v>
      </c>
    </row>
    <row r="490" spans="1:26" ht="27.75" customHeight="1" x14ac:dyDescent="0.3">
      <c r="A490" s="144" t="str">
        <f>+IF(PROVEEDORES[[#This Row],[FECHA DE PAGO]]=PROVEEDORES[[#This Row],[FECHA DE FACTURACIÓN]],"DE CONTADO","CRÉDITO")</f>
        <v>CRÉDITO</v>
      </c>
      <c r="B490" s="144" t="str">
        <f>+IF((PROVEEDORES[[#This Row],[FECHA DE PAGO]]-PROVEEDORES[[#This Row],[FECHA DE FACTURACIÓN]])&gt;PROVEEDORES[[#This Row],[PLAZO Días]],"PAGO VENCIDO")</f>
        <v>PAGO VENCIDO</v>
      </c>
      <c r="C490" s="144">
        <f>+VLOOKUP(PROVEEDORES[[#This Row],[PROVEEDOR]],TERCEROS_INFO[#All],2,FALSE)</f>
        <v>0</v>
      </c>
      <c r="D490" s="145">
        <f>+SUMIFS(PROVEEDORES[Total],PROVEEDORES[PROVEEDOR],PROVEEDORES[[#This Row],[PROVEEDOR]],PROVEEDORES[FECHA DE PAGO],"")</f>
        <v>9343197</v>
      </c>
      <c r="E490" s="146"/>
      <c r="F490" s="144" t="str">
        <f>+VLOOKUP(PROVEEDORES[[#This Row],[PROVEEDOR]],
                       Terceros!$A:$G,
                       5,
                       FALSE)</f>
        <v>2,5% con base</v>
      </c>
      <c r="G490" s="122">
        <v>45128</v>
      </c>
      <c r="H490" s="102" t="s">
        <v>466</v>
      </c>
      <c r="I490" s="122">
        <v>45090</v>
      </c>
      <c r="J490" s="103" t="s">
        <v>860</v>
      </c>
      <c r="K490" s="103" t="s">
        <v>1512</v>
      </c>
      <c r="L490" s="103"/>
      <c r="M490" s="105">
        <v>2058355</v>
      </c>
      <c r="N490" s="147">
        <v>391087.45</v>
      </c>
      <c r="O490" s="147">
        <v>0</v>
      </c>
      <c r="P490" s="148">
        <v>2.5000000000000001E-2</v>
      </c>
      <c r="Q490" s="147">
        <v>51458.875</v>
      </c>
      <c r="R490" s="149">
        <v>2397983.5750000002</v>
      </c>
      <c r="S4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0" s="150">
        <f ca="1">+IF(PROVEEDORES[[#This Row],[FECHA DE PAGO]]=0,TODAY()-PROVEEDORES[[#This Row],[FECHA DE FACTURACIÓN]]-PROVEEDORES[[#This Row],[PLAZO Días]],0)</f>
        <v>0</v>
      </c>
      <c r="U490" s="150">
        <f>+VLOOKUP(PROVEEDORES[[#This Row],[PROVEEDOR]],Terceros!$A:$E,4,FALSE)</f>
        <v>0.19</v>
      </c>
      <c r="V490" s="150">
        <f>+YEAR(PROVEEDORES[[#This Row],[FECHA DE FACTURACIÓN]])</f>
        <v>2023</v>
      </c>
      <c r="W490" s="150">
        <f>+MATCH(PROVEEDORES[[#This Row],[año facturado]],Retenciones!$1:$1,0)</f>
        <v>6</v>
      </c>
      <c r="X490" s="151" t="e">
        <f>+VLOOKUP(PROVEEDORES[[#This Row],[ID RETENCION]],Retenciones!$A$1:$O$25,PROVEEDORES[[#This Row],[indicador de columna]],FALSE)</f>
        <v>#N/A</v>
      </c>
      <c r="Y490" s="152" t="e">
        <f>+VLOOKUP(PROVEEDORES[[#This Row],[ID RETENCION]],Retenciones!$A$1:$O$25,2,FALSE)</f>
        <v>#N/A</v>
      </c>
      <c r="Z490" s="153" t="b">
        <f>+OR(COUNTIF(PROVEEDORES[[#This Row],[PROVEEDOR]],"*"&amp;'Palabra que no opera y Listas d'!$A$2&amp;"*"))</f>
        <v>0</v>
      </c>
    </row>
    <row r="491" spans="1:26" ht="27.75" customHeight="1" x14ac:dyDescent="0.3">
      <c r="A491" s="144" t="str">
        <f>+IF(PROVEEDORES[[#This Row],[FECHA DE PAGO]]=PROVEEDORES[[#This Row],[FECHA DE FACTURACIÓN]],"DE CONTADO","CRÉDITO")</f>
        <v>CRÉDITO</v>
      </c>
      <c r="B491" s="144" t="str">
        <f>+IF((PROVEEDORES[[#This Row],[FECHA DE PAGO]]-PROVEEDORES[[#This Row],[FECHA DE FACTURACIÓN]])&gt;PROVEEDORES[[#This Row],[PLAZO Días]],"PAGO VENCIDO")</f>
        <v>PAGO VENCIDO</v>
      </c>
      <c r="C491" s="144">
        <f>+VLOOKUP(PROVEEDORES[[#This Row],[PROVEEDOR]],TERCEROS_INFO[#All],2,FALSE)</f>
        <v>0</v>
      </c>
      <c r="D491" s="145">
        <f>+SUMIFS(PROVEEDORES[Total],PROVEEDORES[PROVEEDOR],PROVEEDORES[[#This Row],[PROVEEDOR]],PROVEEDORES[FECHA DE PAGO],"")</f>
        <v>31839627.134999998</v>
      </c>
      <c r="E491" s="146"/>
      <c r="F491" s="144" t="str">
        <f>+VLOOKUP(PROVEEDORES[[#This Row],[PROVEEDOR]],
                       Terceros!$A:$G,
                       5,
                       FALSE)</f>
        <v>2,5% con base</v>
      </c>
      <c r="G491" s="122">
        <v>45128</v>
      </c>
      <c r="H491" s="102" t="s">
        <v>17</v>
      </c>
      <c r="I491" s="122">
        <v>45093</v>
      </c>
      <c r="J491" s="103" t="s">
        <v>864</v>
      </c>
      <c r="K491" s="103" t="s">
        <v>1512</v>
      </c>
      <c r="L491" s="103"/>
      <c r="M491" s="105">
        <v>2002181</v>
      </c>
      <c r="N491" s="147">
        <v>380414.39</v>
      </c>
      <c r="O491" s="147">
        <v>0</v>
      </c>
      <c r="P491" s="148">
        <v>2.5000000000000001E-2</v>
      </c>
      <c r="Q491" s="147">
        <v>50054.525000000001</v>
      </c>
      <c r="R491" s="149">
        <v>2332540.8650000002</v>
      </c>
      <c r="S4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1" s="150">
        <f ca="1">+IF(PROVEEDORES[[#This Row],[FECHA DE PAGO]]=0,TODAY()-PROVEEDORES[[#This Row],[FECHA DE FACTURACIÓN]]-PROVEEDORES[[#This Row],[PLAZO Días]],0)</f>
        <v>0</v>
      </c>
      <c r="U491" s="150">
        <f>+VLOOKUP(PROVEEDORES[[#This Row],[PROVEEDOR]],Terceros!$A:$E,4,FALSE)</f>
        <v>0.19</v>
      </c>
      <c r="V491" s="150">
        <f>+YEAR(PROVEEDORES[[#This Row],[FECHA DE FACTURACIÓN]])</f>
        <v>2023</v>
      </c>
      <c r="W491" s="150">
        <f>+MATCH(PROVEEDORES[[#This Row],[año facturado]],Retenciones!$1:$1,0)</f>
        <v>6</v>
      </c>
      <c r="X491" s="151" t="e">
        <f>+VLOOKUP(PROVEEDORES[[#This Row],[ID RETENCION]],Retenciones!$A$1:$O$25,PROVEEDORES[[#This Row],[indicador de columna]],FALSE)</f>
        <v>#N/A</v>
      </c>
      <c r="Y491" s="152" t="e">
        <f>+VLOOKUP(PROVEEDORES[[#This Row],[ID RETENCION]],Retenciones!$A$1:$O$25,2,FALSE)</f>
        <v>#N/A</v>
      </c>
      <c r="Z491" s="153" t="b">
        <f>+OR(COUNTIF(PROVEEDORES[[#This Row],[PROVEEDOR]],"*"&amp;'Palabra que no opera y Listas d'!$A$2&amp;"*"))</f>
        <v>0</v>
      </c>
    </row>
    <row r="492" spans="1:26" ht="27.75" customHeight="1" x14ac:dyDescent="0.3">
      <c r="A492" s="144" t="str">
        <f>+IF(PROVEEDORES[[#This Row],[FECHA DE PAGO]]=PROVEEDORES[[#This Row],[FECHA DE FACTURACIÓN]],"DE CONTADO","CRÉDITO")</f>
        <v>CRÉDITO</v>
      </c>
      <c r="B492" s="144" t="str">
        <f>+IF((PROVEEDORES[[#This Row],[FECHA DE PAGO]]-PROVEEDORES[[#This Row],[FECHA DE FACTURACIÓN]])&gt;PROVEEDORES[[#This Row],[PLAZO Días]],"PAGO VENCIDO")</f>
        <v>PAGO VENCIDO</v>
      </c>
      <c r="C492" s="144">
        <f>+VLOOKUP(PROVEEDORES[[#This Row],[PROVEEDOR]],TERCEROS_INFO[#All],2,FALSE)</f>
        <v>0</v>
      </c>
      <c r="D492" s="145">
        <f>+SUMIFS(PROVEEDORES[Total],PROVEEDORES[PROVEEDOR],PROVEEDORES[[#This Row],[PROVEEDOR]],PROVEEDORES[FECHA DE PAGO],"")</f>
        <v>9343197</v>
      </c>
      <c r="E492" s="146"/>
      <c r="F492" s="144" t="str">
        <f>+VLOOKUP(PROVEEDORES[[#This Row],[PROVEEDOR]],
                       Terceros!$A:$G,
                       5,
                       FALSE)</f>
        <v>2,5% con base</v>
      </c>
      <c r="G492" s="122">
        <v>45128</v>
      </c>
      <c r="H492" s="102" t="s">
        <v>466</v>
      </c>
      <c r="I492" s="122">
        <v>45093</v>
      </c>
      <c r="J492" s="103" t="s">
        <v>861</v>
      </c>
      <c r="K492" s="103" t="s">
        <v>1512</v>
      </c>
      <c r="L492" s="103"/>
      <c r="M492" s="105">
        <v>1260000</v>
      </c>
      <c r="N492" s="147">
        <v>239400</v>
      </c>
      <c r="O492" s="147">
        <v>0</v>
      </c>
      <c r="P492" s="148">
        <v>2.5000000000000001E-2</v>
      </c>
      <c r="Q492" s="147">
        <v>31500</v>
      </c>
      <c r="R492" s="149">
        <v>1467900</v>
      </c>
      <c r="S4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2" s="150">
        <f ca="1">+IF(PROVEEDORES[[#This Row],[FECHA DE PAGO]]=0,TODAY()-PROVEEDORES[[#This Row],[FECHA DE FACTURACIÓN]]-PROVEEDORES[[#This Row],[PLAZO Días]],0)</f>
        <v>0</v>
      </c>
      <c r="U492" s="150">
        <f>+VLOOKUP(PROVEEDORES[[#This Row],[PROVEEDOR]],Terceros!$A:$E,4,FALSE)</f>
        <v>0.19</v>
      </c>
      <c r="V492" s="150">
        <f>+YEAR(PROVEEDORES[[#This Row],[FECHA DE FACTURACIÓN]])</f>
        <v>2023</v>
      </c>
      <c r="W492" s="150">
        <f>+MATCH(PROVEEDORES[[#This Row],[año facturado]],Retenciones!$1:$1,0)</f>
        <v>6</v>
      </c>
      <c r="X492" s="151" t="e">
        <f>+VLOOKUP(PROVEEDORES[[#This Row],[ID RETENCION]],Retenciones!$A$1:$O$25,PROVEEDORES[[#This Row],[indicador de columna]],FALSE)</f>
        <v>#N/A</v>
      </c>
      <c r="Y492" s="152" t="e">
        <f>+VLOOKUP(PROVEEDORES[[#This Row],[ID RETENCION]],Retenciones!$A$1:$O$25,2,FALSE)</f>
        <v>#N/A</v>
      </c>
      <c r="Z492" s="153" t="b">
        <f>+OR(COUNTIF(PROVEEDORES[[#This Row],[PROVEEDOR]],"*"&amp;'Palabra que no opera y Listas d'!$A$2&amp;"*"))</f>
        <v>0</v>
      </c>
    </row>
    <row r="493" spans="1:26" ht="27.75" customHeight="1" x14ac:dyDescent="0.3">
      <c r="A493" s="144" t="str">
        <f>+IF(PROVEEDORES[[#This Row],[FECHA DE PAGO]]=PROVEEDORES[[#This Row],[FECHA DE FACTURACIÓN]],"DE CONTADO","CRÉDITO")</f>
        <v>CRÉDITO</v>
      </c>
      <c r="B493" s="144" t="str">
        <f>+IF((PROVEEDORES[[#This Row],[FECHA DE PAGO]]-PROVEEDORES[[#This Row],[FECHA DE FACTURACIÓN]])&gt;PROVEEDORES[[#This Row],[PLAZO Días]],"PAGO VENCIDO")</f>
        <v>PAGO VENCIDO</v>
      </c>
      <c r="C493" s="144">
        <f>+VLOOKUP(PROVEEDORES[[#This Row],[PROVEEDOR]],TERCEROS_INFO[#All],2,FALSE)</f>
        <v>0</v>
      </c>
      <c r="D493" s="145">
        <f>+SUMIFS(PROVEEDORES[Total],PROVEEDORES[PROVEEDOR],PROVEEDORES[[#This Row],[PROVEEDOR]],PROVEEDORES[FECHA DE PAGO],"")</f>
        <v>9343197</v>
      </c>
      <c r="E493" s="146"/>
      <c r="F493" s="144" t="str">
        <f>+VLOOKUP(PROVEEDORES[[#This Row],[PROVEEDOR]],
                       Terceros!$A:$G,
                       5,
                       FALSE)</f>
        <v>2,5% con base</v>
      </c>
      <c r="G493" s="122">
        <v>45128</v>
      </c>
      <c r="H493" s="102" t="s">
        <v>466</v>
      </c>
      <c r="I493" s="122">
        <v>45093</v>
      </c>
      <c r="J493" s="103" t="s">
        <v>862</v>
      </c>
      <c r="K493" s="103" t="s">
        <v>1512</v>
      </c>
      <c r="L493" s="103"/>
      <c r="M493" s="105">
        <v>776000</v>
      </c>
      <c r="N493" s="147">
        <v>147440</v>
      </c>
      <c r="O493" s="147">
        <v>0</v>
      </c>
      <c r="P493" s="148">
        <v>0</v>
      </c>
      <c r="Q493" s="147">
        <v>0</v>
      </c>
      <c r="R493" s="149">
        <v>923440</v>
      </c>
      <c r="S4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3" s="150">
        <f ca="1">+IF(PROVEEDORES[[#This Row],[FECHA DE PAGO]]=0,TODAY()-PROVEEDORES[[#This Row],[FECHA DE FACTURACIÓN]]-PROVEEDORES[[#This Row],[PLAZO Días]],0)</f>
        <v>0</v>
      </c>
      <c r="U493" s="150">
        <f>+VLOOKUP(PROVEEDORES[[#This Row],[PROVEEDOR]],Terceros!$A:$E,4,FALSE)</f>
        <v>0.19</v>
      </c>
      <c r="V493" s="150">
        <f>+YEAR(PROVEEDORES[[#This Row],[FECHA DE FACTURACIÓN]])</f>
        <v>2023</v>
      </c>
      <c r="W493" s="150">
        <f>+MATCH(PROVEEDORES[[#This Row],[año facturado]],Retenciones!$1:$1,0)</f>
        <v>6</v>
      </c>
      <c r="X493" s="151" t="e">
        <f>+VLOOKUP(PROVEEDORES[[#This Row],[ID RETENCION]],Retenciones!$A$1:$O$25,PROVEEDORES[[#This Row],[indicador de columna]],FALSE)</f>
        <v>#N/A</v>
      </c>
      <c r="Y493" s="152" t="e">
        <f>+VLOOKUP(PROVEEDORES[[#This Row],[ID RETENCION]],Retenciones!$A$1:$O$25,2,FALSE)</f>
        <v>#N/A</v>
      </c>
      <c r="Z493" s="153" t="b">
        <f>+OR(COUNTIF(PROVEEDORES[[#This Row],[PROVEEDOR]],"*"&amp;'Palabra que no opera y Listas d'!$A$2&amp;"*"))</f>
        <v>0</v>
      </c>
    </row>
    <row r="494" spans="1:26" ht="27.75" customHeight="1" x14ac:dyDescent="0.3">
      <c r="A494" s="144" t="str">
        <f>+IF(PROVEEDORES[[#This Row],[FECHA DE PAGO]]=PROVEEDORES[[#This Row],[FECHA DE FACTURACIÓN]],"DE CONTADO","CRÉDITO")</f>
        <v>CRÉDITO</v>
      </c>
      <c r="B494" s="144" t="str">
        <f>+IF((PROVEEDORES[[#This Row],[FECHA DE PAGO]]-PROVEEDORES[[#This Row],[FECHA DE FACTURACIÓN]])&gt;PROVEEDORES[[#This Row],[PLAZO Días]],"PAGO VENCIDO")</f>
        <v>PAGO VENCIDO</v>
      </c>
      <c r="C494" s="144">
        <f>+VLOOKUP(PROVEEDORES[[#This Row],[PROVEEDOR]],TERCEROS_INFO[#All],2,FALSE)</f>
        <v>0</v>
      </c>
      <c r="D494" s="145">
        <f>+SUMIFS(PROVEEDORES[Total],PROVEEDORES[PROVEEDOR],PROVEEDORES[[#This Row],[PROVEEDOR]],PROVEEDORES[FECHA DE PAGO],"")</f>
        <v>9343197</v>
      </c>
      <c r="E494" s="146"/>
      <c r="F494" s="144" t="str">
        <f>+VLOOKUP(PROVEEDORES[[#This Row],[PROVEEDOR]],
                       Terceros!$A:$G,
                       5,
                       FALSE)</f>
        <v>2,5% con base</v>
      </c>
      <c r="G494" s="122">
        <v>45128</v>
      </c>
      <c r="H494" s="102" t="s">
        <v>466</v>
      </c>
      <c r="I494" s="122">
        <v>45100</v>
      </c>
      <c r="J494" s="103" t="s">
        <v>889</v>
      </c>
      <c r="K494" s="103" t="s">
        <v>1512</v>
      </c>
      <c r="L494" s="103"/>
      <c r="M494" s="105">
        <v>252000</v>
      </c>
      <c r="N494" s="147">
        <v>47880</v>
      </c>
      <c r="O494" s="147">
        <v>0</v>
      </c>
      <c r="P494" s="148">
        <v>0</v>
      </c>
      <c r="Q494" s="147">
        <v>0</v>
      </c>
      <c r="R494" s="149">
        <v>299880</v>
      </c>
      <c r="S4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4" s="150">
        <f ca="1">+IF(PROVEEDORES[[#This Row],[FECHA DE PAGO]]=0,TODAY()-PROVEEDORES[[#This Row],[FECHA DE FACTURACIÓN]]-PROVEEDORES[[#This Row],[PLAZO Días]],0)</f>
        <v>0</v>
      </c>
      <c r="U494" s="150">
        <f>+VLOOKUP(PROVEEDORES[[#This Row],[PROVEEDOR]],Terceros!$A:$E,4,FALSE)</f>
        <v>0.19</v>
      </c>
      <c r="V494" s="150">
        <f>+YEAR(PROVEEDORES[[#This Row],[FECHA DE FACTURACIÓN]])</f>
        <v>2023</v>
      </c>
      <c r="W494" s="150">
        <f>+MATCH(PROVEEDORES[[#This Row],[año facturado]],Retenciones!$1:$1,0)</f>
        <v>6</v>
      </c>
      <c r="X494" s="151" t="e">
        <f>+VLOOKUP(PROVEEDORES[[#This Row],[ID RETENCION]],Retenciones!$A$1:$O$25,PROVEEDORES[[#This Row],[indicador de columna]],FALSE)</f>
        <v>#N/A</v>
      </c>
      <c r="Y494" s="152" t="e">
        <f>+VLOOKUP(PROVEEDORES[[#This Row],[ID RETENCION]],Retenciones!$A$1:$O$25,2,FALSE)</f>
        <v>#N/A</v>
      </c>
      <c r="Z494" s="153" t="b">
        <f>+OR(COUNTIF(PROVEEDORES[[#This Row],[PROVEEDOR]],"*"&amp;'Palabra que no opera y Listas d'!$A$2&amp;"*"))</f>
        <v>0</v>
      </c>
    </row>
    <row r="495" spans="1:26" ht="27.75" customHeight="1" x14ac:dyDescent="0.3">
      <c r="A495" s="144" t="str">
        <f>+IF(PROVEEDORES[[#This Row],[FECHA DE PAGO]]=PROVEEDORES[[#This Row],[FECHA DE FACTURACIÓN]],"DE CONTADO","CRÉDITO")</f>
        <v>CRÉDITO</v>
      </c>
      <c r="B495" s="144" t="str">
        <f>+IF((PROVEEDORES[[#This Row],[FECHA DE PAGO]]-PROVEEDORES[[#This Row],[FECHA DE FACTURACIÓN]])&gt;PROVEEDORES[[#This Row],[PLAZO Días]],"PAGO VENCIDO")</f>
        <v>PAGO VENCIDO</v>
      </c>
      <c r="C495" s="144">
        <f>+VLOOKUP(PROVEEDORES[[#This Row],[PROVEEDOR]],TERCEROS_INFO[#All],2,FALSE)</f>
        <v>0</v>
      </c>
      <c r="D495" s="145">
        <f>+SUMIFS(PROVEEDORES[Total],PROVEEDORES[PROVEEDOR],PROVEEDORES[[#This Row],[PROVEEDOR]],PROVEEDORES[FECHA DE PAGO],"")</f>
        <v>0</v>
      </c>
      <c r="E495" s="146"/>
      <c r="F495" s="144" t="str">
        <f>+VLOOKUP(PROVEEDORES[[#This Row],[PROVEEDOR]],
                       Terceros!$A:$G,
                       5,
                       FALSE)</f>
        <v>2,5% con base</v>
      </c>
      <c r="G495" s="122">
        <v>45128</v>
      </c>
      <c r="H495" s="102" t="s">
        <v>222</v>
      </c>
      <c r="I495" s="122">
        <v>45126</v>
      </c>
      <c r="J495" s="103" t="s">
        <v>904</v>
      </c>
      <c r="K495" s="103" t="s">
        <v>1512</v>
      </c>
      <c r="L495" s="103"/>
      <c r="M495" s="105">
        <v>2030000</v>
      </c>
      <c r="N495" s="147">
        <v>385700</v>
      </c>
      <c r="O495" s="147">
        <v>0</v>
      </c>
      <c r="P495" s="148">
        <v>2.5000000000000001E-2</v>
      </c>
      <c r="Q495" s="147">
        <v>50750</v>
      </c>
      <c r="R495" s="149">
        <v>2364950</v>
      </c>
      <c r="S4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5" s="150">
        <f ca="1">+IF(PROVEEDORES[[#This Row],[FECHA DE PAGO]]=0,TODAY()-PROVEEDORES[[#This Row],[FECHA DE FACTURACIÓN]]-PROVEEDORES[[#This Row],[PLAZO Días]],0)</f>
        <v>0</v>
      </c>
      <c r="U495" s="150">
        <f>+VLOOKUP(PROVEEDORES[[#This Row],[PROVEEDOR]],Terceros!$A:$E,4,FALSE)</f>
        <v>0.19</v>
      </c>
      <c r="V495" s="150">
        <f>+YEAR(PROVEEDORES[[#This Row],[FECHA DE FACTURACIÓN]])</f>
        <v>2023</v>
      </c>
      <c r="W495" s="150">
        <f>+MATCH(PROVEEDORES[[#This Row],[año facturado]],Retenciones!$1:$1,0)</f>
        <v>6</v>
      </c>
      <c r="X495" s="151" t="e">
        <f>+VLOOKUP(PROVEEDORES[[#This Row],[ID RETENCION]],Retenciones!$A$1:$O$25,PROVEEDORES[[#This Row],[indicador de columna]],FALSE)</f>
        <v>#N/A</v>
      </c>
      <c r="Y495" s="152" t="e">
        <f>+VLOOKUP(PROVEEDORES[[#This Row],[ID RETENCION]],Retenciones!$A$1:$O$25,2,FALSE)</f>
        <v>#N/A</v>
      </c>
      <c r="Z495" s="153" t="b">
        <f>+OR(COUNTIF(PROVEEDORES[[#This Row],[PROVEEDOR]],"*"&amp;'Palabra que no opera y Listas d'!$A$2&amp;"*"))</f>
        <v>0</v>
      </c>
    </row>
    <row r="496" spans="1:26" ht="27.75" customHeight="1" x14ac:dyDescent="0.3">
      <c r="A496" s="144" t="str">
        <f>+IF(PROVEEDORES[[#This Row],[FECHA DE PAGO]]=PROVEEDORES[[#This Row],[FECHA DE FACTURACIÓN]],"DE CONTADO","CRÉDITO")</f>
        <v>DE CONTADO</v>
      </c>
      <c r="B496" s="144" t="b">
        <f>+IF((PROVEEDORES[[#This Row],[FECHA DE PAGO]]-PROVEEDORES[[#This Row],[FECHA DE FACTURACIÓN]])&gt;PROVEEDORES[[#This Row],[PLAZO Días]],"PAGO VENCIDO")</f>
        <v>0</v>
      </c>
      <c r="C496" s="144">
        <f>+VLOOKUP(PROVEEDORES[[#This Row],[PROVEEDOR]],TERCEROS_INFO[#All],2,FALSE)</f>
        <v>0</v>
      </c>
      <c r="D496" s="145">
        <f>+SUMIFS(PROVEEDORES[Total],PROVEEDORES[PROVEEDOR],PROVEEDORES[[#This Row],[PROVEEDOR]],PROVEEDORES[FECHA DE PAGO],"")</f>
        <v>0</v>
      </c>
      <c r="E496" s="146"/>
      <c r="F496" s="144">
        <f>+VLOOKUP(PROVEEDORES[[#This Row],[PROVEEDOR]],
                       Terceros!$A:$G,
                       5,
                       FALSE)</f>
        <v>0</v>
      </c>
      <c r="G496" s="122">
        <v>45128</v>
      </c>
      <c r="H496" s="102" t="s">
        <v>1789</v>
      </c>
      <c r="I496" s="122">
        <v>45128</v>
      </c>
      <c r="J496" s="103" t="s">
        <v>951</v>
      </c>
      <c r="K496" s="103" t="s">
        <v>1512</v>
      </c>
      <c r="L496" s="103"/>
      <c r="M496" s="105">
        <v>263800</v>
      </c>
      <c r="N496" s="147">
        <v>0</v>
      </c>
      <c r="O496" s="147">
        <v>0</v>
      </c>
      <c r="P496" s="148">
        <v>0</v>
      </c>
      <c r="Q496" s="147">
        <v>0</v>
      </c>
      <c r="R496" s="149">
        <v>263800</v>
      </c>
      <c r="S4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6" s="150">
        <f ca="1">+IF(PROVEEDORES[[#This Row],[FECHA DE PAGO]]=0,TODAY()-PROVEEDORES[[#This Row],[FECHA DE FACTURACIÓN]]-PROVEEDORES[[#This Row],[PLAZO Días]],0)</f>
        <v>0</v>
      </c>
      <c r="U496" s="150">
        <f>+VLOOKUP(PROVEEDORES[[#This Row],[PROVEEDOR]],Terceros!$A:$E,4,FALSE)</f>
        <v>0</v>
      </c>
      <c r="V496" s="150">
        <f>+YEAR(PROVEEDORES[[#This Row],[FECHA DE FACTURACIÓN]])</f>
        <v>2023</v>
      </c>
      <c r="W496" s="150">
        <f>+MATCH(PROVEEDORES[[#This Row],[año facturado]],Retenciones!$1:$1,0)</f>
        <v>6</v>
      </c>
      <c r="X496" s="151">
        <f>+VLOOKUP(PROVEEDORES[[#This Row],[ID RETENCION]],Retenciones!$A$1:$O$25,PROVEEDORES[[#This Row],[indicador de columna]],FALSE)</f>
        <v>0</v>
      </c>
      <c r="Y496" s="152">
        <f>+VLOOKUP(PROVEEDORES[[#This Row],[ID RETENCION]],Retenciones!$A$1:$O$25,2,FALSE)</f>
        <v>0</v>
      </c>
      <c r="Z496" s="153" t="b">
        <f>+OR(COUNTIF(PROVEEDORES[[#This Row],[PROVEEDOR]],"*"&amp;'Palabra que no opera y Listas d'!$A$2&amp;"*"))</f>
        <v>0</v>
      </c>
    </row>
    <row r="497" spans="1:26" ht="27.75" customHeight="1" x14ac:dyDescent="0.3">
      <c r="A497" s="144" t="str">
        <f>+IF(PROVEEDORES[[#This Row],[FECHA DE PAGO]]=PROVEEDORES[[#This Row],[FECHA DE FACTURACIÓN]],"DE CONTADO","CRÉDITO")</f>
        <v>CRÉDITO</v>
      </c>
      <c r="B497" s="144" t="str">
        <f>+IF((PROVEEDORES[[#This Row],[FECHA DE PAGO]]-PROVEEDORES[[#This Row],[FECHA DE FACTURACIÓN]])&gt;PROVEEDORES[[#This Row],[PLAZO Días]],"PAGO VENCIDO")</f>
        <v>PAGO VENCIDO</v>
      </c>
      <c r="C497" s="144">
        <f>+VLOOKUP(PROVEEDORES[[#This Row],[PROVEEDOR]],TERCEROS_INFO[#All],2,FALSE)</f>
        <v>0</v>
      </c>
      <c r="D497" s="145">
        <f>+SUMIFS(PROVEEDORES[Total],PROVEEDORES[PROVEEDOR],PROVEEDORES[[#This Row],[PROVEEDOR]],PROVEEDORES[FECHA DE PAGO],"")</f>
        <v>0</v>
      </c>
      <c r="E497" s="146"/>
      <c r="F497" s="144">
        <f>+VLOOKUP(PROVEEDORES[[#This Row],[PROVEEDOR]],
                       Terceros!$A:$G,
                       5,
                       FALSE)</f>
        <v>0</v>
      </c>
      <c r="G497" s="122">
        <v>45129</v>
      </c>
      <c r="H497" s="102" t="s">
        <v>496</v>
      </c>
      <c r="I497" s="122">
        <v>45128</v>
      </c>
      <c r="J497" s="103" t="s">
        <v>942</v>
      </c>
      <c r="K497" s="103" t="s">
        <v>1512</v>
      </c>
      <c r="L497" s="103"/>
      <c r="M497" s="105">
        <v>1600000</v>
      </c>
      <c r="N497" s="147">
        <v>0</v>
      </c>
      <c r="O497" s="147">
        <v>0</v>
      </c>
      <c r="P497" s="148">
        <v>0</v>
      </c>
      <c r="Q497" s="147">
        <v>0</v>
      </c>
      <c r="R497" s="149">
        <v>1600000</v>
      </c>
      <c r="S4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7" s="150">
        <f ca="1">+IF(PROVEEDORES[[#This Row],[FECHA DE PAGO]]=0,TODAY()-PROVEEDORES[[#This Row],[FECHA DE FACTURACIÓN]]-PROVEEDORES[[#This Row],[PLAZO Días]],0)</f>
        <v>0</v>
      </c>
      <c r="U497" s="150">
        <f>+VLOOKUP(PROVEEDORES[[#This Row],[PROVEEDOR]],Terceros!$A:$E,4,FALSE)</f>
        <v>0</v>
      </c>
      <c r="V497" s="150">
        <f>+YEAR(PROVEEDORES[[#This Row],[FECHA DE FACTURACIÓN]])</f>
        <v>2023</v>
      </c>
      <c r="W497" s="150">
        <f>+MATCH(PROVEEDORES[[#This Row],[año facturado]],Retenciones!$1:$1,0)</f>
        <v>6</v>
      </c>
      <c r="X497" s="151">
        <f>+VLOOKUP(PROVEEDORES[[#This Row],[ID RETENCION]],Retenciones!$A$1:$O$25,PROVEEDORES[[#This Row],[indicador de columna]],FALSE)</f>
        <v>0</v>
      </c>
      <c r="Y497" s="152">
        <f>+VLOOKUP(PROVEEDORES[[#This Row],[ID RETENCION]],Retenciones!$A$1:$O$25,2,FALSE)</f>
        <v>0</v>
      </c>
      <c r="Z497" s="153" t="b">
        <f>+OR(COUNTIF(PROVEEDORES[[#This Row],[PROVEEDOR]],"*"&amp;'Palabra que no opera y Listas d'!$A$2&amp;"*"))</f>
        <v>0</v>
      </c>
    </row>
    <row r="498" spans="1:26" ht="27.75" customHeight="1" x14ac:dyDescent="0.3">
      <c r="A498" s="144" t="str">
        <f>+IF(PROVEEDORES[[#This Row],[FECHA DE PAGO]]=PROVEEDORES[[#This Row],[FECHA DE FACTURACIÓN]],"DE CONTADO","CRÉDITO")</f>
        <v>CRÉDITO</v>
      </c>
      <c r="B498" s="144" t="str">
        <f>+IF((PROVEEDORES[[#This Row],[FECHA DE PAGO]]-PROVEEDORES[[#This Row],[FECHA DE FACTURACIÓN]])&gt;PROVEEDORES[[#This Row],[PLAZO Días]],"PAGO VENCIDO")</f>
        <v>PAGO VENCIDO</v>
      </c>
      <c r="C498" s="144">
        <f>+VLOOKUP(PROVEEDORES[[#This Row],[PROVEEDOR]],TERCEROS_INFO[#All],2,FALSE)</f>
        <v>0</v>
      </c>
      <c r="D498" s="145">
        <f>+SUMIFS(PROVEEDORES[Total],PROVEEDORES[PROVEEDOR],PROVEEDORES[[#This Row],[PROVEEDOR]],PROVEEDORES[FECHA DE PAGO],"")</f>
        <v>0</v>
      </c>
      <c r="E498" s="146"/>
      <c r="F498" s="144">
        <f>+VLOOKUP(PROVEEDORES[[#This Row],[PROVEEDOR]],
                       Terceros!$A:$G,
                       5,
                       FALSE)</f>
        <v>0</v>
      </c>
      <c r="G498" s="122">
        <v>45131</v>
      </c>
      <c r="H498" s="102" t="s">
        <v>397</v>
      </c>
      <c r="I498" s="122">
        <v>45108</v>
      </c>
      <c r="J498" s="103" t="s">
        <v>911</v>
      </c>
      <c r="K498" s="103" t="s">
        <v>1512</v>
      </c>
      <c r="L498" s="103"/>
      <c r="M498" s="105">
        <v>914023</v>
      </c>
      <c r="N498" s="147">
        <v>0</v>
      </c>
      <c r="O498" s="147">
        <v>0</v>
      </c>
      <c r="P498" s="148">
        <v>0</v>
      </c>
      <c r="Q498" s="147">
        <v>0</v>
      </c>
      <c r="R498" s="149">
        <v>914023</v>
      </c>
      <c r="S4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8" s="150">
        <f ca="1">+IF(PROVEEDORES[[#This Row],[FECHA DE PAGO]]=0,TODAY()-PROVEEDORES[[#This Row],[FECHA DE FACTURACIÓN]]-PROVEEDORES[[#This Row],[PLAZO Días]],0)</f>
        <v>0</v>
      </c>
      <c r="U498" s="150">
        <f>+VLOOKUP(PROVEEDORES[[#This Row],[PROVEEDOR]],Terceros!$A:$E,4,FALSE)</f>
        <v>0</v>
      </c>
      <c r="V498" s="150">
        <f>+YEAR(PROVEEDORES[[#This Row],[FECHA DE FACTURACIÓN]])</f>
        <v>2023</v>
      </c>
      <c r="W498" s="150">
        <f>+MATCH(PROVEEDORES[[#This Row],[año facturado]],Retenciones!$1:$1,0)</f>
        <v>6</v>
      </c>
      <c r="X498" s="151">
        <f>+VLOOKUP(PROVEEDORES[[#This Row],[ID RETENCION]],Retenciones!$A$1:$O$25,PROVEEDORES[[#This Row],[indicador de columna]],FALSE)</f>
        <v>0</v>
      </c>
      <c r="Y498" s="152">
        <f>+VLOOKUP(PROVEEDORES[[#This Row],[ID RETENCION]],Retenciones!$A$1:$O$25,2,FALSE)</f>
        <v>0</v>
      </c>
      <c r="Z498" s="153" t="b">
        <f>+OR(COUNTIF(PROVEEDORES[[#This Row],[PROVEEDOR]],"*"&amp;'Palabra que no opera y Listas d'!$A$2&amp;"*"))</f>
        <v>1</v>
      </c>
    </row>
    <row r="499" spans="1:26" ht="27.75" customHeight="1" x14ac:dyDescent="0.3">
      <c r="A499" s="144" t="str">
        <f>+IF(PROVEEDORES[[#This Row],[FECHA DE PAGO]]=PROVEEDORES[[#This Row],[FECHA DE FACTURACIÓN]],"DE CONTADO","CRÉDITO")</f>
        <v>CRÉDITO</v>
      </c>
      <c r="B499" s="144" t="str">
        <f>+IF((PROVEEDORES[[#This Row],[FECHA DE PAGO]]-PROVEEDORES[[#This Row],[FECHA DE FACTURACIÓN]])&gt;PROVEEDORES[[#This Row],[PLAZO Días]],"PAGO VENCIDO")</f>
        <v>PAGO VENCIDO</v>
      </c>
      <c r="C499" s="144">
        <f>+VLOOKUP(PROVEEDORES[[#This Row],[PROVEEDOR]],TERCEROS_INFO[#All],2,FALSE)</f>
        <v>0</v>
      </c>
      <c r="D499" s="145">
        <f>+SUMIFS(PROVEEDORES[Total],PROVEEDORES[PROVEEDOR],PROVEEDORES[[#This Row],[PROVEEDOR]],PROVEEDORES[FECHA DE PAGO],"")</f>
        <v>0</v>
      </c>
      <c r="E499" s="146"/>
      <c r="F499" s="144">
        <f>+VLOOKUP(PROVEEDORES[[#This Row],[PROVEEDOR]],
                       Terceros!$A:$G,
                       5,
                       FALSE)</f>
        <v>0</v>
      </c>
      <c r="G499" s="122">
        <v>45131</v>
      </c>
      <c r="H499" s="102" t="s">
        <v>397</v>
      </c>
      <c r="I499" s="122">
        <v>45108</v>
      </c>
      <c r="J499" s="103" t="s">
        <v>912</v>
      </c>
      <c r="K499" s="103" t="s">
        <v>1512</v>
      </c>
      <c r="L499" s="103"/>
      <c r="M499" s="105">
        <v>934363</v>
      </c>
      <c r="N499" s="147">
        <v>0</v>
      </c>
      <c r="O499" s="147">
        <v>0</v>
      </c>
      <c r="P499" s="148">
        <v>0</v>
      </c>
      <c r="Q499" s="147">
        <v>0</v>
      </c>
      <c r="R499" s="149">
        <v>934363</v>
      </c>
      <c r="S4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9" s="150">
        <f ca="1">+IF(PROVEEDORES[[#This Row],[FECHA DE PAGO]]=0,TODAY()-PROVEEDORES[[#This Row],[FECHA DE FACTURACIÓN]]-PROVEEDORES[[#This Row],[PLAZO Días]],0)</f>
        <v>0</v>
      </c>
      <c r="U499" s="150">
        <f>+VLOOKUP(PROVEEDORES[[#This Row],[PROVEEDOR]],Terceros!$A:$E,4,FALSE)</f>
        <v>0</v>
      </c>
      <c r="V499" s="150">
        <f>+YEAR(PROVEEDORES[[#This Row],[FECHA DE FACTURACIÓN]])</f>
        <v>2023</v>
      </c>
      <c r="W499" s="150">
        <f>+MATCH(PROVEEDORES[[#This Row],[año facturado]],Retenciones!$1:$1,0)</f>
        <v>6</v>
      </c>
      <c r="X499" s="151">
        <f>+VLOOKUP(PROVEEDORES[[#This Row],[ID RETENCION]],Retenciones!$A$1:$O$25,PROVEEDORES[[#This Row],[indicador de columna]],FALSE)</f>
        <v>0</v>
      </c>
      <c r="Y499" s="152">
        <f>+VLOOKUP(PROVEEDORES[[#This Row],[ID RETENCION]],Retenciones!$A$1:$O$25,2,FALSE)</f>
        <v>0</v>
      </c>
      <c r="Z499" s="153" t="b">
        <f>+OR(COUNTIF(PROVEEDORES[[#This Row],[PROVEEDOR]],"*"&amp;'Palabra que no opera y Listas d'!$A$2&amp;"*"))</f>
        <v>1</v>
      </c>
    </row>
    <row r="500" spans="1:26" ht="27.75" customHeight="1" x14ac:dyDescent="0.3">
      <c r="A500" s="144" t="str">
        <f>+IF(PROVEEDORES[[#This Row],[FECHA DE PAGO]]=PROVEEDORES[[#This Row],[FECHA DE FACTURACIÓN]],"DE CONTADO","CRÉDITO")</f>
        <v>CRÉDITO</v>
      </c>
      <c r="B500" s="144" t="str">
        <f>+IF((PROVEEDORES[[#This Row],[FECHA DE PAGO]]-PROVEEDORES[[#This Row],[FECHA DE FACTURACIÓN]])&gt;PROVEEDORES[[#This Row],[PLAZO Días]],"PAGO VENCIDO")</f>
        <v>PAGO VENCIDO</v>
      </c>
      <c r="C500" s="144">
        <f>+VLOOKUP(PROVEEDORES[[#This Row],[PROVEEDOR]],TERCEROS_INFO[#All],2,FALSE)</f>
        <v>0</v>
      </c>
      <c r="D500" s="145">
        <f>+SUMIFS(PROVEEDORES[Total],PROVEEDORES[PROVEEDOR],PROVEEDORES[[#This Row],[PROVEEDOR]],PROVEEDORES[FECHA DE PAGO],"")</f>
        <v>0</v>
      </c>
      <c r="E500" s="146"/>
      <c r="F500" s="144" t="str">
        <f>+VLOOKUP(PROVEEDORES[[#This Row],[PROVEEDOR]],
                       Terceros!$A:$G,
                       5,
                       FALSE)</f>
        <v>3,5% sin base</v>
      </c>
      <c r="G500" s="122">
        <v>45131</v>
      </c>
      <c r="H500" s="102" t="s">
        <v>395</v>
      </c>
      <c r="I500" s="122">
        <v>45117</v>
      </c>
      <c r="J500" s="103" t="s">
        <v>913</v>
      </c>
      <c r="K500" s="103" t="s">
        <v>1512</v>
      </c>
      <c r="L500" s="103"/>
      <c r="M500" s="105">
        <v>3456200</v>
      </c>
      <c r="N500" s="147">
        <v>0</v>
      </c>
      <c r="O500" s="147">
        <v>0</v>
      </c>
      <c r="P500" s="148">
        <v>3.5000000000000003E-2</v>
      </c>
      <c r="Q500" s="147">
        <v>120967.00000000001</v>
      </c>
      <c r="R500" s="149">
        <v>3335233</v>
      </c>
      <c r="S5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0" s="150">
        <f ca="1">+IF(PROVEEDORES[[#This Row],[FECHA DE PAGO]]=0,TODAY()-PROVEEDORES[[#This Row],[FECHA DE FACTURACIÓN]]-PROVEEDORES[[#This Row],[PLAZO Días]],0)</f>
        <v>0</v>
      </c>
      <c r="U500" s="150">
        <f>+VLOOKUP(PROVEEDORES[[#This Row],[PROVEEDOR]],Terceros!$A:$E,4,FALSE)</f>
        <v>0</v>
      </c>
      <c r="V500" s="150">
        <f>+YEAR(PROVEEDORES[[#This Row],[FECHA DE FACTURACIÓN]])</f>
        <v>2023</v>
      </c>
      <c r="W500" s="150">
        <f>+MATCH(PROVEEDORES[[#This Row],[año facturado]],Retenciones!$1:$1,0)</f>
        <v>6</v>
      </c>
      <c r="X500" s="151">
        <f>+VLOOKUP(PROVEEDORES[[#This Row],[ID RETENCION]],Retenciones!$A$1:$O$25,PROVEEDORES[[#This Row],[indicador de columna]],FALSE)</f>
        <v>0</v>
      </c>
      <c r="Y500" s="152">
        <f>+VLOOKUP(PROVEEDORES[[#This Row],[ID RETENCION]],Retenciones!$A$1:$O$25,2,FALSE)</f>
        <v>0</v>
      </c>
      <c r="Z500" s="153" t="b">
        <f>+OR(COUNTIF(PROVEEDORES[[#This Row],[PROVEEDOR]],"*"&amp;'Palabra que no opera y Listas d'!$A$2&amp;"*"))</f>
        <v>1</v>
      </c>
    </row>
    <row r="501" spans="1:26" ht="27.75" customHeight="1" x14ac:dyDescent="0.3">
      <c r="A501" s="144" t="str">
        <f>+IF(PROVEEDORES[[#This Row],[FECHA DE PAGO]]=PROVEEDORES[[#This Row],[FECHA DE FACTURACIÓN]],"DE CONTADO","CRÉDITO")</f>
        <v>DE CONTADO</v>
      </c>
      <c r="B501" s="144" t="b">
        <f>+IF((PROVEEDORES[[#This Row],[FECHA DE PAGO]]-PROVEEDORES[[#This Row],[FECHA DE FACTURACIÓN]])&gt;PROVEEDORES[[#This Row],[PLAZO Días]],"PAGO VENCIDO")</f>
        <v>0</v>
      </c>
      <c r="C501" s="144">
        <f>+VLOOKUP(PROVEEDORES[[#This Row],[PROVEEDOR]],TERCEROS_INFO[#All],2,FALSE)</f>
        <v>0</v>
      </c>
      <c r="D501" s="145">
        <f>+SUMIFS(PROVEEDORES[Total],PROVEEDORES[PROVEEDOR],PROVEEDORES[[#This Row],[PROVEEDOR]],PROVEEDORES[FECHA DE PAGO],"")</f>
        <v>0</v>
      </c>
      <c r="E501" s="146"/>
      <c r="F501" s="144">
        <f>+VLOOKUP(PROVEEDORES[[#This Row],[PROVEEDOR]],
                       Terceros!$A:$G,
                       5,
                       FALSE)</f>
        <v>0</v>
      </c>
      <c r="G501" s="122">
        <v>45131</v>
      </c>
      <c r="H501" s="102" t="s">
        <v>537</v>
      </c>
      <c r="I501" s="122">
        <v>45131</v>
      </c>
      <c r="J501" s="103" t="s">
        <v>934</v>
      </c>
      <c r="K501" s="103" t="s">
        <v>1512</v>
      </c>
      <c r="L501" s="103"/>
      <c r="M501" s="105">
        <v>280000</v>
      </c>
      <c r="N501" s="147">
        <v>0</v>
      </c>
      <c r="O501" s="147">
        <v>0</v>
      </c>
      <c r="P501" s="148">
        <v>0</v>
      </c>
      <c r="Q501" s="147">
        <v>0</v>
      </c>
      <c r="R501" s="149">
        <v>280000</v>
      </c>
      <c r="S5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1" s="150">
        <f ca="1">+IF(PROVEEDORES[[#This Row],[FECHA DE PAGO]]=0,TODAY()-PROVEEDORES[[#This Row],[FECHA DE FACTURACIÓN]]-PROVEEDORES[[#This Row],[PLAZO Días]],0)</f>
        <v>0</v>
      </c>
      <c r="U501" s="150">
        <f>+VLOOKUP(PROVEEDORES[[#This Row],[PROVEEDOR]],Terceros!$A:$E,4,FALSE)</f>
        <v>0</v>
      </c>
      <c r="V501" s="150">
        <f>+YEAR(PROVEEDORES[[#This Row],[FECHA DE FACTURACIÓN]])</f>
        <v>2023</v>
      </c>
      <c r="W501" s="150">
        <f>+MATCH(PROVEEDORES[[#This Row],[año facturado]],Retenciones!$1:$1,0)</f>
        <v>6</v>
      </c>
      <c r="X501" s="151">
        <f>+VLOOKUP(PROVEEDORES[[#This Row],[ID RETENCION]],Retenciones!$A$1:$O$25,PROVEEDORES[[#This Row],[indicador de columna]],FALSE)</f>
        <v>0</v>
      </c>
      <c r="Y501" s="152">
        <f>+VLOOKUP(PROVEEDORES[[#This Row],[ID RETENCION]],Retenciones!$A$1:$O$25,2,FALSE)</f>
        <v>0</v>
      </c>
      <c r="Z501" s="153" t="b">
        <f>+OR(COUNTIF(PROVEEDORES[[#This Row],[PROVEEDOR]],"*"&amp;'Palabra que no opera y Listas d'!$A$2&amp;"*"))</f>
        <v>0</v>
      </c>
    </row>
    <row r="502" spans="1:26" ht="27.75" customHeight="1" x14ac:dyDescent="0.3">
      <c r="A502" s="144" t="str">
        <f>+IF(PROVEEDORES[[#This Row],[FECHA DE PAGO]]=PROVEEDORES[[#This Row],[FECHA DE FACTURACIÓN]],"DE CONTADO","CRÉDITO")</f>
        <v>CRÉDITO</v>
      </c>
      <c r="B502" s="144" t="str">
        <f>+IF((PROVEEDORES[[#This Row],[FECHA DE PAGO]]-PROVEEDORES[[#This Row],[FECHA DE FACTURACIÓN]])&gt;PROVEEDORES[[#This Row],[PLAZO Días]],"PAGO VENCIDO")</f>
        <v>PAGO VENCIDO</v>
      </c>
      <c r="C502" s="144">
        <f>+VLOOKUP(PROVEEDORES[[#This Row],[PROVEEDOR]],TERCEROS_INFO[#All],2,FALSE)</f>
        <v>0</v>
      </c>
      <c r="D502" s="145">
        <f>+SUMIFS(PROVEEDORES[Total],PROVEEDORES[PROVEEDOR],PROVEEDORES[[#This Row],[PROVEEDOR]],PROVEEDORES[FECHA DE PAGO],"")</f>
        <v>3461120</v>
      </c>
      <c r="E502" s="146"/>
      <c r="F502" s="144" t="str">
        <f>+VLOOKUP(PROVEEDORES[[#This Row],[PROVEEDOR]],
                       Terceros!$A:$G,
                       5,
                       FALSE)</f>
        <v>2,5% con base</v>
      </c>
      <c r="G502" s="122">
        <v>45132</v>
      </c>
      <c r="H502" s="102" t="s">
        <v>9</v>
      </c>
      <c r="I502" s="122">
        <v>45085</v>
      </c>
      <c r="J502" s="103" t="s">
        <v>838</v>
      </c>
      <c r="K502" s="103" t="s">
        <v>1512</v>
      </c>
      <c r="L502" s="103"/>
      <c r="M502" s="105">
        <v>1265000</v>
      </c>
      <c r="N502" s="147">
        <v>240350</v>
      </c>
      <c r="O502" s="147">
        <v>0</v>
      </c>
      <c r="P502" s="148">
        <v>2.5000000000000001E-2</v>
      </c>
      <c r="Q502" s="147">
        <v>31625</v>
      </c>
      <c r="R502" s="149">
        <v>1473725</v>
      </c>
      <c r="S5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2" s="150">
        <f ca="1">+IF(PROVEEDORES[[#This Row],[FECHA DE PAGO]]=0,TODAY()-PROVEEDORES[[#This Row],[FECHA DE FACTURACIÓN]]-PROVEEDORES[[#This Row],[PLAZO Días]],0)</f>
        <v>0</v>
      </c>
      <c r="U502" s="150">
        <f>+VLOOKUP(PROVEEDORES[[#This Row],[PROVEEDOR]],Terceros!$A:$E,4,FALSE)</f>
        <v>0.19</v>
      </c>
      <c r="V502" s="150">
        <f>+YEAR(PROVEEDORES[[#This Row],[FECHA DE FACTURACIÓN]])</f>
        <v>2023</v>
      </c>
      <c r="W502" s="150">
        <f>+MATCH(PROVEEDORES[[#This Row],[año facturado]],Retenciones!$1:$1,0)</f>
        <v>6</v>
      </c>
      <c r="X502" s="151" t="e">
        <f>+VLOOKUP(PROVEEDORES[[#This Row],[ID RETENCION]],Retenciones!$A$1:$O$25,PROVEEDORES[[#This Row],[indicador de columna]],FALSE)</f>
        <v>#N/A</v>
      </c>
      <c r="Y502" s="152" t="e">
        <f>+VLOOKUP(PROVEEDORES[[#This Row],[ID RETENCION]],Retenciones!$A$1:$O$25,2,FALSE)</f>
        <v>#N/A</v>
      </c>
      <c r="Z502" s="153" t="b">
        <f>+OR(COUNTIF(PROVEEDORES[[#This Row],[PROVEEDOR]],"*"&amp;'Palabra que no opera y Listas d'!$A$2&amp;"*"))</f>
        <v>0</v>
      </c>
    </row>
    <row r="503" spans="1:26" ht="27.75" customHeight="1" x14ac:dyDescent="0.3">
      <c r="A503" s="144" t="str">
        <f>+IF(PROVEEDORES[[#This Row],[FECHA DE PAGO]]=PROVEEDORES[[#This Row],[FECHA DE FACTURACIÓN]],"DE CONTADO","CRÉDITO")</f>
        <v>CRÉDITO</v>
      </c>
      <c r="B503" s="144" t="str">
        <f>+IF((PROVEEDORES[[#This Row],[FECHA DE PAGO]]-PROVEEDORES[[#This Row],[FECHA DE FACTURACIÓN]])&gt;PROVEEDORES[[#This Row],[PLAZO Días]],"PAGO VENCIDO")</f>
        <v>PAGO VENCIDO</v>
      </c>
      <c r="C503" s="144">
        <f>+VLOOKUP(PROVEEDORES[[#This Row],[PROVEEDOR]],TERCEROS_INFO[#All],2,FALSE)</f>
        <v>0</v>
      </c>
      <c r="D503" s="145">
        <f>+SUMIFS(PROVEEDORES[Total],PROVEEDORES[PROVEEDOR],PROVEEDORES[[#This Row],[PROVEEDOR]],PROVEEDORES[FECHA DE PAGO],"")</f>
        <v>0</v>
      </c>
      <c r="E503" s="146"/>
      <c r="F503" s="144">
        <f>+VLOOKUP(PROVEEDORES[[#This Row],[PROVEEDOR]],
                       Terceros!$A:$G,
                       5,
                       FALSE)</f>
        <v>0</v>
      </c>
      <c r="G503" s="122">
        <v>45132</v>
      </c>
      <c r="H503" s="102" t="s">
        <v>537</v>
      </c>
      <c r="I503" s="122">
        <v>45131</v>
      </c>
      <c r="J503" s="103" t="s">
        <v>935</v>
      </c>
      <c r="K503" s="103" t="s">
        <v>1512</v>
      </c>
      <c r="L503" s="103"/>
      <c r="M503" s="105">
        <v>330000</v>
      </c>
      <c r="N503" s="147">
        <v>0</v>
      </c>
      <c r="O503" s="147">
        <v>0</v>
      </c>
      <c r="P503" s="148">
        <v>0</v>
      </c>
      <c r="Q503" s="147">
        <v>0</v>
      </c>
      <c r="R503" s="149">
        <v>330000</v>
      </c>
      <c r="S5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3" s="150">
        <f ca="1">+IF(PROVEEDORES[[#This Row],[FECHA DE PAGO]]=0,TODAY()-PROVEEDORES[[#This Row],[FECHA DE FACTURACIÓN]]-PROVEEDORES[[#This Row],[PLAZO Días]],0)</f>
        <v>0</v>
      </c>
      <c r="U503" s="150">
        <f>+VLOOKUP(PROVEEDORES[[#This Row],[PROVEEDOR]],Terceros!$A:$E,4,FALSE)</f>
        <v>0</v>
      </c>
      <c r="V503" s="150">
        <f>+YEAR(PROVEEDORES[[#This Row],[FECHA DE FACTURACIÓN]])</f>
        <v>2023</v>
      </c>
      <c r="W503" s="150">
        <f>+MATCH(PROVEEDORES[[#This Row],[año facturado]],Retenciones!$1:$1,0)</f>
        <v>6</v>
      </c>
      <c r="X503" s="151">
        <f>+VLOOKUP(PROVEEDORES[[#This Row],[ID RETENCION]],Retenciones!$A$1:$O$25,PROVEEDORES[[#This Row],[indicador de columna]],FALSE)</f>
        <v>0</v>
      </c>
      <c r="Y503" s="152">
        <f>+VLOOKUP(PROVEEDORES[[#This Row],[ID RETENCION]],Retenciones!$A$1:$O$25,2,FALSE)</f>
        <v>0</v>
      </c>
      <c r="Z503" s="153" t="b">
        <f>+OR(COUNTIF(PROVEEDORES[[#This Row],[PROVEEDOR]],"*"&amp;'Palabra que no opera y Listas d'!$A$2&amp;"*"))</f>
        <v>0</v>
      </c>
    </row>
    <row r="504" spans="1:26" ht="27.75" customHeight="1" x14ac:dyDescent="0.3">
      <c r="A504" s="144" t="str">
        <f>+IF(PROVEEDORES[[#This Row],[FECHA DE PAGO]]=PROVEEDORES[[#This Row],[FECHA DE FACTURACIÓN]],"DE CONTADO","CRÉDITO")</f>
        <v>CRÉDITO</v>
      </c>
      <c r="B504" s="144" t="str">
        <f>+IF((PROVEEDORES[[#This Row],[FECHA DE PAGO]]-PROVEEDORES[[#This Row],[FECHA DE FACTURACIÓN]])&gt;PROVEEDORES[[#This Row],[PLAZO Días]],"PAGO VENCIDO")</f>
        <v>PAGO VENCIDO</v>
      </c>
      <c r="C504" s="144">
        <f>+VLOOKUP(PROVEEDORES[[#This Row],[PROVEEDOR]],TERCEROS_INFO[#All],2,FALSE)</f>
        <v>0</v>
      </c>
      <c r="D504" s="145">
        <f>+SUMIFS(PROVEEDORES[Total],PROVEEDORES[PROVEEDOR],PROVEEDORES[[#This Row],[PROVEEDOR]],PROVEEDORES[FECHA DE PAGO],"")</f>
        <v>119844463.84</v>
      </c>
      <c r="E504" s="146"/>
      <c r="F504" s="144" t="str">
        <f>+VLOOKUP(PROVEEDORES[[#This Row],[PROVEEDOR]],
                       Terceros!$A:$G,
                       5,
                       FALSE)</f>
        <v>2,5% con base</v>
      </c>
      <c r="G504" s="122">
        <v>45133</v>
      </c>
      <c r="H504" s="102" t="s">
        <v>8</v>
      </c>
      <c r="I504" s="122">
        <v>45034</v>
      </c>
      <c r="J504" s="103" t="s">
        <v>756</v>
      </c>
      <c r="K504" s="103" t="s">
        <v>1512</v>
      </c>
      <c r="L504" s="103"/>
      <c r="M504" s="105">
        <v>25848261</v>
      </c>
      <c r="N504" s="147">
        <v>4911169.59</v>
      </c>
      <c r="O504" s="147">
        <v>0</v>
      </c>
      <c r="P504" s="148">
        <v>2.5000000000000001E-2</v>
      </c>
      <c r="Q504" s="147">
        <v>646206.52500000002</v>
      </c>
      <c r="R504" s="149">
        <v>30113224.065000001</v>
      </c>
      <c r="S5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4" s="150">
        <f ca="1">+IF(PROVEEDORES[[#This Row],[FECHA DE PAGO]]=0,TODAY()-PROVEEDORES[[#This Row],[FECHA DE FACTURACIÓN]]-PROVEEDORES[[#This Row],[PLAZO Días]],0)</f>
        <v>0</v>
      </c>
      <c r="U504" s="150">
        <f>+VLOOKUP(PROVEEDORES[[#This Row],[PROVEEDOR]],Terceros!$A:$E,4,FALSE)</f>
        <v>0.19</v>
      </c>
      <c r="V504" s="150">
        <f>+YEAR(PROVEEDORES[[#This Row],[FECHA DE FACTURACIÓN]])</f>
        <v>2023</v>
      </c>
      <c r="W504" s="150">
        <f>+MATCH(PROVEEDORES[[#This Row],[año facturado]],Retenciones!$1:$1,0)</f>
        <v>6</v>
      </c>
      <c r="X504" s="151" t="e">
        <f>+VLOOKUP(PROVEEDORES[[#This Row],[ID RETENCION]],Retenciones!$A$1:$O$25,PROVEEDORES[[#This Row],[indicador de columna]],FALSE)</f>
        <v>#N/A</v>
      </c>
      <c r="Y504" s="152" t="e">
        <f>+VLOOKUP(PROVEEDORES[[#This Row],[ID RETENCION]],Retenciones!$A$1:$O$25,2,FALSE)</f>
        <v>#N/A</v>
      </c>
      <c r="Z504" s="153" t="b">
        <f>+OR(COUNTIF(PROVEEDORES[[#This Row],[PROVEEDOR]],"*"&amp;'Palabra que no opera y Listas d'!$A$2&amp;"*"))</f>
        <v>0</v>
      </c>
    </row>
    <row r="505" spans="1:26" ht="27.75" customHeight="1" x14ac:dyDescent="0.3">
      <c r="A505" s="144" t="str">
        <f>+IF(PROVEEDORES[[#This Row],[FECHA DE PAGO]]=PROVEEDORES[[#This Row],[FECHA DE FACTURACIÓN]],"DE CONTADO","CRÉDITO")</f>
        <v>CRÉDITO</v>
      </c>
      <c r="B505" s="144" t="str">
        <f>+IF((PROVEEDORES[[#This Row],[FECHA DE PAGO]]-PROVEEDORES[[#This Row],[FECHA DE FACTURACIÓN]])&gt;PROVEEDORES[[#This Row],[PLAZO Días]],"PAGO VENCIDO")</f>
        <v>PAGO VENCIDO</v>
      </c>
      <c r="C505" s="144">
        <f>+VLOOKUP(PROVEEDORES[[#This Row],[PROVEEDOR]],TERCEROS_INFO[#All],2,FALSE)</f>
        <v>0</v>
      </c>
      <c r="D505" s="145">
        <f>+SUMIFS(PROVEEDORES[Total],PROVEEDORES[PROVEEDOR],PROVEEDORES[[#This Row],[PROVEEDOR]],PROVEEDORES[FECHA DE PAGO],"")</f>
        <v>119844463.84</v>
      </c>
      <c r="E505" s="146"/>
      <c r="F505" s="144" t="str">
        <f>+VLOOKUP(PROVEEDORES[[#This Row],[PROVEEDOR]],
                       Terceros!$A:$G,
                       5,
                       FALSE)</f>
        <v>2,5% con base</v>
      </c>
      <c r="G505" s="122">
        <v>45133</v>
      </c>
      <c r="H505" s="102" t="s">
        <v>8</v>
      </c>
      <c r="I505" s="122">
        <v>45054</v>
      </c>
      <c r="J505" s="103" t="s">
        <v>812</v>
      </c>
      <c r="K505" s="103" t="s">
        <v>1512</v>
      </c>
      <c r="L505" s="103"/>
      <c r="M505" s="105">
        <v>-446120</v>
      </c>
      <c r="N505" s="147">
        <v>-84762.8</v>
      </c>
      <c r="O505" s="147">
        <v>0</v>
      </c>
      <c r="P505" s="148">
        <v>0</v>
      </c>
      <c r="Q505" s="147">
        <v>0</v>
      </c>
      <c r="R505" s="149">
        <v>-530882.80000000005</v>
      </c>
      <c r="S5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5" s="150">
        <f ca="1">+IF(PROVEEDORES[[#This Row],[FECHA DE PAGO]]=0,TODAY()-PROVEEDORES[[#This Row],[FECHA DE FACTURACIÓN]]-PROVEEDORES[[#This Row],[PLAZO Días]],0)</f>
        <v>0</v>
      </c>
      <c r="U505" s="150">
        <f>+VLOOKUP(PROVEEDORES[[#This Row],[PROVEEDOR]],Terceros!$A:$E,4,FALSE)</f>
        <v>0.19</v>
      </c>
      <c r="V505" s="150">
        <f>+YEAR(PROVEEDORES[[#This Row],[FECHA DE FACTURACIÓN]])</f>
        <v>2023</v>
      </c>
      <c r="W505" s="150">
        <f>+MATCH(PROVEEDORES[[#This Row],[año facturado]],Retenciones!$1:$1,0)</f>
        <v>6</v>
      </c>
      <c r="X505" s="151" t="e">
        <f>+VLOOKUP(PROVEEDORES[[#This Row],[ID RETENCION]],Retenciones!$A$1:$O$25,PROVEEDORES[[#This Row],[indicador de columna]],FALSE)</f>
        <v>#N/A</v>
      </c>
      <c r="Y505" s="152" t="e">
        <f>+VLOOKUP(PROVEEDORES[[#This Row],[ID RETENCION]],Retenciones!$A$1:$O$25,2,FALSE)</f>
        <v>#N/A</v>
      </c>
      <c r="Z505" s="153" t="b">
        <f>+OR(COUNTIF(PROVEEDORES[[#This Row],[PROVEEDOR]],"*"&amp;'Palabra que no opera y Listas d'!$A$2&amp;"*"))</f>
        <v>0</v>
      </c>
    </row>
    <row r="506" spans="1:26" ht="27.75" customHeight="1" x14ac:dyDescent="0.3">
      <c r="A506" s="144" t="str">
        <f>+IF(PROVEEDORES[[#This Row],[FECHA DE PAGO]]=PROVEEDORES[[#This Row],[FECHA DE FACTURACIÓN]],"DE CONTADO","CRÉDITO")</f>
        <v>CRÉDITO</v>
      </c>
      <c r="B506" s="144" t="str">
        <f>+IF((PROVEEDORES[[#This Row],[FECHA DE PAGO]]-PROVEEDORES[[#This Row],[FECHA DE FACTURACIÓN]])&gt;PROVEEDORES[[#This Row],[PLAZO Días]],"PAGO VENCIDO")</f>
        <v>PAGO VENCIDO</v>
      </c>
      <c r="C506" s="144">
        <f>+VLOOKUP(PROVEEDORES[[#This Row],[PROVEEDOR]],TERCEROS_INFO[#All],2,FALSE)</f>
        <v>0</v>
      </c>
      <c r="D506" s="145">
        <f>+SUMIFS(PROVEEDORES[Total],PROVEEDORES[PROVEEDOR],PROVEEDORES[[#This Row],[PROVEEDOR]],PROVEEDORES[FECHA DE PAGO],"")</f>
        <v>0</v>
      </c>
      <c r="E506" s="146"/>
      <c r="F506" s="144">
        <f>+VLOOKUP(PROVEEDORES[[#This Row],[PROVEEDOR]],
                       Terceros!$A:$G,
                       5,
                       FALSE)</f>
        <v>0</v>
      </c>
      <c r="G506" s="122">
        <v>45133</v>
      </c>
      <c r="H506" s="102" t="s">
        <v>191</v>
      </c>
      <c r="I506" s="122">
        <v>45056</v>
      </c>
      <c r="J506" s="103" t="s">
        <v>786</v>
      </c>
      <c r="K506" s="103" t="s">
        <v>1512</v>
      </c>
      <c r="L506" s="103"/>
      <c r="M506" s="105">
        <v>0</v>
      </c>
      <c r="N506" s="147">
        <v>0</v>
      </c>
      <c r="O506" s="147">
        <v>0</v>
      </c>
      <c r="P506" s="148">
        <v>0</v>
      </c>
      <c r="Q506" s="147">
        <v>0</v>
      </c>
      <c r="R506" s="149">
        <v>0</v>
      </c>
      <c r="S5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6" s="150">
        <f ca="1">+IF(PROVEEDORES[[#This Row],[FECHA DE PAGO]]=0,TODAY()-PROVEEDORES[[#This Row],[FECHA DE FACTURACIÓN]]-PROVEEDORES[[#This Row],[PLAZO Días]],0)</f>
        <v>0</v>
      </c>
      <c r="U506" s="150">
        <f>+VLOOKUP(PROVEEDORES[[#This Row],[PROVEEDOR]],Terceros!$A:$E,4,FALSE)</f>
        <v>0</v>
      </c>
      <c r="V506" s="150">
        <f>+YEAR(PROVEEDORES[[#This Row],[FECHA DE FACTURACIÓN]])</f>
        <v>2023</v>
      </c>
      <c r="W506" s="150">
        <f>+MATCH(PROVEEDORES[[#This Row],[año facturado]],Retenciones!$1:$1,0)</f>
        <v>6</v>
      </c>
      <c r="X506" s="151">
        <f>+VLOOKUP(PROVEEDORES[[#This Row],[ID RETENCION]],Retenciones!$A$1:$O$25,PROVEEDORES[[#This Row],[indicador de columna]],FALSE)</f>
        <v>0</v>
      </c>
      <c r="Y506" s="152">
        <f>+VLOOKUP(PROVEEDORES[[#This Row],[ID RETENCION]],Retenciones!$A$1:$O$25,2,FALSE)</f>
        <v>0</v>
      </c>
      <c r="Z506" s="153" t="b">
        <f>+OR(COUNTIF(PROVEEDORES[[#This Row],[PROVEEDOR]],"*"&amp;'Palabra que no opera y Listas d'!$A$2&amp;"*"))</f>
        <v>0</v>
      </c>
    </row>
    <row r="507" spans="1:26" ht="27.75" customHeight="1" x14ac:dyDescent="0.3">
      <c r="A507" s="144" t="str">
        <f>+IF(PROVEEDORES[[#This Row],[FECHA DE PAGO]]=PROVEEDORES[[#This Row],[FECHA DE FACTURACIÓN]],"DE CONTADO","CRÉDITO")</f>
        <v>CRÉDITO</v>
      </c>
      <c r="B507" s="144" t="str">
        <f>+IF((PROVEEDORES[[#This Row],[FECHA DE PAGO]]-PROVEEDORES[[#This Row],[FECHA DE FACTURACIÓN]])&gt;PROVEEDORES[[#This Row],[PLAZO Días]],"PAGO VENCIDO")</f>
        <v>PAGO VENCIDO</v>
      </c>
      <c r="C507" s="144">
        <f>+VLOOKUP(PROVEEDORES[[#This Row],[PROVEEDOR]],TERCEROS_INFO[#All],2,FALSE)</f>
        <v>0</v>
      </c>
      <c r="D507" s="145">
        <f>+SUMIFS(PROVEEDORES[Total],PROVEEDORES[PROVEEDOR],PROVEEDORES[[#This Row],[PROVEEDOR]],PROVEEDORES[FECHA DE PAGO],"")</f>
        <v>0</v>
      </c>
      <c r="E507" s="146"/>
      <c r="F507" s="144">
        <f>+VLOOKUP(PROVEEDORES[[#This Row],[PROVEEDOR]],
                       Terceros!$A:$G,
                       5,
                       FALSE)</f>
        <v>0</v>
      </c>
      <c r="G507" s="122">
        <v>45133</v>
      </c>
      <c r="H507" s="102" t="s">
        <v>191</v>
      </c>
      <c r="I507" s="122">
        <v>45056</v>
      </c>
      <c r="J507" s="103" t="s">
        <v>787</v>
      </c>
      <c r="K507" s="103" t="s">
        <v>1512</v>
      </c>
      <c r="L507" s="103"/>
      <c r="M507" s="105">
        <v>216983</v>
      </c>
      <c r="N507" s="147">
        <v>0</v>
      </c>
      <c r="O507" s="147">
        <v>0</v>
      </c>
      <c r="P507" s="148">
        <v>0</v>
      </c>
      <c r="Q507" s="147">
        <v>0</v>
      </c>
      <c r="R507" s="149">
        <v>216983</v>
      </c>
      <c r="S5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7" s="150">
        <f ca="1">+IF(PROVEEDORES[[#This Row],[FECHA DE PAGO]]=0,TODAY()-PROVEEDORES[[#This Row],[FECHA DE FACTURACIÓN]]-PROVEEDORES[[#This Row],[PLAZO Días]],0)</f>
        <v>0</v>
      </c>
      <c r="U507" s="150">
        <f>+VLOOKUP(PROVEEDORES[[#This Row],[PROVEEDOR]],Terceros!$A:$E,4,FALSE)</f>
        <v>0</v>
      </c>
      <c r="V507" s="150">
        <f>+YEAR(PROVEEDORES[[#This Row],[FECHA DE FACTURACIÓN]])</f>
        <v>2023</v>
      </c>
      <c r="W507" s="150">
        <f>+MATCH(PROVEEDORES[[#This Row],[año facturado]],Retenciones!$1:$1,0)</f>
        <v>6</v>
      </c>
      <c r="X507" s="151">
        <f>+VLOOKUP(PROVEEDORES[[#This Row],[ID RETENCION]],Retenciones!$A$1:$O$25,PROVEEDORES[[#This Row],[indicador de columna]],FALSE)</f>
        <v>0</v>
      </c>
      <c r="Y507" s="152">
        <f>+VLOOKUP(PROVEEDORES[[#This Row],[ID RETENCION]],Retenciones!$A$1:$O$25,2,FALSE)</f>
        <v>0</v>
      </c>
      <c r="Z507" s="153" t="b">
        <f>+OR(COUNTIF(PROVEEDORES[[#This Row],[PROVEEDOR]],"*"&amp;'Palabra que no opera y Listas d'!$A$2&amp;"*"))</f>
        <v>0</v>
      </c>
    </row>
    <row r="508" spans="1:26" ht="27.75" customHeight="1" x14ac:dyDescent="0.3">
      <c r="A508" s="144" t="str">
        <f>+IF(PROVEEDORES[[#This Row],[FECHA DE PAGO]]=PROVEEDORES[[#This Row],[FECHA DE FACTURACIÓN]],"DE CONTADO","CRÉDITO")</f>
        <v>CRÉDITO</v>
      </c>
      <c r="B508" s="144" t="str">
        <f>+IF((PROVEEDORES[[#This Row],[FECHA DE PAGO]]-PROVEEDORES[[#This Row],[FECHA DE FACTURACIÓN]])&gt;PROVEEDORES[[#This Row],[PLAZO Días]],"PAGO VENCIDO")</f>
        <v>PAGO VENCIDO</v>
      </c>
      <c r="C508" s="144">
        <f>+VLOOKUP(PROVEEDORES[[#This Row],[PROVEEDOR]],TERCEROS_INFO[#All],2,FALSE)</f>
        <v>0</v>
      </c>
      <c r="D508" s="145">
        <f>+SUMIFS(PROVEEDORES[Total],PROVEEDORES[PROVEEDOR],PROVEEDORES[[#This Row],[PROVEEDOR]],PROVEEDORES[FECHA DE PAGO],"")</f>
        <v>0</v>
      </c>
      <c r="E508" s="146"/>
      <c r="F508" s="144">
        <f>+VLOOKUP(PROVEEDORES[[#This Row],[PROVEEDOR]],
                       Terceros!$A:$G,
                       5,
                       FALSE)</f>
        <v>0</v>
      </c>
      <c r="G508" s="122">
        <v>45133</v>
      </c>
      <c r="H508" s="102" t="s">
        <v>191</v>
      </c>
      <c r="I508" s="122">
        <v>45061</v>
      </c>
      <c r="J508" s="103" t="s">
        <v>801</v>
      </c>
      <c r="K508" s="103" t="s">
        <v>1512</v>
      </c>
      <c r="L508" s="103"/>
      <c r="M508" s="105">
        <v>0</v>
      </c>
      <c r="N508" s="147">
        <v>0</v>
      </c>
      <c r="O508" s="147">
        <v>0</v>
      </c>
      <c r="P508" s="148">
        <v>0</v>
      </c>
      <c r="Q508" s="147">
        <v>0</v>
      </c>
      <c r="R508" s="149">
        <v>0</v>
      </c>
      <c r="S5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8" s="150">
        <f ca="1">+IF(PROVEEDORES[[#This Row],[FECHA DE PAGO]]=0,TODAY()-PROVEEDORES[[#This Row],[FECHA DE FACTURACIÓN]]-PROVEEDORES[[#This Row],[PLAZO Días]],0)</f>
        <v>0</v>
      </c>
      <c r="U508" s="150">
        <f>+VLOOKUP(PROVEEDORES[[#This Row],[PROVEEDOR]],Terceros!$A:$E,4,FALSE)</f>
        <v>0</v>
      </c>
      <c r="V508" s="150">
        <f>+YEAR(PROVEEDORES[[#This Row],[FECHA DE FACTURACIÓN]])</f>
        <v>2023</v>
      </c>
      <c r="W508" s="150">
        <f>+MATCH(PROVEEDORES[[#This Row],[año facturado]],Retenciones!$1:$1,0)</f>
        <v>6</v>
      </c>
      <c r="X508" s="151">
        <f>+VLOOKUP(PROVEEDORES[[#This Row],[ID RETENCION]],Retenciones!$A$1:$O$25,PROVEEDORES[[#This Row],[indicador de columna]],FALSE)</f>
        <v>0</v>
      </c>
      <c r="Y508" s="152">
        <f>+VLOOKUP(PROVEEDORES[[#This Row],[ID RETENCION]],Retenciones!$A$1:$O$25,2,FALSE)</f>
        <v>0</v>
      </c>
      <c r="Z508" s="153" t="b">
        <f>+OR(COUNTIF(PROVEEDORES[[#This Row],[PROVEEDOR]],"*"&amp;'Palabra que no opera y Listas d'!$A$2&amp;"*"))</f>
        <v>0</v>
      </c>
    </row>
    <row r="509" spans="1:26" ht="27.75" customHeight="1" x14ac:dyDescent="0.3">
      <c r="A509" s="144" t="str">
        <f>+IF(PROVEEDORES[[#This Row],[FECHA DE PAGO]]=PROVEEDORES[[#This Row],[FECHA DE FACTURACIÓN]],"DE CONTADO","CRÉDITO")</f>
        <v>CRÉDITO</v>
      </c>
      <c r="B509" s="144" t="str">
        <f>+IF((PROVEEDORES[[#This Row],[FECHA DE PAGO]]-PROVEEDORES[[#This Row],[FECHA DE FACTURACIÓN]])&gt;PROVEEDORES[[#This Row],[PLAZO Días]],"PAGO VENCIDO")</f>
        <v>PAGO VENCIDO</v>
      </c>
      <c r="C509" s="144">
        <f>+VLOOKUP(PROVEEDORES[[#This Row],[PROVEEDOR]],TERCEROS_INFO[#All],2,FALSE)</f>
        <v>0</v>
      </c>
      <c r="D509" s="145">
        <f>+SUMIFS(PROVEEDORES[Total],PROVEEDORES[PROVEEDOR],PROVEEDORES[[#This Row],[PROVEEDOR]],PROVEEDORES[FECHA DE PAGO],"")</f>
        <v>0</v>
      </c>
      <c r="E509" s="146"/>
      <c r="F509" s="144">
        <f>+VLOOKUP(PROVEEDORES[[#This Row],[PROVEEDOR]],
                       Terceros!$A:$G,
                       5,
                       FALSE)</f>
        <v>0</v>
      </c>
      <c r="G509" s="122">
        <v>45133</v>
      </c>
      <c r="H509" s="102" t="s">
        <v>191</v>
      </c>
      <c r="I509" s="122">
        <v>45061</v>
      </c>
      <c r="J509" s="103" t="s">
        <v>802</v>
      </c>
      <c r="K509" s="103" t="s">
        <v>1512</v>
      </c>
      <c r="L509" s="103"/>
      <c r="M509" s="105">
        <v>0</v>
      </c>
      <c r="N509" s="147">
        <v>0</v>
      </c>
      <c r="O509" s="147">
        <v>0</v>
      </c>
      <c r="P509" s="148">
        <v>0</v>
      </c>
      <c r="Q509" s="147">
        <v>0</v>
      </c>
      <c r="R509" s="149">
        <v>0</v>
      </c>
      <c r="S5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9" s="150">
        <f ca="1">+IF(PROVEEDORES[[#This Row],[FECHA DE PAGO]]=0,TODAY()-PROVEEDORES[[#This Row],[FECHA DE FACTURACIÓN]]-PROVEEDORES[[#This Row],[PLAZO Días]],0)</f>
        <v>0</v>
      </c>
      <c r="U509" s="150">
        <f>+VLOOKUP(PROVEEDORES[[#This Row],[PROVEEDOR]],Terceros!$A:$E,4,FALSE)</f>
        <v>0</v>
      </c>
      <c r="V509" s="150">
        <f>+YEAR(PROVEEDORES[[#This Row],[FECHA DE FACTURACIÓN]])</f>
        <v>2023</v>
      </c>
      <c r="W509" s="150">
        <f>+MATCH(PROVEEDORES[[#This Row],[año facturado]],Retenciones!$1:$1,0)</f>
        <v>6</v>
      </c>
      <c r="X509" s="151">
        <f>+VLOOKUP(PROVEEDORES[[#This Row],[ID RETENCION]],Retenciones!$A$1:$O$25,PROVEEDORES[[#This Row],[indicador de columna]],FALSE)</f>
        <v>0</v>
      </c>
      <c r="Y509" s="152">
        <f>+VLOOKUP(PROVEEDORES[[#This Row],[ID RETENCION]],Retenciones!$A$1:$O$25,2,FALSE)</f>
        <v>0</v>
      </c>
      <c r="Z509" s="153" t="b">
        <f>+OR(COUNTIF(PROVEEDORES[[#This Row],[PROVEEDOR]],"*"&amp;'Palabra que no opera y Listas d'!$A$2&amp;"*"))</f>
        <v>0</v>
      </c>
    </row>
    <row r="510" spans="1:26" ht="27.75" customHeight="1" x14ac:dyDescent="0.3">
      <c r="A510" s="144" t="str">
        <f>+IF(PROVEEDORES[[#This Row],[FECHA DE PAGO]]=PROVEEDORES[[#This Row],[FECHA DE FACTURACIÓN]],"DE CONTADO","CRÉDITO")</f>
        <v>CRÉDITO</v>
      </c>
      <c r="B510" s="144" t="str">
        <f>+IF((PROVEEDORES[[#This Row],[FECHA DE PAGO]]-PROVEEDORES[[#This Row],[FECHA DE FACTURACIÓN]])&gt;PROVEEDORES[[#This Row],[PLAZO Días]],"PAGO VENCIDO")</f>
        <v>PAGO VENCIDO</v>
      </c>
      <c r="C510" s="144">
        <f>+VLOOKUP(PROVEEDORES[[#This Row],[PROVEEDOR]],TERCEROS_INFO[#All],2,FALSE)</f>
        <v>0</v>
      </c>
      <c r="D510" s="145">
        <f>+SUMIFS(PROVEEDORES[Total],PROVEEDORES[PROVEEDOR],PROVEEDORES[[#This Row],[PROVEEDOR]],PROVEEDORES[FECHA DE PAGO],"")</f>
        <v>0</v>
      </c>
      <c r="E510" s="146"/>
      <c r="F510" s="144">
        <f>+VLOOKUP(PROVEEDORES[[#This Row],[PROVEEDOR]],
                       Terceros!$A:$G,
                       5,
                       FALSE)</f>
        <v>0</v>
      </c>
      <c r="G510" s="122">
        <v>45133</v>
      </c>
      <c r="H510" s="102" t="s">
        <v>191</v>
      </c>
      <c r="I510" s="122">
        <v>45061</v>
      </c>
      <c r="J510" s="103" t="s">
        <v>803</v>
      </c>
      <c r="K510" s="103" t="s">
        <v>1512</v>
      </c>
      <c r="L510" s="103"/>
      <c r="M510" s="105">
        <v>-188821</v>
      </c>
      <c r="N510" s="147">
        <v>0</v>
      </c>
      <c r="O510" s="147">
        <v>0</v>
      </c>
      <c r="P510" s="148">
        <v>0</v>
      </c>
      <c r="Q510" s="147">
        <v>0</v>
      </c>
      <c r="R510" s="149">
        <v>-188821</v>
      </c>
      <c r="S5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0" s="150">
        <f ca="1">+IF(PROVEEDORES[[#This Row],[FECHA DE PAGO]]=0,TODAY()-PROVEEDORES[[#This Row],[FECHA DE FACTURACIÓN]]-PROVEEDORES[[#This Row],[PLAZO Días]],0)</f>
        <v>0</v>
      </c>
      <c r="U510" s="150">
        <f>+VLOOKUP(PROVEEDORES[[#This Row],[PROVEEDOR]],Terceros!$A:$E,4,FALSE)</f>
        <v>0</v>
      </c>
      <c r="V510" s="150">
        <f>+YEAR(PROVEEDORES[[#This Row],[FECHA DE FACTURACIÓN]])</f>
        <v>2023</v>
      </c>
      <c r="W510" s="150">
        <f>+MATCH(PROVEEDORES[[#This Row],[año facturado]],Retenciones!$1:$1,0)</f>
        <v>6</v>
      </c>
      <c r="X510" s="151">
        <f>+VLOOKUP(PROVEEDORES[[#This Row],[ID RETENCION]],Retenciones!$A$1:$O$25,PROVEEDORES[[#This Row],[indicador de columna]],FALSE)</f>
        <v>0</v>
      </c>
      <c r="Y510" s="152">
        <f>+VLOOKUP(PROVEEDORES[[#This Row],[ID RETENCION]],Retenciones!$A$1:$O$25,2,FALSE)</f>
        <v>0</v>
      </c>
      <c r="Z510" s="153" t="b">
        <f>+OR(COUNTIF(PROVEEDORES[[#This Row],[PROVEEDOR]],"*"&amp;'Palabra que no opera y Listas d'!$A$2&amp;"*"))</f>
        <v>0</v>
      </c>
    </row>
    <row r="511" spans="1:26" ht="27.75" customHeight="1" x14ac:dyDescent="0.3">
      <c r="A511" s="144" t="str">
        <f>+IF(PROVEEDORES[[#This Row],[FECHA DE PAGO]]=PROVEEDORES[[#This Row],[FECHA DE FACTURACIÓN]],"DE CONTADO","CRÉDITO")</f>
        <v>CRÉDITO</v>
      </c>
      <c r="B511" s="144" t="str">
        <f>+IF((PROVEEDORES[[#This Row],[FECHA DE PAGO]]-PROVEEDORES[[#This Row],[FECHA DE FACTURACIÓN]])&gt;PROVEEDORES[[#This Row],[PLAZO Días]],"PAGO VENCIDO")</f>
        <v>PAGO VENCIDO</v>
      </c>
      <c r="C511" s="144">
        <f>+VLOOKUP(PROVEEDORES[[#This Row],[PROVEEDOR]],TERCEROS_INFO[#All],2,FALSE)</f>
        <v>0</v>
      </c>
      <c r="D511" s="145">
        <f>+SUMIFS(PROVEEDORES[Total],PROVEEDORES[PROVEEDOR],PROVEEDORES[[#This Row],[PROVEEDOR]],PROVEEDORES[FECHA DE PAGO],"")</f>
        <v>0</v>
      </c>
      <c r="E511" s="146"/>
      <c r="F511" s="144">
        <f>+VLOOKUP(PROVEEDORES[[#This Row],[PROVEEDOR]],
                       Terceros!$A:$G,
                       5,
                       FALSE)</f>
        <v>0</v>
      </c>
      <c r="G511" s="122">
        <v>45133</v>
      </c>
      <c r="H511" s="102" t="s">
        <v>85</v>
      </c>
      <c r="I511" s="122">
        <v>45099</v>
      </c>
      <c r="J511" s="103" t="s">
        <v>855</v>
      </c>
      <c r="K511" s="103" t="s">
        <v>1512</v>
      </c>
      <c r="L511" s="103"/>
      <c r="M511" s="105">
        <v>0</v>
      </c>
      <c r="N511" s="147">
        <v>0</v>
      </c>
      <c r="O511" s="147">
        <v>0</v>
      </c>
      <c r="P511" s="148">
        <v>0</v>
      </c>
      <c r="Q511" s="147">
        <v>0</v>
      </c>
      <c r="R511" s="149">
        <v>0</v>
      </c>
      <c r="S5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1" s="150">
        <f ca="1">+IF(PROVEEDORES[[#This Row],[FECHA DE PAGO]]=0,TODAY()-PROVEEDORES[[#This Row],[FECHA DE FACTURACIÓN]]-PROVEEDORES[[#This Row],[PLAZO Días]],0)</f>
        <v>0</v>
      </c>
      <c r="U511" s="150">
        <f>+VLOOKUP(PROVEEDORES[[#This Row],[PROVEEDOR]],Terceros!$A:$E,4,FALSE)</f>
        <v>0</v>
      </c>
      <c r="V511" s="150">
        <f>+YEAR(PROVEEDORES[[#This Row],[FECHA DE FACTURACIÓN]])</f>
        <v>2023</v>
      </c>
      <c r="W511" s="150">
        <f>+MATCH(PROVEEDORES[[#This Row],[año facturado]],Retenciones!$1:$1,0)</f>
        <v>6</v>
      </c>
      <c r="X511" s="151">
        <f>+VLOOKUP(PROVEEDORES[[#This Row],[ID RETENCION]],Retenciones!$A$1:$O$25,PROVEEDORES[[#This Row],[indicador de columna]],FALSE)</f>
        <v>0</v>
      </c>
      <c r="Y511" s="152">
        <f>+VLOOKUP(PROVEEDORES[[#This Row],[ID RETENCION]],Retenciones!$A$1:$O$25,2,FALSE)</f>
        <v>0</v>
      </c>
      <c r="Z511" s="153" t="b">
        <f>+OR(COUNTIF(PROVEEDORES[[#This Row],[PROVEEDOR]],"*"&amp;'Palabra que no opera y Listas d'!$A$2&amp;"*"))</f>
        <v>0</v>
      </c>
    </row>
    <row r="512" spans="1:26" ht="27.75" customHeight="1" x14ac:dyDescent="0.3">
      <c r="A512" s="144" t="str">
        <f>+IF(PROVEEDORES[[#This Row],[FECHA DE PAGO]]=PROVEEDORES[[#This Row],[FECHA DE FACTURACIÓN]],"DE CONTADO","CRÉDITO")</f>
        <v>CRÉDITO</v>
      </c>
      <c r="B512" s="144" t="str">
        <f>+IF((PROVEEDORES[[#This Row],[FECHA DE PAGO]]-PROVEEDORES[[#This Row],[FECHA DE FACTURACIÓN]])&gt;PROVEEDORES[[#This Row],[PLAZO Días]],"PAGO VENCIDO")</f>
        <v>PAGO VENCIDO</v>
      </c>
      <c r="C512" s="144">
        <f>+VLOOKUP(PROVEEDORES[[#This Row],[PROVEEDOR]],TERCEROS_INFO[#All],2,FALSE)</f>
        <v>0</v>
      </c>
      <c r="D512" s="145">
        <f>+SUMIFS(PROVEEDORES[Total],PROVEEDORES[PROVEEDOR],PROVEEDORES[[#This Row],[PROVEEDOR]],PROVEEDORES[FECHA DE PAGO],"")</f>
        <v>0</v>
      </c>
      <c r="E512" s="146"/>
      <c r="F512" s="144">
        <f>+VLOOKUP(PROVEEDORES[[#This Row],[PROVEEDOR]],
                       Terceros!$A:$G,
                       5,
                       FALSE)</f>
        <v>0</v>
      </c>
      <c r="G512" s="122">
        <v>45133</v>
      </c>
      <c r="H512" s="102" t="s">
        <v>85</v>
      </c>
      <c r="I512" s="122">
        <v>45099</v>
      </c>
      <c r="J512" s="103" t="s">
        <v>856</v>
      </c>
      <c r="K512" s="103" t="s">
        <v>1512</v>
      </c>
      <c r="L512" s="103"/>
      <c r="M512" s="105">
        <v>116984</v>
      </c>
      <c r="N512" s="147">
        <v>0</v>
      </c>
      <c r="O512" s="147">
        <v>0</v>
      </c>
      <c r="P512" s="148">
        <v>0</v>
      </c>
      <c r="Q512" s="147">
        <v>0</v>
      </c>
      <c r="R512" s="149">
        <v>116984</v>
      </c>
      <c r="S5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2" s="150">
        <f ca="1">+IF(PROVEEDORES[[#This Row],[FECHA DE PAGO]]=0,TODAY()-PROVEEDORES[[#This Row],[FECHA DE FACTURACIÓN]]-PROVEEDORES[[#This Row],[PLAZO Días]],0)</f>
        <v>0</v>
      </c>
      <c r="U512" s="150">
        <f>+VLOOKUP(PROVEEDORES[[#This Row],[PROVEEDOR]],Terceros!$A:$E,4,FALSE)</f>
        <v>0</v>
      </c>
      <c r="V512" s="150">
        <f>+YEAR(PROVEEDORES[[#This Row],[FECHA DE FACTURACIÓN]])</f>
        <v>2023</v>
      </c>
      <c r="W512" s="150">
        <f>+MATCH(PROVEEDORES[[#This Row],[año facturado]],Retenciones!$1:$1,0)</f>
        <v>6</v>
      </c>
      <c r="X512" s="151">
        <f>+VLOOKUP(PROVEEDORES[[#This Row],[ID RETENCION]],Retenciones!$A$1:$O$25,PROVEEDORES[[#This Row],[indicador de columna]],FALSE)</f>
        <v>0</v>
      </c>
      <c r="Y512" s="152">
        <f>+VLOOKUP(PROVEEDORES[[#This Row],[ID RETENCION]],Retenciones!$A$1:$O$25,2,FALSE)</f>
        <v>0</v>
      </c>
      <c r="Z512" s="153" t="b">
        <f>+OR(COUNTIF(PROVEEDORES[[#This Row],[PROVEEDOR]],"*"&amp;'Palabra que no opera y Listas d'!$A$2&amp;"*"))</f>
        <v>0</v>
      </c>
    </row>
    <row r="513" spans="1:26" ht="27.75" customHeight="1" x14ac:dyDescent="0.3">
      <c r="A513" s="144" t="str">
        <f>+IF(PROVEEDORES[[#This Row],[FECHA DE PAGO]]=PROVEEDORES[[#This Row],[FECHA DE FACTURACIÓN]],"DE CONTADO","CRÉDITO")</f>
        <v>CRÉDITO</v>
      </c>
      <c r="B513" s="144" t="str">
        <f>+IF((PROVEEDORES[[#This Row],[FECHA DE PAGO]]-PROVEEDORES[[#This Row],[FECHA DE FACTURACIÓN]])&gt;PROVEEDORES[[#This Row],[PLAZO Días]],"PAGO VENCIDO")</f>
        <v>PAGO VENCIDO</v>
      </c>
      <c r="C513" s="144">
        <f>+VLOOKUP(PROVEEDORES[[#This Row],[PROVEEDOR]],TERCEROS_INFO[#All],2,FALSE)</f>
        <v>0</v>
      </c>
      <c r="D513" s="145">
        <f>+SUMIFS(PROVEEDORES[Total],PROVEEDORES[PROVEEDOR],PROVEEDORES[[#This Row],[PROVEEDOR]],PROVEEDORES[FECHA DE PAGO],"")</f>
        <v>0</v>
      </c>
      <c r="E513" s="146"/>
      <c r="F513" s="144">
        <f>+VLOOKUP(PROVEEDORES[[#This Row],[PROVEEDOR]],
                       Terceros!$A:$G,
                       5,
                       FALSE)</f>
        <v>0</v>
      </c>
      <c r="G513" s="122">
        <v>45133</v>
      </c>
      <c r="H513" s="102" t="s">
        <v>191</v>
      </c>
      <c r="I513" s="122">
        <v>45099</v>
      </c>
      <c r="J513" s="103" t="s">
        <v>846</v>
      </c>
      <c r="K513" s="103" t="s">
        <v>1512</v>
      </c>
      <c r="L513" s="103"/>
      <c r="M513" s="105">
        <v>0</v>
      </c>
      <c r="N513" s="147">
        <v>0</v>
      </c>
      <c r="O513" s="147">
        <v>0</v>
      </c>
      <c r="P513" s="148">
        <v>0</v>
      </c>
      <c r="Q513" s="147">
        <v>0</v>
      </c>
      <c r="R513" s="149">
        <v>0</v>
      </c>
      <c r="S5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3" s="150">
        <f ca="1">+IF(PROVEEDORES[[#This Row],[FECHA DE PAGO]]=0,TODAY()-PROVEEDORES[[#This Row],[FECHA DE FACTURACIÓN]]-PROVEEDORES[[#This Row],[PLAZO Días]],0)</f>
        <v>0</v>
      </c>
      <c r="U513" s="150">
        <f>+VLOOKUP(PROVEEDORES[[#This Row],[PROVEEDOR]],Terceros!$A:$E,4,FALSE)</f>
        <v>0</v>
      </c>
      <c r="V513" s="150">
        <f>+YEAR(PROVEEDORES[[#This Row],[FECHA DE FACTURACIÓN]])</f>
        <v>2023</v>
      </c>
      <c r="W513" s="150">
        <f>+MATCH(PROVEEDORES[[#This Row],[año facturado]],Retenciones!$1:$1,0)</f>
        <v>6</v>
      </c>
      <c r="X513" s="151">
        <f>+VLOOKUP(PROVEEDORES[[#This Row],[ID RETENCION]],Retenciones!$A$1:$O$25,PROVEEDORES[[#This Row],[indicador de columna]],FALSE)</f>
        <v>0</v>
      </c>
      <c r="Y513" s="152">
        <f>+VLOOKUP(PROVEEDORES[[#This Row],[ID RETENCION]],Retenciones!$A$1:$O$25,2,FALSE)</f>
        <v>0</v>
      </c>
      <c r="Z513" s="153" t="b">
        <f>+OR(COUNTIF(PROVEEDORES[[#This Row],[PROVEEDOR]],"*"&amp;'Palabra que no opera y Listas d'!$A$2&amp;"*"))</f>
        <v>0</v>
      </c>
    </row>
    <row r="514" spans="1:26" ht="27.75" customHeight="1" x14ac:dyDescent="0.3">
      <c r="A514" s="144" t="str">
        <f>+IF(PROVEEDORES[[#This Row],[FECHA DE PAGO]]=PROVEEDORES[[#This Row],[FECHA DE FACTURACIÓN]],"DE CONTADO","CRÉDITO")</f>
        <v>CRÉDITO</v>
      </c>
      <c r="B514" s="144" t="str">
        <f>+IF((PROVEEDORES[[#This Row],[FECHA DE PAGO]]-PROVEEDORES[[#This Row],[FECHA DE FACTURACIÓN]])&gt;PROVEEDORES[[#This Row],[PLAZO Días]],"PAGO VENCIDO")</f>
        <v>PAGO VENCIDO</v>
      </c>
      <c r="C514" s="144">
        <f>+VLOOKUP(PROVEEDORES[[#This Row],[PROVEEDOR]],TERCEROS_INFO[#All],2,FALSE)</f>
        <v>0</v>
      </c>
      <c r="D514" s="145">
        <f>+SUMIFS(PROVEEDORES[Total],PROVEEDORES[PROVEEDOR],PROVEEDORES[[#This Row],[PROVEEDOR]],PROVEEDORES[FECHA DE PAGO],"")</f>
        <v>0</v>
      </c>
      <c r="E514" s="146"/>
      <c r="F514" s="144">
        <f>+VLOOKUP(PROVEEDORES[[#This Row],[PROVEEDOR]],
                       Terceros!$A:$G,
                       5,
                       FALSE)</f>
        <v>0</v>
      </c>
      <c r="G514" s="122">
        <v>45133</v>
      </c>
      <c r="H514" s="102" t="s">
        <v>191</v>
      </c>
      <c r="I514" s="122">
        <v>45099</v>
      </c>
      <c r="J514" s="103" t="s">
        <v>848</v>
      </c>
      <c r="K514" s="103" t="s">
        <v>1512</v>
      </c>
      <c r="L514" s="103"/>
      <c r="M514" s="105">
        <v>142484</v>
      </c>
      <c r="N514" s="147">
        <v>0</v>
      </c>
      <c r="O514" s="147">
        <v>0</v>
      </c>
      <c r="P514" s="148">
        <v>0</v>
      </c>
      <c r="Q514" s="147">
        <v>0</v>
      </c>
      <c r="R514" s="149">
        <v>142484</v>
      </c>
      <c r="S5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4" s="150">
        <f ca="1">+IF(PROVEEDORES[[#This Row],[FECHA DE PAGO]]=0,TODAY()-PROVEEDORES[[#This Row],[FECHA DE FACTURACIÓN]]-PROVEEDORES[[#This Row],[PLAZO Días]],0)</f>
        <v>0</v>
      </c>
      <c r="U514" s="150">
        <f>+VLOOKUP(PROVEEDORES[[#This Row],[PROVEEDOR]],Terceros!$A:$E,4,FALSE)</f>
        <v>0</v>
      </c>
      <c r="V514" s="150">
        <f>+YEAR(PROVEEDORES[[#This Row],[FECHA DE FACTURACIÓN]])</f>
        <v>2023</v>
      </c>
      <c r="W514" s="150">
        <f>+MATCH(PROVEEDORES[[#This Row],[año facturado]],Retenciones!$1:$1,0)</f>
        <v>6</v>
      </c>
      <c r="X514" s="151">
        <f>+VLOOKUP(PROVEEDORES[[#This Row],[ID RETENCION]],Retenciones!$A$1:$O$25,PROVEEDORES[[#This Row],[indicador de columna]],FALSE)</f>
        <v>0</v>
      </c>
      <c r="Y514" s="152">
        <f>+VLOOKUP(PROVEEDORES[[#This Row],[ID RETENCION]],Retenciones!$A$1:$O$25,2,FALSE)</f>
        <v>0</v>
      </c>
      <c r="Z514" s="153" t="b">
        <f>+OR(COUNTIF(PROVEEDORES[[#This Row],[PROVEEDOR]],"*"&amp;'Palabra que no opera y Listas d'!$A$2&amp;"*"))</f>
        <v>0</v>
      </c>
    </row>
    <row r="515" spans="1:26" ht="27.75" customHeight="1" x14ac:dyDescent="0.3">
      <c r="A515" s="144" t="str">
        <f>+IF(PROVEEDORES[[#This Row],[FECHA DE PAGO]]=PROVEEDORES[[#This Row],[FECHA DE FACTURACIÓN]],"DE CONTADO","CRÉDITO")</f>
        <v>CRÉDITO</v>
      </c>
      <c r="B515" s="144" t="str">
        <f>+IF((PROVEEDORES[[#This Row],[FECHA DE PAGO]]-PROVEEDORES[[#This Row],[FECHA DE FACTURACIÓN]])&gt;PROVEEDORES[[#This Row],[PLAZO Días]],"PAGO VENCIDO")</f>
        <v>PAGO VENCIDO</v>
      </c>
      <c r="C515" s="144">
        <f>+VLOOKUP(PROVEEDORES[[#This Row],[PROVEEDOR]],TERCEROS_INFO[#All],2,FALSE)</f>
        <v>0</v>
      </c>
      <c r="D515" s="145">
        <f>+SUMIFS(PROVEEDORES[Total],PROVEEDORES[PROVEEDOR],PROVEEDORES[[#This Row],[PROVEEDOR]],PROVEEDORES[FECHA DE PAGO],"")</f>
        <v>119844463.84</v>
      </c>
      <c r="E515" s="146"/>
      <c r="F515" s="144" t="str">
        <f>+VLOOKUP(PROVEEDORES[[#This Row],[PROVEEDOR]],
                       Terceros!$A:$G,
                       5,
                       FALSE)</f>
        <v>2,5% con base</v>
      </c>
      <c r="G515" s="122">
        <v>45133</v>
      </c>
      <c r="H515" s="102" t="s">
        <v>8</v>
      </c>
      <c r="I515" s="122">
        <v>45111</v>
      </c>
      <c r="J515" s="103" t="s">
        <v>610</v>
      </c>
      <c r="K515" s="103" t="s">
        <v>1512</v>
      </c>
      <c r="L515" s="103"/>
      <c r="M515" s="105">
        <v>-8403361</v>
      </c>
      <c r="N515" s="147">
        <v>-1596638.59</v>
      </c>
      <c r="O515" s="147">
        <v>0</v>
      </c>
      <c r="P515" s="148">
        <v>0</v>
      </c>
      <c r="Q515" s="147">
        <v>0</v>
      </c>
      <c r="R515" s="149">
        <v>-9999999.5899999999</v>
      </c>
      <c r="S5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5" s="150">
        <f ca="1">+IF(PROVEEDORES[[#This Row],[FECHA DE PAGO]]=0,TODAY()-PROVEEDORES[[#This Row],[FECHA DE FACTURACIÓN]]-PROVEEDORES[[#This Row],[PLAZO Días]],0)</f>
        <v>0</v>
      </c>
      <c r="U515" s="150">
        <f>+VLOOKUP(PROVEEDORES[[#This Row],[PROVEEDOR]],Terceros!$A:$E,4,FALSE)</f>
        <v>0.19</v>
      </c>
      <c r="V515" s="150">
        <f>+YEAR(PROVEEDORES[[#This Row],[FECHA DE FACTURACIÓN]])</f>
        <v>2023</v>
      </c>
      <c r="W515" s="150">
        <f>+MATCH(PROVEEDORES[[#This Row],[año facturado]],Retenciones!$1:$1,0)</f>
        <v>6</v>
      </c>
      <c r="X515" s="151" t="e">
        <f>+VLOOKUP(PROVEEDORES[[#This Row],[ID RETENCION]],Retenciones!$A$1:$O$25,PROVEEDORES[[#This Row],[indicador de columna]],FALSE)</f>
        <v>#N/A</v>
      </c>
      <c r="Y515" s="152" t="e">
        <f>+VLOOKUP(PROVEEDORES[[#This Row],[ID RETENCION]],Retenciones!$A$1:$O$25,2,FALSE)</f>
        <v>#N/A</v>
      </c>
      <c r="Z515" s="153" t="b">
        <f>+OR(COUNTIF(PROVEEDORES[[#This Row],[PROVEEDOR]],"*"&amp;'Palabra que no opera y Listas d'!$A$2&amp;"*"))</f>
        <v>0</v>
      </c>
    </row>
    <row r="516" spans="1:26" ht="27.75" customHeight="1" x14ac:dyDescent="0.3">
      <c r="A516" s="144" t="str">
        <f>+IF(PROVEEDORES[[#This Row],[FECHA DE PAGO]]=PROVEEDORES[[#This Row],[FECHA DE FACTURACIÓN]],"DE CONTADO","CRÉDITO")</f>
        <v>CRÉDITO</v>
      </c>
      <c r="B516" s="144" t="str">
        <f>+IF((PROVEEDORES[[#This Row],[FECHA DE PAGO]]-PROVEEDORES[[#This Row],[FECHA DE FACTURACIÓN]])&gt;PROVEEDORES[[#This Row],[PLAZO Días]],"PAGO VENCIDO")</f>
        <v>PAGO VENCIDO</v>
      </c>
      <c r="C516" s="144">
        <f>+VLOOKUP(PROVEEDORES[[#This Row],[PROVEEDOR]],TERCEROS_INFO[#All],2,FALSE)</f>
        <v>0</v>
      </c>
      <c r="D516" s="145">
        <f>+SUMIFS(PROVEEDORES[Total],PROVEEDORES[PROVEEDOR],PROVEEDORES[[#This Row],[PROVEEDOR]],PROVEEDORES[FECHA DE PAGO],"")</f>
        <v>0</v>
      </c>
      <c r="E516" s="146"/>
      <c r="F516" s="144">
        <f>+VLOOKUP(PROVEEDORES[[#This Row],[PROVEEDOR]],
                       Terceros!$A:$G,
                       5,
                       FALSE)</f>
        <v>0</v>
      </c>
      <c r="G516" s="122">
        <v>45133</v>
      </c>
      <c r="H516" s="102" t="s">
        <v>191</v>
      </c>
      <c r="I516" s="122">
        <v>45128</v>
      </c>
      <c r="J516" s="103">
        <v>652</v>
      </c>
      <c r="K516" s="103" t="s">
        <v>1512</v>
      </c>
      <c r="L516" s="103"/>
      <c r="M516" s="105">
        <v>0</v>
      </c>
      <c r="N516" s="147">
        <v>0</v>
      </c>
      <c r="O516" s="147">
        <v>0</v>
      </c>
      <c r="P516" s="148">
        <v>0</v>
      </c>
      <c r="Q516" s="147">
        <v>0</v>
      </c>
      <c r="R516" s="149">
        <v>0</v>
      </c>
      <c r="S5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6" s="150">
        <f ca="1">+IF(PROVEEDORES[[#This Row],[FECHA DE PAGO]]=0,TODAY()-PROVEEDORES[[#This Row],[FECHA DE FACTURACIÓN]]-PROVEEDORES[[#This Row],[PLAZO Días]],0)</f>
        <v>0</v>
      </c>
      <c r="U516" s="150">
        <f>+VLOOKUP(PROVEEDORES[[#This Row],[PROVEEDOR]],Terceros!$A:$E,4,FALSE)</f>
        <v>0</v>
      </c>
      <c r="V516" s="150">
        <f>+YEAR(PROVEEDORES[[#This Row],[FECHA DE FACTURACIÓN]])</f>
        <v>2023</v>
      </c>
      <c r="W516" s="150">
        <f>+MATCH(PROVEEDORES[[#This Row],[año facturado]],Retenciones!$1:$1,0)</f>
        <v>6</v>
      </c>
      <c r="X516" s="151">
        <f>+VLOOKUP(PROVEEDORES[[#This Row],[ID RETENCION]],Retenciones!$A$1:$O$25,PROVEEDORES[[#This Row],[indicador de columna]],FALSE)</f>
        <v>0</v>
      </c>
      <c r="Y516" s="152">
        <f>+VLOOKUP(PROVEEDORES[[#This Row],[ID RETENCION]],Retenciones!$A$1:$O$25,2,FALSE)</f>
        <v>0</v>
      </c>
      <c r="Z516" s="153" t="b">
        <f>+OR(COUNTIF(PROVEEDORES[[#This Row],[PROVEEDOR]],"*"&amp;'Palabra que no opera y Listas d'!$A$2&amp;"*"))</f>
        <v>0</v>
      </c>
    </row>
    <row r="517" spans="1:26" ht="27.75" customHeight="1" x14ac:dyDescent="0.3">
      <c r="A517" s="144" t="str">
        <f>+IF(PROVEEDORES[[#This Row],[FECHA DE PAGO]]=PROVEEDORES[[#This Row],[FECHA DE FACTURACIÓN]],"DE CONTADO","CRÉDITO")</f>
        <v>CRÉDITO</v>
      </c>
      <c r="B517" s="144" t="str">
        <f>+IF((PROVEEDORES[[#This Row],[FECHA DE PAGO]]-PROVEEDORES[[#This Row],[FECHA DE FACTURACIÓN]])&gt;PROVEEDORES[[#This Row],[PLAZO Días]],"PAGO VENCIDO")</f>
        <v>PAGO VENCIDO</v>
      </c>
      <c r="C517" s="144">
        <f>+VLOOKUP(PROVEEDORES[[#This Row],[PROVEEDOR]],TERCEROS_INFO[#All],2,FALSE)</f>
        <v>0</v>
      </c>
      <c r="D517" s="145">
        <f>+SUMIFS(PROVEEDORES[Total],PROVEEDORES[PROVEEDOR],PROVEEDORES[[#This Row],[PROVEEDOR]],PROVEEDORES[FECHA DE PAGO],"")</f>
        <v>0</v>
      </c>
      <c r="E517" s="146"/>
      <c r="F517" s="144">
        <f>+VLOOKUP(PROVEEDORES[[#This Row],[PROVEEDOR]],
                       Terceros!$A:$G,
                       5,
                       FALSE)</f>
        <v>0</v>
      </c>
      <c r="G517" s="122">
        <v>45133</v>
      </c>
      <c r="H517" s="102" t="s">
        <v>191</v>
      </c>
      <c r="I517" s="122">
        <v>45128</v>
      </c>
      <c r="J517" s="103">
        <v>653</v>
      </c>
      <c r="K517" s="103" t="s">
        <v>1512</v>
      </c>
      <c r="L517" s="103"/>
      <c r="M517" s="105">
        <v>527</v>
      </c>
      <c r="N517" s="147">
        <v>0</v>
      </c>
      <c r="O517" s="147">
        <v>0</v>
      </c>
      <c r="P517" s="148">
        <v>0</v>
      </c>
      <c r="Q517" s="147">
        <v>0</v>
      </c>
      <c r="R517" s="149">
        <v>527</v>
      </c>
      <c r="S5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7" s="150">
        <f ca="1">+IF(PROVEEDORES[[#This Row],[FECHA DE PAGO]]=0,TODAY()-PROVEEDORES[[#This Row],[FECHA DE FACTURACIÓN]]-PROVEEDORES[[#This Row],[PLAZO Días]],0)</f>
        <v>0</v>
      </c>
      <c r="U517" s="150">
        <f>+VLOOKUP(PROVEEDORES[[#This Row],[PROVEEDOR]],Terceros!$A:$E,4,FALSE)</f>
        <v>0</v>
      </c>
      <c r="V517" s="150">
        <f>+YEAR(PROVEEDORES[[#This Row],[FECHA DE FACTURACIÓN]])</f>
        <v>2023</v>
      </c>
      <c r="W517" s="150">
        <f>+MATCH(PROVEEDORES[[#This Row],[año facturado]],Retenciones!$1:$1,0)</f>
        <v>6</v>
      </c>
      <c r="X517" s="151">
        <f>+VLOOKUP(PROVEEDORES[[#This Row],[ID RETENCION]],Retenciones!$A$1:$O$25,PROVEEDORES[[#This Row],[indicador de columna]],FALSE)</f>
        <v>0</v>
      </c>
      <c r="Y517" s="152">
        <f>+VLOOKUP(PROVEEDORES[[#This Row],[ID RETENCION]],Retenciones!$A$1:$O$25,2,FALSE)</f>
        <v>0</v>
      </c>
      <c r="Z517" s="153" t="b">
        <f>+OR(COUNTIF(PROVEEDORES[[#This Row],[PROVEEDOR]],"*"&amp;'Palabra que no opera y Listas d'!$A$2&amp;"*"))</f>
        <v>0</v>
      </c>
    </row>
    <row r="518" spans="1:26" ht="27.75" customHeight="1" x14ac:dyDescent="0.3">
      <c r="A518" s="144" t="str">
        <f>+IF(PROVEEDORES[[#This Row],[FECHA DE PAGO]]=PROVEEDORES[[#This Row],[FECHA DE FACTURACIÓN]],"DE CONTADO","CRÉDITO")</f>
        <v>CRÉDITO</v>
      </c>
      <c r="B518" s="144" t="str">
        <f>+IF((PROVEEDORES[[#This Row],[FECHA DE PAGO]]-PROVEEDORES[[#This Row],[FECHA DE FACTURACIÓN]])&gt;PROVEEDORES[[#This Row],[PLAZO Días]],"PAGO VENCIDO")</f>
        <v>PAGO VENCIDO</v>
      </c>
      <c r="C518" s="144">
        <f>+VLOOKUP(PROVEEDORES[[#This Row],[PROVEEDOR]],TERCEROS_INFO[#All],2,FALSE)</f>
        <v>0</v>
      </c>
      <c r="D518" s="145">
        <f>+SUMIFS(PROVEEDORES[Total],PROVEEDORES[PROVEEDOR],PROVEEDORES[[#This Row],[PROVEEDOR]],PROVEEDORES[FECHA DE PAGO],"")</f>
        <v>0</v>
      </c>
      <c r="E518" s="146"/>
      <c r="F518" s="144">
        <f>+VLOOKUP(PROVEEDORES[[#This Row],[PROVEEDOR]],
                       Terceros!$A:$G,
                       5,
                       FALSE)</f>
        <v>0</v>
      </c>
      <c r="G518" s="122">
        <v>45134</v>
      </c>
      <c r="H518" s="102" t="s">
        <v>375</v>
      </c>
      <c r="I518" s="122">
        <v>45075</v>
      </c>
      <c r="J518" s="103" t="s">
        <v>948</v>
      </c>
      <c r="K518" s="103" t="s">
        <v>1512</v>
      </c>
      <c r="L518" s="103"/>
      <c r="M518" s="105">
        <v>1586135</v>
      </c>
      <c r="N518" s="147">
        <v>301365.65000000002</v>
      </c>
      <c r="O518" s="147">
        <v>0</v>
      </c>
      <c r="P518" s="148">
        <v>0</v>
      </c>
      <c r="Q518" s="147">
        <v>0</v>
      </c>
      <c r="R518" s="149">
        <v>1887500.65</v>
      </c>
      <c r="S5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8" s="150">
        <f ca="1">+IF(PROVEEDORES[[#This Row],[FECHA DE PAGO]]=0,TODAY()-PROVEEDORES[[#This Row],[FECHA DE FACTURACIÓN]]-PROVEEDORES[[#This Row],[PLAZO Días]],0)</f>
        <v>0</v>
      </c>
      <c r="U518" s="150">
        <f>+VLOOKUP(PROVEEDORES[[#This Row],[PROVEEDOR]],Terceros!$A:$E,4,FALSE)</f>
        <v>0.19</v>
      </c>
      <c r="V518" s="150">
        <f>+YEAR(PROVEEDORES[[#This Row],[FECHA DE FACTURACIÓN]])</f>
        <v>2023</v>
      </c>
      <c r="W518" s="150">
        <f>+MATCH(PROVEEDORES[[#This Row],[año facturado]],Retenciones!$1:$1,0)</f>
        <v>6</v>
      </c>
      <c r="X518" s="151" t="e">
        <f>+VLOOKUP(PROVEEDORES[[#This Row],[ID RETENCION]],Retenciones!$A$1:$O$25,PROVEEDORES[[#This Row],[indicador de columna]],FALSE)</f>
        <v>#N/A</v>
      </c>
      <c r="Y518" s="152" t="e">
        <f>+VLOOKUP(PROVEEDORES[[#This Row],[ID RETENCION]],Retenciones!$A$1:$O$25,2,FALSE)</f>
        <v>#N/A</v>
      </c>
      <c r="Z518" s="153" t="b">
        <f>+OR(COUNTIF(PROVEEDORES[[#This Row],[PROVEEDOR]],"*"&amp;'Palabra que no opera y Listas d'!$A$2&amp;"*"))</f>
        <v>1</v>
      </c>
    </row>
    <row r="519" spans="1:26" ht="27.75" customHeight="1" x14ac:dyDescent="0.3">
      <c r="A519" s="144" t="str">
        <f>+IF(PROVEEDORES[[#This Row],[FECHA DE PAGO]]=PROVEEDORES[[#This Row],[FECHA DE FACTURACIÓN]],"DE CONTADO","CRÉDITO")</f>
        <v>CRÉDITO</v>
      </c>
      <c r="B519" s="144" t="str">
        <f>+IF((PROVEEDORES[[#This Row],[FECHA DE PAGO]]-PROVEEDORES[[#This Row],[FECHA DE FACTURACIÓN]])&gt;PROVEEDORES[[#This Row],[PLAZO Días]],"PAGO VENCIDO")</f>
        <v>PAGO VENCIDO</v>
      </c>
      <c r="C519" s="144">
        <f>+VLOOKUP(PROVEEDORES[[#This Row],[PROVEEDOR]],TERCEROS_INFO[#All],2,FALSE)</f>
        <v>0</v>
      </c>
      <c r="D519" s="145">
        <f>+SUMIFS(PROVEEDORES[Total],PROVEEDORES[PROVEEDOR],PROVEEDORES[[#This Row],[PROVEEDOR]],PROVEEDORES[FECHA DE PAGO],"")</f>
        <v>0</v>
      </c>
      <c r="E519" s="146"/>
      <c r="F519" s="144">
        <f>+VLOOKUP(PROVEEDORES[[#This Row],[PROVEEDOR]],
                       Terceros!$A:$G,
                       5,
                       FALSE)</f>
        <v>0</v>
      </c>
      <c r="G519" s="122">
        <v>45134</v>
      </c>
      <c r="H519" s="102" t="s">
        <v>375</v>
      </c>
      <c r="I519" s="122">
        <v>45075</v>
      </c>
      <c r="J519" s="103" t="s">
        <v>949</v>
      </c>
      <c r="K519" s="103" t="s">
        <v>1512</v>
      </c>
      <c r="L519" s="103"/>
      <c r="M519" s="105">
        <v>2254875</v>
      </c>
      <c r="N519" s="147">
        <v>428426.25</v>
      </c>
      <c r="O519" s="147">
        <v>0</v>
      </c>
      <c r="P519" s="148">
        <v>0</v>
      </c>
      <c r="Q519" s="147">
        <v>0</v>
      </c>
      <c r="R519" s="149">
        <v>2683301.25</v>
      </c>
      <c r="S5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9" s="150">
        <f ca="1">+IF(PROVEEDORES[[#This Row],[FECHA DE PAGO]]=0,TODAY()-PROVEEDORES[[#This Row],[FECHA DE FACTURACIÓN]]-PROVEEDORES[[#This Row],[PLAZO Días]],0)</f>
        <v>0</v>
      </c>
      <c r="U519" s="150">
        <f>+VLOOKUP(PROVEEDORES[[#This Row],[PROVEEDOR]],Terceros!$A:$E,4,FALSE)</f>
        <v>0.19</v>
      </c>
      <c r="V519" s="150">
        <f>+YEAR(PROVEEDORES[[#This Row],[FECHA DE FACTURACIÓN]])</f>
        <v>2023</v>
      </c>
      <c r="W519" s="150">
        <f>+MATCH(PROVEEDORES[[#This Row],[año facturado]],Retenciones!$1:$1,0)</f>
        <v>6</v>
      </c>
      <c r="X519" s="151" t="e">
        <f>+VLOOKUP(PROVEEDORES[[#This Row],[ID RETENCION]],Retenciones!$A$1:$O$25,PROVEEDORES[[#This Row],[indicador de columna]],FALSE)</f>
        <v>#N/A</v>
      </c>
      <c r="Y519" s="152" t="e">
        <f>+VLOOKUP(PROVEEDORES[[#This Row],[ID RETENCION]],Retenciones!$A$1:$O$25,2,FALSE)</f>
        <v>#N/A</v>
      </c>
      <c r="Z519" s="153" t="b">
        <f>+OR(COUNTIF(PROVEEDORES[[#This Row],[PROVEEDOR]],"*"&amp;'Palabra que no opera y Listas d'!$A$2&amp;"*"))</f>
        <v>1</v>
      </c>
    </row>
    <row r="520" spans="1:26" ht="27.75" customHeight="1" x14ac:dyDescent="0.3">
      <c r="A520" s="144" t="str">
        <f>+IF(PROVEEDORES[[#This Row],[FECHA DE PAGO]]=PROVEEDORES[[#This Row],[FECHA DE FACTURACIÓN]],"DE CONTADO","CRÉDITO")</f>
        <v>CRÉDITO</v>
      </c>
      <c r="B520" s="144" t="str">
        <f>+IF((PROVEEDORES[[#This Row],[FECHA DE PAGO]]-PROVEEDORES[[#This Row],[FECHA DE FACTURACIÓN]])&gt;PROVEEDORES[[#This Row],[PLAZO Días]],"PAGO VENCIDO")</f>
        <v>PAGO VENCIDO</v>
      </c>
      <c r="C520" s="144">
        <f>+VLOOKUP(PROVEEDORES[[#This Row],[PROVEEDOR]],TERCEROS_INFO[#All],2,FALSE)</f>
        <v>0</v>
      </c>
      <c r="D520" s="145">
        <f>+SUMIFS(PROVEEDORES[Total],PROVEEDORES[PROVEEDOR],PROVEEDORES[[#This Row],[PROVEEDOR]],PROVEEDORES[FECHA DE PAGO],"")</f>
        <v>0</v>
      </c>
      <c r="E520" s="146"/>
      <c r="F520" s="144">
        <f>+VLOOKUP(PROVEEDORES[[#This Row],[PROVEEDOR]],
                       Terceros!$A:$G,
                       5,
                       FALSE)</f>
        <v>0</v>
      </c>
      <c r="G520" s="122">
        <v>45134</v>
      </c>
      <c r="H520" s="102" t="s">
        <v>490</v>
      </c>
      <c r="I520" s="122">
        <v>45079</v>
      </c>
      <c r="J520" s="103" t="s">
        <v>878</v>
      </c>
      <c r="K520" s="103" t="s">
        <v>1512</v>
      </c>
      <c r="L520" s="103"/>
      <c r="M520" s="105">
        <v>2046000</v>
      </c>
      <c r="N520" s="147">
        <v>0</v>
      </c>
      <c r="O520" s="147">
        <v>0</v>
      </c>
      <c r="P520" s="148">
        <v>0</v>
      </c>
      <c r="Q520" s="147">
        <v>0</v>
      </c>
      <c r="R520" s="149">
        <v>2046000</v>
      </c>
      <c r="S5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0" s="150">
        <f ca="1">+IF(PROVEEDORES[[#This Row],[FECHA DE PAGO]]=0,TODAY()-PROVEEDORES[[#This Row],[FECHA DE FACTURACIÓN]]-PROVEEDORES[[#This Row],[PLAZO Días]],0)</f>
        <v>0</v>
      </c>
      <c r="U520" s="150">
        <f>+VLOOKUP(PROVEEDORES[[#This Row],[PROVEEDOR]],Terceros!$A:$E,4,FALSE)</f>
        <v>0</v>
      </c>
      <c r="V520" s="150">
        <f>+YEAR(PROVEEDORES[[#This Row],[FECHA DE FACTURACIÓN]])</f>
        <v>2023</v>
      </c>
      <c r="W520" s="150">
        <f>+MATCH(PROVEEDORES[[#This Row],[año facturado]],Retenciones!$1:$1,0)</f>
        <v>6</v>
      </c>
      <c r="X520" s="151">
        <f>+VLOOKUP(PROVEEDORES[[#This Row],[ID RETENCION]],Retenciones!$A$1:$O$25,PROVEEDORES[[#This Row],[indicador de columna]],FALSE)</f>
        <v>0</v>
      </c>
      <c r="Y520" s="152">
        <f>+VLOOKUP(PROVEEDORES[[#This Row],[ID RETENCION]],Retenciones!$A$1:$O$25,2,FALSE)</f>
        <v>0</v>
      </c>
      <c r="Z520" s="153" t="b">
        <f>+OR(COUNTIF(PROVEEDORES[[#This Row],[PROVEEDOR]],"*"&amp;'Palabra que no opera y Listas d'!$A$2&amp;"*"))</f>
        <v>0</v>
      </c>
    </row>
    <row r="521" spans="1:26" ht="27.75" customHeight="1" x14ac:dyDescent="0.3">
      <c r="A521" s="144" t="str">
        <f>+IF(PROVEEDORES[[#This Row],[FECHA DE PAGO]]=PROVEEDORES[[#This Row],[FECHA DE FACTURACIÓN]],"DE CONTADO","CRÉDITO")</f>
        <v>DE CONTADO</v>
      </c>
      <c r="B521" s="144" t="b">
        <f>+IF((PROVEEDORES[[#This Row],[FECHA DE PAGO]]-PROVEEDORES[[#This Row],[FECHA DE FACTURACIÓN]])&gt;PROVEEDORES[[#This Row],[PLAZO Días]],"PAGO VENCIDO")</f>
        <v>0</v>
      </c>
      <c r="C521" s="144">
        <f>+VLOOKUP(PROVEEDORES[[#This Row],[PROVEEDOR]],TERCEROS_INFO[#All],2,FALSE)</f>
        <v>0</v>
      </c>
      <c r="D521" s="145">
        <f>+SUMIFS(PROVEEDORES[Total],PROVEEDORES[PROVEEDOR],PROVEEDORES[[#This Row],[PROVEEDOR]],PROVEEDORES[FECHA DE PAGO],"")</f>
        <v>550000</v>
      </c>
      <c r="E521" s="146"/>
      <c r="F521" s="144">
        <f>+VLOOKUP(PROVEEDORES[[#This Row],[PROVEEDOR]],
                       Terceros!$A:$G,
                       5,
                       FALSE)</f>
        <v>0</v>
      </c>
      <c r="G521" s="122">
        <v>45136</v>
      </c>
      <c r="H521" s="102" t="s">
        <v>1784</v>
      </c>
      <c r="I521" s="122">
        <v>45136</v>
      </c>
      <c r="J521" s="103" t="s">
        <v>947</v>
      </c>
      <c r="K521" s="103" t="s">
        <v>1512</v>
      </c>
      <c r="L521" s="103"/>
      <c r="M521" s="105">
        <v>1470000</v>
      </c>
      <c r="N521" s="147">
        <v>0</v>
      </c>
      <c r="O521" s="147">
        <v>0</v>
      </c>
      <c r="P521" s="148">
        <v>0</v>
      </c>
      <c r="Q521" s="147">
        <v>0</v>
      </c>
      <c r="R521" s="149">
        <v>1470000</v>
      </c>
      <c r="S5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1" s="150">
        <f ca="1">+IF(PROVEEDORES[[#This Row],[FECHA DE PAGO]]=0,TODAY()-PROVEEDORES[[#This Row],[FECHA DE FACTURACIÓN]]-PROVEEDORES[[#This Row],[PLAZO Días]],0)</f>
        <v>0</v>
      </c>
      <c r="U521" s="150">
        <f>+VLOOKUP(PROVEEDORES[[#This Row],[PROVEEDOR]],Terceros!$A:$E,4,FALSE)</f>
        <v>0</v>
      </c>
      <c r="V521" s="150">
        <f>+YEAR(PROVEEDORES[[#This Row],[FECHA DE FACTURACIÓN]])</f>
        <v>2023</v>
      </c>
      <c r="W521" s="150">
        <f>+MATCH(PROVEEDORES[[#This Row],[año facturado]],Retenciones!$1:$1,0)</f>
        <v>6</v>
      </c>
      <c r="X521" s="151">
        <f>+VLOOKUP(PROVEEDORES[[#This Row],[ID RETENCION]],Retenciones!$A$1:$O$25,PROVEEDORES[[#This Row],[indicador de columna]],FALSE)</f>
        <v>0</v>
      </c>
      <c r="Y521" s="152">
        <f>+VLOOKUP(PROVEEDORES[[#This Row],[ID RETENCION]],Retenciones!$A$1:$O$25,2,FALSE)</f>
        <v>0</v>
      </c>
      <c r="Z521" s="153" t="b">
        <f>+OR(COUNTIF(PROVEEDORES[[#This Row],[PROVEEDOR]],"*"&amp;'Palabra que no opera y Listas d'!$A$2&amp;"*"))</f>
        <v>0</v>
      </c>
    </row>
    <row r="522" spans="1:26" ht="27.75" customHeight="1" x14ac:dyDescent="0.3">
      <c r="A522" s="144" t="str">
        <f>+IF(PROVEEDORES[[#This Row],[FECHA DE PAGO]]=PROVEEDORES[[#This Row],[FECHA DE FACTURACIÓN]],"DE CONTADO","CRÉDITO")</f>
        <v>DE CONTADO</v>
      </c>
      <c r="B522" s="144" t="b">
        <f>+IF((PROVEEDORES[[#This Row],[FECHA DE PAGO]]-PROVEEDORES[[#This Row],[FECHA DE FACTURACIÓN]])&gt;PROVEEDORES[[#This Row],[PLAZO Días]],"PAGO VENCIDO")</f>
        <v>0</v>
      </c>
      <c r="C522" s="144">
        <f>+VLOOKUP(PROVEEDORES[[#This Row],[PROVEEDOR]],TERCEROS_INFO[#All],2,FALSE)</f>
        <v>0</v>
      </c>
      <c r="D522" s="145">
        <f>+SUMIFS(PROVEEDORES[Total],PROVEEDORES[PROVEEDOR],PROVEEDORES[[#This Row],[PROVEEDOR]],PROVEEDORES[FECHA DE PAGO],"")</f>
        <v>0</v>
      </c>
      <c r="E522" s="146"/>
      <c r="F522" s="144">
        <f>+VLOOKUP(PROVEEDORES[[#This Row],[PROVEEDOR]],
                       Terceros!$A:$G,
                       5,
                       FALSE)</f>
        <v>0</v>
      </c>
      <c r="G522" s="122">
        <v>45138</v>
      </c>
      <c r="H522" s="102" t="s">
        <v>870</v>
      </c>
      <c r="I522" s="122">
        <v>45138</v>
      </c>
      <c r="J522" s="103">
        <v>5961</v>
      </c>
      <c r="K522" s="103" t="s">
        <v>1512</v>
      </c>
      <c r="L522" s="103"/>
      <c r="M522" s="105">
        <v>307000</v>
      </c>
      <c r="N522" s="147">
        <v>0</v>
      </c>
      <c r="O522" s="147">
        <v>0</v>
      </c>
      <c r="P522" s="148">
        <v>0</v>
      </c>
      <c r="Q522" s="147">
        <v>0</v>
      </c>
      <c r="R522" s="149">
        <v>307000</v>
      </c>
      <c r="S5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2" s="150">
        <f ca="1">+IF(PROVEEDORES[[#This Row],[FECHA DE PAGO]]=0,TODAY()-PROVEEDORES[[#This Row],[FECHA DE FACTURACIÓN]]-PROVEEDORES[[#This Row],[PLAZO Días]],0)</f>
        <v>0</v>
      </c>
      <c r="U522" s="150">
        <f>+VLOOKUP(PROVEEDORES[[#This Row],[PROVEEDOR]],Terceros!$A:$E,4,FALSE)</f>
        <v>0</v>
      </c>
      <c r="V522" s="150">
        <f>+YEAR(PROVEEDORES[[#This Row],[FECHA DE FACTURACIÓN]])</f>
        <v>2023</v>
      </c>
      <c r="W522" s="150">
        <f>+MATCH(PROVEEDORES[[#This Row],[año facturado]],Retenciones!$1:$1,0)</f>
        <v>6</v>
      </c>
      <c r="X522" s="151">
        <f>+VLOOKUP(PROVEEDORES[[#This Row],[ID RETENCION]],Retenciones!$A$1:$O$25,PROVEEDORES[[#This Row],[indicador de columna]],FALSE)</f>
        <v>0</v>
      </c>
      <c r="Y522" s="152">
        <f>+VLOOKUP(PROVEEDORES[[#This Row],[ID RETENCION]],Retenciones!$A$1:$O$25,2,FALSE)</f>
        <v>0</v>
      </c>
      <c r="Z522" s="153" t="b">
        <f>+OR(COUNTIF(PROVEEDORES[[#This Row],[PROVEEDOR]],"*"&amp;'Palabra que no opera y Listas d'!$A$2&amp;"*"))</f>
        <v>0</v>
      </c>
    </row>
    <row r="523" spans="1:26" ht="27.75" customHeight="1" x14ac:dyDescent="0.3">
      <c r="A523" s="144" t="str">
        <f>+IF(PROVEEDORES[[#This Row],[FECHA DE PAGO]]=PROVEEDORES[[#This Row],[FECHA DE FACTURACIÓN]],"DE CONTADO","CRÉDITO")</f>
        <v>CRÉDITO</v>
      </c>
      <c r="B523" s="144" t="str">
        <f>+IF((PROVEEDORES[[#This Row],[FECHA DE PAGO]]-PROVEEDORES[[#This Row],[FECHA DE FACTURACIÓN]])&gt;PROVEEDORES[[#This Row],[PLAZO Días]],"PAGO VENCIDO")</f>
        <v>PAGO VENCIDO</v>
      </c>
      <c r="C523" s="144">
        <f>+VLOOKUP(PROVEEDORES[[#This Row],[PROVEEDOR]],TERCEROS_INFO[#All],2,FALSE)</f>
        <v>0</v>
      </c>
      <c r="D523" s="145">
        <f>+SUMIFS(PROVEEDORES[Total],PROVEEDORES[PROVEEDOR],PROVEEDORES[[#This Row],[PROVEEDOR]],PROVEEDORES[FECHA DE PAGO],"")</f>
        <v>1460000.29</v>
      </c>
      <c r="E523" s="146"/>
      <c r="F523" s="144" t="str">
        <f>+VLOOKUP(PROVEEDORES[[#This Row],[PROVEEDOR]],
                       Terceros!$A:$G,
                       5,
                       FALSE)</f>
        <v>2,5% con base</v>
      </c>
      <c r="G523" s="122">
        <v>45139</v>
      </c>
      <c r="H523" s="102" t="s">
        <v>142</v>
      </c>
      <c r="I523" s="122">
        <v>45057</v>
      </c>
      <c r="J523" s="103" t="s">
        <v>810</v>
      </c>
      <c r="K523" s="103" t="s">
        <v>1512</v>
      </c>
      <c r="L523" s="103"/>
      <c r="M523" s="105">
        <v>3564706</v>
      </c>
      <c r="N523" s="147">
        <v>677294.14</v>
      </c>
      <c r="O523" s="147">
        <v>0</v>
      </c>
      <c r="P523" s="148">
        <v>2.5000000000000001E-2</v>
      </c>
      <c r="Q523" s="147">
        <v>89117.650000000009</v>
      </c>
      <c r="R523" s="149">
        <v>4152882.4899999998</v>
      </c>
      <c r="S5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3" s="150">
        <f ca="1">+IF(PROVEEDORES[[#This Row],[FECHA DE PAGO]]=0,TODAY()-PROVEEDORES[[#This Row],[FECHA DE FACTURACIÓN]]-PROVEEDORES[[#This Row],[PLAZO Días]],0)</f>
        <v>0</v>
      </c>
      <c r="U523" s="150">
        <f>+VLOOKUP(PROVEEDORES[[#This Row],[PROVEEDOR]],Terceros!$A:$E,4,FALSE)</f>
        <v>0.19</v>
      </c>
      <c r="V523" s="150">
        <f>+YEAR(PROVEEDORES[[#This Row],[FECHA DE FACTURACIÓN]])</f>
        <v>2023</v>
      </c>
      <c r="W523" s="150">
        <f>+MATCH(PROVEEDORES[[#This Row],[año facturado]],Retenciones!$1:$1,0)</f>
        <v>6</v>
      </c>
      <c r="X523" s="151" t="e">
        <f>+VLOOKUP(PROVEEDORES[[#This Row],[ID RETENCION]],Retenciones!$A$1:$O$25,PROVEEDORES[[#This Row],[indicador de columna]],FALSE)</f>
        <v>#N/A</v>
      </c>
      <c r="Y523" s="152" t="e">
        <f>+VLOOKUP(PROVEEDORES[[#This Row],[ID RETENCION]],Retenciones!$A$1:$O$25,2,FALSE)</f>
        <v>#N/A</v>
      </c>
      <c r="Z523" s="153" t="b">
        <f>+OR(COUNTIF(PROVEEDORES[[#This Row],[PROVEEDOR]],"*"&amp;'Palabra que no opera y Listas d'!$A$2&amp;"*"))</f>
        <v>0</v>
      </c>
    </row>
    <row r="524" spans="1:26" ht="27.75" customHeight="1" x14ac:dyDescent="0.3">
      <c r="A524" s="144" t="str">
        <f>+IF(PROVEEDORES[[#This Row],[FECHA DE PAGO]]=PROVEEDORES[[#This Row],[FECHA DE FACTURACIÓN]],"DE CONTADO","CRÉDITO")</f>
        <v>CRÉDITO</v>
      </c>
      <c r="B524" s="144" t="str">
        <f>+IF((PROVEEDORES[[#This Row],[FECHA DE PAGO]]-PROVEEDORES[[#This Row],[FECHA DE FACTURACIÓN]])&gt;PROVEEDORES[[#This Row],[PLAZO Días]],"PAGO VENCIDO")</f>
        <v>PAGO VENCIDO</v>
      </c>
      <c r="C524" s="144">
        <f>+VLOOKUP(PROVEEDORES[[#This Row],[PROVEEDOR]],TERCEROS_INFO[#All],2,FALSE)</f>
        <v>0</v>
      </c>
      <c r="D524" s="145">
        <f>+SUMIFS(PROVEEDORES[Total],PROVEEDORES[PROVEEDOR],PROVEEDORES[[#This Row],[PROVEEDOR]],PROVEEDORES[FECHA DE PAGO],"")</f>
        <v>0</v>
      </c>
      <c r="E524" s="146"/>
      <c r="F524" s="144">
        <f>+VLOOKUP(PROVEEDORES[[#This Row],[PROVEEDOR]],
                       Terceros!$A:$G,
                       5,
                       FALSE)</f>
        <v>0</v>
      </c>
      <c r="G524" s="122">
        <v>45139</v>
      </c>
      <c r="H524" s="102" t="s">
        <v>1797</v>
      </c>
      <c r="I524" s="122">
        <v>45057</v>
      </c>
      <c r="J524" s="103">
        <v>327168</v>
      </c>
      <c r="K524" s="103" t="s">
        <v>1512</v>
      </c>
      <c r="L524" s="103"/>
      <c r="M524" s="105">
        <v>27000</v>
      </c>
      <c r="N524" s="147">
        <v>0</v>
      </c>
      <c r="O524" s="147">
        <v>0</v>
      </c>
      <c r="P524" s="148">
        <v>0</v>
      </c>
      <c r="Q524" s="147">
        <v>0</v>
      </c>
      <c r="R524" s="149">
        <v>27000</v>
      </c>
      <c r="S5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4" s="150">
        <f ca="1">+IF(PROVEEDORES[[#This Row],[FECHA DE PAGO]]=0,TODAY()-PROVEEDORES[[#This Row],[FECHA DE FACTURACIÓN]]-PROVEEDORES[[#This Row],[PLAZO Días]],0)</f>
        <v>0</v>
      </c>
      <c r="U524" s="150">
        <f>+VLOOKUP(PROVEEDORES[[#This Row],[PROVEEDOR]],Terceros!$A:$E,4,FALSE)</f>
        <v>0</v>
      </c>
      <c r="V524" s="150">
        <f>+YEAR(PROVEEDORES[[#This Row],[FECHA DE FACTURACIÓN]])</f>
        <v>2023</v>
      </c>
      <c r="W524" s="150">
        <f>+MATCH(PROVEEDORES[[#This Row],[año facturado]],Retenciones!$1:$1,0)</f>
        <v>6</v>
      </c>
      <c r="X524" s="151">
        <f>+VLOOKUP(PROVEEDORES[[#This Row],[ID RETENCION]],Retenciones!$A$1:$O$25,PROVEEDORES[[#This Row],[indicador de columna]],FALSE)</f>
        <v>0</v>
      </c>
      <c r="Y524" s="152">
        <f>+VLOOKUP(PROVEEDORES[[#This Row],[ID RETENCION]],Retenciones!$A$1:$O$25,2,FALSE)</f>
        <v>0</v>
      </c>
      <c r="Z524" s="153" t="b">
        <f>+OR(COUNTIF(PROVEEDORES[[#This Row],[PROVEEDOR]],"*"&amp;'Palabra que no opera y Listas d'!$A$2&amp;"*"))</f>
        <v>0</v>
      </c>
    </row>
    <row r="525" spans="1:26" ht="27.75" customHeight="1" x14ac:dyDescent="0.3">
      <c r="A525" s="144" t="str">
        <f>+IF(PROVEEDORES[[#This Row],[FECHA DE PAGO]]=PROVEEDORES[[#This Row],[FECHA DE FACTURACIÓN]],"DE CONTADO","CRÉDITO")</f>
        <v>CRÉDITO</v>
      </c>
      <c r="B525" s="144" t="str">
        <f>+IF((PROVEEDORES[[#This Row],[FECHA DE PAGO]]-PROVEEDORES[[#This Row],[FECHA DE FACTURACIÓN]])&gt;PROVEEDORES[[#This Row],[PLAZO Días]],"PAGO VENCIDO")</f>
        <v>PAGO VENCIDO</v>
      </c>
      <c r="C525" s="144">
        <f>+VLOOKUP(PROVEEDORES[[#This Row],[PROVEEDOR]],TERCEROS_INFO[#All],2,FALSE)</f>
        <v>0</v>
      </c>
      <c r="D525" s="145">
        <f>+SUMIFS(PROVEEDORES[Total],PROVEEDORES[PROVEEDOR],PROVEEDORES[[#This Row],[PROVEEDOR]],PROVEEDORES[FECHA DE PAGO],"")</f>
        <v>3130000</v>
      </c>
      <c r="E525" s="146"/>
      <c r="F525" s="144">
        <f>+VLOOKUP(PROVEEDORES[[#This Row],[PROVEEDOR]],
                       Terceros!$A:$G,
                       5,
                       FALSE)</f>
        <v>0</v>
      </c>
      <c r="G525" s="122">
        <v>45139</v>
      </c>
      <c r="H525" s="102" t="s">
        <v>487</v>
      </c>
      <c r="I525" s="122">
        <v>45091</v>
      </c>
      <c r="J525" s="103">
        <v>2011</v>
      </c>
      <c r="K525" s="103" t="s">
        <v>1512</v>
      </c>
      <c r="L525" s="103"/>
      <c r="M525" s="105">
        <v>205000</v>
      </c>
      <c r="N525" s="147">
        <v>0</v>
      </c>
      <c r="O525" s="147">
        <v>0</v>
      </c>
      <c r="P525" s="148">
        <v>0</v>
      </c>
      <c r="Q525" s="147">
        <v>0</v>
      </c>
      <c r="R525" s="149">
        <v>205000</v>
      </c>
      <c r="S5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5" s="150">
        <f ca="1">+IF(PROVEEDORES[[#This Row],[FECHA DE PAGO]]=0,TODAY()-PROVEEDORES[[#This Row],[FECHA DE FACTURACIÓN]]-PROVEEDORES[[#This Row],[PLAZO Días]],0)</f>
        <v>0</v>
      </c>
      <c r="U525" s="150">
        <f>+VLOOKUP(PROVEEDORES[[#This Row],[PROVEEDOR]],Terceros!$A:$E,4,FALSE)</f>
        <v>0</v>
      </c>
      <c r="V525" s="150">
        <f>+YEAR(PROVEEDORES[[#This Row],[FECHA DE FACTURACIÓN]])</f>
        <v>2023</v>
      </c>
      <c r="W525" s="150">
        <f>+MATCH(PROVEEDORES[[#This Row],[año facturado]],Retenciones!$1:$1,0)</f>
        <v>6</v>
      </c>
      <c r="X525" s="151">
        <f>+VLOOKUP(PROVEEDORES[[#This Row],[ID RETENCION]],Retenciones!$A$1:$O$25,PROVEEDORES[[#This Row],[indicador de columna]],FALSE)</f>
        <v>0</v>
      </c>
      <c r="Y525" s="152">
        <f>+VLOOKUP(PROVEEDORES[[#This Row],[ID RETENCION]],Retenciones!$A$1:$O$25,2,FALSE)</f>
        <v>0</v>
      </c>
      <c r="Z525" s="153" t="b">
        <f>+OR(COUNTIF(PROVEEDORES[[#This Row],[PROVEEDOR]],"*"&amp;'Palabra que no opera y Listas d'!$A$2&amp;"*"))</f>
        <v>0</v>
      </c>
    </row>
    <row r="526" spans="1:26" ht="27.75" customHeight="1" x14ac:dyDescent="0.3">
      <c r="A526" s="144" t="str">
        <f>+IF(PROVEEDORES[[#This Row],[FECHA DE PAGO]]=PROVEEDORES[[#This Row],[FECHA DE FACTURACIÓN]],"DE CONTADO","CRÉDITO")</f>
        <v>CRÉDITO</v>
      </c>
      <c r="B526" s="144" t="str">
        <f>+IF((PROVEEDORES[[#This Row],[FECHA DE PAGO]]-PROVEEDORES[[#This Row],[FECHA DE FACTURACIÓN]])&gt;PROVEEDORES[[#This Row],[PLAZO Días]],"PAGO VENCIDO")</f>
        <v>PAGO VENCIDO</v>
      </c>
      <c r="C526" s="144">
        <f>+VLOOKUP(PROVEEDORES[[#This Row],[PROVEEDOR]],TERCEROS_INFO[#All],2,FALSE)</f>
        <v>0</v>
      </c>
      <c r="D526" s="145">
        <f>+SUMIFS(PROVEEDORES[Total],PROVEEDORES[PROVEEDOR],PROVEEDORES[[#This Row],[PROVEEDOR]],PROVEEDORES[FECHA DE PAGO],"")</f>
        <v>1460000.29</v>
      </c>
      <c r="E526" s="146"/>
      <c r="F526" s="144" t="str">
        <f>+VLOOKUP(PROVEEDORES[[#This Row],[PROVEEDOR]],
                       Terceros!$A:$G,
                       5,
                       FALSE)</f>
        <v>2,5% con base</v>
      </c>
      <c r="G526" s="122">
        <v>45139</v>
      </c>
      <c r="H526" s="102" t="s">
        <v>142</v>
      </c>
      <c r="I526" s="122">
        <v>45094</v>
      </c>
      <c r="J526" s="103" t="s">
        <v>858</v>
      </c>
      <c r="K526" s="103" t="s">
        <v>1512</v>
      </c>
      <c r="L526" s="103"/>
      <c r="M526" s="105">
        <v>537815</v>
      </c>
      <c r="N526" s="147">
        <v>102184.85</v>
      </c>
      <c r="O526" s="147">
        <v>0</v>
      </c>
      <c r="P526" s="148">
        <v>0</v>
      </c>
      <c r="Q526" s="147">
        <v>0</v>
      </c>
      <c r="R526" s="149">
        <v>639999.85</v>
      </c>
      <c r="S5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6" s="150">
        <f ca="1">+IF(PROVEEDORES[[#This Row],[FECHA DE PAGO]]=0,TODAY()-PROVEEDORES[[#This Row],[FECHA DE FACTURACIÓN]]-PROVEEDORES[[#This Row],[PLAZO Días]],0)</f>
        <v>0</v>
      </c>
      <c r="U526" s="150">
        <f>+VLOOKUP(PROVEEDORES[[#This Row],[PROVEEDOR]],Terceros!$A:$E,4,FALSE)</f>
        <v>0.19</v>
      </c>
      <c r="V526" s="150">
        <f>+YEAR(PROVEEDORES[[#This Row],[FECHA DE FACTURACIÓN]])</f>
        <v>2023</v>
      </c>
      <c r="W526" s="150">
        <f>+MATCH(PROVEEDORES[[#This Row],[año facturado]],Retenciones!$1:$1,0)</f>
        <v>6</v>
      </c>
      <c r="X526" s="151" t="e">
        <f>+VLOOKUP(PROVEEDORES[[#This Row],[ID RETENCION]],Retenciones!$A$1:$O$25,PROVEEDORES[[#This Row],[indicador de columna]],FALSE)</f>
        <v>#N/A</v>
      </c>
      <c r="Y526" s="152" t="e">
        <f>+VLOOKUP(PROVEEDORES[[#This Row],[ID RETENCION]],Retenciones!$A$1:$O$25,2,FALSE)</f>
        <v>#N/A</v>
      </c>
      <c r="Z526" s="153" t="b">
        <f>+OR(COUNTIF(PROVEEDORES[[#This Row],[PROVEEDOR]],"*"&amp;'Palabra que no opera y Listas d'!$A$2&amp;"*"))</f>
        <v>0</v>
      </c>
    </row>
    <row r="527" spans="1:26" ht="27.75" customHeight="1" x14ac:dyDescent="0.3">
      <c r="A527" s="144" t="str">
        <f>+IF(PROVEEDORES[[#This Row],[FECHA DE PAGO]]=PROVEEDORES[[#This Row],[FECHA DE FACTURACIÓN]],"DE CONTADO","CRÉDITO")</f>
        <v>CRÉDITO</v>
      </c>
      <c r="B527" s="144" t="str">
        <f>+IF((PROVEEDORES[[#This Row],[FECHA DE PAGO]]-PROVEEDORES[[#This Row],[FECHA DE FACTURACIÓN]])&gt;PROVEEDORES[[#This Row],[PLAZO Días]],"PAGO VENCIDO")</f>
        <v>PAGO VENCIDO</v>
      </c>
      <c r="C527" s="144">
        <f>+VLOOKUP(PROVEEDORES[[#This Row],[PROVEEDOR]],TERCEROS_INFO[#All],2,FALSE)</f>
        <v>0</v>
      </c>
      <c r="D527" s="145">
        <f>+SUMIFS(PROVEEDORES[Total],PROVEEDORES[PROVEEDOR],PROVEEDORES[[#This Row],[PROVEEDOR]],PROVEEDORES[FECHA DE PAGO],"")</f>
        <v>8493745.8849999998</v>
      </c>
      <c r="E527" s="146"/>
      <c r="F527" s="144" t="str">
        <f>+VLOOKUP(PROVEEDORES[[#This Row],[PROVEEDOR]],
                       Terceros!$A:$G,
                       5,
                       FALSE)</f>
        <v>2,5% con base</v>
      </c>
      <c r="G527" s="122">
        <v>45139</v>
      </c>
      <c r="H527" s="102" t="s">
        <v>10</v>
      </c>
      <c r="I527" s="122">
        <v>45098</v>
      </c>
      <c r="J527" s="103" t="s">
        <v>894</v>
      </c>
      <c r="K527" s="103" t="s">
        <v>1512</v>
      </c>
      <c r="L527" s="103"/>
      <c r="M527" s="105">
        <v>2480677</v>
      </c>
      <c r="N527" s="147">
        <v>471328.63</v>
      </c>
      <c r="O527" s="147">
        <v>0</v>
      </c>
      <c r="P527" s="148">
        <v>2.5000000000000001E-2</v>
      </c>
      <c r="Q527" s="147">
        <v>62016.925000000003</v>
      </c>
      <c r="R527" s="149">
        <v>2889988.7050000001</v>
      </c>
      <c r="S5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7" s="150">
        <f ca="1">+IF(PROVEEDORES[[#This Row],[FECHA DE PAGO]]=0,TODAY()-PROVEEDORES[[#This Row],[FECHA DE FACTURACIÓN]]-PROVEEDORES[[#This Row],[PLAZO Días]],0)</f>
        <v>0</v>
      </c>
      <c r="U527" s="150">
        <f>+VLOOKUP(PROVEEDORES[[#This Row],[PROVEEDOR]],Terceros!$A:$E,4,FALSE)</f>
        <v>0.19</v>
      </c>
      <c r="V527" s="150">
        <f>+YEAR(PROVEEDORES[[#This Row],[FECHA DE FACTURACIÓN]])</f>
        <v>2023</v>
      </c>
      <c r="W527" s="150">
        <f>+MATCH(PROVEEDORES[[#This Row],[año facturado]],Retenciones!$1:$1,0)</f>
        <v>6</v>
      </c>
      <c r="X527" s="151" t="e">
        <f>+VLOOKUP(PROVEEDORES[[#This Row],[ID RETENCION]],Retenciones!$A$1:$O$25,PROVEEDORES[[#This Row],[indicador de columna]],FALSE)</f>
        <v>#N/A</v>
      </c>
      <c r="Y527" s="152" t="e">
        <f>+VLOOKUP(PROVEEDORES[[#This Row],[ID RETENCION]],Retenciones!$A$1:$O$25,2,FALSE)</f>
        <v>#N/A</v>
      </c>
      <c r="Z527" s="153" t="b">
        <f>+OR(COUNTIF(PROVEEDORES[[#This Row],[PROVEEDOR]],"*"&amp;'Palabra que no opera y Listas d'!$A$2&amp;"*"))</f>
        <v>0</v>
      </c>
    </row>
    <row r="528" spans="1:26" ht="27.75" customHeight="1" x14ac:dyDescent="0.3">
      <c r="A528" s="144" t="str">
        <f>+IF(PROVEEDORES[[#This Row],[FECHA DE PAGO]]=PROVEEDORES[[#This Row],[FECHA DE FACTURACIÓN]],"DE CONTADO","CRÉDITO")</f>
        <v>CRÉDITO</v>
      </c>
      <c r="B528" s="144" t="str">
        <f>+IF((PROVEEDORES[[#This Row],[FECHA DE PAGO]]-PROVEEDORES[[#This Row],[FECHA DE FACTURACIÓN]])&gt;PROVEEDORES[[#This Row],[PLAZO Días]],"PAGO VENCIDO")</f>
        <v>PAGO VENCIDO</v>
      </c>
      <c r="C528" s="144">
        <f>+VLOOKUP(PROVEEDORES[[#This Row],[PROVEEDOR]],TERCEROS_INFO[#All],2,FALSE)</f>
        <v>0</v>
      </c>
      <c r="D528" s="145">
        <f>+SUMIFS(PROVEEDORES[Total],PROVEEDORES[PROVEEDOR],PROVEEDORES[[#This Row],[PROVEEDOR]],PROVEEDORES[FECHA DE PAGO],"")</f>
        <v>8493745.8849999998</v>
      </c>
      <c r="E528" s="146"/>
      <c r="F528" s="144" t="str">
        <f>+VLOOKUP(PROVEEDORES[[#This Row],[PROVEEDOR]],
                       Terceros!$A:$G,
                       5,
                       FALSE)</f>
        <v>2,5% con base</v>
      </c>
      <c r="G528" s="122">
        <v>45139</v>
      </c>
      <c r="H528" s="102" t="s">
        <v>10</v>
      </c>
      <c r="I528" s="122">
        <v>45105</v>
      </c>
      <c r="J528" s="103" t="s">
        <v>893</v>
      </c>
      <c r="K528" s="103" t="s">
        <v>1512</v>
      </c>
      <c r="L528" s="103"/>
      <c r="M528" s="105">
        <v>3882360</v>
      </c>
      <c r="N528" s="147">
        <v>737648.4</v>
      </c>
      <c r="O528" s="147">
        <v>0</v>
      </c>
      <c r="P528" s="148">
        <v>2.5000000000000001E-2</v>
      </c>
      <c r="Q528" s="147">
        <v>97059</v>
      </c>
      <c r="R528" s="149">
        <v>4522949.4000000004</v>
      </c>
      <c r="S5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8" s="150">
        <f ca="1">+IF(PROVEEDORES[[#This Row],[FECHA DE PAGO]]=0,TODAY()-PROVEEDORES[[#This Row],[FECHA DE FACTURACIÓN]]-PROVEEDORES[[#This Row],[PLAZO Días]],0)</f>
        <v>0</v>
      </c>
      <c r="U528" s="150">
        <f>+VLOOKUP(PROVEEDORES[[#This Row],[PROVEEDOR]],Terceros!$A:$E,4,FALSE)</f>
        <v>0.19</v>
      </c>
      <c r="V528" s="150">
        <f>+YEAR(PROVEEDORES[[#This Row],[FECHA DE FACTURACIÓN]])</f>
        <v>2023</v>
      </c>
      <c r="W528" s="150">
        <f>+MATCH(PROVEEDORES[[#This Row],[año facturado]],Retenciones!$1:$1,0)</f>
        <v>6</v>
      </c>
      <c r="X528" s="151" t="e">
        <f>+VLOOKUP(PROVEEDORES[[#This Row],[ID RETENCION]],Retenciones!$A$1:$O$25,PROVEEDORES[[#This Row],[indicador de columna]],FALSE)</f>
        <v>#N/A</v>
      </c>
      <c r="Y528" s="152" t="e">
        <f>+VLOOKUP(PROVEEDORES[[#This Row],[ID RETENCION]],Retenciones!$A$1:$O$25,2,FALSE)</f>
        <v>#N/A</v>
      </c>
      <c r="Z528" s="153" t="b">
        <f>+OR(COUNTIF(PROVEEDORES[[#This Row],[PROVEEDOR]],"*"&amp;'Palabra que no opera y Listas d'!$A$2&amp;"*"))</f>
        <v>0</v>
      </c>
    </row>
    <row r="529" spans="1:26" ht="27.75" customHeight="1" x14ac:dyDescent="0.3">
      <c r="A529" s="144" t="str">
        <f>+IF(PROVEEDORES[[#This Row],[FECHA DE PAGO]]=PROVEEDORES[[#This Row],[FECHA DE FACTURACIÓN]],"DE CONTADO","CRÉDITO")</f>
        <v>CRÉDITO</v>
      </c>
      <c r="B529" s="144" t="str">
        <f>+IF((PROVEEDORES[[#This Row],[FECHA DE PAGO]]-PROVEEDORES[[#This Row],[FECHA DE FACTURACIÓN]])&gt;PROVEEDORES[[#This Row],[PLAZO Días]],"PAGO VENCIDO")</f>
        <v>PAGO VENCIDO</v>
      </c>
      <c r="C529" s="144">
        <f>+VLOOKUP(PROVEEDORES[[#This Row],[PROVEEDOR]],TERCEROS_INFO[#All],2,FALSE)</f>
        <v>0</v>
      </c>
      <c r="D529" s="145">
        <f>+SUMIFS(PROVEEDORES[Total],PROVEEDORES[PROVEEDOR],PROVEEDORES[[#This Row],[PROVEEDOR]],PROVEEDORES[FECHA DE PAGO],"")</f>
        <v>0</v>
      </c>
      <c r="E529" s="146"/>
      <c r="F529" s="144">
        <f>+VLOOKUP(PROVEEDORES[[#This Row],[PROVEEDOR]],
                       Terceros!$A:$G,
                       5,
                       FALSE)</f>
        <v>0</v>
      </c>
      <c r="G529" s="122">
        <v>45139</v>
      </c>
      <c r="H529" s="102" t="s">
        <v>1782</v>
      </c>
      <c r="I529" s="122">
        <v>45112</v>
      </c>
      <c r="J529" s="103" t="s">
        <v>936</v>
      </c>
      <c r="K529" s="103" t="s">
        <v>1512</v>
      </c>
      <c r="L529" s="103"/>
      <c r="M529" s="105">
        <v>504000</v>
      </c>
      <c r="N529" s="147">
        <v>0</v>
      </c>
      <c r="O529" s="147">
        <v>0</v>
      </c>
      <c r="P529" s="148">
        <v>0</v>
      </c>
      <c r="Q529" s="147">
        <v>0</v>
      </c>
      <c r="R529" s="149">
        <v>504000</v>
      </c>
      <c r="S5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9" s="150">
        <f ca="1">+IF(PROVEEDORES[[#This Row],[FECHA DE PAGO]]=0,TODAY()-PROVEEDORES[[#This Row],[FECHA DE FACTURACIÓN]]-PROVEEDORES[[#This Row],[PLAZO Días]],0)</f>
        <v>0</v>
      </c>
      <c r="U529" s="150">
        <f>+VLOOKUP(PROVEEDORES[[#This Row],[PROVEEDOR]],Terceros!$A:$E,4,FALSE)</f>
        <v>0</v>
      </c>
      <c r="V529" s="150">
        <f>+YEAR(PROVEEDORES[[#This Row],[FECHA DE FACTURACIÓN]])</f>
        <v>2023</v>
      </c>
      <c r="W529" s="150">
        <f>+MATCH(PROVEEDORES[[#This Row],[año facturado]],Retenciones!$1:$1,0)</f>
        <v>6</v>
      </c>
      <c r="X529" s="151">
        <f>+VLOOKUP(PROVEEDORES[[#This Row],[ID RETENCION]],Retenciones!$A$1:$O$25,PROVEEDORES[[#This Row],[indicador de columna]],FALSE)</f>
        <v>0</v>
      </c>
      <c r="Y529" s="152">
        <f>+VLOOKUP(PROVEEDORES[[#This Row],[ID RETENCION]],Retenciones!$A$1:$O$25,2,FALSE)</f>
        <v>0</v>
      </c>
      <c r="Z529" s="153" t="b">
        <f>+OR(COUNTIF(PROVEEDORES[[#This Row],[PROVEEDOR]],"*"&amp;'Palabra que no opera y Listas d'!$A$2&amp;"*"))</f>
        <v>0</v>
      </c>
    </row>
    <row r="530" spans="1:26" ht="27.75" customHeight="1" x14ac:dyDescent="0.3">
      <c r="A530" s="144" t="str">
        <f>+IF(PROVEEDORES[[#This Row],[FECHA DE PAGO]]=PROVEEDORES[[#This Row],[FECHA DE FACTURACIÓN]],"DE CONTADO","CRÉDITO")</f>
        <v>CRÉDITO</v>
      </c>
      <c r="B530" s="144" t="str">
        <f>+IF((PROVEEDORES[[#This Row],[FECHA DE PAGO]]-PROVEEDORES[[#This Row],[FECHA DE FACTURACIÓN]])&gt;PROVEEDORES[[#This Row],[PLAZO Días]],"PAGO VENCIDO")</f>
        <v>PAGO VENCIDO</v>
      </c>
      <c r="C530" s="144">
        <f>+VLOOKUP(PROVEEDORES[[#This Row],[PROVEEDOR]],TERCEROS_INFO[#All],2,FALSE)</f>
        <v>0</v>
      </c>
      <c r="D530" s="145">
        <f>+SUMIFS(PROVEEDORES[Total],PROVEEDORES[PROVEEDOR],PROVEEDORES[[#This Row],[PROVEEDOR]],PROVEEDORES[FECHA DE PAGO],"")</f>
        <v>17710735.315650001</v>
      </c>
      <c r="E530" s="146"/>
      <c r="F530" s="144" t="str">
        <f>+VLOOKUP(PROVEEDORES[[#This Row],[PROVEEDOR]],
                       Terceros!$A:$G,
                       5,
                       FALSE)</f>
        <v>2,5% con base</v>
      </c>
      <c r="G530" s="122">
        <v>45140</v>
      </c>
      <c r="H530" s="102" t="s">
        <v>11</v>
      </c>
      <c r="I530" s="122">
        <v>45030</v>
      </c>
      <c r="J530" s="103" t="s">
        <v>717</v>
      </c>
      <c r="K530" s="103" t="s">
        <v>1512</v>
      </c>
      <c r="L530" s="103"/>
      <c r="M530" s="105">
        <v>15915968</v>
      </c>
      <c r="N530" s="147">
        <v>3024033.92</v>
      </c>
      <c r="O530" s="147">
        <v>0</v>
      </c>
      <c r="P530" s="148">
        <v>2.5000000000000001E-2</v>
      </c>
      <c r="Q530" s="147">
        <v>397899.2</v>
      </c>
      <c r="R530" s="149">
        <v>18542102.720000003</v>
      </c>
      <c r="S5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0" s="150">
        <f ca="1">+IF(PROVEEDORES[[#This Row],[FECHA DE PAGO]]=0,TODAY()-PROVEEDORES[[#This Row],[FECHA DE FACTURACIÓN]]-PROVEEDORES[[#This Row],[PLAZO Días]],0)</f>
        <v>0</v>
      </c>
      <c r="U530" s="150">
        <f>+VLOOKUP(PROVEEDORES[[#This Row],[PROVEEDOR]],Terceros!$A:$E,4,FALSE)</f>
        <v>0.19</v>
      </c>
      <c r="V530" s="150">
        <f>+YEAR(PROVEEDORES[[#This Row],[FECHA DE FACTURACIÓN]])</f>
        <v>2023</v>
      </c>
      <c r="W530" s="150">
        <f>+MATCH(PROVEEDORES[[#This Row],[año facturado]],Retenciones!$1:$1,0)</f>
        <v>6</v>
      </c>
      <c r="X530" s="151" t="e">
        <f>+VLOOKUP(PROVEEDORES[[#This Row],[ID RETENCION]],Retenciones!$A$1:$O$25,PROVEEDORES[[#This Row],[indicador de columna]],FALSE)</f>
        <v>#N/A</v>
      </c>
      <c r="Y530" s="152" t="e">
        <f>+VLOOKUP(PROVEEDORES[[#This Row],[ID RETENCION]],Retenciones!$A$1:$O$25,2,FALSE)</f>
        <v>#N/A</v>
      </c>
      <c r="Z530" s="153" t="b">
        <f>+OR(COUNTIF(PROVEEDORES[[#This Row],[PROVEEDOR]],"*"&amp;'Palabra que no opera y Listas d'!$A$2&amp;"*"))</f>
        <v>0</v>
      </c>
    </row>
    <row r="531" spans="1:26" ht="27.75" customHeight="1" x14ac:dyDescent="0.3">
      <c r="A531" s="144" t="str">
        <f>+IF(PROVEEDORES[[#This Row],[FECHA DE PAGO]]=PROVEEDORES[[#This Row],[FECHA DE FACTURACIÓN]],"DE CONTADO","CRÉDITO")</f>
        <v>CRÉDITO</v>
      </c>
      <c r="B531" s="144" t="str">
        <f>+IF((PROVEEDORES[[#This Row],[FECHA DE PAGO]]-PROVEEDORES[[#This Row],[FECHA DE FACTURACIÓN]])&gt;PROVEEDORES[[#This Row],[PLAZO Días]],"PAGO VENCIDO")</f>
        <v>PAGO VENCIDO</v>
      </c>
      <c r="C531" s="144">
        <f>+VLOOKUP(PROVEEDORES[[#This Row],[PROVEEDOR]],TERCEROS_INFO[#All],2,FALSE)</f>
        <v>0</v>
      </c>
      <c r="D531" s="145">
        <f>+SUMIFS(PROVEEDORES[Total],PROVEEDORES[PROVEEDOR],PROVEEDORES[[#This Row],[PROVEEDOR]],PROVEEDORES[FECHA DE PAGO],"")</f>
        <v>5013121.9850000003</v>
      </c>
      <c r="E531" s="146"/>
      <c r="F531" s="144" t="str">
        <f>+VLOOKUP(PROVEEDORES[[#This Row],[PROVEEDOR]],
                       Terceros!$A:$G,
                       5,
                       FALSE)</f>
        <v>2,5% con base</v>
      </c>
      <c r="G531" s="122">
        <v>45140</v>
      </c>
      <c r="H531" s="102" t="s">
        <v>201</v>
      </c>
      <c r="I531" s="122">
        <v>45037</v>
      </c>
      <c r="J531" s="103" t="s">
        <v>745</v>
      </c>
      <c r="K531" s="103" t="s">
        <v>1512</v>
      </c>
      <c r="L531" s="103"/>
      <c r="M531" s="105">
        <v>6747647</v>
      </c>
      <c r="N531" s="147">
        <v>1282052.93</v>
      </c>
      <c r="O531" s="147">
        <v>0</v>
      </c>
      <c r="P531" s="148">
        <v>2.5000000000000001E-2</v>
      </c>
      <c r="Q531" s="147">
        <v>168691.17500000002</v>
      </c>
      <c r="R531" s="149">
        <v>7861008.7549999999</v>
      </c>
      <c r="S5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1" s="150">
        <f ca="1">+IF(PROVEEDORES[[#This Row],[FECHA DE PAGO]]=0,TODAY()-PROVEEDORES[[#This Row],[FECHA DE FACTURACIÓN]]-PROVEEDORES[[#This Row],[PLAZO Días]],0)</f>
        <v>0</v>
      </c>
      <c r="U531" s="150">
        <f>+VLOOKUP(PROVEEDORES[[#This Row],[PROVEEDOR]],Terceros!$A:$E,4,FALSE)</f>
        <v>0.19</v>
      </c>
      <c r="V531" s="150">
        <f>+YEAR(PROVEEDORES[[#This Row],[FECHA DE FACTURACIÓN]])</f>
        <v>2023</v>
      </c>
      <c r="W531" s="150">
        <f>+MATCH(PROVEEDORES[[#This Row],[año facturado]],Retenciones!$1:$1,0)</f>
        <v>6</v>
      </c>
      <c r="X531" s="151" t="e">
        <f>+VLOOKUP(PROVEEDORES[[#This Row],[ID RETENCION]],Retenciones!$A$1:$O$25,PROVEEDORES[[#This Row],[indicador de columna]],FALSE)</f>
        <v>#N/A</v>
      </c>
      <c r="Y531" s="152" t="e">
        <f>+VLOOKUP(PROVEEDORES[[#This Row],[ID RETENCION]],Retenciones!$A$1:$O$25,2,FALSE)</f>
        <v>#N/A</v>
      </c>
      <c r="Z531" s="153" t="b">
        <f>+OR(COUNTIF(PROVEEDORES[[#This Row],[PROVEEDOR]],"*"&amp;'Palabra que no opera y Listas d'!$A$2&amp;"*"))</f>
        <v>0</v>
      </c>
    </row>
    <row r="532" spans="1:26" ht="27.75" customHeight="1" x14ac:dyDescent="0.3">
      <c r="A532" s="144" t="str">
        <f>+IF(PROVEEDORES[[#This Row],[FECHA DE PAGO]]=PROVEEDORES[[#This Row],[FECHA DE FACTURACIÓN]],"DE CONTADO","CRÉDITO")</f>
        <v>CRÉDITO</v>
      </c>
      <c r="B532" s="144" t="str">
        <f>+IF((PROVEEDORES[[#This Row],[FECHA DE PAGO]]-PROVEEDORES[[#This Row],[FECHA DE FACTURACIÓN]])&gt;PROVEEDORES[[#This Row],[PLAZO Días]],"PAGO VENCIDO")</f>
        <v>PAGO VENCIDO</v>
      </c>
      <c r="C532" s="144">
        <f>+VLOOKUP(PROVEEDORES[[#This Row],[PROVEEDOR]],TERCEROS_INFO[#All],2,FALSE)</f>
        <v>0</v>
      </c>
      <c r="D532" s="145">
        <f>+SUMIFS(PROVEEDORES[Total],PROVEEDORES[PROVEEDOR],PROVEEDORES[[#This Row],[PROVEEDOR]],PROVEEDORES[FECHA DE PAGO],"")</f>
        <v>0</v>
      </c>
      <c r="E532" s="146"/>
      <c r="F532" s="144">
        <f>+VLOOKUP(PROVEEDORES[[#This Row],[PROVEEDOR]],
                       Terceros!$A:$G,
                       5,
                       FALSE)</f>
        <v>0</v>
      </c>
      <c r="G532" s="122">
        <v>45140</v>
      </c>
      <c r="H532" s="102" t="s">
        <v>1788</v>
      </c>
      <c r="I532" s="122">
        <v>45062</v>
      </c>
      <c r="J532" s="103" t="s">
        <v>791</v>
      </c>
      <c r="K532" s="103" t="s">
        <v>1512</v>
      </c>
      <c r="L532" s="103"/>
      <c r="M532" s="105">
        <v>2965000</v>
      </c>
      <c r="N532" s="147">
        <v>0</v>
      </c>
      <c r="O532" s="147">
        <v>0</v>
      </c>
      <c r="P532" s="148">
        <v>0</v>
      </c>
      <c r="Q532" s="147">
        <v>0</v>
      </c>
      <c r="R532" s="149">
        <v>2965000</v>
      </c>
      <c r="S5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2" s="150">
        <f ca="1">+IF(PROVEEDORES[[#This Row],[FECHA DE PAGO]]=0,TODAY()-PROVEEDORES[[#This Row],[FECHA DE FACTURACIÓN]]-PROVEEDORES[[#This Row],[PLAZO Días]],0)</f>
        <v>0</v>
      </c>
      <c r="U532" s="150">
        <f>+VLOOKUP(PROVEEDORES[[#This Row],[PROVEEDOR]],Terceros!$A:$E,4,FALSE)</f>
        <v>0</v>
      </c>
      <c r="V532" s="150">
        <f>+YEAR(PROVEEDORES[[#This Row],[FECHA DE FACTURACIÓN]])</f>
        <v>2023</v>
      </c>
      <c r="W532" s="150">
        <f>+MATCH(PROVEEDORES[[#This Row],[año facturado]],Retenciones!$1:$1,0)</f>
        <v>6</v>
      </c>
      <c r="X532" s="151">
        <f>+VLOOKUP(PROVEEDORES[[#This Row],[ID RETENCION]],Retenciones!$A$1:$O$25,PROVEEDORES[[#This Row],[indicador de columna]],FALSE)</f>
        <v>0</v>
      </c>
      <c r="Y532" s="152">
        <f>+VLOOKUP(PROVEEDORES[[#This Row],[ID RETENCION]],Retenciones!$A$1:$O$25,2,FALSE)</f>
        <v>0</v>
      </c>
      <c r="Z532" s="153" t="b">
        <f>+OR(COUNTIF(PROVEEDORES[[#This Row],[PROVEEDOR]],"*"&amp;'Palabra que no opera y Listas d'!$A$2&amp;"*"))</f>
        <v>0</v>
      </c>
    </row>
    <row r="533" spans="1:26" ht="27.75" customHeight="1" x14ac:dyDescent="0.3">
      <c r="A533" s="144" t="str">
        <f>+IF(PROVEEDORES[[#This Row],[FECHA DE PAGO]]=PROVEEDORES[[#This Row],[FECHA DE FACTURACIÓN]],"DE CONTADO","CRÉDITO")</f>
        <v>CRÉDITO</v>
      </c>
      <c r="B533" s="144" t="str">
        <f>+IF((PROVEEDORES[[#This Row],[FECHA DE PAGO]]-PROVEEDORES[[#This Row],[FECHA DE FACTURACIÓN]])&gt;PROVEEDORES[[#This Row],[PLAZO Días]],"PAGO VENCIDO")</f>
        <v>PAGO VENCIDO</v>
      </c>
      <c r="C533" s="144">
        <f>+VLOOKUP(PROVEEDORES[[#This Row],[PROVEEDOR]],TERCEROS_INFO[#All],2,FALSE)</f>
        <v>0</v>
      </c>
      <c r="D533" s="145">
        <f>+SUMIFS(PROVEEDORES[Total],PROVEEDORES[PROVEEDOR],PROVEEDORES[[#This Row],[PROVEEDOR]],PROVEEDORES[FECHA DE PAGO],"")</f>
        <v>0</v>
      </c>
      <c r="E533" s="146"/>
      <c r="F533" s="144">
        <f>+VLOOKUP(PROVEEDORES[[#This Row],[PROVEEDOR]],
                       Terceros!$A:$G,
                       5,
                       FALSE)</f>
        <v>0</v>
      </c>
      <c r="G533" s="122">
        <v>45140</v>
      </c>
      <c r="H533" s="102" t="s">
        <v>845</v>
      </c>
      <c r="I533" s="122">
        <v>45138</v>
      </c>
      <c r="J533" s="103">
        <v>5</v>
      </c>
      <c r="K533" s="103" t="s">
        <v>1512</v>
      </c>
      <c r="L533" s="103"/>
      <c r="M533" s="105">
        <v>444000</v>
      </c>
      <c r="N533" s="147">
        <v>0</v>
      </c>
      <c r="O533" s="147">
        <v>0</v>
      </c>
      <c r="P533" s="148">
        <v>0</v>
      </c>
      <c r="Q533" s="147">
        <v>0</v>
      </c>
      <c r="R533" s="149">
        <v>444000</v>
      </c>
      <c r="S5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3" s="150">
        <f ca="1">+IF(PROVEEDORES[[#This Row],[FECHA DE PAGO]]=0,TODAY()-PROVEEDORES[[#This Row],[FECHA DE FACTURACIÓN]]-PROVEEDORES[[#This Row],[PLAZO Días]],0)</f>
        <v>0</v>
      </c>
      <c r="U533" s="150">
        <f>+VLOOKUP(PROVEEDORES[[#This Row],[PROVEEDOR]],Terceros!$A:$E,4,FALSE)</f>
        <v>0</v>
      </c>
      <c r="V533" s="150">
        <f>+YEAR(PROVEEDORES[[#This Row],[FECHA DE FACTURACIÓN]])</f>
        <v>2023</v>
      </c>
      <c r="W533" s="150">
        <f>+MATCH(PROVEEDORES[[#This Row],[año facturado]],Retenciones!$1:$1,0)</f>
        <v>6</v>
      </c>
      <c r="X533" s="151">
        <f>+VLOOKUP(PROVEEDORES[[#This Row],[ID RETENCION]],Retenciones!$A$1:$O$25,PROVEEDORES[[#This Row],[indicador de columna]],FALSE)</f>
        <v>0</v>
      </c>
      <c r="Y533" s="152">
        <f>+VLOOKUP(PROVEEDORES[[#This Row],[ID RETENCION]],Retenciones!$A$1:$O$25,2,FALSE)</f>
        <v>0</v>
      </c>
      <c r="Z533" s="153" t="b">
        <f>+OR(COUNTIF(PROVEEDORES[[#This Row],[PROVEEDOR]],"*"&amp;'Palabra que no opera y Listas d'!$A$2&amp;"*"))</f>
        <v>0</v>
      </c>
    </row>
    <row r="534" spans="1:26" ht="27.75" customHeight="1" x14ac:dyDescent="0.3">
      <c r="A534" s="144" t="str">
        <f>+IF(PROVEEDORES[[#This Row],[FECHA DE PAGO]]=PROVEEDORES[[#This Row],[FECHA DE FACTURACIÓN]],"DE CONTADO","CRÉDITO")</f>
        <v>CRÉDITO</v>
      </c>
      <c r="B534" s="144" t="str">
        <f>+IF((PROVEEDORES[[#This Row],[FECHA DE PAGO]]-PROVEEDORES[[#This Row],[FECHA DE FACTURACIÓN]])&gt;PROVEEDORES[[#This Row],[PLAZO Días]],"PAGO VENCIDO")</f>
        <v>PAGO VENCIDO</v>
      </c>
      <c r="C534" s="144">
        <f>+VLOOKUP(PROVEEDORES[[#This Row],[PROVEEDOR]],TERCEROS_INFO[#All],2,FALSE)</f>
        <v>0</v>
      </c>
      <c r="D534" s="145">
        <f>+SUMIFS(PROVEEDORES[Total],PROVEEDORES[PROVEEDOR],PROVEEDORES[[#This Row],[PROVEEDOR]],PROVEEDORES[FECHA DE PAGO],"")</f>
        <v>0</v>
      </c>
      <c r="E534" s="146"/>
      <c r="F534" s="144">
        <f>+VLOOKUP(PROVEEDORES[[#This Row],[PROVEEDOR]],
                       Terceros!$A:$G,
                       5,
                       FALSE)</f>
        <v>0</v>
      </c>
      <c r="G534" s="122">
        <v>45140</v>
      </c>
      <c r="H534" s="102" t="s">
        <v>496</v>
      </c>
      <c r="I534" s="122">
        <v>45139</v>
      </c>
      <c r="J534" s="103" t="s">
        <v>971</v>
      </c>
      <c r="K534" s="103" t="s">
        <v>1512</v>
      </c>
      <c r="L534" s="103"/>
      <c r="M534" s="105">
        <v>10615000</v>
      </c>
      <c r="N534" s="147">
        <v>0</v>
      </c>
      <c r="O534" s="147">
        <v>0</v>
      </c>
      <c r="P534" s="148">
        <v>0</v>
      </c>
      <c r="Q534" s="147">
        <v>0</v>
      </c>
      <c r="R534" s="149">
        <v>10615000</v>
      </c>
      <c r="S5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4" s="150">
        <f ca="1">+IF(PROVEEDORES[[#This Row],[FECHA DE PAGO]]=0,TODAY()-PROVEEDORES[[#This Row],[FECHA DE FACTURACIÓN]]-PROVEEDORES[[#This Row],[PLAZO Días]],0)</f>
        <v>0</v>
      </c>
      <c r="U534" s="150">
        <f>+VLOOKUP(PROVEEDORES[[#This Row],[PROVEEDOR]],Terceros!$A:$E,4,FALSE)</f>
        <v>0</v>
      </c>
      <c r="V534" s="150">
        <f>+YEAR(PROVEEDORES[[#This Row],[FECHA DE FACTURACIÓN]])</f>
        <v>2023</v>
      </c>
      <c r="W534" s="150">
        <f>+MATCH(PROVEEDORES[[#This Row],[año facturado]],Retenciones!$1:$1,0)</f>
        <v>6</v>
      </c>
      <c r="X534" s="151">
        <f>+VLOOKUP(PROVEEDORES[[#This Row],[ID RETENCION]],Retenciones!$A$1:$O$25,PROVEEDORES[[#This Row],[indicador de columna]],FALSE)</f>
        <v>0</v>
      </c>
      <c r="Y534" s="152">
        <f>+VLOOKUP(PROVEEDORES[[#This Row],[ID RETENCION]],Retenciones!$A$1:$O$25,2,FALSE)</f>
        <v>0</v>
      </c>
      <c r="Z534" s="153" t="b">
        <f>+OR(COUNTIF(PROVEEDORES[[#This Row],[PROVEEDOR]],"*"&amp;'Palabra que no opera y Listas d'!$A$2&amp;"*"))</f>
        <v>0</v>
      </c>
    </row>
    <row r="535" spans="1:26" ht="27.75" customHeight="1" x14ac:dyDescent="0.3">
      <c r="A535" s="144" t="str">
        <f>+IF(PROVEEDORES[[#This Row],[FECHA DE PAGO]]=PROVEEDORES[[#This Row],[FECHA DE FACTURACIÓN]],"DE CONTADO","CRÉDITO")</f>
        <v>DE CONTADO</v>
      </c>
      <c r="B535" s="144" t="b">
        <f>+IF((PROVEEDORES[[#This Row],[FECHA DE PAGO]]-PROVEEDORES[[#This Row],[FECHA DE FACTURACIÓN]])&gt;PROVEEDORES[[#This Row],[PLAZO Días]],"PAGO VENCIDO")</f>
        <v>0</v>
      </c>
      <c r="C535" s="144">
        <f>+VLOOKUP(PROVEEDORES[[#This Row],[PROVEEDOR]],TERCEROS_INFO[#All],2,FALSE)</f>
        <v>0</v>
      </c>
      <c r="D535" s="145">
        <f>+SUMIFS(PROVEEDORES[Total],PROVEEDORES[PROVEEDOR],PROVEEDORES[[#This Row],[PROVEEDOR]],PROVEEDORES[FECHA DE PAGO],"")</f>
        <v>0</v>
      </c>
      <c r="E535" s="146"/>
      <c r="F535" s="144" t="str">
        <f>+VLOOKUP(PROVEEDORES[[#This Row],[PROVEEDOR]],
                       Terceros!$A:$G,
                       5,
                       FALSE)</f>
        <v>2,5% con base</v>
      </c>
      <c r="G535" s="122">
        <v>45140</v>
      </c>
      <c r="H535" s="102" t="s">
        <v>35</v>
      </c>
      <c r="I535" s="122">
        <v>45140</v>
      </c>
      <c r="J535" s="103" t="s">
        <v>955</v>
      </c>
      <c r="K535" s="103" t="s">
        <v>1512</v>
      </c>
      <c r="L535" s="103"/>
      <c r="M535" s="105">
        <v>160710</v>
      </c>
      <c r="N535" s="147">
        <v>30534.9</v>
      </c>
      <c r="O535" s="147">
        <v>0</v>
      </c>
      <c r="P535" s="148">
        <v>0</v>
      </c>
      <c r="Q535" s="147">
        <v>0</v>
      </c>
      <c r="R535" s="149">
        <v>191244.9</v>
      </c>
      <c r="S5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5" s="150">
        <f ca="1">+IF(PROVEEDORES[[#This Row],[FECHA DE PAGO]]=0,TODAY()-PROVEEDORES[[#This Row],[FECHA DE FACTURACIÓN]]-PROVEEDORES[[#This Row],[PLAZO Días]],0)</f>
        <v>0</v>
      </c>
      <c r="U535" s="150">
        <f>+VLOOKUP(PROVEEDORES[[#This Row],[PROVEEDOR]],Terceros!$A:$E,4,FALSE)</f>
        <v>0.19</v>
      </c>
      <c r="V535" s="150">
        <f>+YEAR(PROVEEDORES[[#This Row],[FECHA DE FACTURACIÓN]])</f>
        <v>2023</v>
      </c>
      <c r="W535" s="150">
        <f>+MATCH(PROVEEDORES[[#This Row],[año facturado]],Retenciones!$1:$1,0)</f>
        <v>6</v>
      </c>
      <c r="X535" s="151" t="e">
        <f>+VLOOKUP(PROVEEDORES[[#This Row],[ID RETENCION]],Retenciones!$A$1:$O$25,PROVEEDORES[[#This Row],[indicador de columna]],FALSE)</f>
        <v>#N/A</v>
      </c>
      <c r="Y535" s="152" t="e">
        <f>+VLOOKUP(PROVEEDORES[[#This Row],[ID RETENCION]],Retenciones!$A$1:$O$25,2,FALSE)</f>
        <v>#N/A</v>
      </c>
      <c r="Z535" s="153" t="b">
        <f>+OR(COUNTIF(PROVEEDORES[[#This Row],[PROVEEDOR]],"*"&amp;'Palabra que no opera y Listas d'!$A$2&amp;"*"))</f>
        <v>0</v>
      </c>
    </row>
    <row r="536" spans="1:26" ht="27.75" customHeight="1" x14ac:dyDescent="0.3">
      <c r="A536" s="144" t="str">
        <f>+IF(PROVEEDORES[[#This Row],[FECHA DE PAGO]]=PROVEEDORES[[#This Row],[FECHA DE FACTURACIÓN]],"DE CONTADO","CRÉDITO")</f>
        <v>CRÉDITO</v>
      </c>
      <c r="B536" s="144" t="str">
        <f>+IF((PROVEEDORES[[#This Row],[FECHA DE PAGO]]-PROVEEDORES[[#This Row],[FECHA DE FACTURACIÓN]])&gt;PROVEEDORES[[#This Row],[PLAZO Días]],"PAGO VENCIDO")</f>
        <v>PAGO VENCIDO</v>
      </c>
      <c r="C536" s="144">
        <f>+VLOOKUP(PROVEEDORES[[#This Row],[PROVEEDOR]],TERCEROS_INFO[#All],2,FALSE)</f>
        <v>0</v>
      </c>
      <c r="D536" s="145">
        <f>+SUMIFS(PROVEEDORES[Total],PROVEEDORES[PROVEEDOR],PROVEEDORES[[#This Row],[PROVEEDOR]],PROVEEDORES[FECHA DE PAGO],"")</f>
        <v>0</v>
      </c>
      <c r="E536" s="146"/>
      <c r="F536" s="144">
        <f>+VLOOKUP(PROVEEDORES[[#This Row],[PROVEEDOR]],
                       Terceros!$A:$G,
                       5,
                       FALSE)</f>
        <v>0</v>
      </c>
      <c r="G536" s="122">
        <v>45141</v>
      </c>
      <c r="H536" s="102" t="s">
        <v>496</v>
      </c>
      <c r="I536" s="122">
        <v>45140</v>
      </c>
      <c r="J536" s="103" t="s">
        <v>974</v>
      </c>
      <c r="K536" s="103" t="s">
        <v>1512</v>
      </c>
      <c r="L536" s="103"/>
      <c r="M536" s="105">
        <v>918000</v>
      </c>
      <c r="N536" s="147">
        <v>0</v>
      </c>
      <c r="O536" s="147">
        <v>0</v>
      </c>
      <c r="P536" s="148">
        <v>0</v>
      </c>
      <c r="Q536" s="147">
        <v>0</v>
      </c>
      <c r="R536" s="149">
        <v>918000</v>
      </c>
      <c r="S5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6" s="150">
        <f ca="1">+IF(PROVEEDORES[[#This Row],[FECHA DE PAGO]]=0,TODAY()-PROVEEDORES[[#This Row],[FECHA DE FACTURACIÓN]]-PROVEEDORES[[#This Row],[PLAZO Días]],0)</f>
        <v>0</v>
      </c>
      <c r="U536" s="150">
        <f>+VLOOKUP(PROVEEDORES[[#This Row],[PROVEEDOR]],Terceros!$A:$E,4,FALSE)</f>
        <v>0</v>
      </c>
      <c r="V536" s="150">
        <f>+YEAR(PROVEEDORES[[#This Row],[FECHA DE FACTURACIÓN]])</f>
        <v>2023</v>
      </c>
      <c r="W536" s="150">
        <f>+MATCH(PROVEEDORES[[#This Row],[año facturado]],Retenciones!$1:$1,0)</f>
        <v>6</v>
      </c>
      <c r="X536" s="151">
        <f>+VLOOKUP(PROVEEDORES[[#This Row],[ID RETENCION]],Retenciones!$A$1:$O$25,PROVEEDORES[[#This Row],[indicador de columna]],FALSE)</f>
        <v>0</v>
      </c>
      <c r="Y536" s="152">
        <f>+VLOOKUP(PROVEEDORES[[#This Row],[ID RETENCION]],Retenciones!$A$1:$O$25,2,FALSE)</f>
        <v>0</v>
      </c>
      <c r="Z536" s="153" t="b">
        <f>+OR(COUNTIF(PROVEEDORES[[#This Row],[PROVEEDOR]],"*"&amp;'Palabra que no opera y Listas d'!$A$2&amp;"*"))</f>
        <v>0</v>
      </c>
    </row>
    <row r="537" spans="1:26" ht="27.75" customHeight="1" x14ac:dyDescent="0.3">
      <c r="A537" s="144" t="str">
        <f>+IF(PROVEEDORES[[#This Row],[FECHA DE PAGO]]=PROVEEDORES[[#This Row],[FECHA DE FACTURACIÓN]],"DE CONTADO","CRÉDITO")</f>
        <v>DE CONTADO</v>
      </c>
      <c r="B537" s="144" t="b">
        <f>+IF((PROVEEDORES[[#This Row],[FECHA DE PAGO]]-PROVEEDORES[[#This Row],[FECHA DE FACTURACIÓN]])&gt;PROVEEDORES[[#This Row],[PLAZO Días]],"PAGO VENCIDO")</f>
        <v>0</v>
      </c>
      <c r="C537" s="144">
        <f>+VLOOKUP(PROVEEDORES[[#This Row],[PROVEEDOR]],TERCEROS_INFO[#All],2,FALSE)</f>
        <v>0</v>
      </c>
      <c r="D537" s="145">
        <f>+SUMIFS(PROVEEDORES[Total],PROVEEDORES[PROVEEDOR],PROVEEDORES[[#This Row],[PROVEEDOR]],PROVEEDORES[FECHA DE PAGO],"")</f>
        <v>550000</v>
      </c>
      <c r="E537" s="146"/>
      <c r="F537" s="144">
        <f>+VLOOKUP(PROVEEDORES[[#This Row],[PROVEEDOR]],
                       Terceros!$A:$G,
                       5,
                       FALSE)</f>
        <v>0</v>
      </c>
      <c r="G537" s="122">
        <v>45141</v>
      </c>
      <c r="H537" s="102" t="s">
        <v>1784</v>
      </c>
      <c r="I537" s="122">
        <v>45141</v>
      </c>
      <c r="J537" s="103" t="s">
        <v>954</v>
      </c>
      <c r="K537" s="103" t="s">
        <v>1512</v>
      </c>
      <c r="L537" s="103"/>
      <c r="M537" s="105">
        <v>290000</v>
      </c>
      <c r="N537" s="147">
        <v>0</v>
      </c>
      <c r="O537" s="147">
        <v>0</v>
      </c>
      <c r="P537" s="148">
        <v>0</v>
      </c>
      <c r="Q537" s="147">
        <v>0</v>
      </c>
      <c r="R537" s="149">
        <v>290000</v>
      </c>
      <c r="S5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7" s="150">
        <f ca="1">+IF(PROVEEDORES[[#This Row],[FECHA DE PAGO]]=0,TODAY()-PROVEEDORES[[#This Row],[FECHA DE FACTURACIÓN]]-PROVEEDORES[[#This Row],[PLAZO Días]],0)</f>
        <v>0</v>
      </c>
      <c r="U537" s="150">
        <f>+VLOOKUP(PROVEEDORES[[#This Row],[PROVEEDOR]],Terceros!$A:$E,4,FALSE)</f>
        <v>0</v>
      </c>
      <c r="V537" s="150">
        <f>+YEAR(PROVEEDORES[[#This Row],[FECHA DE FACTURACIÓN]])</f>
        <v>2023</v>
      </c>
      <c r="W537" s="150">
        <f>+MATCH(PROVEEDORES[[#This Row],[año facturado]],Retenciones!$1:$1,0)</f>
        <v>6</v>
      </c>
      <c r="X537" s="151">
        <f>+VLOOKUP(PROVEEDORES[[#This Row],[ID RETENCION]],Retenciones!$A$1:$O$25,PROVEEDORES[[#This Row],[indicador de columna]],FALSE)</f>
        <v>0</v>
      </c>
      <c r="Y537" s="152">
        <f>+VLOOKUP(PROVEEDORES[[#This Row],[ID RETENCION]],Retenciones!$A$1:$O$25,2,FALSE)</f>
        <v>0</v>
      </c>
      <c r="Z537" s="153" t="b">
        <f>+OR(COUNTIF(PROVEEDORES[[#This Row],[PROVEEDOR]],"*"&amp;'Palabra que no opera y Listas d'!$A$2&amp;"*"))</f>
        <v>0</v>
      </c>
    </row>
    <row r="538" spans="1:26" ht="27.75" customHeight="1" x14ac:dyDescent="0.3">
      <c r="A538" s="144" t="str">
        <f>+IF(PROVEEDORES[[#This Row],[FECHA DE PAGO]]=PROVEEDORES[[#This Row],[FECHA DE FACTURACIÓN]],"DE CONTADO","CRÉDITO")</f>
        <v>CRÉDITO</v>
      </c>
      <c r="B538" s="144" t="str">
        <f>+IF((PROVEEDORES[[#This Row],[FECHA DE PAGO]]-PROVEEDORES[[#This Row],[FECHA DE FACTURACIÓN]])&gt;PROVEEDORES[[#This Row],[PLAZO Días]],"PAGO VENCIDO")</f>
        <v>PAGO VENCIDO</v>
      </c>
      <c r="C538" s="144">
        <f>+VLOOKUP(PROVEEDORES[[#This Row],[PROVEEDOR]],TERCEROS_INFO[#All],2,FALSE)</f>
        <v>0</v>
      </c>
      <c r="D538" s="145">
        <f>+SUMIFS(PROVEEDORES[Total],PROVEEDORES[PROVEEDOR],PROVEEDORES[[#This Row],[PROVEEDOR]],PROVEEDORES[FECHA DE PAGO],"")</f>
        <v>5820290</v>
      </c>
      <c r="E538" s="146"/>
      <c r="F538" s="144">
        <f>+VLOOKUP(PROVEEDORES[[#This Row],[PROVEEDOR]],
                       Terceros!$A:$G,
                       5,
                       FALSE)</f>
        <v>0</v>
      </c>
      <c r="G538" s="122">
        <v>45142</v>
      </c>
      <c r="H538" s="102" t="s">
        <v>461</v>
      </c>
      <c r="I538" s="122">
        <v>45101</v>
      </c>
      <c r="J538" s="103" t="s">
        <v>887</v>
      </c>
      <c r="K538" s="103" t="s">
        <v>1512</v>
      </c>
      <c r="L538" s="103"/>
      <c r="M538" s="105">
        <v>7560000</v>
      </c>
      <c r="N538" s="147">
        <v>1436400</v>
      </c>
      <c r="O538" s="147">
        <v>0</v>
      </c>
      <c r="P538" s="148">
        <v>0</v>
      </c>
      <c r="Q538" s="147">
        <v>0</v>
      </c>
      <c r="R538" s="149">
        <v>8996400</v>
      </c>
      <c r="S5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8" s="150">
        <f ca="1">+IF(PROVEEDORES[[#This Row],[FECHA DE PAGO]]=0,TODAY()-PROVEEDORES[[#This Row],[FECHA DE FACTURACIÓN]]-PROVEEDORES[[#This Row],[PLAZO Días]],0)</f>
        <v>0</v>
      </c>
      <c r="U538" s="150">
        <f>+VLOOKUP(PROVEEDORES[[#This Row],[PROVEEDOR]],Terceros!$A:$E,4,FALSE)</f>
        <v>0.19</v>
      </c>
      <c r="V538" s="150">
        <f>+YEAR(PROVEEDORES[[#This Row],[FECHA DE FACTURACIÓN]])</f>
        <v>2023</v>
      </c>
      <c r="W538" s="150">
        <f>+MATCH(PROVEEDORES[[#This Row],[año facturado]],Retenciones!$1:$1,0)</f>
        <v>6</v>
      </c>
      <c r="X538" s="151" t="e">
        <f>+VLOOKUP(PROVEEDORES[[#This Row],[ID RETENCION]],Retenciones!$A$1:$O$25,PROVEEDORES[[#This Row],[indicador de columna]],FALSE)</f>
        <v>#N/A</v>
      </c>
      <c r="Y538" s="152" t="e">
        <f>+VLOOKUP(PROVEEDORES[[#This Row],[ID RETENCION]],Retenciones!$A$1:$O$25,2,FALSE)</f>
        <v>#N/A</v>
      </c>
      <c r="Z538" s="153" t="b">
        <f>+OR(COUNTIF(PROVEEDORES[[#This Row],[PROVEEDOR]],"*"&amp;'Palabra que no opera y Listas d'!$A$2&amp;"*"))</f>
        <v>0</v>
      </c>
    </row>
    <row r="539" spans="1:26" ht="27.75" customHeight="1" x14ac:dyDescent="0.3">
      <c r="A539" s="144" t="str">
        <f>+IF(PROVEEDORES[[#This Row],[FECHA DE PAGO]]=PROVEEDORES[[#This Row],[FECHA DE FACTURACIÓN]],"DE CONTADO","CRÉDITO")</f>
        <v>CRÉDITO</v>
      </c>
      <c r="B539" s="144" t="str">
        <f>+IF((PROVEEDORES[[#This Row],[FECHA DE PAGO]]-PROVEEDORES[[#This Row],[FECHA DE FACTURACIÓN]])&gt;PROVEEDORES[[#This Row],[PLAZO Días]],"PAGO VENCIDO")</f>
        <v>PAGO VENCIDO</v>
      </c>
      <c r="C539" s="144">
        <f>+VLOOKUP(PROVEEDORES[[#This Row],[PROVEEDOR]],TERCEROS_INFO[#All],2,FALSE)</f>
        <v>0</v>
      </c>
      <c r="D539" s="145">
        <f>+SUMIFS(PROVEEDORES[Total],PROVEEDORES[PROVEEDOR],PROVEEDORES[[#This Row],[PROVEEDOR]],PROVEEDORES[FECHA DE PAGO],"")</f>
        <v>5820290</v>
      </c>
      <c r="E539" s="146"/>
      <c r="F539" s="144">
        <f>+VLOOKUP(PROVEEDORES[[#This Row],[PROVEEDOR]],
                       Terceros!$A:$G,
                       5,
                       FALSE)</f>
        <v>0</v>
      </c>
      <c r="G539" s="122">
        <v>45142</v>
      </c>
      <c r="H539" s="102" t="s">
        <v>461</v>
      </c>
      <c r="I539" s="122">
        <v>45104</v>
      </c>
      <c r="J539" s="103" t="s">
        <v>886</v>
      </c>
      <c r="K539" s="103" t="s">
        <v>1512</v>
      </c>
      <c r="L539" s="103"/>
      <c r="M539" s="105">
        <v>3240000</v>
      </c>
      <c r="N539" s="147">
        <v>615600</v>
      </c>
      <c r="O539" s="147">
        <v>0</v>
      </c>
      <c r="P539" s="148">
        <v>0</v>
      </c>
      <c r="Q539" s="147">
        <v>0</v>
      </c>
      <c r="R539" s="149">
        <v>3855600</v>
      </c>
      <c r="S5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9" s="150">
        <f ca="1">+IF(PROVEEDORES[[#This Row],[FECHA DE PAGO]]=0,TODAY()-PROVEEDORES[[#This Row],[FECHA DE FACTURACIÓN]]-PROVEEDORES[[#This Row],[PLAZO Días]],0)</f>
        <v>0</v>
      </c>
      <c r="U539" s="150">
        <f>+VLOOKUP(PROVEEDORES[[#This Row],[PROVEEDOR]],Terceros!$A:$E,4,FALSE)</f>
        <v>0.19</v>
      </c>
      <c r="V539" s="150">
        <f>+YEAR(PROVEEDORES[[#This Row],[FECHA DE FACTURACIÓN]])</f>
        <v>2023</v>
      </c>
      <c r="W539" s="150">
        <f>+MATCH(PROVEEDORES[[#This Row],[año facturado]],Retenciones!$1:$1,0)</f>
        <v>6</v>
      </c>
      <c r="X539" s="151" t="e">
        <f>+VLOOKUP(PROVEEDORES[[#This Row],[ID RETENCION]],Retenciones!$A$1:$O$25,PROVEEDORES[[#This Row],[indicador de columna]],FALSE)</f>
        <v>#N/A</v>
      </c>
      <c r="Y539" s="152" t="e">
        <f>+VLOOKUP(PROVEEDORES[[#This Row],[ID RETENCION]],Retenciones!$A$1:$O$25,2,FALSE)</f>
        <v>#N/A</v>
      </c>
      <c r="Z539" s="153" t="b">
        <f>+OR(COUNTIF(PROVEEDORES[[#This Row],[PROVEEDOR]],"*"&amp;'Palabra que no opera y Listas d'!$A$2&amp;"*"))</f>
        <v>0</v>
      </c>
    </row>
    <row r="540" spans="1:26" ht="27.75" customHeight="1" x14ac:dyDescent="0.3">
      <c r="A540" s="144" t="str">
        <f>+IF(PROVEEDORES[[#This Row],[FECHA DE PAGO]]=PROVEEDORES[[#This Row],[FECHA DE FACTURACIÓN]],"DE CONTADO","CRÉDITO")</f>
        <v>CRÉDITO</v>
      </c>
      <c r="B540" s="144" t="str">
        <f>+IF((PROVEEDORES[[#This Row],[FECHA DE PAGO]]-PROVEEDORES[[#This Row],[FECHA DE FACTURACIÓN]])&gt;PROVEEDORES[[#This Row],[PLAZO Días]],"PAGO VENCIDO")</f>
        <v>PAGO VENCIDO</v>
      </c>
      <c r="C540" s="144">
        <f>+VLOOKUP(PROVEEDORES[[#This Row],[PROVEEDOR]],TERCEROS_INFO[#All],2,FALSE)</f>
        <v>0</v>
      </c>
      <c r="D540" s="145">
        <f>+SUMIFS(PROVEEDORES[Total],PROVEEDORES[PROVEEDOR],PROVEEDORES[[#This Row],[PROVEEDOR]],PROVEEDORES[FECHA DE PAGO],"")</f>
        <v>1503120</v>
      </c>
      <c r="E540" s="146"/>
      <c r="F540" s="144">
        <f>+VLOOKUP(PROVEEDORES[[#This Row],[PROVEEDOR]],
                       Terceros!$A:$G,
                       5,
                       FALSE)</f>
        <v>0</v>
      </c>
      <c r="G540" s="122">
        <v>45142</v>
      </c>
      <c r="H540" s="102" t="s">
        <v>1780</v>
      </c>
      <c r="I540" s="122">
        <v>45141</v>
      </c>
      <c r="J540" s="103" t="s">
        <v>972</v>
      </c>
      <c r="K540" s="103" t="s">
        <v>1512</v>
      </c>
      <c r="L540" s="103"/>
      <c r="M540" s="105">
        <v>2713360</v>
      </c>
      <c r="N540" s="147">
        <v>0</v>
      </c>
      <c r="O540" s="147">
        <v>0</v>
      </c>
      <c r="P540" s="148">
        <v>0</v>
      </c>
      <c r="Q540" s="147">
        <v>0</v>
      </c>
      <c r="R540" s="149">
        <v>2713360</v>
      </c>
      <c r="S5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0" s="150">
        <f ca="1">+IF(PROVEEDORES[[#This Row],[FECHA DE PAGO]]=0,TODAY()-PROVEEDORES[[#This Row],[FECHA DE FACTURACIÓN]]-PROVEEDORES[[#This Row],[PLAZO Días]],0)</f>
        <v>0</v>
      </c>
      <c r="U540" s="150">
        <f>+VLOOKUP(PROVEEDORES[[#This Row],[PROVEEDOR]],Terceros!$A:$E,4,FALSE)</f>
        <v>0</v>
      </c>
      <c r="V540" s="150">
        <f>+YEAR(PROVEEDORES[[#This Row],[FECHA DE FACTURACIÓN]])</f>
        <v>2023</v>
      </c>
      <c r="W540" s="150">
        <f>+MATCH(PROVEEDORES[[#This Row],[año facturado]],Retenciones!$1:$1,0)</f>
        <v>6</v>
      </c>
      <c r="X540" s="151">
        <f>+VLOOKUP(PROVEEDORES[[#This Row],[ID RETENCION]],Retenciones!$A$1:$O$25,PROVEEDORES[[#This Row],[indicador de columna]],FALSE)</f>
        <v>0</v>
      </c>
      <c r="Y540" s="152">
        <f>+VLOOKUP(PROVEEDORES[[#This Row],[ID RETENCION]],Retenciones!$A$1:$O$25,2,FALSE)</f>
        <v>0</v>
      </c>
      <c r="Z540" s="153" t="b">
        <f>+OR(COUNTIF(PROVEEDORES[[#This Row],[PROVEEDOR]],"*"&amp;'Palabra que no opera y Listas d'!$A$2&amp;"*"))</f>
        <v>0</v>
      </c>
    </row>
    <row r="541" spans="1:26" ht="27.75" customHeight="1" x14ac:dyDescent="0.3">
      <c r="A541" s="144" t="str">
        <f>+IF(PROVEEDORES[[#This Row],[FECHA DE PAGO]]=PROVEEDORES[[#This Row],[FECHA DE FACTURACIÓN]],"DE CONTADO","CRÉDITO")</f>
        <v>DE CONTADO</v>
      </c>
      <c r="B541" s="144" t="b">
        <f>+IF((PROVEEDORES[[#This Row],[FECHA DE PAGO]]-PROVEEDORES[[#This Row],[FECHA DE FACTURACIÓN]])&gt;PROVEEDORES[[#This Row],[PLAZO Días]],"PAGO VENCIDO")</f>
        <v>0</v>
      </c>
      <c r="C541" s="144">
        <f>+VLOOKUP(PROVEEDORES[[#This Row],[PROVEEDOR]],TERCEROS_INFO[#All],2,FALSE)</f>
        <v>0</v>
      </c>
      <c r="D541" s="145">
        <f>+SUMIFS(PROVEEDORES[Total],PROVEEDORES[PROVEEDOR],PROVEEDORES[[#This Row],[PROVEEDOR]],PROVEEDORES[FECHA DE PAGO],"")</f>
        <v>0</v>
      </c>
      <c r="E541" s="146"/>
      <c r="F541" s="144">
        <f>+VLOOKUP(PROVEEDORES[[#This Row],[PROVEEDOR]],
                       Terceros!$A:$G,
                       5,
                       FALSE)</f>
        <v>0</v>
      </c>
      <c r="G541" s="122">
        <v>45143</v>
      </c>
      <c r="H541" s="102" t="s">
        <v>1799</v>
      </c>
      <c r="I541" s="122">
        <v>45143</v>
      </c>
      <c r="J541" s="103">
        <v>50823</v>
      </c>
      <c r="K541" s="103" t="s">
        <v>1512</v>
      </c>
      <c r="L541" s="103"/>
      <c r="M541" s="105">
        <v>1263500</v>
      </c>
      <c r="N541" s="147">
        <v>0</v>
      </c>
      <c r="O541" s="147">
        <v>0</v>
      </c>
      <c r="P541" s="148">
        <v>0</v>
      </c>
      <c r="Q541" s="147">
        <v>0</v>
      </c>
      <c r="R541" s="149">
        <v>1263500</v>
      </c>
      <c r="S5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1" s="150">
        <f ca="1">+IF(PROVEEDORES[[#This Row],[FECHA DE PAGO]]=0,TODAY()-PROVEEDORES[[#This Row],[FECHA DE FACTURACIÓN]]-PROVEEDORES[[#This Row],[PLAZO Días]],0)</f>
        <v>0</v>
      </c>
      <c r="U541" s="150">
        <f>+VLOOKUP(PROVEEDORES[[#This Row],[PROVEEDOR]],Terceros!$A:$E,4,FALSE)</f>
        <v>0</v>
      </c>
      <c r="V541" s="150">
        <f>+YEAR(PROVEEDORES[[#This Row],[FECHA DE FACTURACIÓN]])</f>
        <v>2023</v>
      </c>
      <c r="W541" s="150">
        <f>+MATCH(PROVEEDORES[[#This Row],[año facturado]],Retenciones!$1:$1,0)</f>
        <v>6</v>
      </c>
      <c r="X541" s="151">
        <f>+VLOOKUP(PROVEEDORES[[#This Row],[ID RETENCION]],Retenciones!$A$1:$O$25,PROVEEDORES[[#This Row],[indicador de columna]],FALSE)</f>
        <v>0</v>
      </c>
      <c r="Y541" s="152">
        <f>+VLOOKUP(PROVEEDORES[[#This Row],[ID RETENCION]],Retenciones!$A$1:$O$25,2,FALSE)</f>
        <v>0</v>
      </c>
      <c r="Z541" s="153" t="b">
        <f>+OR(COUNTIF(PROVEEDORES[[#This Row],[PROVEEDOR]],"*"&amp;'Palabra que no opera y Listas d'!$A$2&amp;"*"))</f>
        <v>0</v>
      </c>
    </row>
    <row r="542" spans="1:26" ht="27.75" customHeight="1" x14ac:dyDescent="0.3">
      <c r="A542" s="144" t="str">
        <f>+IF(PROVEEDORES[[#This Row],[FECHA DE PAGO]]=PROVEEDORES[[#This Row],[FECHA DE FACTURACIÓN]],"DE CONTADO","CRÉDITO")</f>
        <v>DE CONTADO</v>
      </c>
      <c r="B542" s="144" t="b">
        <f>+IF((PROVEEDORES[[#This Row],[FECHA DE PAGO]]-PROVEEDORES[[#This Row],[FECHA DE FACTURACIÓN]])&gt;PROVEEDORES[[#This Row],[PLAZO Días]],"PAGO VENCIDO")</f>
        <v>0</v>
      </c>
      <c r="C542" s="144">
        <f>+VLOOKUP(PROVEEDORES[[#This Row],[PROVEEDOR]],TERCEROS_INFO[#All],2,FALSE)</f>
        <v>0</v>
      </c>
      <c r="D542" s="145">
        <f>+SUMIFS(PROVEEDORES[Total],PROVEEDORES[PROVEEDOR],PROVEEDORES[[#This Row],[PROVEEDOR]],PROVEEDORES[FECHA DE PAGO],"")</f>
        <v>0</v>
      </c>
      <c r="E542" s="146"/>
      <c r="F542" s="144">
        <f>+VLOOKUP(PROVEEDORES[[#This Row],[PROVEEDOR]],
                       Terceros!$A:$G,
                       5,
                       FALSE)</f>
        <v>0</v>
      </c>
      <c r="G542" s="122">
        <v>45144</v>
      </c>
      <c r="H542" s="102" t="s">
        <v>1798</v>
      </c>
      <c r="I542" s="122">
        <v>45144</v>
      </c>
      <c r="J542" s="103" t="s">
        <v>973</v>
      </c>
      <c r="K542" s="103" t="s">
        <v>1512</v>
      </c>
      <c r="L542" s="103"/>
      <c r="M542" s="105">
        <v>680000</v>
      </c>
      <c r="N542" s="147">
        <v>0</v>
      </c>
      <c r="O542" s="147">
        <v>0</v>
      </c>
      <c r="P542" s="148">
        <v>0</v>
      </c>
      <c r="Q542" s="147">
        <v>0</v>
      </c>
      <c r="R542" s="149">
        <v>680000</v>
      </c>
      <c r="S5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2" s="150">
        <f ca="1">+IF(PROVEEDORES[[#This Row],[FECHA DE PAGO]]=0,TODAY()-PROVEEDORES[[#This Row],[FECHA DE FACTURACIÓN]]-PROVEEDORES[[#This Row],[PLAZO Días]],0)</f>
        <v>0</v>
      </c>
      <c r="U542" s="150">
        <f>+VLOOKUP(PROVEEDORES[[#This Row],[PROVEEDOR]],Terceros!$A:$E,4,FALSE)</f>
        <v>0</v>
      </c>
      <c r="V542" s="150">
        <f>+YEAR(PROVEEDORES[[#This Row],[FECHA DE FACTURACIÓN]])</f>
        <v>2023</v>
      </c>
      <c r="W542" s="150">
        <f>+MATCH(PROVEEDORES[[#This Row],[año facturado]],Retenciones!$1:$1,0)</f>
        <v>6</v>
      </c>
      <c r="X542" s="151">
        <f>+VLOOKUP(PROVEEDORES[[#This Row],[ID RETENCION]],Retenciones!$A$1:$O$25,PROVEEDORES[[#This Row],[indicador de columna]],FALSE)</f>
        <v>0</v>
      </c>
      <c r="Y542" s="152">
        <f>+VLOOKUP(PROVEEDORES[[#This Row],[ID RETENCION]],Retenciones!$A$1:$O$25,2,FALSE)</f>
        <v>0</v>
      </c>
      <c r="Z542" s="153" t="b">
        <f>+OR(COUNTIF(PROVEEDORES[[#This Row],[PROVEEDOR]],"*"&amp;'Palabra que no opera y Listas d'!$A$2&amp;"*"))</f>
        <v>0</v>
      </c>
    </row>
    <row r="543" spans="1:26" ht="27.75" customHeight="1" x14ac:dyDescent="0.3">
      <c r="A543" s="144" t="str">
        <f>+IF(PROVEEDORES[[#This Row],[FECHA DE PAGO]]=PROVEEDORES[[#This Row],[FECHA DE FACTURACIÓN]],"DE CONTADO","CRÉDITO")</f>
        <v>CRÉDITO</v>
      </c>
      <c r="B543" s="144" t="str">
        <f>+IF((PROVEEDORES[[#This Row],[FECHA DE PAGO]]-PROVEEDORES[[#This Row],[FECHA DE FACTURACIÓN]])&gt;PROVEEDORES[[#This Row],[PLAZO Días]],"PAGO VENCIDO")</f>
        <v>PAGO VENCIDO</v>
      </c>
      <c r="C543" s="144">
        <f>+VLOOKUP(PROVEEDORES[[#This Row],[PROVEEDOR]],TERCEROS_INFO[#All],2,FALSE)</f>
        <v>0</v>
      </c>
      <c r="D543" s="145">
        <f>+SUMIFS(PROVEEDORES[Total],PROVEEDORES[PROVEEDOR],PROVEEDORES[[#This Row],[PROVEEDOR]],PROVEEDORES[FECHA DE PAGO],"")</f>
        <v>0</v>
      </c>
      <c r="E543" s="146"/>
      <c r="F543" s="144">
        <f>+VLOOKUP(PROVEEDORES[[#This Row],[PROVEEDOR]],
                       Terceros!$A:$G,
                       5,
                       FALSE)</f>
        <v>0</v>
      </c>
      <c r="G543" s="122">
        <v>45146</v>
      </c>
      <c r="H543" s="102" t="s">
        <v>1788</v>
      </c>
      <c r="I543" s="122">
        <v>45070</v>
      </c>
      <c r="J543" s="103" t="s">
        <v>868</v>
      </c>
      <c r="K543" s="103" t="s">
        <v>1512</v>
      </c>
      <c r="L543" s="103"/>
      <c r="M543" s="105">
        <v>250000</v>
      </c>
      <c r="N543" s="147">
        <v>0</v>
      </c>
      <c r="O543" s="147">
        <v>0</v>
      </c>
      <c r="P543" s="148">
        <v>0</v>
      </c>
      <c r="Q543" s="147">
        <v>0</v>
      </c>
      <c r="R543" s="149">
        <v>250000</v>
      </c>
      <c r="S5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3" s="150">
        <f ca="1">+IF(PROVEEDORES[[#This Row],[FECHA DE PAGO]]=0,TODAY()-PROVEEDORES[[#This Row],[FECHA DE FACTURACIÓN]]-PROVEEDORES[[#This Row],[PLAZO Días]],0)</f>
        <v>0</v>
      </c>
      <c r="U543" s="150">
        <f>+VLOOKUP(PROVEEDORES[[#This Row],[PROVEEDOR]],Terceros!$A:$E,4,FALSE)</f>
        <v>0</v>
      </c>
      <c r="V543" s="150">
        <f>+YEAR(PROVEEDORES[[#This Row],[FECHA DE FACTURACIÓN]])</f>
        <v>2023</v>
      </c>
      <c r="W543" s="150">
        <f>+MATCH(PROVEEDORES[[#This Row],[año facturado]],Retenciones!$1:$1,0)</f>
        <v>6</v>
      </c>
      <c r="X543" s="151">
        <f>+VLOOKUP(PROVEEDORES[[#This Row],[ID RETENCION]],Retenciones!$A$1:$O$25,PROVEEDORES[[#This Row],[indicador de columna]],FALSE)</f>
        <v>0</v>
      </c>
      <c r="Y543" s="152">
        <f>+VLOOKUP(PROVEEDORES[[#This Row],[ID RETENCION]],Retenciones!$A$1:$O$25,2,FALSE)</f>
        <v>0</v>
      </c>
      <c r="Z543" s="153" t="b">
        <f>+OR(COUNTIF(PROVEEDORES[[#This Row],[PROVEEDOR]],"*"&amp;'Palabra que no opera y Listas d'!$A$2&amp;"*"))</f>
        <v>0</v>
      </c>
    </row>
    <row r="544" spans="1:26" ht="27.75" customHeight="1" x14ac:dyDescent="0.3">
      <c r="A544" s="144" t="str">
        <f>+IF(PROVEEDORES[[#This Row],[FECHA DE PAGO]]=PROVEEDORES[[#This Row],[FECHA DE FACTURACIÓN]],"DE CONTADO","CRÉDITO")</f>
        <v>CRÉDITO</v>
      </c>
      <c r="B544" s="144" t="str">
        <f>+IF((PROVEEDORES[[#This Row],[FECHA DE PAGO]]-PROVEEDORES[[#This Row],[FECHA DE FACTURACIÓN]])&gt;PROVEEDORES[[#This Row],[PLAZO Días]],"PAGO VENCIDO")</f>
        <v>PAGO VENCIDO</v>
      </c>
      <c r="C544" s="144">
        <f>+VLOOKUP(PROVEEDORES[[#This Row],[PROVEEDOR]],TERCEROS_INFO[#All],2,FALSE)</f>
        <v>0</v>
      </c>
      <c r="D544" s="145">
        <f>+SUMIFS(PROVEEDORES[Total],PROVEEDORES[PROVEEDOR],PROVEEDORES[[#This Row],[PROVEEDOR]],PROVEEDORES[FECHA DE PAGO],"")</f>
        <v>0</v>
      </c>
      <c r="E544" s="146"/>
      <c r="F544" s="144">
        <f>+VLOOKUP(PROVEEDORES[[#This Row],[PROVEEDOR]],
                       Terceros!$A:$G,
                       5,
                       FALSE)</f>
        <v>0</v>
      </c>
      <c r="G544" s="122">
        <v>45146</v>
      </c>
      <c r="H544" s="102" t="s">
        <v>1788</v>
      </c>
      <c r="I544" s="122">
        <v>45070</v>
      </c>
      <c r="J544" s="103" t="s">
        <v>816</v>
      </c>
      <c r="K544" s="103" t="s">
        <v>1512</v>
      </c>
      <c r="L544" s="103"/>
      <c r="M544" s="105">
        <v>2777500</v>
      </c>
      <c r="N544" s="147">
        <v>0</v>
      </c>
      <c r="O544" s="147">
        <v>0</v>
      </c>
      <c r="P544" s="148">
        <v>0</v>
      </c>
      <c r="Q544" s="147">
        <v>0</v>
      </c>
      <c r="R544" s="149">
        <v>2777500</v>
      </c>
      <c r="S5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4" s="150">
        <f ca="1">+IF(PROVEEDORES[[#This Row],[FECHA DE PAGO]]=0,TODAY()-PROVEEDORES[[#This Row],[FECHA DE FACTURACIÓN]]-PROVEEDORES[[#This Row],[PLAZO Días]],0)</f>
        <v>0</v>
      </c>
      <c r="U544" s="150">
        <f>+VLOOKUP(PROVEEDORES[[#This Row],[PROVEEDOR]],Terceros!$A:$E,4,FALSE)</f>
        <v>0</v>
      </c>
      <c r="V544" s="150">
        <f>+YEAR(PROVEEDORES[[#This Row],[FECHA DE FACTURACIÓN]])</f>
        <v>2023</v>
      </c>
      <c r="W544" s="150">
        <f>+MATCH(PROVEEDORES[[#This Row],[año facturado]],Retenciones!$1:$1,0)</f>
        <v>6</v>
      </c>
      <c r="X544" s="151">
        <f>+VLOOKUP(PROVEEDORES[[#This Row],[ID RETENCION]],Retenciones!$A$1:$O$25,PROVEEDORES[[#This Row],[indicador de columna]],FALSE)</f>
        <v>0</v>
      </c>
      <c r="Y544" s="152">
        <f>+VLOOKUP(PROVEEDORES[[#This Row],[ID RETENCION]],Retenciones!$A$1:$O$25,2,FALSE)</f>
        <v>0</v>
      </c>
      <c r="Z544" s="153" t="b">
        <f>+OR(COUNTIF(PROVEEDORES[[#This Row],[PROVEEDOR]],"*"&amp;'Palabra que no opera y Listas d'!$A$2&amp;"*"))</f>
        <v>0</v>
      </c>
    </row>
    <row r="545" spans="1:26" ht="27.75" customHeight="1" x14ac:dyDescent="0.3">
      <c r="A545" s="144" t="str">
        <f>+IF(PROVEEDORES[[#This Row],[FECHA DE PAGO]]=PROVEEDORES[[#This Row],[FECHA DE FACTURACIÓN]],"DE CONTADO","CRÉDITO")</f>
        <v>CRÉDITO</v>
      </c>
      <c r="B545" s="144" t="str">
        <f>+IF((PROVEEDORES[[#This Row],[FECHA DE PAGO]]-PROVEEDORES[[#This Row],[FECHA DE FACTURACIÓN]])&gt;PROVEEDORES[[#This Row],[PLAZO Días]],"PAGO VENCIDO")</f>
        <v>PAGO VENCIDO</v>
      </c>
      <c r="C545" s="144">
        <f>+VLOOKUP(PROVEEDORES[[#This Row],[PROVEEDOR]],TERCEROS_INFO[#All],2,FALSE)</f>
        <v>0</v>
      </c>
      <c r="D545" s="145">
        <f>+SUMIFS(PROVEEDORES[Total],PROVEEDORES[PROVEEDOR],PROVEEDORES[[#This Row],[PROVEEDOR]],PROVEEDORES[FECHA DE PAGO],"")</f>
        <v>0</v>
      </c>
      <c r="E545" s="146"/>
      <c r="F545" s="144">
        <f>+VLOOKUP(PROVEEDORES[[#This Row],[PROVEEDOR]],
                       Terceros!$A:$G,
                       5,
                       FALSE)</f>
        <v>0</v>
      </c>
      <c r="G545" s="122">
        <v>45146</v>
      </c>
      <c r="H545" s="102" t="s">
        <v>870</v>
      </c>
      <c r="I545" s="122">
        <v>45098</v>
      </c>
      <c r="J545" s="103">
        <v>5846</v>
      </c>
      <c r="K545" s="103" t="s">
        <v>1512</v>
      </c>
      <c r="L545" s="103"/>
      <c r="M545" s="105">
        <v>1167100</v>
      </c>
      <c r="N545" s="147">
        <v>0</v>
      </c>
      <c r="O545" s="147">
        <v>0</v>
      </c>
      <c r="P545" s="148">
        <v>0</v>
      </c>
      <c r="Q545" s="147">
        <v>0</v>
      </c>
      <c r="R545" s="149">
        <v>1167100</v>
      </c>
      <c r="S5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5" s="150">
        <f ca="1">+IF(PROVEEDORES[[#This Row],[FECHA DE PAGO]]=0,TODAY()-PROVEEDORES[[#This Row],[FECHA DE FACTURACIÓN]]-PROVEEDORES[[#This Row],[PLAZO Días]],0)</f>
        <v>0</v>
      </c>
      <c r="U545" s="150">
        <f>+VLOOKUP(PROVEEDORES[[#This Row],[PROVEEDOR]],Terceros!$A:$E,4,FALSE)</f>
        <v>0</v>
      </c>
      <c r="V545" s="150">
        <f>+YEAR(PROVEEDORES[[#This Row],[FECHA DE FACTURACIÓN]])</f>
        <v>2023</v>
      </c>
      <c r="W545" s="150">
        <f>+MATCH(PROVEEDORES[[#This Row],[año facturado]],Retenciones!$1:$1,0)</f>
        <v>6</v>
      </c>
      <c r="X545" s="151">
        <f>+VLOOKUP(PROVEEDORES[[#This Row],[ID RETENCION]],Retenciones!$A$1:$O$25,PROVEEDORES[[#This Row],[indicador de columna]],FALSE)</f>
        <v>0</v>
      </c>
      <c r="Y545" s="152">
        <f>+VLOOKUP(PROVEEDORES[[#This Row],[ID RETENCION]],Retenciones!$A$1:$O$25,2,FALSE)</f>
        <v>0</v>
      </c>
      <c r="Z545" s="153" t="b">
        <f>+OR(COUNTIF(PROVEEDORES[[#This Row],[PROVEEDOR]],"*"&amp;'Palabra que no opera y Listas d'!$A$2&amp;"*"))</f>
        <v>0</v>
      </c>
    </row>
    <row r="546" spans="1:26" ht="27.75" customHeight="1" x14ac:dyDescent="0.3">
      <c r="A546" s="144" t="str">
        <f>+IF(PROVEEDORES[[#This Row],[FECHA DE PAGO]]=PROVEEDORES[[#This Row],[FECHA DE FACTURACIÓN]],"DE CONTADO","CRÉDITO")</f>
        <v>CRÉDITO</v>
      </c>
      <c r="B546" s="144" t="str">
        <f>+IF((PROVEEDORES[[#This Row],[FECHA DE PAGO]]-PROVEEDORES[[#This Row],[FECHA DE FACTURACIÓN]])&gt;PROVEEDORES[[#This Row],[PLAZO Días]],"PAGO VENCIDO")</f>
        <v>PAGO VENCIDO</v>
      </c>
      <c r="C546" s="144">
        <f>+VLOOKUP(PROVEEDORES[[#This Row],[PROVEEDOR]],TERCEROS_INFO[#All],2,FALSE)</f>
        <v>0</v>
      </c>
      <c r="D546" s="145">
        <f>+SUMIFS(PROVEEDORES[Total],PROVEEDORES[PROVEEDOR],PROVEEDORES[[#This Row],[PROVEEDOR]],PROVEEDORES[FECHA DE PAGO],"")</f>
        <v>0</v>
      </c>
      <c r="E546" s="146"/>
      <c r="F546" s="144">
        <f>+VLOOKUP(PROVEEDORES[[#This Row],[PROVEEDOR]],
                       Terceros!$A:$G,
                       5,
                       FALSE)</f>
        <v>0</v>
      </c>
      <c r="G546" s="122">
        <v>45147</v>
      </c>
      <c r="H546" s="102" t="s">
        <v>1155</v>
      </c>
      <c r="I546" s="122">
        <v>45083</v>
      </c>
      <c r="J546" s="103">
        <v>8725</v>
      </c>
      <c r="K546" s="103" t="s">
        <v>1512</v>
      </c>
      <c r="L546" s="103"/>
      <c r="M546" s="105">
        <v>3943000</v>
      </c>
      <c r="N546" s="147">
        <v>0</v>
      </c>
      <c r="O546" s="147">
        <v>0</v>
      </c>
      <c r="P546" s="148">
        <v>0</v>
      </c>
      <c r="Q546" s="147">
        <v>0</v>
      </c>
      <c r="R546" s="149">
        <v>3943000</v>
      </c>
      <c r="S5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6" s="150">
        <f ca="1">+IF(PROVEEDORES[[#This Row],[FECHA DE PAGO]]=0,TODAY()-PROVEEDORES[[#This Row],[FECHA DE FACTURACIÓN]]-PROVEEDORES[[#This Row],[PLAZO Días]],0)</f>
        <v>0</v>
      </c>
      <c r="U546" s="150">
        <f>+VLOOKUP(PROVEEDORES[[#This Row],[PROVEEDOR]],Terceros!$A:$E,4,FALSE)</f>
        <v>0</v>
      </c>
      <c r="V546" s="150">
        <f>+YEAR(PROVEEDORES[[#This Row],[FECHA DE FACTURACIÓN]])</f>
        <v>2023</v>
      </c>
      <c r="W546" s="150">
        <f>+MATCH(PROVEEDORES[[#This Row],[año facturado]],Retenciones!$1:$1,0)</f>
        <v>6</v>
      </c>
      <c r="X546" s="151">
        <f>+VLOOKUP(PROVEEDORES[[#This Row],[ID RETENCION]],Retenciones!$A$1:$O$25,PROVEEDORES[[#This Row],[indicador de columna]],FALSE)</f>
        <v>0</v>
      </c>
      <c r="Y546" s="152">
        <f>+VLOOKUP(PROVEEDORES[[#This Row],[ID RETENCION]],Retenciones!$A$1:$O$25,2,FALSE)</f>
        <v>0</v>
      </c>
      <c r="Z546" s="153" t="b">
        <f>+OR(COUNTIF(PROVEEDORES[[#This Row],[PROVEEDOR]],"*"&amp;'Palabra que no opera y Listas d'!$A$2&amp;"*"))</f>
        <v>0</v>
      </c>
    </row>
    <row r="547" spans="1:26" ht="27.75" customHeight="1" x14ac:dyDescent="0.3">
      <c r="A547" s="144" t="str">
        <f>+IF(PROVEEDORES[[#This Row],[FECHA DE PAGO]]=PROVEEDORES[[#This Row],[FECHA DE FACTURACIÓN]],"DE CONTADO","CRÉDITO")</f>
        <v>CRÉDITO</v>
      </c>
      <c r="B547" s="144" t="str">
        <f>+IF((PROVEEDORES[[#This Row],[FECHA DE PAGO]]-PROVEEDORES[[#This Row],[FECHA DE FACTURACIÓN]])&gt;PROVEEDORES[[#This Row],[PLAZO Días]],"PAGO VENCIDO")</f>
        <v>PAGO VENCIDO</v>
      </c>
      <c r="C547" s="144">
        <f>+VLOOKUP(PROVEEDORES[[#This Row],[PROVEEDOR]],TERCEROS_INFO[#All],2,FALSE)</f>
        <v>0</v>
      </c>
      <c r="D547" s="145">
        <f>+SUMIFS(PROVEEDORES[Total],PROVEEDORES[PROVEEDOR],PROVEEDORES[[#This Row],[PROVEEDOR]],PROVEEDORES[FECHA DE PAGO],"")</f>
        <v>0</v>
      </c>
      <c r="E547" s="146"/>
      <c r="F547" s="144">
        <f>+VLOOKUP(PROVEEDORES[[#This Row],[PROVEEDOR]],
                       Terceros!$A:$G,
                       5,
                       FALSE)</f>
        <v>0</v>
      </c>
      <c r="G547" s="122">
        <v>45148</v>
      </c>
      <c r="H547" s="102" t="s">
        <v>512</v>
      </c>
      <c r="I547" s="122">
        <v>45113</v>
      </c>
      <c r="J547" s="103" t="s">
        <v>937</v>
      </c>
      <c r="K547" s="103" t="s">
        <v>1512</v>
      </c>
      <c r="L547" s="103"/>
      <c r="M547" s="105">
        <v>275000</v>
      </c>
      <c r="N547" s="147">
        <v>0</v>
      </c>
      <c r="O547" s="147">
        <v>0</v>
      </c>
      <c r="P547" s="148">
        <v>0</v>
      </c>
      <c r="Q547" s="147">
        <v>0</v>
      </c>
      <c r="R547" s="149">
        <v>275000</v>
      </c>
      <c r="S5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7" s="150">
        <f ca="1">+IF(PROVEEDORES[[#This Row],[FECHA DE PAGO]]=0,TODAY()-PROVEEDORES[[#This Row],[FECHA DE FACTURACIÓN]]-PROVEEDORES[[#This Row],[PLAZO Días]],0)</f>
        <v>0</v>
      </c>
      <c r="U547" s="150">
        <f>+VLOOKUP(PROVEEDORES[[#This Row],[PROVEEDOR]],Terceros!$A:$E,4,FALSE)</f>
        <v>0</v>
      </c>
      <c r="V547" s="150">
        <f>+YEAR(PROVEEDORES[[#This Row],[FECHA DE FACTURACIÓN]])</f>
        <v>2023</v>
      </c>
      <c r="W547" s="150">
        <f>+MATCH(PROVEEDORES[[#This Row],[año facturado]],Retenciones!$1:$1,0)</f>
        <v>6</v>
      </c>
      <c r="X547" s="151">
        <f>+VLOOKUP(PROVEEDORES[[#This Row],[ID RETENCION]],Retenciones!$A$1:$O$25,PROVEEDORES[[#This Row],[indicador de columna]],FALSE)</f>
        <v>0</v>
      </c>
      <c r="Y547" s="152">
        <f>+VLOOKUP(PROVEEDORES[[#This Row],[ID RETENCION]],Retenciones!$A$1:$O$25,2,FALSE)</f>
        <v>0</v>
      </c>
      <c r="Z547" s="153" t="b">
        <f>+OR(COUNTIF(PROVEEDORES[[#This Row],[PROVEEDOR]],"*"&amp;'Palabra que no opera y Listas d'!$A$2&amp;"*"))</f>
        <v>0</v>
      </c>
    </row>
    <row r="548" spans="1:26" ht="27.75" customHeight="1" x14ac:dyDescent="0.3">
      <c r="A548" s="144" t="str">
        <f>+IF(PROVEEDORES[[#This Row],[FECHA DE PAGO]]=PROVEEDORES[[#This Row],[FECHA DE FACTURACIÓN]],"DE CONTADO","CRÉDITO")</f>
        <v>CRÉDITO</v>
      </c>
      <c r="B548" s="144" t="str">
        <f>+IF((PROVEEDORES[[#This Row],[FECHA DE PAGO]]-PROVEEDORES[[#This Row],[FECHA DE FACTURACIÓN]])&gt;PROVEEDORES[[#This Row],[PLAZO Días]],"PAGO VENCIDO")</f>
        <v>PAGO VENCIDO</v>
      </c>
      <c r="C548" s="144">
        <f>+VLOOKUP(PROVEEDORES[[#This Row],[PROVEEDOR]],TERCEROS_INFO[#All],2,FALSE)</f>
        <v>0</v>
      </c>
      <c r="D548" s="145">
        <f>+SUMIFS(PROVEEDORES[Total],PROVEEDORES[PROVEEDOR],PROVEEDORES[[#This Row],[PROVEEDOR]],PROVEEDORES[FECHA DE PAGO],"")</f>
        <v>0</v>
      </c>
      <c r="E548" s="146"/>
      <c r="F548" s="144">
        <f>+VLOOKUP(PROVEEDORES[[#This Row],[PROVEEDOR]],
                       Terceros!$A:$G,
                       5,
                       FALSE)</f>
        <v>0</v>
      </c>
      <c r="G548" s="122">
        <v>45148</v>
      </c>
      <c r="H548" s="102" t="s">
        <v>1789</v>
      </c>
      <c r="I548" s="122">
        <v>45113</v>
      </c>
      <c r="J548" s="103" t="s">
        <v>938</v>
      </c>
      <c r="K548" s="103" t="s">
        <v>1512</v>
      </c>
      <c r="L548" s="103"/>
      <c r="M548" s="105">
        <v>1708000</v>
      </c>
      <c r="N548" s="147">
        <v>0</v>
      </c>
      <c r="O548" s="147">
        <v>0</v>
      </c>
      <c r="P548" s="148">
        <v>0</v>
      </c>
      <c r="Q548" s="147">
        <v>0</v>
      </c>
      <c r="R548" s="149">
        <v>1708000</v>
      </c>
      <c r="S5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8" s="150">
        <f ca="1">+IF(PROVEEDORES[[#This Row],[FECHA DE PAGO]]=0,TODAY()-PROVEEDORES[[#This Row],[FECHA DE FACTURACIÓN]]-PROVEEDORES[[#This Row],[PLAZO Días]],0)</f>
        <v>0</v>
      </c>
      <c r="U548" s="150">
        <f>+VLOOKUP(PROVEEDORES[[#This Row],[PROVEEDOR]],Terceros!$A:$E,4,FALSE)</f>
        <v>0</v>
      </c>
      <c r="V548" s="150">
        <f>+YEAR(PROVEEDORES[[#This Row],[FECHA DE FACTURACIÓN]])</f>
        <v>2023</v>
      </c>
      <c r="W548" s="150">
        <f>+MATCH(PROVEEDORES[[#This Row],[año facturado]],Retenciones!$1:$1,0)</f>
        <v>6</v>
      </c>
      <c r="X548" s="151">
        <f>+VLOOKUP(PROVEEDORES[[#This Row],[ID RETENCION]],Retenciones!$A$1:$O$25,PROVEEDORES[[#This Row],[indicador de columna]],FALSE)</f>
        <v>0</v>
      </c>
      <c r="Y548" s="152">
        <f>+VLOOKUP(PROVEEDORES[[#This Row],[ID RETENCION]],Retenciones!$A$1:$O$25,2,FALSE)</f>
        <v>0</v>
      </c>
      <c r="Z548" s="153" t="b">
        <f>+OR(COUNTIF(PROVEEDORES[[#This Row],[PROVEEDOR]],"*"&amp;'Palabra que no opera y Listas d'!$A$2&amp;"*"))</f>
        <v>0</v>
      </c>
    </row>
    <row r="549" spans="1:26" ht="27.75" customHeight="1" x14ac:dyDescent="0.3">
      <c r="A549" s="144" t="str">
        <f>+IF(PROVEEDORES[[#This Row],[FECHA DE PAGO]]=PROVEEDORES[[#This Row],[FECHA DE FACTURACIÓN]],"DE CONTADO","CRÉDITO")</f>
        <v>CRÉDITO</v>
      </c>
      <c r="B549" s="144" t="str">
        <f>+IF((PROVEEDORES[[#This Row],[FECHA DE PAGO]]-PROVEEDORES[[#This Row],[FECHA DE FACTURACIÓN]])&gt;PROVEEDORES[[#This Row],[PLAZO Días]],"PAGO VENCIDO")</f>
        <v>PAGO VENCIDO</v>
      </c>
      <c r="C549" s="144">
        <f>+VLOOKUP(PROVEEDORES[[#This Row],[PROVEEDOR]],TERCEROS_INFO[#All],2,FALSE)</f>
        <v>0</v>
      </c>
      <c r="D549" s="145">
        <f>+SUMIFS(PROVEEDORES[Total],PROVEEDORES[PROVEEDOR],PROVEEDORES[[#This Row],[PROVEEDOR]],PROVEEDORES[FECHA DE PAGO],"")</f>
        <v>0</v>
      </c>
      <c r="E549" s="146"/>
      <c r="F549" s="144" t="str">
        <f>+VLOOKUP(PROVEEDORES[[#This Row],[PROVEEDOR]],
                       Terceros!$A:$G,
                       5,
                       FALSE)</f>
        <v>3,5% sin base</v>
      </c>
      <c r="G549" s="122">
        <v>45148</v>
      </c>
      <c r="H549" s="102" t="s">
        <v>398</v>
      </c>
      <c r="I549" s="122">
        <v>45139</v>
      </c>
      <c r="J549" s="103" t="s">
        <v>989</v>
      </c>
      <c r="K549" s="103" t="s">
        <v>1512</v>
      </c>
      <c r="L549" s="103"/>
      <c r="M549" s="105">
        <v>3935776</v>
      </c>
      <c r="N549" s="147">
        <v>747797.44000000006</v>
      </c>
      <c r="O549" s="147">
        <v>0</v>
      </c>
      <c r="P549" s="148">
        <v>3.5000000000000003E-2</v>
      </c>
      <c r="Q549" s="147">
        <v>137752.16</v>
      </c>
      <c r="R549" s="149">
        <v>4545821.28</v>
      </c>
      <c r="S5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9" s="150">
        <f ca="1">+IF(PROVEEDORES[[#This Row],[FECHA DE PAGO]]=0,TODAY()-PROVEEDORES[[#This Row],[FECHA DE FACTURACIÓN]]-PROVEEDORES[[#This Row],[PLAZO Días]],0)</f>
        <v>0</v>
      </c>
      <c r="U549" s="150">
        <f>+VLOOKUP(PROVEEDORES[[#This Row],[PROVEEDOR]],Terceros!$A:$E,4,FALSE)</f>
        <v>0.19</v>
      </c>
      <c r="V549" s="150">
        <f>+YEAR(PROVEEDORES[[#This Row],[FECHA DE FACTURACIÓN]])</f>
        <v>2023</v>
      </c>
      <c r="W549" s="150">
        <f>+MATCH(PROVEEDORES[[#This Row],[año facturado]],Retenciones!$1:$1,0)</f>
        <v>6</v>
      </c>
      <c r="X549" s="151" t="e">
        <f>+VLOOKUP(PROVEEDORES[[#This Row],[ID RETENCION]],Retenciones!$A$1:$O$25,PROVEEDORES[[#This Row],[indicador de columna]],FALSE)</f>
        <v>#N/A</v>
      </c>
      <c r="Y549" s="152" t="e">
        <f>+VLOOKUP(PROVEEDORES[[#This Row],[ID RETENCION]],Retenciones!$A$1:$O$25,2,FALSE)</f>
        <v>#N/A</v>
      </c>
      <c r="Z549" s="153" t="b">
        <f>+OR(COUNTIF(PROVEEDORES[[#This Row],[PROVEEDOR]],"*"&amp;'Palabra que no opera y Listas d'!$A$2&amp;"*"))</f>
        <v>1</v>
      </c>
    </row>
    <row r="550" spans="1:26" ht="27.75" customHeight="1" x14ac:dyDescent="0.3">
      <c r="A550" s="144" t="str">
        <f>+IF(PROVEEDORES[[#This Row],[FECHA DE PAGO]]=PROVEEDORES[[#This Row],[FECHA DE FACTURACIÓN]],"DE CONTADO","CRÉDITO")</f>
        <v>CRÉDITO</v>
      </c>
      <c r="B550" s="144" t="str">
        <f>+IF((PROVEEDORES[[#This Row],[FECHA DE PAGO]]-PROVEEDORES[[#This Row],[FECHA DE FACTURACIÓN]])&gt;PROVEEDORES[[#This Row],[PLAZO Días]],"PAGO VENCIDO")</f>
        <v>PAGO VENCIDO</v>
      </c>
      <c r="C550" s="144">
        <f>+VLOOKUP(PROVEEDORES[[#This Row],[PROVEEDOR]],TERCEROS_INFO[#All],2,FALSE)</f>
        <v>0</v>
      </c>
      <c r="D550" s="145">
        <f>+SUMIFS(PROVEEDORES[Total],PROVEEDORES[PROVEEDOR],PROVEEDORES[[#This Row],[PROVEEDOR]],PROVEEDORES[FECHA DE PAGO],"")</f>
        <v>181631</v>
      </c>
      <c r="E550" s="146"/>
      <c r="F550" s="144">
        <f>+VLOOKUP(PROVEEDORES[[#This Row],[PROVEEDOR]],
                       Terceros!$A:$G,
                       5,
                       FALSE)</f>
        <v>0</v>
      </c>
      <c r="G550" s="122">
        <v>45148</v>
      </c>
      <c r="H550" s="102" t="s">
        <v>383</v>
      </c>
      <c r="I550" s="122">
        <v>45139</v>
      </c>
      <c r="J550" s="103" t="s">
        <v>968</v>
      </c>
      <c r="K550" s="103" t="s">
        <v>1512</v>
      </c>
      <c r="L550" s="103"/>
      <c r="M550" s="105">
        <v>908172</v>
      </c>
      <c r="N550" s="147">
        <v>172552.68</v>
      </c>
      <c r="O550" s="147">
        <v>0</v>
      </c>
      <c r="P550" s="148">
        <v>0</v>
      </c>
      <c r="Q550" s="147">
        <v>0</v>
      </c>
      <c r="R550" s="149">
        <v>1080724.68</v>
      </c>
      <c r="S5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0" s="150">
        <f ca="1">+IF(PROVEEDORES[[#This Row],[FECHA DE PAGO]]=0,TODAY()-PROVEEDORES[[#This Row],[FECHA DE FACTURACIÓN]]-PROVEEDORES[[#This Row],[PLAZO Días]],0)</f>
        <v>0</v>
      </c>
      <c r="U550" s="150">
        <f>+VLOOKUP(PROVEEDORES[[#This Row],[PROVEEDOR]],Terceros!$A:$E,4,FALSE)</f>
        <v>0.19</v>
      </c>
      <c r="V550" s="150">
        <f>+YEAR(PROVEEDORES[[#This Row],[FECHA DE FACTURACIÓN]])</f>
        <v>2023</v>
      </c>
      <c r="W550" s="150">
        <f>+MATCH(PROVEEDORES[[#This Row],[año facturado]],Retenciones!$1:$1,0)</f>
        <v>6</v>
      </c>
      <c r="X550" s="151" t="e">
        <f>+VLOOKUP(PROVEEDORES[[#This Row],[ID RETENCION]],Retenciones!$A$1:$O$25,PROVEEDORES[[#This Row],[indicador de columna]],FALSE)</f>
        <v>#N/A</v>
      </c>
      <c r="Y550" s="152" t="e">
        <f>+VLOOKUP(PROVEEDORES[[#This Row],[ID RETENCION]],Retenciones!$A$1:$O$25,2,FALSE)</f>
        <v>#N/A</v>
      </c>
      <c r="Z550" s="153" t="b">
        <f>+OR(COUNTIF(PROVEEDORES[[#This Row],[PROVEEDOR]],"*"&amp;'Palabra que no opera y Listas d'!$A$2&amp;"*"))</f>
        <v>1</v>
      </c>
    </row>
    <row r="551" spans="1:26" ht="27.75" customHeight="1" x14ac:dyDescent="0.3">
      <c r="A551" s="144" t="str">
        <f>+IF(PROVEEDORES[[#This Row],[FECHA DE PAGO]]=PROVEEDORES[[#This Row],[FECHA DE FACTURACIÓN]],"DE CONTADO","CRÉDITO")</f>
        <v>CRÉDITO</v>
      </c>
      <c r="B551" s="144" t="str">
        <f>+IF((PROVEEDORES[[#This Row],[FECHA DE PAGO]]-PROVEEDORES[[#This Row],[FECHA DE FACTURACIÓN]])&gt;PROVEEDORES[[#This Row],[PLAZO Días]],"PAGO VENCIDO")</f>
        <v>PAGO VENCIDO</v>
      </c>
      <c r="C551" s="144">
        <f>+VLOOKUP(PROVEEDORES[[#This Row],[PROVEEDOR]],TERCEROS_INFO[#All],2,FALSE)</f>
        <v>0</v>
      </c>
      <c r="D551" s="145">
        <f>+SUMIFS(PROVEEDORES[Total],PROVEEDORES[PROVEEDOR],PROVEEDORES[[#This Row],[PROVEEDOR]],PROVEEDORES[FECHA DE PAGO],"")</f>
        <v>181631</v>
      </c>
      <c r="E551" s="146"/>
      <c r="F551" s="144">
        <f>+VLOOKUP(PROVEEDORES[[#This Row],[PROVEEDOR]],
                       Terceros!$A:$G,
                       5,
                       FALSE)</f>
        <v>0</v>
      </c>
      <c r="G551" s="122">
        <v>45148</v>
      </c>
      <c r="H551" s="102" t="s">
        <v>383</v>
      </c>
      <c r="I551" s="122">
        <v>45139</v>
      </c>
      <c r="J551" s="103" t="s">
        <v>967</v>
      </c>
      <c r="K551" s="103" t="s">
        <v>1512</v>
      </c>
      <c r="L551" s="103"/>
      <c r="M551" s="105">
        <v>3792544</v>
      </c>
      <c r="N551" s="147">
        <v>720583.36</v>
      </c>
      <c r="O551" s="147">
        <v>0</v>
      </c>
      <c r="P551" s="148">
        <v>0</v>
      </c>
      <c r="Q551" s="147">
        <v>0</v>
      </c>
      <c r="R551" s="149">
        <v>4513127.3600000003</v>
      </c>
      <c r="S5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1" s="150">
        <f ca="1">+IF(PROVEEDORES[[#This Row],[FECHA DE PAGO]]=0,TODAY()-PROVEEDORES[[#This Row],[FECHA DE FACTURACIÓN]]-PROVEEDORES[[#This Row],[PLAZO Días]],0)</f>
        <v>0</v>
      </c>
      <c r="U551" s="150">
        <f>+VLOOKUP(PROVEEDORES[[#This Row],[PROVEEDOR]],Terceros!$A:$E,4,FALSE)</f>
        <v>0.19</v>
      </c>
      <c r="V551" s="150">
        <f>+YEAR(PROVEEDORES[[#This Row],[FECHA DE FACTURACIÓN]])</f>
        <v>2023</v>
      </c>
      <c r="W551" s="150">
        <f>+MATCH(PROVEEDORES[[#This Row],[año facturado]],Retenciones!$1:$1,0)</f>
        <v>6</v>
      </c>
      <c r="X551" s="151" t="e">
        <f>+VLOOKUP(PROVEEDORES[[#This Row],[ID RETENCION]],Retenciones!$A$1:$O$25,PROVEEDORES[[#This Row],[indicador de columna]],FALSE)</f>
        <v>#N/A</v>
      </c>
      <c r="Y551" s="152" t="e">
        <f>+VLOOKUP(PROVEEDORES[[#This Row],[ID RETENCION]],Retenciones!$A$1:$O$25,2,FALSE)</f>
        <v>#N/A</v>
      </c>
      <c r="Z551" s="153" t="b">
        <f>+OR(COUNTIF(PROVEEDORES[[#This Row],[PROVEEDOR]],"*"&amp;'Palabra que no opera y Listas d'!$A$2&amp;"*"))</f>
        <v>1</v>
      </c>
    </row>
    <row r="552" spans="1:26" ht="27.75" customHeight="1" x14ac:dyDescent="0.3">
      <c r="A552" s="144" t="str">
        <f>+IF(PROVEEDORES[[#This Row],[FECHA DE PAGO]]=PROVEEDORES[[#This Row],[FECHA DE FACTURACIÓN]],"DE CONTADO","CRÉDITO")</f>
        <v>CRÉDITO</v>
      </c>
      <c r="B552" s="144" t="str">
        <f>+IF((PROVEEDORES[[#This Row],[FECHA DE PAGO]]-PROVEEDORES[[#This Row],[FECHA DE FACTURACIÓN]])&gt;PROVEEDORES[[#This Row],[PLAZO Días]],"PAGO VENCIDO")</f>
        <v>PAGO VENCIDO</v>
      </c>
      <c r="C552" s="144">
        <f>+VLOOKUP(PROVEEDORES[[#This Row],[PROVEEDOR]],TERCEROS_INFO[#All],2,FALSE)</f>
        <v>0</v>
      </c>
      <c r="D552" s="145">
        <f>+SUMIFS(PROVEEDORES[Total],PROVEEDORES[PROVEEDOR],PROVEEDORES[[#This Row],[PROVEEDOR]],PROVEEDORES[FECHA DE PAGO],"")</f>
        <v>0</v>
      </c>
      <c r="E552" s="146"/>
      <c r="F552" s="144">
        <f>+VLOOKUP(PROVEEDORES[[#This Row],[PROVEEDOR]],
                       Terceros!$A:$G,
                       5,
                       FALSE)</f>
        <v>0</v>
      </c>
      <c r="G552" s="122">
        <v>45149</v>
      </c>
      <c r="H552" s="102" t="s">
        <v>497</v>
      </c>
      <c r="I552" s="122">
        <v>45139</v>
      </c>
      <c r="J552" s="103" t="s">
        <v>991</v>
      </c>
      <c r="K552" s="103" t="s">
        <v>1512</v>
      </c>
      <c r="L552" s="103"/>
      <c r="M552" s="105">
        <v>5350576</v>
      </c>
      <c r="N552" s="147">
        <v>1016609.4400000001</v>
      </c>
      <c r="O552" s="147">
        <v>0</v>
      </c>
      <c r="P552" s="148">
        <v>0</v>
      </c>
      <c r="Q552" s="147">
        <v>0</v>
      </c>
      <c r="R552" s="149">
        <v>6367185.4400000004</v>
      </c>
      <c r="S5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2" s="150">
        <f ca="1">+IF(PROVEEDORES[[#This Row],[FECHA DE PAGO]]=0,TODAY()-PROVEEDORES[[#This Row],[FECHA DE FACTURACIÓN]]-PROVEEDORES[[#This Row],[PLAZO Días]],0)</f>
        <v>0</v>
      </c>
      <c r="U552" s="150">
        <f>+VLOOKUP(PROVEEDORES[[#This Row],[PROVEEDOR]],Terceros!$A:$E,4,FALSE)</f>
        <v>0.19</v>
      </c>
      <c r="V552" s="150">
        <f>+YEAR(PROVEEDORES[[#This Row],[FECHA DE FACTURACIÓN]])</f>
        <v>2023</v>
      </c>
      <c r="W552" s="150">
        <f>+MATCH(PROVEEDORES[[#This Row],[año facturado]],Retenciones!$1:$1,0)</f>
        <v>6</v>
      </c>
      <c r="X552" s="151" t="e">
        <f>+VLOOKUP(PROVEEDORES[[#This Row],[ID RETENCION]],Retenciones!$A$1:$O$25,PROVEEDORES[[#This Row],[indicador de columna]],FALSE)</f>
        <v>#N/A</v>
      </c>
      <c r="Y552" s="152" t="e">
        <f>+VLOOKUP(PROVEEDORES[[#This Row],[ID RETENCION]],Retenciones!$A$1:$O$25,2,FALSE)</f>
        <v>#N/A</v>
      </c>
      <c r="Z552" s="153" t="b">
        <f>+OR(COUNTIF(PROVEEDORES[[#This Row],[PROVEEDOR]],"*"&amp;'Palabra que no opera y Listas d'!$A$2&amp;"*"))</f>
        <v>1</v>
      </c>
    </row>
    <row r="553" spans="1:26" ht="27.75" customHeight="1" x14ac:dyDescent="0.3">
      <c r="A553" s="144" t="str">
        <f>+IF(PROVEEDORES[[#This Row],[FECHA DE PAGO]]=PROVEEDORES[[#This Row],[FECHA DE FACTURACIÓN]],"DE CONTADO","CRÉDITO")</f>
        <v>CRÉDITO</v>
      </c>
      <c r="B553" s="144" t="str">
        <f>+IF((PROVEEDORES[[#This Row],[FECHA DE PAGO]]-PROVEEDORES[[#This Row],[FECHA DE FACTURACIÓN]])&gt;PROVEEDORES[[#This Row],[PLAZO Días]],"PAGO VENCIDO")</f>
        <v>PAGO VENCIDO</v>
      </c>
      <c r="C553" s="144">
        <f>+VLOOKUP(PROVEEDORES[[#This Row],[PROVEEDOR]],TERCEROS_INFO[#All],2,FALSE)</f>
        <v>0</v>
      </c>
      <c r="D553" s="145">
        <f>+SUMIFS(PROVEEDORES[Total],PROVEEDORES[PROVEEDOR],PROVEEDORES[[#This Row],[PROVEEDOR]],PROVEEDORES[FECHA DE PAGO],"")</f>
        <v>0</v>
      </c>
      <c r="E553" s="146"/>
      <c r="F553" s="144">
        <f>+VLOOKUP(PROVEEDORES[[#This Row],[PROVEEDOR]],
                       Terceros!$A:$G,
                       5,
                       FALSE)</f>
        <v>0</v>
      </c>
      <c r="G553" s="122">
        <v>45150</v>
      </c>
      <c r="H553" s="102" t="s">
        <v>496</v>
      </c>
      <c r="I553" s="122">
        <v>45149</v>
      </c>
      <c r="J553" s="103" t="s">
        <v>976</v>
      </c>
      <c r="K553" s="103" t="s">
        <v>1512</v>
      </c>
      <c r="L553" s="103"/>
      <c r="M553" s="105">
        <v>3395000</v>
      </c>
      <c r="N553" s="147">
        <v>0</v>
      </c>
      <c r="O553" s="147">
        <v>0</v>
      </c>
      <c r="P553" s="148">
        <v>0</v>
      </c>
      <c r="Q553" s="147">
        <v>0</v>
      </c>
      <c r="R553" s="149">
        <v>3395000</v>
      </c>
      <c r="S5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3" s="150">
        <f ca="1">+IF(PROVEEDORES[[#This Row],[FECHA DE PAGO]]=0,TODAY()-PROVEEDORES[[#This Row],[FECHA DE FACTURACIÓN]]-PROVEEDORES[[#This Row],[PLAZO Días]],0)</f>
        <v>0</v>
      </c>
      <c r="U553" s="150">
        <f>+VLOOKUP(PROVEEDORES[[#This Row],[PROVEEDOR]],Terceros!$A:$E,4,FALSE)</f>
        <v>0</v>
      </c>
      <c r="V553" s="150">
        <f>+YEAR(PROVEEDORES[[#This Row],[FECHA DE FACTURACIÓN]])</f>
        <v>2023</v>
      </c>
      <c r="W553" s="150">
        <f>+MATCH(PROVEEDORES[[#This Row],[año facturado]],Retenciones!$1:$1,0)</f>
        <v>6</v>
      </c>
      <c r="X553" s="151">
        <f>+VLOOKUP(PROVEEDORES[[#This Row],[ID RETENCION]],Retenciones!$A$1:$O$25,PROVEEDORES[[#This Row],[indicador de columna]],FALSE)</f>
        <v>0</v>
      </c>
      <c r="Y553" s="152">
        <f>+VLOOKUP(PROVEEDORES[[#This Row],[ID RETENCION]],Retenciones!$A$1:$O$25,2,FALSE)</f>
        <v>0</v>
      </c>
      <c r="Z553" s="153" t="b">
        <f>+OR(COUNTIF(PROVEEDORES[[#This Row],[PROVEEDOR]],"*"&amp;'Palabra que no opera y Listas d'!$A$2&amp;"*"))</f>
        <v>0</v>
      </c>
    </row>
    <row r="554" spans="1:26" ht="27.75" customHeight="1" x14ac:dyDescent="0.3">
      <c r="A554" s="144" t="str">
        <f>+IF(PROVEEDORES[[#This Row],[FECHA DE PAGO]]=PROVEEDORES[[#This Row],[FECHA DE FACTURACIÓN]],"DE CONTADO","CRÉDITO")</f>
        <v>CRÉDITO</v>
      </c>
      <c r="B554" s="144" t="str">
        <f>+IF((PROVEEDORES[[#This Row],[FECHA DE PAGO]]-PROVEEDORES[[#This Row],[FECHA DE FACTURACIÓN]])&gt;PROVEEDORES[[#This Row],[PLAZO Días]],"PAGO VENCIDO")</f>
        <v>PAGO VENCIDO</v>
      </c>
      <c r="C554" s="144">
        <f>+VLOOKUP(PROVEEDORES[[#This Row],[PROVEEDOR]],TERCEROS_INFO[#All],2,FALSE)</f>
        <v>0</v>
      </c>
      <c r="D554" s="145">
        <f>+SUMIFS(PROVEEDORES[Total],PROVEEDORES[PROVEEDOR],PROVEEDORES[[#This Row],[PROVEEDOR]],PROVEEDORES[FECHA DE PAGO],"")</f>
        <v>31839627.134999998</v>
      </c>
      <c r="E554" s="146"/>
      <c r="F554" s="144" t="str">
        <f>+VLOOKUP(PROVEEDORES[[#This Row],[PROVEEDOR]],
                       Terceros!$A:$G,
                       5,
                       FALSE)</f>
        <v>2,5% con base</v>
      </c>
      <c r="G554" s="122">
        <v>45152</v>
      </c>
      <c r="H554" s="102" t="s">
        <v>17</v>
      </c>
      <c r="I554" s="122">
        <v>45105</v>
      </c>
      <c r="J554" s="103" t="s">
        <v>883</v>
      </c>
      <c r="K554" s="103" t="s">
        <v>1512</v>
      </c>
      <c r="L554" s="103"/>
      <c r="M554" s="105">
        <v>3317231</v>
      </c>
      <c r="N554" s="147">
        <v>630273.89</v>
      </c>
      <c r="O554" s="147">
        <v>0</v>
      </c>
      <c r="P554" s="148">
        <v>2.5000000000000001E-2</v>
      </c>
      <c r="Q554" s="147">
        <v>82930.775000000009</v>
      </c>
      <c r="R554" s="149">
        <v>3864574.1150000002</v>
      </c>
      <c r="S5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4" s="150">
        <f ca="1">+IF(PROVEEDORES[[#This Row],[FECHA DE PAGO]]=0,TODAY()-PROVEEDORES[[#This Row],[FECHA DE FACTURACIÓN]]-PROVEEDORES[[#This Row],[PLAZO Días]],0)</f>
        <v>0</v>
      </c>
      <c r="U554" s="150">
        <f>+VLOOKUP(PROVEEDORES[[#This Row],[PROVEEDOR]],Terceros!$A:$E,4,FALSE)</f>
        <v>0.19</v>
      </c>
      <c r="V554" s="150">
        <f>+YEAR(PROVEEDORES[[#This Row],[FECHA DE FACTURACIÓN]])</f>
        <v>2023</v>
      </c>
      <c r="W554" s="150">
        <f>+MATCH(PROVEEDORES[[#This Row],[año facturado]],Retenciones!$1:$1,0)</f>
        <v>6</v>
      </c>
      <c r="X554" s="151" t="e">
        <f>+VLOOKUP(PROVEEDORES[[#This Row],[ID RETENCION]],Retenciones!$A$1:$O$25,PROVEEDORES[[#This Row],[indicador de columna]],FALSE)</f>
        <v>#N/A</v>
      </c>
      <c r="Y554" s="152" t="e">
        <f>+VLOOKUP(PROVEEDORES[[#This Row],[ID RETENCION]],Retenciones!$A$1:$O$25,2,FALSE)</f>
        <v>#N/A</v>
      </c>
      <c r="Z554" s="153" t="b">
        <f>+OR(COUNTIF(PROVEEDORES[[#This Row],[PROVEEDOR]],"*"&amp;'Palabra que no opera y Listas d'!$A$2&amp;"*"))</f>
        <v>0</v>
      </c>
    </row>
    <row r="555" spans="1:26" ht="27.75" customHeight="1" x14ac:dyDescent="0.3">
      <c r="A555" s="144" t="str">
        <f>+IF(PROVEEDORES[[#This Row],[FECHA DE PAGO]]=PROVEEDORES[[#This Row],[FECHA DE FACTURACIÓN]],"DE CONTADO","CRÉDITO")</f>
        <v>CRÉDITO</v>
      </c>
      <c r="B555" s="144" t="str">
        <f>+IF((PROVEEDORES[[#This Row],[FECHA DE PAGO]]-PROVEEDORES[[#This Row],[FECHA DE FACTURACIÓN]])&gt;PROVEEDORES[[#This Row],[PLAZO Días]],"PAGO VENCIDO")</f>
        <v>PAGO VENCIDO</v>
      </c>
      <c r="C555" s="144">
        <f>+VLOOKUP(PROVEEDORES[[#This Row],[PROVEEDOR]],TERCEROS_INFO[#All],2,FALSE)</f>
        <v>0</v>
      </c>
      <c r="D555" s="145">
        <f>+SUMIFS(PROVEEDORES[Total],PROVEEDORES[PROVEEDOR],PROVEEDORES[[#This Row],[PROVEEDOR]],PROVEEDORES[FECHA DE PAGO],"")</f>
        <v>7281829.8799999999</v>
      </c>
      <c r="E555" s="146"/>
      <c r="F555" s="144" t="str">
        <f>+VLOOKUP(PROVEEDORES[[#This Row],[PROVEEDOR]],
                       Terceros!$A:$G,
                       5,
                       FALSE)</f>
        <v>2,5% con base</v>
      </c>
      <c r="G555" s="122">
        <v>45152</v>
      </c>
      <c r="H555" s="102" t="s">
        <v>1445</v>
      </c>
      <c r="I555" s="122">
        <v>45106</v>
      </c>
      <c r="J555" s="103" t="s">
        <v>880</v>
      </c>
      <c r="K555" s="103" t="s">
        <v>1512</v>
      </c>
      <c r="L555" s="103"/>
      <c r="M555" s="105">
        <v>1848738</v>
      </c>
      <c r="N555" s="147">
        <v>351260.22000000003</v>
      </c>
      <c r="O555" s="147">
        <v>0</v>
      </c>
      <c r="P555" s="148">
        <v>2.5000000000000001E-2</v>
      </c>
      <c r="Q555" s="147">
        <v>46218.450000000004</v>
      </c>
      <c r="R555" s="149">
        <v>2153779.77</v>
      </c>
      <c r="S5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5" s="150">
        <f ca="1">+IF(PROVEEDORES[[#This Row],[FECHA DE PAGO]]=0,TODAY()-PROVEEDORES[[#This Row],[FECHA DE FACTURACIÓN]]-PROVEEDORES[[#This Row],[PLAZO Días]],0)</f>
        <v>0</v>
      </c>
      <c r="U555" s="150">
        <f>+VLOOKUP(PROVEEDORES[[#This Row],[PROVEEDOR]],Terceros!$A:$E,4,FALSE)</f>
        <v>0.19</v>
      </c>
      <c r="V555" s="150">
        <f>+YEAR(PROVEEDORES[[#This Row],[FECHA DE FACTURACIÓN]])</f>
        <v>2023</v>
      </c>
      <c r="W555" s="150">
        <f>+MATCH(PROVEEDORES[[#This Row],[año facturado]],Retenciones!$1:$1,0)</f>
        <v>6</v>
      </c>
      <c r="X555" s="151" t="e">
        <f>+VLOOKUP(PROVEEDORES[[#This Row],[ID RETENCION]],Retenciones!$A$1:$O$25,PROVEEDORES[[#This Row],[indicador de columna]],FALSE)</f>
        <v>#N/A</v>
      </c>
      <c r="Y555" s="152" t="e">
        <f>+VLOOKUP(PROVEEDORES[[#This Row],[ID RETENCION]],Retenciones!$A$1:$O$25,2,FALSE)</f>
        <v>#N/A</v>
      </c>
      <c r="Z555" s="153" t="b">
        <f>+OR(COUNTIF(PROVEEDORES[[#This Row],[PROVEEDOR]],"*"&amp;'Palabra que no opera y Listas d'!$A$2&amp;"*"))</f>
        <v>0</v>
      </c>
    </row>
    <row r="556" spans="1:26" ht="27.75" customHeight="1" x14ac:dyDescent="0.3">
      <c r="A556" s="144" t="str">
        <f>+IF(PROVEEDORES[[#This Row],[FECHA DE PAGO]]=PROVEEDORES[[#This Row],[FECHA DE FACTURACIÓN]],"DE CONTADO","CRÉDITO")</f>
        <v>CRÉDITO</v>
      </c>
      <c r="B556" s="144" t="str">
        <f>+IF((PROVEEDORES[[#This Row],[FECHA DE PAGO]]-PROVEEDORES[[#This Row],[FECHA DE FACTURACIÓN]])&gt;PROVEEDORES[[#This Row],[PLAZO Días]],"PAGO VENCIDO")</f>
        <v>PAGO VENCIDO</v>
      </c>
      <c r="C556" s="144">
        <f>+VLOOKUP(PROVEEDORES[[#This Row],[PROVEEDOR]],TERCEROS_INFO[#All],2,FALSE)</f>
        <v>0</v>
      </c>
      <c r="D556" s="145">
        <f>+SUMIFS(PROVEEDORES[Total],PROVEEDORES[PROVEEDOR],PROVEEDORES[[#This Row],[PROVEEDOR]],PROVEEDORES[FECHA DE PAGO],"")</f>
        <v>0</v>
      </c>
      <c r="E556" s="146"/>
      <c r="F556" s="144">
        <f>+VLOOKUP(PROVEEDORES[[#This Row],[PROVEEDOR]],
                       Terceros!$A:$G,
                       5,
                       FALSE)</f>
        <v>0</v>
      </c>
      <c r="G556" s="122">
        <v>45152</v>
      </c>
      <c r="H556" s="102" t="s">
        <v>240</v>
      </c>
      <c r="I556" s="122">
        <v>45120</v>
      </c>
      <c r="J556" s="103">
        <v>1718</v>
      </c>
      <c r="K556" s="103" t="s">
        <v>1512</v>
      </c>
      <c r="L556" s="103"/>
      <c r="M556" s="105">
        <v>2759750</v>
      </c>
      <c r="N556" s="147">
        <v>0</v>
      </c>
      <c r="O556" s="147">
        <v>0</v>
      </c>
      <c r="P556" s="148">
        <v>0</v>
      </c>
      <c r="Q556" s="147">
        <v>0</v>
      </c>
      <c r="R556" s="149">
        <v>2759750</v>
      </c>
      <c r="S5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6" s="150">
        <f ca="1">+IF(PROVEEDORES[[#This Row],[FECHA DE PAGO]]=0,TODAY()-PROVEEDORES[[#This Row],[FECHA DE FACTURACIÓN]]-PROVEEDORES[[#This Row],[PLAZO Días]],0)</f>
        <v>0</v>
      </c>
      <c r="U556" s="150">
        <f>+VLOOKUP(PROVEEDORES[[#This Row],[PROVEEDOR]],Terceros!$A:$E,4,FALSE)</f>
        <v>0</v>
      </c>
      <c r="V556" s="150">
        <f>+YEAR(PROVEEDORES[[#This Row],[FECHA DE FACTURACIÓN]])</f>
        <v>2023</v>
      </c>
      <c r="W556" s="150">
        <f>+MATCH(PROVEEDORES[[#This Row],[año facturado]],Retenciones!$1:$1,0)</f>
        <v>6</v>
      </c>
      <c r="X556" s="151">
        <f>+VLOOKUP(PROVEEDORES[[#This Row],[ID RETENCION]],Retenciones!$A$1:$O$25,PROVEEDORES[[#This Row],[indicador de columna]],FALSE)</f>
        <v>0</v>
      </c>
      <c r="Y556" s="152">
        <f>+VLOOKUP(PROVEEDORES[[#This Row],[ID RETENCION]],Retenciones!$A$1:$O$25,2,FALSE)</f>
        <v>0</v>
      </c>
      <c r="Z556" s="153" t="b">
        <f>+OR(COUNTIF(PROVEEDORES[[#This Row],[PROVEEDOR]],"*"&amp;'Palabra que no opera y Listas d'!$A$2&amp;"*"))</f>
        <v>0</v>
      </c>
    </row>
    <row r="557" spans="1:26" ht="27.75" customHeight="1" x14ac:dyDescent="0.3">
      <c r="A557" s="144" t="str">
        <f>+IF(PROVEEDORES[[#This Row],[FECHA DE PAGO]]=PROVEEDORES[[#This Row],[FECHA DE FACTURACIÓN]],"DE CONTADO","CRÉDITO")</f>
        <v>CRÉDITO</v>
      </c>
      <c r="B557" s="144" t="str">
        <f>+IF((PROVEEDORES[[#This Row],[FECHA DE PAGO]]-PROVEEDORES[[#This Row],[FECHA DE FACTURACIÓN]])&gt;PROVEEDORES[[#This Row],[PLAZO Días]],"PAGO VENCIDO")</f>
        <v>PAGO VENCIDO</v>
      </c>
      <c r="C557" s="144">
        <f>+VLOOKUP(PROVEEDORES[[#This Row],[PROVEEDOR]],TERCEROS_INFO[#All],2,FALSE)</f>
        <v>0</v>
      </c>
      <c r="D557" s="145">
        <f>+SUMIFS(PROVEEDORES[Total],PROVEEDORES[PROVEEDOR],PROVEEDORES[[#This Row],[PROVEEDOR]],PROVEEDORES[FECHA DE PAGO],"")</f>
        <v>26134091.5</v>
      </c>
      <c r="E557" s="146"/>
      <c r="F557" s="144">
        <f>+VLOOKUP(PROVEEDORES[[#This Row],[PROVEEDOR]],
                       Terceros!$A:$G,
                       5,
                       FALSE)</f>
        <v>0</v>
      </c>
      <c r="G557" s="122">
        <v>45152</v>
      </c>
      <c r="H557" s="102" t="s">
        <v>238</v>
      </c>
      <c r="I557" s="122">
        <v>45124</v>
      </c>
      <c r="J557" s="103">
        <v>1729</v>
      </c>
      <c r="K557" s="103" t="s">
        <v>1512</v>
      </c>
      <c r="L557" s="103"/>
      <c r="M557" s="105">
        <v>381800</v>
      </c>
      <c r="N557" s="147">
        <v>0</v>
      </c>
      <c r="O557" s="147">
        <v>0</v>
      </c>
      <c r="P557" s="148">
        <v>0</v>
      </c>
      <c r="Q557" s="147">
        <v>0</v>
      </c>
      <c r="R557" s="149">
        <v>381800</v>
      </c>
      <c r="S5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7" s="150">
        <f ca="1">+IF(PROVEEDORES[[#This Row],[FECHA DE PAGO]]=0,TODAY()-PROVEEDORES[[#This Row],[FECHA DE FACTURACIÓN]]-PROVEEDORES[[#This Row],[PLAZO Días]],0)</f>
        <v>0</v>
      </c>
      <c r="U557" s="150">
        <f>+VLOOKUP(PROVEEDORES[[#This Row],[PROVEEDOR]],Terceros!$A:$E,4,FALSE)</f>
        <v>0</v>
      </c>
      <c r="V557" s="150">
        <f>+YEAR(PROVEEDORES[[#This Row],[FECHA DE FACTURACIÓN]])</f>
        <v>2023</v>
      </c>
      <c r="W557" s="150">
        <f>+MATCH(PROVEEDORES[[#This Row],[año facturado]],Retenciones!$1:$1,0)</f>
        <v>6</v>
      </c>
      <c r="X557" s="151">
        <f>+VLOOKUP(PROVEEDORES[[#This Row],[ID RETENCION]],Retenciones!$A$1:$O$25,PROVEEDORES[[#This Row],[indicador de columna]],FALSE)</f>
        <v>0</v>
      </c>
      <c r="Y557" s="152">
        <f>+VLOOKUP(PROVEEDORES[[#This Row],[ID RETENCION]],Retenciones!$A$1:$O$25,2,FALSE)</f>
        <v>0</v>
      </c>
      <c r="Z557" s="153" t="b">
        <f>+OR(COUNTIF(PROVEEDORES[[#This Row],[PROVEEDOR]],"*"&amp;'Palabra que no opera y Listas d'!$A$2&amp;"*"))</f>
        <v>0</v>
      </c>
    </row>
    <row r="558" spans="1:26" ht="27.75" customHeight="1" x14ac:dyDescent="0.3">
      <c r="A558" s="144" t="str">
        <f>+IF(PROVEEDORES[[#This Row],[FECHA DE PAGO]]=PROVEEDORES[[#This Row],[FECHA DE FACTURACIÓN]],"DE CONTADO","CRÉDITO")</f>
        <v>CRÉDITO</v>
      </c>
      <c r="B558" s="144" t="str">
        <f>+IF((PROVEEDORES[[#This Row],[FECHA DE PAGO]]-PROVEEDORES[[#This Row],[FECHA DE FACTURACIÓN]])&gt;PROVEEDORES[[#This Row],[PLAZO Días]],"PAGO VENCIDO")</f>
        <v>PAGO VENCIDO</v>
      </c>
      <c r="C558" s="144">
        <f>+VLOOKUP(PROVEEDORES[[#This Row],[PROVEEDOR]],TERCEROS_INFO[#All],2,FALSE)</f>
        <v>0</v>
      </c>
      <c r="D558" s="145">
        <f>+SUMIFS(PROVEEDORES[Total],PROVEEDORES[PROVEEDOR],PROVEEDORES[[#This Row],[PROVEEDOR]],PROVEEDORES[FECHA DE PAGO],"")</f>
        <v>26134091.5</v>
      </c>
      <c r="E558" s="146"/>
      <c r="F558" s="144">
        <f>+VLOOKUP(PROVEEDORES[[#This Row],[PROVEEDOR]],
                       Terceros!$A:$G,
                       5,
                       FALSE)</f>
        <v>0</v>
      </c>
      <c r="G558" s="122">
        <v>45152</v>
      </c>
      <c r="H558" s="102" t="s">
        <v>238</v>
      </c>
      <c r="I558" s="122">
        <v>45124</v>
      </c>
      <c r="J558" s="103">
        <v>1730</v>
      </c>
      <c r="K558" s="103" t="s">
        <v>1512</v>
      </c>
      <c r="L558" s="103"/>
      <c r="M558" s="105">
        <v>215800</v>
      </c>
      <c r="N558" s="147">
        <v>0</v>
      </c>
      <c r="O558" s="147">
        <v>0</v>
      </c>
      <c r="P558" s="148">
        <v>0</v>
      </c>
      <c r="Q558" s="147">
        <v>0</v>
      </c>
      <c r="R558" s="149">
        <v>215800</v>
      </c>
      <c r="S5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8" s="150">
        <f ca="1">+IF(PROVEEDORES[[#This Row],[FECHA DE PAGO]]=0,TODAY()-PROVEEDORES[[#This Row],[FECHA DE FACTURACIÓN]]-PROVEEDORES[[#This Row],[PLAZO Días]],0)</f>
        <v>0</v>
      </c>
      <c r="U558" s="150">
        <f>+VLOOKUP(PROVEEDORES[[#This Row],[PROVEEDOR]],Terceros!$A:$E,4,FALSE)</f>
        <v>0</v>
      </c>
      <c r="V558" s="150">
        <f>+YEAR(PROVEEDORES[[#This Row],[FECHA DE FACTURACIÓN]])</f>
        <v>2023</v>
      </c>
      <c r="W558" s="150">
        <f>+MATCH(PROVEEDORES[[#This Row],[año facturado]],Retenciones!$1:$1,0)</f>
        <v>6</v>
      </c>
      <c r="X558" s="151">
        <f>+VLOOKUP(PROVEEDORES[[#This Row],[ID RETENCION]],Retenciones!$A$1:$O$25,PROVEEDORES[[#This Row],[indicador de columna]],FALSE)</f>
        <v>0</v>
      </c>
      <c r="Y558" s="152">
        <f>+VLOOKUP(PROVEEDORES[[#This Row],[ID RETENCION]],Retenciones!$A$1:$O$25,2,FALSE)</f>
        <v>0</v>
      </c>
      <c r="Z558" s="153" t="b">
        <f>+OR(COUNTIF(PROVEEDORES[[#This Row],[PROVEEDOR]],"*"&amp;'Palabra que no opera y Listas d'!$A$2&amp;"*"))</f>
        <v>0</v>
      </c>
    </row>
    <row r="559" spans="1:26" ht="27.75" customHeight="1" x14ac:dyDescent="0.3">
      <c r="A559" s="144" t="str">
        <f>+IF(PROVEEDORES[[#This Row],[FECHA DE PAGO]]=PROVEEDORES[[#This Row],[FECHA DE FACTURACIÓN]],"DE CONTADO","CRÉDITO")</f>
        <v>CRÉDITO</v>
      </c>
      <c r="B559" s="144" t="str">
        <f>+IF((PROVEEDORES[[#This Row],[FECHA DE PAGO]]-PROVEEDORES[[#This Row],[FECHA DE FACTURACIÓN]])&gt;PROVEEDORES[[#This Row],[PLAZO Días]],"PAGO VENCIDO")</f>
        <v>PAGO VENCIDO</v>
      </c>
      <c r="C559" s="144">
        <f>+VLOOKUP(PROVEEDORES[[#This Row],[PROVEEDOR]],TERCEROS_INFO[#All],2,FALSE)</f>
        <v>0</v>
      </c>
      <c r="D559" s="145">
        <f>+SUMIFS(PROVEEDORES[Total],PROVEEDORES[PROVEEDOR],PROVEEDORES[[#This Row],[PROVEEDOR]],PROVEEDORES[FECHA DE PAGO],"")</f>
        <v>26134091.5</v>
      </c>
      <c r="E559" s="146"/>
      <c r="F559" s="144">
        <f>+VLOOKUP(PROVEEDORES[[#This Row],[PROVEEDOR]],
                       Terceros!$A:$G,
                       5,
                       FALSE)</f>
        <v>0</v>
      </c>
      <c r="G559" s="122">
        <v>45152</v>
      </c>
      <c r="H559" s="102" t="s">
        <v>238</v>
      </c>
      <c r="I559" s="122">
        <v>45124</v>
      </c>
      <c r="J559" s="103">
        <v>1731</v>
      </c>
      <c r="K559" s="103" t="s">
        <v>1512</v>
      </c>
      <c r="L559" s="103"/>
      <c r="M559" s="105">
        <v>315400</v>
      </c>
      <c r="N559" s="147">
        <v>0</v>
      </c>
      <c r="O559" s="147">
        <v>0</v>
      </c>
      <c r="P559" s="148">
        <v>0</v>
      </c>
      <c r="Q559" s="147">
        <v>0</v>
      </c>
      <c r="R559" s="149">
        <v>315400</v>
      </c>
      <c r="S5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9" s="150">
        <f ca="1">+IF(PROVEEDORES[[#This Row],[FECHA DE PAGO]]=0,TODAY()-PROVEEDORES[[#This Row],[FECHA DE FACTURACIÓN]]-PROVEEDORES[[#This Row],[PLAZO Días]],0)</f>
        <v>0</v>
      </c>
      <c r="U559" s="150">
        <f>+VLOOKUP(PROVEEDORES[[#This Row],[PROVEEDOR]],Terceros!$A:$E,4,FALSE)</f>
        <v>0</v>
      </c>
      <c r="V559" s="150">
        <f>+YEAR(PROVEEDORES[[#This Row],[FECHA DE FACTURACIÓN]])</f>
        <v>2023</v>
      </c>
      <c r="W559" s="150">
        <f>+MATCH(PROVEEDORES[[#This Row],[año facturado]],Retenciones!$1:$1,0)</f>
        <v>6</v>
      </c>
      <c r="X559" s="151">
        <f>+VLOOKUP(PROVEEDORES[[#This Row],[ID RETENCION]],Retenciones!$A$1:$O$25,PROVEEDORES[[#This Row],[indicador de columna]],FALSE)</f>
        <v>0</v>
      </c>
      <c r="Y559" s="152">
        <f>+VLOOKUP(PROVEEDORES[[#This Row],[ID RETENCION]],Retenciones!$A$1:$O$25,2,FALSE)</f>
        <v>0</v>
      </c>
      <c r="Z559" s="153" t="b">
        <f>+OR(COUNTIF(PROVEEDORES[[#This Row],[PROVEEDOR]],"*"&amp;'Palabra que no opera y Listas d'!$A$2&amp;"*"))</f>
        <v>0</v>
      </c>
    </row>
    <row r="560" spans="1:26" ht="27.75" customHeight="1" x14ac:dyDescent="0.3">
      <c r="A560" s="144" t="str">
        <f>+IF(PROVEEDORES[[#This Row],[FECHA DE PAGO]]=PROVEEDORES[[#This Row],[FECHA DE FACTURACIÓN]],"DE CONTADO","CRÉDITO")</f>
        <v>CRÉDITO</v>
      </c>
      <c r="B560" s="144" t="str">
        <f>+IF((PROVEEDORES[[#This Row],[FECHA DE PAGO]]-PROVEEDORES[[#This Row],[FECHA DE FACTURACIÓN]])&gt;PROVEEDORES[[#This Row],[PLAZO Días]],"PAGO VENCIDO")</f>
        <v>PAGO VENCIDO</v>
      </c>
      <c r="C560" s="144">
        <f>+VLOOKUP(PROVEEDORES[[#This Row],[PROVEEDOR]],TERCEROS_INFO[#All],2,FALSE)</f>
        <v>0</v>
      </c>
      <c r="D560" s="145">
        <f>+SUMIFS(PROVEEDORES[Total],PROVEEDORES[PROVEEDOR],PROVEEDORES[[#This Row],[PROVEEDOR]],PROVEEDORES[FECHA DE PAGO],"")</f>
        <v>26134091.5</v>
      </c>
      <c r="E560" s="146"/>
      <c r="F560" s="144">
        <f>+VLOOKUP(PROVEEDORES[[#This Row],[PROVEEDOR]],
                       Terceros!$A:$G,
                       5,
                       FALSE)</f>
        <v>0</v>
      </c>
      <c r="G560" s="122">
        <v>45152</v>
      </c>
      <c r="H560" s="102" t="s">
        <v>238</v>
      </c>
      <c r="I560" s="122">
        <v>45124</v>
      </c>
      <c r="J560" s="103">
        <v>1732</v>
      </c>
      <c r="K560" s="103" t="s">
        <v>1512</v>
      </c>
      <c r="L560" s="103"/>
      <c r="M560" s="105">
        <v>232400</v>
      </c>
      <c r="N560" s="147">
        <v>0</v>
      </c>
      <c r="O560" s="147">
        <v>0</v>
      </c>
      <c r="P560" s="148">
        <v>0</v>
      </c>
      <c r="Q560" s="147">
        <v>0</v>
      </c>
      <c r="R560" s="149">
        <v>232400</v>
      </c>
      <c r="S5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0" s="150">
        <f ca="1">+IF(PROVEEDORES[[#This Row],[FECHA DE PAGO]]=0,TODAY()-PROVEEDORES[[#This Row],[FECHA DE FACTURACIÓN]]-PROVEEDORES[[#This Row],[PLAZO Días]],0)</f>
        <v>0</v>
      </c>
      <c r="U560" s="150">
        <f>+VLOOKUP(PROVEEDORES[[#This Row],[PROVEEDOR]],Terceros!$A:$E,4,FALSE)</f>
        <v>0</v>
      </c>
      <c r="V560" s="150">
        <f>+YEAR(PROVEEDORES[[#This Row],[FECHA DE FACTURACIÓN]])</f>
        <v>2023</v>
      </c>
      <c r="W560" s="150">
        <f>+MATCH(PROVEEDORES[[#This Row],[año facturado]],Retenciones!$1:$1,0)</f>
        <v>6</v>
      </c>
      <c r="X560" s="151">
        <f>+VLOOKUP(PROVEEDORES[[#This Row],[ID RETENCION]],Retenciones!$A$1:$O$25,PROVEEDORES[[#This Row],[indicador de columna]],FALSE)</f>
        <v>0</v>
      </c>
      <c r="Y560" s="152">
        <f>+VLOOKUP(PROVEEDORES[[#This Row],[ID RETENCION]],Retenciones!$A$1:$O$25,2,FALSE)</f>
        <v>0</v>
      </c>
      <c r="Z560" s="153" t="b">
        <f>+OR(COUNTIF(PROVEEDORES[[#This Row],[PROVEEDOR]],"*"&amp;'Palabra que no opera y Listas d'!$A$2&amp;"*"))</f>
        <v>0</v>
      </c>
    </row>
    <row r="561" spans="1:26" ht="27.75" customHeight="1" x14ac:dyDescent="0.3">
      <c r="A561" s="144" t="str">
        <f>+IF(PROVEEDORES[[#This Row],[FECHA DE PAGO]]=PROVEEDORES[[#This Row],[FECHA DE FACTURACIÓN]],"DE CONTADO","CRÉDITO")</f>
        <v>CRÉDITO</v>
      </c>
      <c r="B561" s="144" t="str">
        <f>+IF((PROVEEDORES[[#This Row],[FECHA DE PAGO]]-PROVEEDORES[[#This Row],[FECHA DE FACTURACIÓN]])&gt;PROVEEDORES[[#This Row],[PLAZO Días]],"PAGO VENCIDO")</f>
        <v>PAGO VENCIDO</v>
      </c>
      <c r="C561" s="144">
        <f>+VLOOKUP(PROVEEDORES[[#This Row],[PROVEEDOR]],TERCEROS_INFO[#All],2,FALSE)</f>
        <v>0</v>
      </c>
      <c r="D561" s="145">
        <f>+SUMIFS(PROVEEDORES[Total],PROVEEDORES[PROVEEDOR],PROVEEDORES[[#This Row],[PROVEEDOR]],PROVEEDORES[FECHA DE PAGO],"")</f>
        <v>26134091.5</v>
      </c>
      <c r="E561" s="146"/>
      <c r="F561" s="144">
        <f>+VLOOKUP(PROVEEDORES[[#This Row],[PROVEEDOR]],
                       Terceros!$A:$G,
                       5,
                       FALSE)</f>
        <v>0</v>
      </c>
      <c r="G561" s="122">
        <v>45152</v>
      </c>
      <c r="H561" s="102" t="s">
        <v>238</v>
      </c>
      <c r="I561" s="122">
        <v>45126</v>
      </c>
      <c r="J561" s="103">
        <v>1735</v>
      </c>
      <c r="K561" s="103" t="s">
        <v>1512</v>
      </c>
      <c r="L561" s="103"/>
      <c r="M561" s="105">
        <v>249000</v>
      </c>
      <c r="N561" s="147">
        <v>0</v>
      </c>
      <c r="O561" s="147">
        <v>0</v>
      </c>
      <c r="P561" s="148">
        <v>0</v>
      </c>
      <c r="Q561" s="147">
        <v>0</v>
      </c>
      <c r="R561" s="149">
        <v>249000</v>
      </c>
      <c r="S5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1" s="150">
        <f ca="1">+IF(PROVEEDORES[[#This Row],[FECHA DE PAGO]]=0,TODAY()-PROVEEDORES[[#This Row],[FECHA DE FACTURACIÓN]]-PROVEEDORES[[#This Row],[PLAZO Días]],0)</f>
        <v>0</v>
      </c>
      <c r="U561" s="150">
        <f>+VLOOKUP(PROVEEDORES[[#This Row],[PROVEEDOR]],Terceros!$A:$E,4,FALSE)</f>
        <v>0</v>
      </c>
      <c r="V561" s="150">
        <f>+YEAR(PROVEEDORES[[#This Row],[FECHA DE FACTURACIÓN]])</f>
        <v>2023</v>
      </c>
      <c r="W561" s="150">
        <f>+MATCH(PROVEEDORES[[#This Row],[año facturado]],Retenciones!$1:$1,0)</f>
        <v>6</v>
      </c>
      <c r="X561" s="151">
        <f>+VLOOKUP(PROVEEDORES[[#This Row],[ID RETENCION]],Retenciones!$A$1:$O$25,PROVEEDORES[[#This Row],[indicador de columna]],FALSE)</f>
        <v>0</v>
      </c>
      <c r="Y561" s="152">
        <f>+VLOOKUP(PROVEEDORES[[#This Row],[ID RETENCION]],Retenciones!$A$1:$O$25,2,FALSE)</f>
        <v>0</v>
      </c>
      <c r="Z561" s="153" t="b">
        <f>+OR(COUNTIF(PROVEEDORES[[#This Row],[PROVEEDOR]],"*"&amp;'Palabra que no opera y Listas d'!$A$2&amp;"*"))</f>
        <v>0</v>
      </c>
    </row>
    <row r="562" spans="1:26" ht="27.75" customHeight="1" x14ac:dyDescent="0.3">
      <c r="A562" s="144" t="str">
        <f>+IF(PROVEEDORES[[#This Row],[FECHA DE PAGO]]=PROVEEDORES[[#This Row],[FECHA DE FACTURACIÓN]],"DE CONTADO","CRÉDITO")</f>
        <v>CRÉDITO</v>
      </c>
      <c r="B562" s="144" t="str">
        <f>+IF((PROVEEDORES[[#This Row],[FECHA DE PAGO]]-PROVEEDORES[[#This Row],[FECHA DE FACTURACIÓN]])&gt;PROVEEDORES[[#This Row],[PLAZO Días]],"PAGO VENCIDO")</f>
        <v>PAGO VENCIDO</v>
      </c>
      <c r="C562" s="144">
        <f>+VLOOKUP(PROVEEDORES[[#This Row],[PROVEEDOR]],TERCEROS_INFO[#All],2,FALSE)</f>
        <v>0</v>
      </c>
      <c r="D562" s="145">
        <f>+SUMIFS(PROVEEDORES[Total],PROVEEDORES[PROVEEDOR],PROVEEDORES[[#This Row],[PROVEEDOR]],PROVEEDORES[FECHA DE PAGO],"")</f>
        <v>26134091.5</v>
      </c>
      <c r="E562" s="146"/>
      <c r="F562" s="144">
        <f>+VLOOKUP(PROVEEDORES[[#This Row],[PROVEEDOR]],
                       Terceros!$A:$G,
                       5,
                       FALSE)</f>
        <v>0</v>
      </c>
      <c r="G562" s="122">
        <v>45152</v>
      </c>
      <c r="H562" s="102" t="s">
        <v>238</v>
      </c>
      <c r="I562" s="122">
        <v>45126</v>
      </c>
      <c r="J562" s="103">
        <v>1736</v>
      </c>
      <c r="K562" s="103" t="s">
        <v>1512</v>
      </c>
      <c r="L562" s="103"/>
      <c r="M562" s="105">
        <v>232400</v>
      </c>
      <c r="N562" s="147">
        <v>0</v>
      </c>
      <c r="O562" s="147">
        <v>0</v>
      </c>
      <c r="P562" s="148">
        <v>0</v>
      </c>
      <c r="Q562" s="147">
        <v>0</v>
      </c>
      <c r="R562" s="149">
        <v>232400</v>
      </c>
      <c r="S5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2" s="150">
        <f ca="1">+IF(PROVEEDORES[[#This Row],[FECHA DE PAGO]]=0,TODAY()-PROVEEDORES[[#This Row],[FECHA DE FACTURACIÓN]]-PROVEEDORES[[#This Row],[PLAZO Días]],0)</f>
        <v>0</v>
      </c>
      <c r="U562" s="150">
        <f>+VLOOKUP(PROVEEDORES[[#This Row],[PROVEEDOR]],Terceros!$A:$E,4,FALSE)</f>
        <v>0</v>
      </c>
      <c r="V562" s="150">
        <f>+YEAR(PROVEEDORES[[#This Row],[FECHA DE FACTURACIÓN]])</f>
        <v>2023</v>
      </c>
      <c r="W562" s="150">
        <f>+MATCH(PROVEEDORES[[#This Row],[año facturado]],Retenciones!$1:$1,0)</f>
        <v>6</v>
      </c>
      <c r="X562" s="151">
        <f>+VLOOKUP(PROVEEDORES[[#This Row],[ID RETENCION]],Retenciones!$A$1:$O$25,PROVEEDORES[[#This Row],[indicador de columna]],FALSE)</f>
        <v>0</v>
      </c>
      <c r="Y562" s="152">
        <f>+VLOOKUP(PROVEEDORES[[#This Row],[ID RETENCION]],Retenciones!$A$1:$O$25,2,FALSE)</f>
        <v>0</v>
      </c>
      <c r="Z562" s="153" t="b">
        <f>+OR(COUNTIF(PROVEEDORES[[#This Row],[PROVEEDOR]],"*"&amp;'Palabra que no opera y Listas d'!$A$2&amp;"*"))</f>
        <v>0</v>
      </c>
    </row>
    <row r="563" spans="1:26" ht="27.75" customHeight="1" x14ac:dyDescent="0.3">
      <c r="A563" s="144" t="str">
        <f>+IF(PROVEEDORES[[#This Row],[FECHA DE PAGO]]=PROVEEDORES[[#This Row],[FECHA DE FACTURACIÓN]],"DE CONTADO","CRÉDITO")</f>
        <v>CRÉDITO</v>
      </c>
      <c r="B563" s="144" t="str">
        <f>+IF((PROVEEDORES[[#This Row],[FECHA DE PAGO]]-PROVEEDORES[[#This Row],[FECHA DE FACTURACIÓN]])&gt;PROVEEDORES[[#This Row],[PLAZO Días]],"PAGO VENCIDO")</f>
        <v>PAGO VENCIDO</v>
      </c>
      <c r="C563" s="144">
        <f>+VLOOKUP(PROVEEDORES[[#This Row],[PROVEEDOR]],TERCEROS_INFO[#All],2,FALSE)</f>
        <v>0</v>
      </c>
      <c r="D563" s="145">
        <f>+SUMIFS(PROVEEDORES[Total],PROVEEDORES[PROVEEDOR],PROVEEDORES[[#This Row],[PROVEEDOR]],PROVEEDORES[FECHA DE PAGO],"")</f>
        <v>26134091.5</v>
      </c>
      <c r="E563" s="146"/>
      <c r="F563" s="144">
        <f>+VLOOKUP(PROVEEDORES[[#This Row],[PROVEEDOR]],
                       Terceros!$A:$G,
                       5,
                       FALSE)</f>
        <v>0</v>
      </c>
      <c r="G563" s="122">
        <v>45152</v>
      </c>
      <c r="H563" s="102" t="s">
        <v>238</v>
      </c>
      <c r="I563" s="122">
        <v>45126</v>
      </c>
      <c r="J563" s="103">
        <v>1737</v>
      </c>
      <c r="K563" s="103" t="s">
        <v>1512</v>
      </c>
      <c r="L563" s="103"/>
      <c r="M563" s="105">
        <v>232400</v>
      </c>
      <c r="N563" s="147">
        <v>0</v>
      </c>
      <c r="O563" s="147">
        <v>0</v>
      </c>
      <c r="P563" s="148">
        <v>0</v>
      </c>
      <c r="Q563" s="147">
        <v>0</v>
      </c>
      <c r="R563" s="149">
        <v>232400</v>
      </c>
      <c r="S5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3" s="150">
        <f ca="1">+IF(PROVEEDORES[[#This Row],[FECHA DE PAGO]]=0,TODAY()-PROVEEDORES[[#This Row],[FECHA DE FACTURACIÓN]]-PROVEEDORES[[#This Row],[PLAZO Días]],0)</f>
        <v>0</v>
      </c>
      <c r="U563" s="150">
        <f>+VLOOKUP(PROVEEDORES[[#This Row],[PROVEEDOR]],Terceros!$A:$E,4,FALSE)</f>
        <v>0</v>
      </c>
      <c r="V563" s="150">
        <f>+YEAR(PROVEEDORES[[#This Row],[FECHA DE FACTURACIÓN]])</f>
        <v>2023</v>
      </c>
      <c r="W563" s="150">
        <f>+MATCH(PROVEEDORES[[#This Row],[año facturado]],Retenciones!$1:$1,0)</f>
        <v>6</v>
      </c>
      <c r="X563" s="151">
        <f>+VLOOKUP(PROVEEDORES[[#This Row],[ID RETENCION]],Retenciones!$A$1:$O$25,PROVEEDORES[[#This Row],[indicador de columna]],FALSE)</f>
        <v>0</v>
      </c>
      <c r="Y563" s="152">
        <f>+VLOOKUP(PROVEEDORES[[#This Row],[ID RETENCION]],Retenciones!$A$1:$O$25,2,FALSE)</f>
        <v>0</v>
      </c>
      <c r="Z563" s="153" t="b">
        <f>+OR(COUNTIF(PROVEEDORES[[#This Row],[PROVEEDOR]],"*"&amp;'Palabra que no opera y Listas d'!$A$2&amp;"*"))</f>
        <v>0</v>
      </c>
    </row>
    <row r="564" spans="1:26" ht="27.75" customHeight="1" x14ac:dyDescent="0.3">
      <c r="A564" s="144" t="str">
        <f>+IF(PROVEEDORES[[#This Row],[FECHA DE PAGO]]=PROVEEDORES[[#This Row],[FECHA DE FACTURACIÓN]],"DE CONTADO","CRÉDITO")</f>
        <v>CRÉDITO</v>
      </c>
      <c r="B564" s="144" t="str">
        <f>+IF((PROVEEDORES[[#This Row],[FECHA DE PAGO]]-PROVEEDORES[[#This Row],[FECHA DE FACTURACIÓN]])&gt;PROVEEDORES[[#This Row],[PLAZO Días]],"PAGO VENCIDO")</f>
        <v>PAGO VENCIDO</v>
      </c>
      <c r="C564" s="144">
        <f>+VLOOKUP(PROVEEDORES[[#This Row],[PROVEEDOR]],TERCEROS_INFO[#All],2,FALSE)</f>
        <v>0</v>
      </c>
      <c r="D564" s="145">
        <f>+SUMIFS(PROVEEDORES[Total],PROVEEDORES[PROVEEDOR],PROVEEDORES[[#This Row],[PROVEEDOR]],PROVEEDORES[FECHA DE PAGO],"")</f>
        <v>26134091.5</v>
      </c>
      <c r="E564" s="146"/>
      <c r="F564" s="144">
        <f>+VLOOKUP(PROVEEDORES[[#This Row],[PROVEEDOR]],
                       Terceros!$A:$G,
                       5,
                       FALSE)</f>
        <v>0</v>
      </c>
      <c r="G564" s="122">
        <v>45152</v>
      </c>
      <c r="H564" s="102" t="s">
        <v>238</v>
      </c>
      <c r="I564" s="122">
        <v>45126</v>
      </c>
      <c r="J564" s="103">
        <v>1738</v>
      </c>
      <c r="K564" s="103" t="s">
        <v>1512</v>
      </c>
      <c r="L564" s="103"/>
      <c r="M564" s="105">
        <v>232400</v>
      </c>
      <c r="N564" s="147">
        <v>0</v>
      </c>
      <c r="O564" s="147">
        <v>0</v>
      </c>
      <c r="P564" s="148">
        <v>0</v>
      </c>
      <c r="Q564" s="147">
        <v>0</v>
      </c>
      <c r="R564" s="149">
        <v>232400</v>
      </c>
      <c r="S5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4" s="150">
        <f ca="1">+IF(PROVEEDORES[[#This Row],[FECHA DE PAGO]]=0,TODAY()-PROVEEDORES[[#This Row],[FECHA DE FACTURACIÓN]]-PROVEEDORES[[#This Row],[PLAZO Días]],0)</f>
        <v>0</v>
      </c>
      <c r="U564" s="150">
        <f>+VLOOKUP(PROVEEDORES[[#This Row],[PROVEEDOR]],Terceros!$A:$E,4,FALSE)</f>
        <v>0</v>
      </c>
      <c r="V564" s="150">
        <f>+YEAR(PROVEEDORES[[#This Row],[FECHA DE FACTURACIÓN]])</f>
        <v>2023</v>
      </c>
      <c r="W564" s="150">
        <f>+MATCH(PROVEEDORES[[#This Row],[año facturado]],Retenciones!$1:$1,0)</f>
        <v>6</v>
      </c>
      <c r="X564" s="151">
        <f>+VLOOKUP(PROVEEDORES[[#This Row],[ID RETENCION]],Retenciones!$A$1:$O$25,PROVEEDORES[[#This Row],[indicador de columna]],FALSE)</f>
        <v>0</v>
      </c>
      <c r="Y564" s="152">
        <f>+VLOOKUP(PROVEEDORES[[#This Row],[ID RETENCION]],Retenciones!$A$1:$O$25,2,FALSE)</f>
        <v>0</v>
      </c>
      <c r="Z564" s="153" t="b">
        <f>+OR(COUNTIF(PROVEEDORES[[#This Row],[PROVEEDOR]],"*"&amp;'Palabra que no opera y Listas d'!$A$2&amp;"*"))</f>
        <v>0</v>
      </c>
    </row>
    <row r="565" spans="1:26" ht="27.75" customHeight="1" x14ac:dyDescent="0.3">
      <c r="A565" s="144" t="str">
        <f>+IF(PROVEEDORES[[#This Row],[FECHA DE PAGO]]=PROVEEDORES[[#This Row],[FECHA DE FACTURACIÓN]],"DE CONTADO","CRÉDITO")</f>
        <v>CRÉDITO</v>
      </c>
      <c r="B565" s="144" t="str">
        <f>+IF((PROVEEDORES[[#This Row],[FECHA DE PAGO]]-PROVEEDORES[[#This Row],[FECHA DE FACTURACIÓN]])&gt;PROVEEDORES[[#This Row],[PLAZO Días]],"PAGO VENCIDO")</f>
        <v>PAGO VENCIDO</v>
      </c>
      <c r="C565" s="144">
        <f>+VLOOKUP(PROVEEDORES[[#This Row],[PROVEEDOR]],TERCEROS_INFO[#All],2,FALSE)</f>
        <v>0</v>
      </c>
      <c r="D565" s="145">
        <f>+SUMIFS(PROVEEDORES[Total],PROVEEDORES[PROVEEDOR],PROVEEDORES[[#This Row],[PROVEEDOR]],PROVEEDORES[FECHA DE PAGO],"")</f>
        <v>26134091.5</v>
      </c>
      <c r="E565" s="146"/>
      <c r="F565" s="144">
        <f>+VLOOKUP(PROVEEDORES[[#This Row],[PROVEEDOR]],
                       Terceros!$A:$G,
                       5,
                       FALSE)</f>
        <v>0</v>
      </c>
      <c r="G565" s="122">
        <v>45152</v>
      </c>
      <c r="H565" s="102" t="s">
        <v>238</v>
      </c>
      <c r="I565" s="122">
        <v>45134</v>
      </c>
      <c r="J565" s="103">
        <v>1741</v>
      </c>
      <c r="K565" s="103" t="s">
        <v>1512</v>
      </c>
      <c r="L565" s="103"/>
      <c r="M565" s="105">
        <v>381800</v>
      </c>
      <c r="N565" s="147">
        <v>0</v>
      </c>
      <c r="O565" s="147">
        <v>0</v>
      </c>
      <c r="P565" s="148">
        <v>0</v>
      </c>
      <c r="Q565" s="147">
        <v>0</v>
      </c>
      <c r="R565" s="149">
        <v>381800</v>
      </c>
      <c r="S5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5" s="150">
        <f ca="1">+IF(PROVEEDORES[[#This Row],[FECHA DE PAGO]]=0,TODAY()-PROVEEDORES[[#This Row],[FECHA DE FACTURACIÓN]]-PROVEEDORES[[#This Row],[PLAZO Días]],0)</f>
        <v>0</v>
      </c>
      <c r="U565" s="150">
        <f>+VLOOKUP(PROVEEDORES[[#This Row],[PROVEEDOR]],Terceros!$A:$E,4,FALSE)</f>
        <v>0</v>
      </c>
      <c r="V565" s="150">
        <f>+YEAR(PROVEEDORES[[#This Row],[FECHA DE FACTURACIÓN]])</f>
        <v>2023</v>
      </c>
      <c r="W565" s="150">
        <f>+MATCH(PROVEEDORES[[#This Row],[año facturado]],Retenciones!$1:$1,0)</f>
        <v>6</v>
      </c>
      <c r="X565" s="151">
        <f>+VLOOKUP(PROVEEDORES[[#This Row],[ID RETENCION]],Retenciones!$A$1:$O$25,PROVEEDORES[[#This Row],[indicador de columna]],FALSE)</f>
        <v>0</v>
      </c>
      <c r="Y565" s="152">
        <f>+VLOOKUP(PROVEEDORES[[#This Row],[ID RETENCION]],Retenciones!$A$1:$O$25,2,FALSE)</f>
        <v>0</v>
      </c>
      <c r="Z565" s="153" t="b">
        <f>+OR(COUNTIF(PROVEEDORES[[#This Row],[PROVEEDOR]],"*"&amp;'Palabra que no opera y Listas d'!$A$2&amp;"*"))</f>
        <v>0</v>
      </c>
    </row>
    <row r="566" spans="1:26" ht="27.75" customHeight="1" x14ac:dyDescent="0.3">
      <c r="A566" s="144" t="str">
        <f>+IF(PROVEEDORES[[#This Row],[FECHA DE PAGO]]=PROVEEDORES[[#This Row],[FECHA DE FACTURACIÓN]],"DE CONTADO","CRÉDITO")</f>
        <v>CRÉDITO</v>
      </c>
      <c r="B566" s="144" t="str">
        <f>+IF((PROVEEDORES[[#This Row],[FECHA DE PAGO]]-PROVEEDORES[[#This Row],[FECHA DE FACTURACIÓN]])&gt;PROVEEDORES[[#This Row],[PLAZO Días]],"PAGO VENCIDO")</f>
        <v>PAGO VENCIDO</v>
      </c>
      <c r="C566" s="144">
        <f>+VLOOKUP(PROVEEDORES[[#This Row],[PROVEEDOR]],TERCEROS_INFO[#All],2,FALSE)</f>
        <v>0</v>
      </c>
      <c r="D566" s="145">
        <f>+SUMIFS(PROVEEDORES[Total],PROVEEDORES[PROVEEDOR],PROVEEDORES[[#This Row],[PROVEEDOR]],PROVEEDORES[FECHA DE PAGO],"")</f>
        <v>26134091.5</v>
      </c>
      <c r="E566" s="146"/>
      <c r="F566" s="144">
        <f>+VLOOKUP(PROVEEDORES[[#This Row],[PROVEEDOR]],
                       Terceros!$A:$G,
                       5,
                       FALSE)</f>
        <v>0</v>
      </c>
      <c r="G566" s="122">
        <v>45152</v>
      </c>
      <c r="H566" s="102" t="s">
        <v>238</v>
      </c>
      <c r="I566" s="122">
        <v>45134</v>
      </c>
      <c r="J566" s="103">
        <v>1742</v>
      </c>
      <c r="K566" s="103" t="s">
        <v>1512</v>
      </c>
      <c r="L566" s="103"/>
      <c r="M566" s="105">
        <v>381800</v>
      </c>
      <c r="N566" s="147">
        <v>0</v>
      </c>
      <c r="O566" s="147">
        <v>0</v>
      </c>
      <c r="P566" s="148">
        <v>0</v>
      </c>
      <c r="Q566" s="147">
        <v>0</v>
      </c>
      <c r="R566" s="149">
        <v>381800</v>
      </c>
      <c r="S5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6" s="150">
        <f ca="1">+IF(PROVEEDORES[[#This Row],[FECHA DE PAGO]]=0,TODAY()-PROVEEDORES[[#This Row],[FECHA DE FACTURACIÓN]]-PROVEEDORES[[#This Row],[PLAZO Días]],0)</f>
        <v>0</v>
      </c>
      <c r="U566" s="150">
        <f>+VLOOKUP(PROVEEDORES[[#This Row],[PROVEEDOR]],Terceros!$A:$E,4,FALSE)</f>
        <v>0</v>
      </c>
      <c r="V566" s="150">
        <f>+YEAR(PROVEEDORES[[#This Row],[FECHA DE FACTURACIÓN]])</f>
        <v>2023</v>
      </c>
      <c r="W566" s="150">
        <f>+MATCH(PROVEEDORES[[#This Row],[año facturado]],Retenciones!$1:$1,0)</f>
        <v>6</v>
      </c>
      <c r="X566" s="151">
        <f>+VLOOKUP(PROVEEDORES[[#This Row],[ID RETENCION]],Retenciones!$A$1:$O$25,PROVEEDORES[[#This Row],[indicador de columna]],FALSE)</f>
        <v>0</v>
      </c>
      <c r="Y566" s="152">
        <f>+VLOOKUP(PROVEEDORES[[#This Row],[ID RETENCION]],Retenciones!$A$1:$O$25,2,FALSE)</f>
        <v>0</v>
      </c>
      <c r="Z566" s="153" t="b">
        <f>+OR(COUNTIF(PROVEEDORES[[#This Row],[PROVEEDOR]],"*"&amp;'Palabra que no opera y Listas d'!$A$2&amp;"*"))</f>
        <v>0</v>
      </c>
    </row>
    <row r="567" spans="1:26" ht="27.75" customHeight="1" x14ac:dyDescent="0.3">
      <c r="A567" s="144" t="str">
        <f>+IF(PROVEEDORES[[#This Row],[FECHA DE PAGO]]=PROVEEDORES[[#This Row],[FECHA DE FACTURACIÓN]],"DE CONTADO","CRÉDITO")</f>
        <v>CRÉDITO</v>
      </c>
      <c r="B567" s="144" t="str">
        <f>+IF((PROVEEDORES[[#This Row],[FECHA DE PAGO]]-PROVEEDORES[[#This Row],[FECHA DE FACTURACIÓN]])&gt;PROVEEDORES[[#This Row],[PLAZO Días]],"PAGO VENCIDO")</f>
        <v>PAGO VENCIDO</v>
      </c>
      <c r="C567" s="144">
        <f>+VLOOKUP(PROVEEDORES[[#This Row],[PROVEEDOR]],TERCEROS_INFO[#All],2,FALSE)</f>
        <v>0</v>
      </c>
      <c r="D567" s="145">
        <f>+SUMIFS(PROVEEDORES[Total],PROVEEDORES[PROVEEDOR],PROVEEDORES[[#This Row],[PROVEEDOR]],PROVEEDORES[FECHA DE PAGO],"")</f>
        <v>26134091.5</v>
      </c>
      <c r="E567" s="146"/>
      <c r="F567" s="144">
        <f>+VLOOKUP(PROVEEDORES[[#This Row],[PROVEEDOR]],
                       Terceros!$A:$G,
                       5,
                       FALSE)</f>
        <v>0</v>
      </c>
      <c r="G567" s="122">
        <v>45152</v>
      </c>
      <c r="H567" s="102" t="s">
        <v>238</v>
      </c>
      <c r="I567" s="122">
        <v>45134</v>
      </c>
      <c r="J567" s="103">
        <v>1743</v>
      </c>
      <c r="K567" s="103" t="s">
        <v>1512</v>
      </c>
      <c r="L567" s="103"/>
      <c r="M567" s="105">
        <v>166000</v>
      </c>
      <c r="N567" s="147">
        <v>0</v>
      </c>
      <c r="O567" s="147">
        <v>0</v>
      </c>
      <c r="P567" s="148">
        <v>0</v>
      </c>
      <c r="Q567" s="147">
        <v>0</v>
      </c>
      <c r="R567" s="149">
        <v>166000</v>
      </c>
      <c r="S5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7" s="150">
        <f ca="1">+IF(PROVEEDORES[[#This Row],[FECHA DE PAGO]]=0,TODAY()-PROVEEDORES[[#This Row],[FECHA DE FACTURACIÓN]]-PROVEEDORES[[#This Row],[PLAZO Días]],0)</f>
        <v>0</v>
      </c>
      <c r="U567" s="150">
        <f>+VLOOKUP(PROVEEDORES[[#This Row],[PROVEEDOR]],Terceros!$A:$E,4,FALSE)</f>
        <v>0</v>
      </c>
      <c r="V567" s="150">
        <f>+YEAR(PROVEEDORES[[#This Row],[FECHA DE FACTURACIÓN]])</f>
        <v>2023</v>
      </c>
      <c r="W567" s="150">
        <f>+MATCH(PROVEEDORES[[#This Row],[año facturado]],Retenciones!$1:$1,0)</f>
        <v>6</v>
      </c>
      <c r="X567" s="151">
        <f>+VLOOKUP(PROVEEDORES[[#This Row],[ID RETENCION]],Retenciones!$A$1:$O$25,PROVEEDORES[[#This Row],[indicador de columna]],FALSE)</f>
        <v>0</v>
      </c>
      <c r="Y567" s="152">
        <f>+VLOOKUP(PROVEEDORES[[#This Row],[ID RETENCION]],Retenciones!$A$1:$O$25,2,FALSE)</f>
        <v>0</v>
      </c>
      <c r="Z567" s="153" t="b">
        <f>+OR(COUNTIF(PROVEEDORES[[#This Row],[PROVEEDOR]],"*"&amp;'Palabra que no opera y Listas d'!$A$2&amp;"*"))</f>
        <v>0</v>
      </c>
    </row>
    <row r="568" spans="1:26" ht="27.75" customHeight="1" x14ac:dyDescent="0.3">
      <c r="A568" s="144" t="str">
        <f>+IF(PROVEEDORES[[#This Row],[FECHA DE PAGO]]=PROVEEDORES[[#This Row],[FECHA DE FACTURACIÓN]],"DE CONTADO","CRÉDITO")</f>
        <v>CRÉDITO</v>
      </c>
      <c r="B568" s="144" t="str">
        <f>+IF((PROVEEDORES[[#This Row],[FECHA DE PAGO]]-PROVEEDORES[[#This Row],[FECHA DE FACTURACIÓN]])&gt;PROVEEDORES[[#This Row],[PLAZO Días]],"PAGO VENCIDO")</f>
        <v>PAGO VENCIDO</v>
      </c>
      <c r="C568" s="144">
        <f>+VLOOKUP(PROVEEDORES[[#This Row],[PROVEEDOR]],TERCEROS_INFO[#All],2,FALSE)</f>
        <v>0</v>
      </c>
      <c r="D568" s="145">
        <f>+SUMIFS(PROVEEDORES[Total],PROVEEDORES[PROVEEDOR],PROVEEDORES[[#This Row],[PROVEEDOR]],PROVEEDORES[FECHA DE PAGO],"")</f>
        <v>26134091.5</v>
      </c>
      <c r="E568" s="146"/>
      <c r="F568" s="144">
        <f>+VLOOKUP(PROVEEDORES[[#This Row],[PROVEEDOR]],
                       Terceros!$A:$G,
                       5,
                       FALSE)</f>
        <v>0</v>
      </c>
      <c r="G568" s="122">
        <v>45152</v>
      </c>
      <c r="H568" s="102" t="s">
        <v>238</v>
      </c>
      <c r="I568" s="122">
        <v>45134</v>
      </c>
      <c r="J568" s="103">
        <v>1744</v>
      </c>
      <c r="K568" s="103" t="s">
        <v>1512</v>
      </c>
      <c r="L568" s="103"/>
      <c r="M568" s="105">
        <v>166000</v>
      </c>
      <c r="N568" s="147">
        <v>0</v>
      </c>
      <c r="O568" s="147">
        <v>0</v>
      </c>
      <c r="P568" s="148">
        <v>0</v>
      </c>
      <c r="Q568" s="147">
        <v>0</v>
      </c>
      <c r="R568" s="149">
        <v>166000</v>
      </c>
      <c r="S5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8" s="150">
        <f ca="1">+IF(PROVEEDORES[[#This Row],[FECHA DE PAGO]]=0,TODAY()-PROVEEDORES[[#This Row],[FECHA DE FACTURACIÓN]]-PROVEEDORES[[#This Row],[PLAZO Días]],0)</f>
        <v>0</v>
      </c>
      <c r="U568" s="150">
        <f>+VLOOKUP(PROVEEDORES[[#This Row],[PROVEEDOR]],Terceros!$A:$E,4,FALSE)</f>
        <v>0</v>
      </c>
      <c r="V568" s="150">
        <f>+YEAR(PROVEEDORES[[#This Row],[FECHA DE FACTURACIÓN]])</f>
        <v>2023</v>
      </c>
      <c r="W568" s="150">
        <f>+MATCH(PROVEEDORES[[#This Row],[año facturado]],Retenciones!$1:$1,0)</f>
        <v>6</v>
      </c>
      <c r="X568" s="151">
        <f>+VLOOKUP(PROVEEDORES[[#This Row],[ID RETENCION]],Retenciones!$A$1:$O$25,PROVEEDORES[[#This Row],[indicador de columna]],FALSE)</f>
        <v>0</v>
      </c>
      <c r="Y568" s="152">
        <f>+VLOOKUP(PROVEEDORES[[#This Row],[ID RETENCION]],Retenciones!$A$1:$O$25,2,FALSE)</f>
        <v>0</v>
      </c>
      <c r="Z568" s="153" t="b">
        <f>+OR(COUNTIF(PROVEEDORES[[#This Row],[PROVEEDOR]],"*"&amp;'Palabra que no opera y Listas d'!$A$2&amp;"*"))</f>
        <v>0</v>
      </c>
    </row>
    <row r="569" spans="1:26" ht="27.75" customHeight="1" x14ac:dyDescent="0.3">
      <c r="A569" s="144" t="str">
        <f>+IF(PROVEEDORES[[#This Row],[FECHA DE PAGO]]=PROVEEDORES[[#This Row],[FECHA DE FACTURACIÓN]],"DE CONTADO","CRÉDITO")</f>
        <v>CRÉDITO</v>
      </c>
      <c r="B569" s="144" t="str">
        <f>+IF((PROVEEDORES[[#This Row],[FECHA DE PAGO]]-PROVEEDORES[[#This Row],[FECHA DE FACTURACIÓN]])&gt;PROVEEDORES[[#This Row],[PLAZO Días]],"PAGO VENCIDO")</f>
        <v>PAGO VENCIDO</v>
      </c>
      <c r="C569" s="144">
        <f>+VLOOKUP(PROVEEDORES[[#This Row],[PROVEEDOR]],TERCEROS_INFO[#All],2,FALSE)</f>
        <v>0</v>
      </c>
      <c r="D569" s="145">
        <f>+SUMIFS(PROVEEDORES[Total],PROVEEDORES[PROVEEDOR],PROVEEDORES[[#This Row],[PROVEEDOR]],PROVEEDORES[FECHA DE PAGO],"")</f>
        <v>0</v>
      </c>
      <c r="E569" s="146"/>
      <c r="F569" s="144">
        <f>+VLOOKUP(PROVEEDORES[[#This Row],[PROVEEDOR]],
                       Terceros!$A:$G,
                       5,
                       FALSE)</f>
        <v>0</v>
      </c>
      <c r="G569" s="122">
        <v>45152</v>
      </c>
      <c r="H569" s="102" t="s">
        <v>1800</v>
      </c>
      <c r="I569" s="122">
        <v>45146</v>
      </c>
      <c r="J569" s="103" t="s">
        <v>610</v>
      </c>
      <c r="K569" s="103" t="s">
        <v>1512</v>
      </c>
      <c r="L569" s="103"/>
      <c r="M569" s="105">
        <v>-1149500</v>
      </c>
      <c r="N569" s="147">
        <v>0</v>
      </c>
      <c r="O569" s="147">
        <v>0</v>
      </c>
      <c r="P569" s="148">
        <v>0</v>
      </c>
      <c r="Q569" s="147">
        <v>0</v>
      </c>
      <c r="R569" s="149">
        <v>-1149500</v>
      </c>
      <c r="S5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9" s="150">
        <f ca="1">+IF(PROVEEDORES[[#This Row],[FECHA DE PAGO]]=0,TODAY()-PROVEEDORES[[#This Row],[FECHA DE FACTURACIÓN]]-PROVEEDORES[[#This Row],[PLAZO Días]],0)</f>
        <v>0</v>
      </c>
      <c r="U569" s="150">
        <f>+VLOOKUP(PROVEEDORES[[#This Row],[PROVEEDOR]],Terceros!$A:$E,4,FALSE)</f>
        <v>0</v>
      </c>
      <c r="V569" s="150">
        <f>+YEAR(PROVEEDORES[[#This Row],[FECHA DE FACTURACIÓN]])</f>
        <v>2023</v>
      </c>
      <c r="W569" s="150">
        <f>+MATCH(PROVEEDORES[[#This Row],[año facturado]],Retenciones!$1:$1,0)</f>
        <v>6</v>
      </c>
      <c r="X569" s="151">
        <f>+VLOOKUP(PROVEEDORES[[#This Row],[ID RETENCION]],Retenciones!$A$1:$O$25,PROVEEDORES[[#This Row],[indicador de columna]],FALSE)</f>
        <v>0</v>
      </c>
      <c r="Y569" s="152">
        <f>+VLOOKUP(PROVEEDORES[[#This Row],[ID RETENCION]],Retenciones!$A$1:$O$25,2,FALSE)</f>
        <v>0</v>
      </c>
      <c r="Z569" s="153" t="b">
        <f>+OR(COUNTIF(PROVEEDORES[[#This Row],[PROVEEDOR]],"*"&amp;'Palabra que no opera y Listas d'!$A$2&amp;"*"))</f>
        <v>0</v>
      </c>
    </row>
    <row r="570" spans="1:26" ht="27.75" customHeight="1" x14ac:dyDescent="0.3">
      <c r="A570" s="144" t="str">
        <f>+IF(PROVEEDORES[[#This Row],[FECHA DE PAGO]]=PROVEEDORES[[#This Row],[FECHA DE FACTURACIÓN]],"DE CONTADO","CRÉDITO")</f>
        <v>CRÉDITO</v>
      </c>
      <c r="B570" s="144" t="b">
        <f>+IF((PROVEEDORES[[#This Row],[FECHA DE PAGO]]-PROVEEDORES[[#This Row],[FECHA DE FACTURACIÓN]])&gt;PROVEEDORES[[#This Row],[PLAZO Días]],"PAGO VENCIDO")</f>
        <v>0</v>
      </c>
      <c r="C570" s="144">
        <f>+VLOOKUP(PROVEEDORES[[#This Row],[PROVEEDOR]],TERCEROS_INFO[#All],2,FALSE)</f>
        <v>0</v>
      </c>
      <c r="D570" s="145">
        <f>+SUMIFS(PROVEEDORES[Total],PROVEEDORES[PROVEEDOR],PROVEEDORES[[#This Row],[PROVEEDOR]],PROVEEDORES[FECHA DE PAGO],"")</f>
        <v>26134091.5</v>
      </c>
      <c r="E570" s="146"/>
      <c r="F570" s="144">
        <f>+VLOOKUP(PROVEEDORES[[#This Row],[PROVEEDOR]],
                       Terceros!$A:$G,
                       5,
                       FALSE)</f>
        <v>0</v>
      </c>
      <c r="G570" s="122">
        <v>45152</v>
      </c>
      <c r="H570" s="102" t="s">
        <v>238</v>
      </c>
      <c r="I570" s="122">
        <v>45207</v>
      </c>
      <c r="J570" s="103">
        <v>1755</v>
      </c>
      <c r="K570" s="103" t="s">
        <v>1512</v>
      </c>
      <c r="L570" s="103"/>
      <c r="M570" s="105">
        <v>199200</v>
      </c>
      <c r="N570" s="147">
        <v>0</v>
      </c>
      <c r="O570" s="147">
        <v>0</v>
      </c>
      <c r="P570" s="148">
        <v>0</v>
      </c>
      <c r="Q570" s="147">
        <v>0</v>
      </c>
      <c r="R570" s="149">
        <v>199200</v>
      </c>
      <c r="S5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0" s="150">
        <f ca="1">+IF(PROVEEDORES[[#This Row],[FECHA DE PAGO]]=0,TODAY()-PROVEEDORES[[#This Row],[FECHA DE FACTURACIÓN]]-PROVEEDORES[[#This Row],[PLAZO Días]],0)</f>
        <v>0</v>
      </c>
      <c r="U570" s="150">
        <f>+VLOOKUP(PROVEEDORES[[#This Row],[PROVEEDOR]],Terceros!$A:$E,4,FALSE)</f>
        <v>0</v>
      </c>
      <c r="V570" s="150">
        <f>+YEAR(PROVEEDORES[[#This Row],[FECHA DE FACTURACIÓN]])</f>
        <v>2023</v>
      </c>
      <c r="W570" s="150">
        <f>+MATCH(PROVEEDORES[[#This Row],[año facturado]],Retenciones!$1:$1,0)</f>
        <v>6</v>
      </c>
      <c r="X570" s="151">
        <f>+VLOOKUP(PROVEEDORES[[#This Row],[ID RETENCION]],Retenciones!$A$1:$O$25,PROVEEDORES[[#This Row],[indicador de columna]],FALSE)</f>
        <v>0</v>
      </c>
      <c r="Y570" s="152">
        <f>+VLOOKUP(PROVEEDORES[[#This Row],[ID RETENCION]],Retenciones!$A$1:$O$25,2,FALSE)</f>
        <v>0</v>
      </c>
      <c r="Z570" s="153" t="b">
        <f>+OR(COUNTIF(PROVEEDORES[[#This Row],[PROVEEDOR]],"*"&amp;'Palabra que no opera y Listas d'!$A$2&amp;"*"))</f>
        <v>0</v>
      </c>
    </row>
    <row r="571" spans="1:26" ht="27.75" customHeight="1" x14ac:dyDescent="0.3">
      <c r="A571" s="144" t="str">
        <f>+IF(PROVEEDORES[[#This Row],[FECHA DE PAGO]]=PROVEEDORES[[#This Row],[FECHA DE FACTURACIÓN]],"DE CONTADO","CRÉDITO")</f>
        <v>CRÉDITO</v>
      </c>
      <c r="B571" s="144" t="b">
        <f>+IF((PROVEEDORES[[#This Row],[FECHA DE PAGO]]-PROVEEDORES[[#This Row],[FECHA DE FACTURACIÓN]])&gt;PROVEEDORES[[#This Row],[PLAZO Días]],"PAGO VENCIDO")</f>
        <v>0</v>
      </c>
      <c r="C571" s="144">
        <f>+VLOOKUP(PROVEEDORES[[#This Row],[PROVEEDOR]],TERCEROS_INFO[#All],2,FALSE)</f>
        <v>0</v>
      </c>
      <c r="D571" s="145">
        <f>+SUMIFS(PROVEEDORES[Total],PROVEEDORES[PROVEEDOR],PROVEEDORES[[#This Row],[PROVEEDOR]],PROVEEDORES[FECHA DE PAGO],"")</f>
        <v>26134091.5</v>
      </c>
      <c r="E571" s="146"/>
      <c r="F571" s="144">
        <f>+VLOOKUP(PROVEEDORES[[#This Row],[PROVEEDOR]],
                       Terceros!$A:$G,
                       5,
                       FALSE)</f>
        <v>0</v>
      </c>
      <c r="G571" s="122">
        <v>45152</v>
      </c>
      <c r="H571" s="102" t="s">
        <v>238</v>
      </c>
      <c r="I571" s="122">
        <v>45207</v>
      </c>
      <c r="J571" s="103">
        <v>1756</v>
      </c>
      <c r="K571" s="103" t="s">
        <v>1512</v>
      </c>
      <c r="L571" s="103"/>
      <c r="M571" s="105">
        <v>166000</v>
      </c>
      <c r="N571" s="147">
        <v>0</v>
      </c>
      <c r="O571" s="147">
        <v>0</v>
      </c>
      <c r="P571" s="148">
        <v>0</v>
      </c>
      <c r="Q571" s="147">
        <v>0</v>
      </c>
      <c r="R571" s="149">
        <v>166000</v>
      </c>
      <c r="S5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1" s="150">
        <f ca="1">+IF(PROVEEDORES[[#This Row],[FECHA DE PAGO]]=0,TODAY()-PROVEEDORES[[#This Row],[FECHA DE FACTURACIÓN]]-PROVEEDORES[[#This Row],[PLAZO Días]],0)</f>
        <v>0</v>
      </c>
      <c r="U571" s="150">
        <f>+VLOOKUP(PROVEEDORES[[#This Row],[PROVEEDOR]],Terceros!$A:$E,4,FALSE)</f>
        <v>0</v>
      </c>
      <c r="V571" s="150">
        <f>+YEAR(PROVEEDORES[[#This Row],[FECHA DE FACTURACIÓN]])</f>
        <v>2023</v>
      </c>
      <c r="W571" s="150">
        <f>+MATCH(PROVEEDORES[[#This Row],[año facturado]],Retenciones!$1:$1,0)</f>
        <v>6</v>
      </c>
      <c r="X571" s="151">
        <f>+VLOOKUP(PROVEEDORES[[#This Row],[ID RETENCION]],Retenciones!$A$1:$O$25,PROVEEDORES[[#This Row],[indicador de columna]],FALSE)</f>
        <v>0</v>
      </c>
      <c r="Y571" s="152">
        <f>+VLOOKUP(PROVEEDORES[[#This Row],[ID RETENCION]],Retenciones!$A$1:$O$25,2,FALSE)</f>
        <v>0</v>
      </c>
      <c r="Z571" s="153" t="b">
        <f>+OR(COUNTIF(PROVEEDORES[[#This Row],[PROVEEDOR]],"*"&amp;'Palabra que no opera y Listas d'!$A$2&amp;"*"))</f>
        <v>0</v>
      </c>
    </row>
    <row r="572" spans="1:26" ht="27.75" customHeight="1" x14ac:dyDescent="0.3">
      <c r="A572" s="144" t="str">
        <f>+IF(PROVEEDORES[[#This Row],[FECHA DE PAGO]]=PROVEEDORES[[#This Row],[FECHA DE FACTURACIÓN]],"DE CONTADO","CRÉDITO")</f>
        <v>CRÉDITO</v>
      </c>
      <c r="B572" s="144" t="b">
        <f>+IF((PROVEEDORES[[#This Row],[FECHA DE PAGO]]-PROVEEDORES[[#This Row],[FECHA DE FACTURACIÓN]])&gt;PROVEEDORES[[#This Row],[PLAZO Días]],"PAGO VENCIDO")</f>
        <v>0</v>
      </c>
      <c r="C572" s="144">
        <f>+VLOOKUP(PROVEEDORES[[#This Row],[PROVEEDOR]],TERCEROS_INFO[#All],2,FALSE)</f>
        <v>0</v>
      </c>
      <c r="D572" s="145">
        <f>+SUMIFS(PROVEEDORES[Total],PROVEEDORES[PROVEEDOR],PROVEEDORES[[#This Row],[PROVEEDOR]],PROVEEDORES[FECHA DE PAGO],"")</f>
        <v>26134091.5</v>
      </c>
      <c r="E572" s="146"/>
      <c r="F572" s="144">
        <f>+VLOOKUP(PROVEEDORES[[#This Row],[PROVEEDOR]],
                       Terceros!$A:$G,
                       5,
                       FALSE)</f>
        <v>0</v>
      </c>
      <c r="G572" s="122">
        <v>45152</v>
      </c>
      <c r="H572" s="102" t="s">
        <v>238</v>
      </c>
      <c r="I572" s="122">
        <v>45207</v>
      </c>
      <c r="J572" s="103">
        <v>1757</v>
      </c>
      <c r="K572" s="103" t="s">
        <v>1512</v>
      </c>
      <c r="L572" s="103"/>
      <c r="M572" s="105">
        <v>166000</v>
      </c>
      <c r="N572" s="147">
        <v>0</v>
      </c>
      <c r="O572" s="147">
        <v>0</v>
      </c>
      <c r="P572" s="148">
        <v>0</v>
      </c>
      <c r="Q572" s="147">
        <v>0</v>
      </c>
      <c r="R572" s="149">
        <v>166000</v>
      </c>
      <c r="S5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2" s="150">
        <f ca="1">+IF(PROVEEDORES[[#This Row],[FECHA DE PAGO]]=0,TODAY()-PROVEEDORES[[#This Row],[FECHA DE FACTURACIÓN]]-PROVEEDORES[[#This Row],[PLAZO Días]],0)</f>
        <v>0</v>
      </c>
      <c r="U572" s="150">
        <f>+VLOOKUP(PROVEEDORES[[#This Row],[PROVEEDOR]],Terceros!$A:$E,4,FALSE)</f>
        <v>0</v>
      </c>
      <c r="V572" s="150">
        <f>+YEAR(PROVEEDORES[[#This Row],[FECHA DE FACTURACIÓN]])</f>
        <v>2023</v>
      </c>
      <c r="W572" s="150">
        <f>+MATCH(PROVEEDORES[[#This Row],[año facturado]],Retenciones!$1:$1,0)</f>
        <v>6</v>
      </c>
      <c r="X572" s="151">
        <f>+VLOOKUP(PROVEEDORES[[#This Row],[ID RETENCION]],Retenciones!$A$1:$O$25,PROVEEDORES[[#This Row],[indicador de columna]],FALSE)</f>
        <v>0</v>
      </c>
      <c r="Y572" s="152">
        <f>+VLOOKUP(PROVEEDORES[[#This Row],[ID RETENCION]],Retenciones!$A$1:$O$25,2,FALSE)</f>
        <v>0</v>
      </c>
      <c r="Z572" s="153" t="b">
        <f>+OR(COUNTIF(PROVEEDORES[[#This Row],[PROVEEDOR]],"*"&amp;'Palabra que no opera y Listas d'!$A$2&amp;"*"))</f>
        <v>0</v>
      </c>
    </row>
    <row r="573" spans="1:26" ht="27.75" customHeight="1" x14ac:dyDescent="0.3">
      <c r="A573" s="144" t="str">
        <f>+IF(PROVEEDORES[[#This Row],[FECHA DE PAGO]]=PROVEEDORES[[#This Row],[FECHA DE FACTURACIÓN]],"DE CONTADO","CRÉDITO")</f>
        <v>CRÉDITO</v>
      </c>
      <c r="B573" s="144" t="b">
        <f>+IF((PROVEEDORES[[#This Row],[FECHA DE PAGO]]-PROVEEDORES[[#This Row],[FECHA DE FACTURACIÓN]])&gt;PROVEEDORES[[#This Row],[PLAZO Días]],"PAGO VENCIDO")</f>
        <v>0</v>
      </c>
      <c r="C573" s="144">
        <f>+VLOOKUP(PROVEEDORES[[#This Row],[PROVEEDOR]],TERCEROS_INFO[#All],2,FALSE)</f>
        <v>0</v>
      </c>
      <c r="D573" s="145">
        <f>+SUMIFS(PROVEEDORES[Total],PROVEEDORES[PROVEEDOR],PROVEEDORES[[#This Row],[PROVEEDOR]],PROVEEDORES[FECHA DE PAGO],"")</f>
        <v>26134091.5</v>
      </c>
      <c r="E573" s="146"/>
      <c r="F573" s="144">
        <f>+VLOOKUP(PROVEEDORES[[#This Row],[PROVEEDOR]],
                       Terceros!$A:$G,
                       5,
                       FALSE)</f>
        <v>0</v>
      </c>
      <c r="G573" s="122">
        <v>45152</v>
      </c>
      <c r="H573" s="102" t="s">
        <v>238</v>
      </c>
      <c r="I573" s="122">
        <v>45207</v>
      </c>
      <c r="J573" s="103">
        <v>1758</v>
      </c>
      <c r="K573" s="103" t="s">
        <v>1512</v>
      </c>
      <c r="L573" s="103"/>
      <c r="M573" s="105">
        <v>166000</v>
      </c>
      <c r="N573" s="147">
        <v>0</v>
      </c>
      <c r="O573" s="147">
        <v>0</v>
      </c>
      <c r="P573" s="148">
        <v>0</v>
      </c>
      <c r="Q573" s="147">
        <v>0</v>
      </c>
      <c r="R573" s="149">
        <v>166000</v>
      </c>
      <c r="S5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3" s="150">
        <f ca="1">+IF(PROVEEDORES[[#This Row],[FECHA DE PAGO]]=0,TODAY()-PROVEEDORES[[#This Row],[FECHA DE FACTURACIÓN]]-PROVEEDORES[[#This Row],[PLAZO Días]],0)</f>
        <v>0</v>
      </c>
      <c r="U573" s="150">
        <f>+VLOOKUP(PROVEEDORES[[#This Row],[PROVEEDOR]],Terceros!$A:$E,4,FALSE)</f>
        <v>0</v>
      </c>
      <c r="V573" s="150">
        <f>+YEAR(PROVEEDORES[[#This Row],[FECHA DE FACTURACIÓN]])</f>
        <v>2023</v>
      </c>
      <c r="W573" s="150">
        <f>+MATCH(PROVEEDORES[[#This Row],[año facturado]],Retenciones!$1:$1,0)</f>
        <v>6</v>
      </c>
      <c r="X573" s="151">
        <f>+VLOOKUP(PROVEEDORES[[#This Row],[ID RETENCION]],Retenciones!$A$1:$O$25,PROVEEDORES[[#This Row],[indicador de columna]],FALSE)</f>
        <v>0</v>
      </c>
      <c r="Y573" s="152">
        <f>+VLOOKUP(PROVEEDORES[[#This Row],[ID RETENCION]],Retenciones!$A$1:$O$25,2,FALSE)</f>
        <v>0</v>
      </c>
      <c r="Z573" s="153" t="b">
        <f>+OR(COUNTIF(PROVEEDORES[[#This Row],[PROVEEDOR]],"*"&amp;'Palabra que no opera y Listas d'!$A$2&amp;"*"))</f>
        <v>0</v>
      </c>
    </row>
    <row r="574" spans="1:26" ht="27.75" customHeight="1" x14ac:dyDescent="0.3">
      <c r="A574" s="144" t="str">
        <f>+IF(PROVEEDORES[[#This Row],[FECHA DE PAGO]]=PROVEEDORES[[#This Row],[FECHA DE FACTURACIÓN]],"DE CONTADO","CRÉDITO")</f>
        <v>CRÉDITO</v>
      </c>
      <c r="B574" s="144" t="b">
        <f>+IF((PROVEEDORES[[#This Row],[FECHA DE PAGO]]-PROVEEDORES[[#This Row],[FECHA DE FACTURACIÓN]])&gt;PROVEEDORES[[#This Row],[PLAZO Días]],"PAGO VENCIDO")</f>
        <v>0</v>
      </c>
      <c r="C574" s="144">
        <f>+VLOOKUP(PROVEEDORES[[#This Row],[PROVEEDOR]],TERCEROS_INFO[#All],2,FALSE)</f>
        <v>0</v>
      </c>
      <c r="D574" s="145">
        <f>+SUMIFS(PROVEEDORES[Total],PROVEEDORES[PROVEEDOR],PROVEEDORES[[#This Row],[PROVEEDOR]],PROVEEDORES[FECHA DE PAGO],"")</f>
        <v>26134091.5</v>
      </c>
      <c r="E574" s="146"/>
      <c r="F574" s="144">
        <f>+VLOOKUP(PROVEEDORES[[#This Row],[PROVEEDOR]],
                       Terceros!$A:$G,
                       5,
                       FALSE)</f>
        <v>0</v>
      </c>
      <c r="G574" s="122">
        <v>45152</v>
      </c>
      <c r="H574" s="102" t="s">
        <v>238</v>
      </c>
      <c r="I574" s="122">
        <v>45207</v>
      </c>
      <c r="J574" s="103">
        <v>1759</v>
      </c>
      <c r="K574" s="103" t="s">
        <v>1512</v>
      </c>
      <c r="L574" s="103"/>
      <c r="M574" s="105">
        <v>166000</v>
      </c>
      <c r="N574" s="147">
        <v>0</v>
      </c>
      <c r="O574" s="147">
        <v>0</v>
      </c>
      <c r="P574" s="148">
        <v>0</v>
      </c>
      <c r="Q574" s="147">
        <v>0</v>
      </c>
      <c r="R574" s="149">
        <v>166000</v>
      </c>
      <c r="S5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4" s="150">
        <f ca="1">+IF(PROVEEDORES[[#This Row],[FECHA DE PAGO]]=0,TODAY()-PROVEEDORES[[#This Row],[FECHA DE FACTURACIÓN]]-PROVEEDORES[[#This Row],[PLAZO Días]],0)</f>
        <v>0</v>
      </c>
      <c r="U574" s="150">
        <f>+VLOOKUP(PROVEEDORES[[#This Row],[PROVEEDOR]],Terceros!$A:$E,4,FALSE)</f>
        <v>0</v>
      </c>
      <c r="V574" s="150">
        <f>+YEAR(PROVEEDORES[[#This Row],[FECHA DE FACTURACIÓN]])</f>
        <v>2023</v>
      </c>
      <c r="W574" s="150">
        <f>+MATCH(PROVEEDORES[[#This Row],[año facturado]],Retenciones!$1:$1,0)</f>
        <v>6</v>
      </c>
      <c r="X574" s="151">
        <f>+VLOOKUP(PROVEEDORES[[#This Row],[ID RETENCION]],Retenciones!$A$1:$O$25,PROVEEDORES[[#This Row],[indicador de columna]],FALSE)</f>
        <v>0</v>
      </c>
      <c r="Y574" s="152">
        <f>+VLOOKUP(PROVEEDORES[[#This Row],[ID RETENCION]],Retenciones!$A$1:$O$25,2,FALSE)</f>
        <v>0</v>
      </c>
      <c r="Z574" s="153" t="b">
        <f>+OR(COUNTIF(PROVEEDORES[[#This Row],[PROVEEDOR]],"*"&amp;'Palabra que no opera y Listas d'!$A$2&amp;"*"))</f>
        <v>0</v>
      </c>
    </row>
    <row r="575" spans="1:26" ht="27.75" customHeight="1" x14ac:dyDescent="0.3">
      <c r="A575" s="144" t="str">
        <f>+IF(PROVEEDORES[[#This Row],[FECHA DE PAGO]]=PROVEEDORES[[#This Row],[FECHA DE FACTURACIÓN]],"DE CONTADO","CRÉDITO")</f>
        <v>CRÉDITO</v>
      </c>
      <c r="B575" s="144" t="b">
        <f>+IF((PROVEEDORES[[#This Row],[FECHA DE PAGO]]-PROVEEDORES[[#This Row],[FECHA DE FACTURACIÓN]])&gt;PROVEEDORES[[#This Row],[PLAZO Días]],"PAGO VENCIDO")</f>
        <v>0</v>
      </c>
      <c r="C575" s="144">
        <f>+VLOOKUP(PROVEEDORES[[#This Row],[PROVEEDOR]],TERCEROS_INFO[#All],2,FALSE)</f>
        <v>0</v>
      </c>
      <c r="D575" s="145">
        <f>+SUMIFS(PROVEEDORES[Total],PROVEEDORES[PROVEEDOR],PROVEEDORES[[#This Row],[PROVEEDOR]],PROVEEDORES[FECHA DE PAGO],"")</f>
        <v>26134091.5</v>
      </c>
      <c r="E575" s="146"/>
      <c r="F575" s="144">
        <f>+VLOOKUP(PROVEEDORES[[#This Row],[PROVEEDOR]],
                       Terceros!$A:$G,
                       5,
                       FALSE)</f>
        <v>0</v>
      </c>
      <c r="G575" s="122">
        <v>45152</v>
      </c>
      <c r="H575" s="102" t="s">
        <v>238</v>
      </c>
      <c r="I575" s="122">
        <v>45207</v>
      </c>
      <c r="J575" s="103">
        <v>1760</v>
      </c>
      <c r="K575" s="103" t="s">
        <v>1512</v>
      </c>
      <c r="L575" s="103"/>
      <c r="M575" s="105">
        <v>166000</v>
      </c>
      <c r="N575" s="147">
        <v>0</v>
      </c>
      <c r="O575" s="147">
        <v>0</v>
      </c>
      <c r="P575" s="148">
        <v>0</v>
      </c>
      <c r="Q575" s="147">
        <v>0</v>
      </c>
      <c r="R575" s="149">
        <v>166000</v>
      </c>
      <c r="S5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5" s="150">
        <f ca="1">+IF(PROVEEDORES[[#This Row],[FECHA DE PAGO]]=0,TODAY()-PROVEEDORES[[#This Row],[FECHA DE FACTURACIÓN]]-PROVEEDORES[[#This Row],[PLAZO Días]],0)</f>
        <v>0</v>
      </c>
      <c r="U575" s="150">
        <f>+VLOOKUP(PROVEEDORES[[#This Row],[PROVEEDOR]],Terceros!$A:$E,4,FALSE)</f>
        <v>0</v>
      </c>
      <c r="V575" s="150">
        <f>+YEAR(PROVEEDORES[[#This Row],[FECHA DE FACTURACIÓN]])</f>
        <v>2023</v>
      </c>
      <c r="W575" s="150">
        <f>+MATCH(PROVEEDORES[[#This Row],[año facturado]],Retenciones!$1:$1,0)</f>
        <v>6</v>
      </c>
      <c r="X575" s="151">
        <f>+VLOOKUP(PROVEEDORES[[#This Row],[ID RETENCION]],Retenciones!$A$1:$O$25,PROVEEDORES[[#This Row],[indicador de columna]],FALSE)</f>
        <v>0</v>
      </c>
      <c r="Y575" s="152">
        <f>+VLOOKUP(PROVEEDORES[[#This Row],[ID RETENCION]],Retenciones!$A$1:$O$25,2,FALSE)</f>
        <v>0</v>
      </c>
      <c r="Z575" s="153" t="b">
        <f>+OR(COUNTIF(PROVEEDORES[[#This Row],[PROVEEDOR]],"*"&amp;'Palabra que no opera y Listas d'!$A$2&amp;"*"))</f>
        <v>0</v>
      </c>
    </row>
    <row r="576" spans="1:26" ht="27.75" customHeight="1" x14ac:dyDescent="0.3">
      <c r="A576" s="144" t="str">
        <f>+IF(PROVEEDORES[[#This Row],[FECHA DE PAGO]]=PROVEEDORES[[#This Row],[FECHA DE FACTURACIÓN]],"DE CONTADO","CRÉDITO")</f>
        <v>DE CONTADO</v>
      </c>
      <c r="B576" s="144" t="b">
        <f>+IF((PROVEEDORES[[#This Row],[FECHA DE PAGO]]-PROVEEDORES[[#This Row],[FECHA DE FACTURACIÓN]])&gt;PROVEEDORES[[#This Row],[PLAZO Días]],"PAGO VENCIDO")</f>
        <v>0</v>
      </c>
      <c r="C576" s="144">
        <f>+VLOOKUP(PROVEEDORES[[#This Row],[PROVEEDOR]],TERCEROS_INFO[#All],2,FALSE)</f>
        <v>0</v>
      </c>
      <c r="D576" s="145">
        <f>+SUMIFS(PROVEEDORES[Total],PROVEEDORES[PROVEEDOR],PROVEEDORES[[#This Row],[PROVEEDOR]],PROVEEDORES[FECHA DE PAGO],"")</f>
        <v>0</v>
      </c>
      <c r="E576" s="146"/>
      <c r="F576" s="144" t="str">
        <f>+VLOOKUP(PROVEEDORES[[#This Row],[PROVEEDOR]],
                       Terceros!$A:$G,
                       5,
                       FALSE)</f>
        <v>2,5% con base</v>
      </c>
      <c r="G576" s="122">
        <v>45153</v>
      </c>
      <c r="H576" s="102" t="s">
        <v>984</v>
      </c>
      <c r="I576" s="122">
        <v>45153</v>
      </c>
      <c r="J576" s="103">
        <v>471</v>
      </c>
      <c r="K576" s="103" t="s">
        <v>1512</v>
      </c>
      <c r="L576" s="103"/>
      <c r="M576" s="105">
        <v>234000</v>
      </c>
      <c r="N576" s="147">
        <v>44460</v>
      </c>
      <c r="O576" s="147">
        <v>0</v>
      </c>
      <c r="P576" s="148">
        <v>0</v>
      </c>
      <c r="Q576" s="147">
        <v>0</v>
      </c>
      <c r="R576" s="149">
        <v>278460</v>
      </c>
      <c r="S5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6" s="150">
        <f ca="1">+IF(PROVEEDORES[[#This Row],[FECHA DE PAGO]]=0,TODAY()-PROVEEDORES[[#This Row],[FECHA DE FACTURACIÓN]]-PROVEEDORES[[#This Row],[PLAZO Días]],0)</f>
        <v>0</v>
      </c>
      <c r="U576" s="150">
        <f>+VLOOKUP(PROVEEDORES[[#This Row],[PROVEEDOR]],Terceros!$A:$E,4,FALSE)</f>
        <v>0.19</v>
      </c>
      <c r="V576" s="150">
        <f>+YEAR(PROVEEDORES[[#This Row],[FECHA DE FACTURACIÓN]])</f>
        <v>2023</v>
      </c>
      <c r="W576" s="150">
        <f>+MATCH(PROVEEDORES[[#This Row],[año facturado]],Retenciones!$1:$1,0)</f>
        <v>6</v>
      </c>
      <c r="X576" s="151" t="e">
        <f>+VLOOKUP(PROVEEDORES[[#This Row],[ID RETENCION]],Retenciones!$A$1:$O$25,PROVEEDORES[[#This Row],[indicador de columna]],FALSE)</f>
        <v>#N/A</v>
      </c>
      <c r="Y576" s="152" t="e">
        <f>+VLOOKUP(PROVEEDORES[[#This Row],[ID RETENCION]],Retenciones!$A$1:$O$25,2,FALSE)</f>
        <v>#N/A</v>
      </c>
      <c r="Z576" s="153" t="b">
        <f>+OR(COUNTIF(PROVEEDORES[[#This Row],[PROVEEDOR]],"*"&amp;'Palabra que no opera y Listas d'!$A$2&amp;"*"))</f>
        <v>0</v>
      </c>
    </row>
    <row r="577" spans="1:26" ht="27.75" customHeight="1" x14ac:dyDescent="0.3">
      <c r="A577" s="144" t="str">
        <f>+IF(PROVEEDORES[[#This Row],[FECHA DE PAGO]]=PROVEEDORES[[#This Row],[FECHA DE FACTURACIÓN]],"DE CONTADO","CRÉDITO")</f>
        <v>CRÉDITO</v>
      </c>
      <c r="B577" s="144" t="str">
        <f>+IF((PROVEEDORES[[#This Row],[FECHA DE PAGO]]-PROVEEDORES[[#This Row],[FECHA DE FACTURACIÓN]])&gt;PROVEEDORES[[#This Row],[PLAZO Días]],"PAGO VENCIDO")</f>
        <v>PAGO VENCIDO</v>
      </c>
      <c r="C577" s="144">
        <f>+VLOOKUP(PROVEEDORES[[#This Row],[PROVEEDOR]],TERCEROS_INFO[#All],2,FALSE)</f>
        <v>0</v>
      </c>
      <c r="D577" s="145">
        <f>+SUMIFS(PROVEEDORES[Total],PROVEEDORES[PROVEEDOR],PROVEEDORES[[#This Row],[PROVEEDOR]],PROVEEDORES[FECHA DE PAGO],"")</f>
        <v>0</v>
      </c>
      <c r="E577" s="146"/>
      <c r="F577" s="144" t="str">
        <f>+VLOOKUP(PROVEEDORES[[#This Row],[PROVEEDOR]],
                       Terceros!$A:$G,
                       5,
                       FALSE)</f>
        <v>3,5% sin base</v>
      </c>
      <c r="G577" s="122">
        <v>45154</v>
      </c>
      <c r="H577" s="102" t="s">
        <v>409</v>
      </c>
      <c r="I577" s="122">
        <v>45139</v>
      </c>
      <c r="J577" s="103" t="s">
        <v>1045</v>
      </c>
      <c r="K577" s="103" t="s">
        <v>1512</v>
      </c>
      <c r="L577" s="103"/>
      <c r="M577" s="105">
        <v>243611</v>
      </c>
      <c r="N577" s="147">
        <v>46286.090000000004</v>
      </c>
      <c r="O577" s="147">
        <v>0</v>
      </c>
      <c r="P577" s="148">
        <v>3.5000000000000003E-2</v>
      </c>
      <c r="Q577" s="147">
        <v>8526.3850000000002</v>
      </c>
      <c r="R577" s="149">
        <v>281370.70500000002</v>
      </c>
      <c r="S5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7" s="150">
        <f ca="1">+IF(PROVEEDORES[[#This Row],[FECHA DE PAGO]]=0,TODAY()-PROVEEDORES[[#This Row],[FECHA DE FACTURACIÓN]]-PROVEEDORES[[#This Row],[PLAZO Días]],0)</f>
        <v>0</v>
      </c>
      <c r="U577" s="150">
        <f>+VLOOKUP(PROVEEDORES[[#This Row],[PROVEEDOR]],Terceros!$A:$E,4,FALSE)</f>
        <v>0.19</v>
      </c>
      <c r="V577" s="150">
        <f>+YEAR(PROVEEDORES[[#This Row],[FECHA DE FACTURACIÓN]])</f>
        <v>2023</v>
      </c>
      <c r="W577" s="150">
        <f>+MATCH(PROVEEDORES[[#This Row],[año facturado]],Retenciones!$1:$1,0)</f>
        <v>6</v>
      </c>
      <c r="X577" s="151" t="e">
        <f>+VLOOKUP(PROVEEDORES[[#This Row],[ID RETENCION]],Retenciones!$A$1:$O$25,PROVEEDORES[[#This Row],[indicador de columna]],FALSE)</f>
        <v>#N/A</v>
      </c>
      <c r="Y577" s="152" t="e">
        <f>+VLOOKUP(PROVEEDORES[[#This Row],[ID RETENCION]],Retenciones!$A$1:$O$25,2,FALSE)</f>
        <v>#N/A</v>
      </c>
      <c r="Z577" s="153" t="b">
        <f>+OR(COUNTIF(PROVEEDORES[[#This Row],[PROVEEDOR]],"*"&amp;'Palabra que no opera y Listas d'!$A$2&amp;"*"))</f>
        <v>1</v>
      </c>
    </row>
    <row r="578" spans="1:26" ht="27.75" customHeight="1" x14ac:dyDescent="0.3">
      <c r="A578" s="144" t="str">
        <f>+IF(PROVEEDORES[[#This Row],[FECHA DE PAGO]]=PROVEEDORES[[#This Row],[FECHA DE FACTURACIÓN]],"DE CONTADO","CRÉDITO")</f>
        <v>CRÉDITO</v>
      </c>
      <c r="B578" s="144" t="str">
        <f>+IF((PROVEEDORES[[#This Row],[FECHA DE PAGO]]-PROVEEDORES[[#This Row],[FECHA DE FACTURACIÓN]])&gt;PROVEEDORES[[#This Row],[PLAZO Días]],"PAGO VENCIDO")</f>
        <v>PAGO VENCIDO</v>
      </c>
      <c r="C578" s="144">
        <f>+VLOOKUP(PROVEEDORES[[#This Row],[PROVEEDOR]],TERCEROS_INFO[#All],2,FALSE)</f>
        <v>0</v>
      </c>
      <c r="D578" s="145">
        <f>+SUMIFS(PROVEEDORES[Total],PROVEEDORES[PROVEEDOR],PROVEEDORES[[#This Row],[PROVEEDOR]],PROVEEDORES[FECHA DE PAGO],"")</f>
        <v>0</v>
      </c>
      <c r="E578" s="146"/>
      <c r="F578" s="144">
        <f>+VLOOKUP(PROVEEDORES[[#This Row],[PROVEEDOR]],
                       Terceros!$A:$G,
                       5,
                       FALSE)</f>
        <v>0</v>
      </c>
      <c r="G578" s="122">
        <v>45154</v>
      </c>
      <c r="H578" s="102" t="s">
        <v>388</v>
      </c>
      <c r="I578" s="122">
        <v>45140</v>
      </c>
      <c r="J578" s="103" t="s">
        <v>985</v>
      </c>
      <c r="K578" s="103" t="s">
        <v>1512</v>
      </c>
      <c r="L578" s="103"/>
      <c r="M578" s="105">
        <v>1840056</v>
      </c>
      <c r="N578" s="147">
        <v>0</v>
      </c>
      <c r="O578" s="147">
        <v>0</v>
      </c>
      <c r="P578" s="148">
        <v>0</v>
      </c>
      <c r="Q578" s="147">
        <v>0</v>
      </c>
      <c r="R578" s="149">
        <v>1840056</v>
      </c>
      <c r="S5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8" s="150">
        <f ca="1">+IF(PROVEEDORES[[#This Row],[FECHA DE PAGO]]=0,TODAY()-PROVEEDORES[[#This Row],[FECHA DE FACTURACIÓN]]-PROVEEDORES[[#This Row],[PLAZO Días]],0)</f>
        <v>0</v>
      </c>
      <c r="U578" s="150">
        <f>+VLOOKUP(PROVEEDORES[[#This Row],[PROVEEDOR]],Terceros!$A:$E,4,FALSE)</f>
        <v>0</v>
      </c>
      <c r="V578" s="150">
        <f>+YEAR(PROVEEDORES[[#This Row],[FECHA DE FACTURACIÓN]])</f>
        <v>2023</v>
      </c>
      <c r="W578" s="150">
        <f>+MATCH(PROVEEDORES[[#This Row],[año facturado]],Retenciones!$1:$1,0)</f>
        <v>6</v>
      </c>
      <c r="X578" s="151">
        <f>+VLOOKUP(PROVEEDORES[[#This Row],[ID RETENCION]],Retenciones!$A$1:$O$25,PROVEEDORES[[#This Row],[indicador de columna]],FALSE)</f>
        <v>0</v>
      </c>
      <c r="Y578" s="152">
        <f>+VLOOKUP(PROVEEDORES[[#This Row],[ID RETENCION]],Retenciones!$A$1:$O$25,2,FALSE)</f>
        <v>0</v>
      </c>
      <c r="Z578" s="153" t="b">
        <f>+OR(COUNTIF(PROVEEDORES[[#This Row],[PROVEEDOR]],"*"&amp;'Palabra que no opera y Listas d'!$A$2&amp;"*"))</f>
        <v>1</v>
      </c>
    </row>
    <row r="579" spans="1:26" ht="27.75" customHeight="1" x14ac:dyDescent="0.3">
      <c r="A579" s="144" t="str">
        <f>+IF(PROVEEDORES[[#This Row],[FECHA DE PAGO]]=PROVEEDORES[[#This Row],[FECHA DE FACTURACIÓN]],"DE CONTADO","CRÉDITO")</f>
        <v>DE CONTADO</v>
      </c>
      <c r="B579" s="144" t="b">
        <f>+IF((PROVEEDORES[[#This Row],[FECHA DE PAGO]]-PROVEEDORES[[#This Row],[FECHA DE FACTURACIÓN]])&gt;PROVEEDORES[[#This Row],[PLAZO Días]],"PAGO VENCIDO")</f>
        <v>0</v>
      </c>
      <c r="C579" s="144">
        <f>+VLOOKUP(PROVEEDORES[[#This Row],[PROVEEDOR]],TERCEROS_INFO[#All],2,FALSE)</f>
        <v>0</v>
      </c>
      <c r="D579" s="145">
        <f>+SUMIFS(PROVEEDORES[Total],PROVEEDORES[PROVEEDOR],PROVEEDORES[[#This Row],[PROVEEDOR]],PROVEEDORES[FECHA DE PAGO],"")</f>
        <v>0</v>
      </c>
      <c r="E579" s="146"/>
      <c r="F579" s="144">
        <f>+VLOOKUP(PROVEEDORES[[#This Row],[PROVEEDOR]],
                       Terceros!$A:$G,
                       5,
                       FALSE)</f>
        <v>0</v>
      </c>
      <c r="G579" s="122">
        <v>45154</v>
      </c>
      <c r="H579" s="102" t="s">
        <v>907</v>
      </c>
      <c r="I579" s="122">
        <v>45154</v>
      </c>
      <c r="J579" s="103" t="s">
        <v>1040</v>
      </c>
      <c r="K579" s="103" t="s">
        <v>1512</v>
      </c>
      <c r="L579" s="103"/>
      <c r="M579" s="105">
        <v>216800</v>
      </c>
      <c r="N579" s="147">
        <v>0</v>
      </c>
      <c r="O579" s="147">
        <v>0</v>
      </c>
      <c r="P579" s="148">
        <v>0</v>
      </c>
      <c r="Q579" s="147">
        <v>0</v>
      </c>
      <c r="R579" s="149">
        <v>216800</v>
      </c>
      <c r="S5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9" s="150">
        <f ca="1">+IF(PROVEEDORES[[#This Row],[FECHA DE PAGO]]=0,TODAY()-PROVEEDORES[[#This Row],[FECHA DE FACTURACIÓN]]-PROVEEDORES[[#This Row],[PLAZO Días]],0)</f>
        <v>0</v>
      </c>
      <c r="U579" s="150">
        <f>+VLOOKUP(PROVEEDORES[[#This Row],[PROVEEDOR]],Terceros!$A:$E,4,FALSE)</f>
        <v>0</v>
      </c>
      <c r="V579" s="150">
        <f>+YEAR(PROVEEDORES[[#This Row],[FECHA DE FACTURACIÓN]])</f>
        <v>2023</v>
      </c>
      <c r="W579" s="150">
        <f>+MATCH(PROVEEDORES[[#This Row],[año facturado]],Retenciones!$1:$1,0)</f>
        <v>6</v>
      </c>
      <c r="X579" s="151">
        <f>+VLOOKUP(PROVEEDORES[[#This Row],[ID RETENCION]],Retenciones!$A$1:$O$25,PROVEEDORES[[#This Row],[indicador de columna]],FALSE)</f>
        <v>0</v>
      </c>
      <c r="Y579" s="152">
        <f>+VLOOKUP(PROVEEDORES[[#This Row],[ID RETENCION]],Retenciones!$A$1:$O$25,2,FALSE)</f>
        <v>0</v>
      </c>
      <c r="Z579" s="153" t="b">
        <f>+OR(COUNTIF(PROVEEDORES[[#This Row],[PROVEEDOR]],"*"&amp;'Palabra que no opera y Listas d'!$A$2&amp;"*"))</f>
        <v>0</v>
      </c>
    </row>
    <row r="580" spans="1:26" ht="27.75" customHeight="1" x14ac:dyDescent="0.3">
      <c r="A580" s="144" t="str">
        <f>+IF(PROVEEDORES[[#This Row],[FECHA DE PAGO]]=PROVEEDORES[[#This Row],[FECHA DE FACTURACIÓN]],"DE CONTADO","CRÉDITO")</f>
        <v>CRÉDITO</v>
      </c>
      <c r="B580" s="144" t="str">
        <f>+IF((PROVEEDORES[[#This Row],[FECHA DE PAGO]]-PROVEEDORES[[#This Row],[FECHA DE FACTURACIÓN]])&gt;PROVEEDORES[[#This Row],[PLAZO Días]],"PAGO VENCIDO")</f>
        <v>PAGO VENCIDO</v>
      </c>
      <c r="C580" s="144">
        <f>+VLOOKUP(PROVEEDORES[[#This Row],[PROVEEDOR]],TERCEROS_INFO[#All],2,FALSE)</f>
        <v>0</v>
      </c>
      <c r="D580" s="145">
        <f>+SUMIFS(PROVEEDORES[Total],PROVEEDORES[PROVEEDOR],PROVEEDORES[[#This Row],[PROVEEDOR]],PROVEEDORES[FECHA DE PAGO],"")</f>
        <v>0</v>
      </c>
      <c r="E580" s="146"/>
      <c r="F580" s="144">
        <f>+VLOOKUP(PROVEEDORES[[#This Row],[PROVEEDOR]],
                       Terceros!$A:$G,
                       5,
                       FALSE)</f>
        <v>0</v>
      </c>
      <c r="G580" s="122">
        <v>45155</v>
      </c>
      <c r="H580" s="102" t="s">
        <v>22</v>
      </c>
      <c r="I580" s="122">
        <v>45147</v>
      </c>
      <c r="J580" s="103">
        <v>90105</v>
      </c>
      <c r="K580" s="103" t="s">
        <v>1512</v>
      </c>
      <c r="L580" s="103"/>
      <c r="M580" s="105">
        <v>50292956.899999999</v>
      </c>
      <c r="N580" s="147">
        <v>0</v>
      </c>
      <c r="O580" s="147">
        <v>0</v>
      </c>
      <c r="P580" s="148">
        <v>0</v>
      </c>
      <c r="Q580" s="147">
        <v>0</v>
      </c>
      <c r="R580" s="149">
        <v>50292956.899999999</v>
      </c>
      <c r="S5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0" s="150">
        <f ca="1">+IF(PROVEEDORES[[#This Row],[FECHA DE PAGO]]=0,TODAY()-PROVEEDORES[[#This Row],[FECHA DE FACTURACIÓN]]-PROVEEDORES[[#This Row],[PLAZO Días]],0)</f>
        <v>0</v>
      </c>
      <c r="U580" s="150">
        <f>+VLOOKUP(PROVEEDORES[[#This Row],[PROVEEDOR]],Terceros!$A:$E,4,FALSE)</f>
        <v>0</v>
      </c>
      <c r="V580" s="150">
        <f>+YEAR(PROVEEDORES[[#This Row],[FECHA DE FACTURACIÓN]])</f>
        <v>2023</v>
      </c>
      <c r="W580" s="150">
        <f>+MATCH(PROVEEDORES[[#This Row],[año facturado]],Retenciones!$1:$1,0)</f>
        <v>6</v>
      </c>
      <c r="X580" s="151">
        <f>+VLOOKUP(PROVEEDORES[[#This Row],[ID RETENCION]],Retenciones!$A$1:$O$25,PROVEEDORES[[#This Row],[indicador de columna]],FALSE)</f>
        <v>0</v>
      </c>
      <c r="Y580" s="152">
        <f>+VLOOKUP(PROVEEDORES[[#This Row],[ID RETENCION]],Retenciones!$A$1:$O$25,2,FALSE)</f>
        <v>0</v>
      </c>
      <c r="Z580" s="153" t="b">
        <f>+OR(COUNTIF(PROVEEDORES[[#This Row],[PROVEEDOR]],"*"&amp;'Palabra que no opera y Listas d'!$A$2&amp;"*"))</f>
        <v>0</v>
      </c>
    </row>
    <row r="581" spans="1:26" ht="27.75" customHeight="1" x14ac:dyDescent="0.3">
      <c r="A581" s="144" t="str">
        <f>+IF(PROVEEDORES[[#This Row],[FECHA DE PAGO]]=PROVEEDORES[[#This Row],[FECHA DE FACTURACIÓN]],"DE CONTADO","CRÉDITO")</f>
        <v>CRÉDITO</v>
      </c>
      <c r="B581" s="144" t="str">
        <f>+IF((PROVEEDORES[[#This Row],[FECHA DE PAGO]]-PROVEEDORES[[#This Row],[FECHA DE FACTURACIÓN]])&gt;PROVEEDORES[[#This Row],[PLAZO Días]],"PAGO VENCIDO")</f>
        <v>PAGO VENCIDO</v>
      </c>
      <c r="C581" s="144">
        <f>+VLOOKUP(PROVEEDORES[[#This Row],[PROVEEDOR]],TERCEROS_INFO[#All],2,FALSE)</f>
        <v>0</v>
      </c>
      <c r="D581" s="145">
        <f>+SUMIFS(PROVEEDORES[Total],PROVEEDORES[PROVEEDOR],PROVEEDORES[[#This Row],[PROVEEDOR]],PROVEEDORES[FECHA DE PAGO],"")</f>
        <v>0</v>
      </c>
      <c r="E581" s="146"/>
      <c r="F581" s="144">
        <f>+VLOOKUP(PROVEEDORES[[#This Row],[PROVEEDOR]],
                       Terceros!$A:$G,
                       5,
                       FALSE)</f>
        <v>0</v>
      </c>
      <c r="G581" s="122">
        <v>45156</v>
      </c>
      <c r="H581" s="102" t="s">
        <v>391</v>
      </c>
      <c r="I581" s="122">
        <v>45139</v>
      </c>
      <c r="J581" s="103" t="s">
        <v>986</v>
      </c>
      <c r="K581" s="103" t="s">
        <v>1512</v>
      </c>
      <c r="L581" s="103"/>
      <c r="M581" s="105">
        <v>318603</v>
      </c>
      <c r="N581" s="147">
        <v>0</v>
      </c>
      <c r="O581" s="147">
        <v>0</v>
      </c>
      <c r="P581" s="148">
        <v>0</v>
      </c>
      <c r="Q581" s="147">
        <v>0</v>
      </c>
      <c r="R581" s="149">
        <v>318603</v>
      </c>
      <c r="S5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1" s="150">
        <f ca="1">+IF(PROVEEDORES[[#This Row],[FECHA DE PAGO]]=0,TODAY()-PROVEEDORES[[#This Row],[FECHA DE FACTURACIÓN]]-PROVEEDORES[[#This Row],[PLAZO Días]],0)</f>
        <v>0</v>
      </c>
      <c r="U581" s="150">
        <f>+VLOOKUP(PROVEEDORES[[#This Row],[PROVEEDOR]],Terceros!$A:$E,4,FALSE)</f>
        <v>0</v>
      </c>
      <c r="V581" s="150">
        <f>+YEAR(PROVEEDORES[[#This Row],[FECHA DE FACTURACIÓN]])</f>
        <v>2023</v>
      </c>
      <c r="W581" s="150">
        <f>+MATCH(PROVEEDORES[[#This Row],[año facturado]],Retenciones!$1:$1,0)</f>
        <v>6</v>
      </c>
      <c r="X581" s="151">
        <f>+VLOOKUP(PROVEEDORES[[#This Row],[ID RETENCION]],Retenciones!$A$1:$O$25,PROVEEDORES[[#This Row],[indicador de columna]],FALSE)</f>
        <v>0</v>
      </c>
      <c r="Y581" s="152">
        <f>+VLOOKUP(PROVEEDORES[[#This Row],[ID RETENCION]],Retenciones!$A$1:$O$25,2,FALSE)</f>
        <v>0</v>
      </c>
      <c r="Z581" s="153" t="b">
        <f>+OR(COUNTIF(PROVEEDORES[[#This Row],[PROVEEDOR]],"*"&amp;'Palabra que no opera y Listas d'!$A$2&amp;"*"))</f>
        <v>1</v>
      </c>
    </row>
    <row r="582" spans="1:26" ht="27.75" customHeight="1" x14ac:dyDescent="0.3">
      <c r="A582" s="144" t="str">
        <f>+IF(PROVEEDORES[[#This Row],[FECHA DE PAGO]]=PROVEEDORES[[#This Row],[FECHA DE FACTURACIÓN]],"DE CONTADO","CRÉDITO")</f>
        <v>DE CONTADO</v>
      </c>
      <c r="B582" s="144" t="b">
        <f>+IF((PROVEEDORES[[#This Row],[FECHA DE PAGO]]-PROVEEDORES[[#This Row],[FECHA DE FACTURACIÓN]])&gt;PROVEEDORES[[#This Row],[PLAZO Días]],"PAGO VENCIDO")</f>
        <v>0</v>
      </c>
      <c r="C582" s="144">
        <f>+VLOOKUP(PROVEEDORES[[#This Row],[PROVEEDOR]],TERCEROS_INFO[#All],2,FALSE)</f>
        <v>0</v>
      </c>
      <c r="D582" s="145">
        <f>+SUMIFS(PROVEEDORES[Total],PROVEEDORES[PROVEEDOR],PROVEEDORES[[#This Row],[PROVEEDOR]],PROVEEDORES[FECHA DE PAGO],"")</f>
        <v>0</v>
      </c>
      <c r="E582" s="146"/>
      <c r="F582" s="144" t="str">
        <f>+VLOOKUP(PROVEEDORES[[#This Row],[PROVEEDOR]],
                       Terceros!$A:$G,
                       5,
                       FALSE)</f>
        <v>2,5% con base</v>
      </c>
      <c r="G582" s="122">
        <v>45156</v>
      </c>
      <c r="H582" s="102" t="s">
        <v>35</v>
      </c>
      <c r="I582" s="122">
        <v>45156</v>
      </c>
      <c r="J582" s="103" t="s">
        <v>1007</v>
      </c>
      <c r="K582" s="103" t="s">
        <v>1512</v>
      </c>
      <c r="L582" s="103"/>
      <c r="M582" s="105">
        <v>18513</v>
      </c>
      <c r="N582" s="147">
        <v>3517.4700000000003</v>
      </c>
      <c r="O582" s="147">
        <v>0</v>
      </c>
      <c r="P582" s="148">
        <v>0</v>
      </c>
      <c r="Q582" s="147">
        <v>0</v>
      </c>
      <c r="R582" s="149">
        <v>22030.47</v>
      </c>
      <c r="S5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2" s="150">
        <f ca="1">+IF(PROVEEDORES[[#This Row],[FECHA DE PAGO]]=0,TODAY()-PROVEEDORES[[#This Row],[FECHA DE FACTURACIÓN]]-PROVEEDORES[[#This Row],[PLAZO Días]],0)</f>
        <v>0</v>
      </c>
      <c r="U582" s="150">
        <f>+VLOOKUP(PROVEEDORES[[#This Row],[PROVEEDOR]],Terceros!$A:$E,4,FALSE)</f>
        <v>0.19</v>
      </c>
      <c r="V582" s="150">
        <f>+YEAR(PROVEEDORES[[#This Row],[FECHA DE FACTURACIÓN]])</f>
        <v>2023</v>
      </c>
      <c r="W582" s="150">
        <f>+MATCH(PROVEEDORES[[#This Row],[año facturado]],Retenciones!$1:$1,0)</f>
        <v>6</v>
      </c>
      <c r="X582" s="151" t="e">
        <f>+VLOOKUP(PROVEEDORES[[#This Row],[ID RETENCION]],Retenciones!$A$1:$O$25,PROVEEDORES[[#This Row],[indicador de columna]],FALSE)</f>
        <v>#N/A</v>
      </c>
      <c r="Y582" s="152" t="e">
        <f>+VLOOKUP(PROVEEDORES[[#This Row],[ID RETENCION]],Retenciones!$A$1:$O$25,2,FALSE)</f>
        <v>#N/A</v>
      </c>
      <c r="Z582" s="153" t="b">
        <f>+OR(COUNTIF(PROVEEDORES[[#This Row],[PROVEEDOR]],"*"&amp;'Palabra que no opera y Listas d'!$A$2&amp;"*"))</f>
        <v>0</v>
      </c>
    </row>
    <row r="583" spans="1:26" ht="27.75" customHeight="1" x14ac:dyDescent="0.3">
      <c r="A583" s="144" t="str">
        <f>+IF(PROVEEDORES[[#This Row],[FECHA DE PAGO]]=PROVEEDORES[[#This Row],[FECHA DE FACTURACIÓN]],"DE CONTADO","CRÉDITO")</f>
        <v>DE CONTADO</v>
      </c>
      <c r="B583" s="144" t="b">
        <f>+IF((PROVEEDORES[[#This Row],[FECHA DE PAGO]]-PROVEEDORES[[#This Row],[FECHA DE FACTURACIÓN]])&gt;PROVEEDORES[[#This Row],[PLAZO Días]],"PAGO VENCIDO")</f>
        <v>0</v>
      </c>
      <c r="C583" s="144">
        <f>+VLOOKUP(PROVEEDORES[[#This Row],[PROVEEDOR]],TERCEROS_INFO[#All],2,FALSE)</f>
        <v>0</v>
      </c>
      <c r="D583" s="145">
        <f>+SUMIFS(PROVEEDORES[Total],PROVEEDORES[PROVEEDOR],PROVEEDORES[[#This Row],[PROVEEDOR]],PROVEEDORES[FECHA DE PAGO],"")</f>
        <v>0</v>
      </c>
      <c r="E583" s="146"/>
      <c r="F583" s="144">
        <f>+VLOOKUP(PROVEEDORES[[#This Row],[PROVEEDOR]],
                       Terceros!$A:$G,
                       5,
                       FALSE)</f>
        <v>0</v>
      </c>
      <c r="G583" s="122">
        <v>45157</v>
      </c>
      <c r="H583" s="102" t="s">
        <v>537</v>
      </c>
      <c r="I583" s="122">
        <v>45157</v>
      </c>
      <c r="J583" s="103" t="s">
        <v>1001</v>
      </c>
      <c r="K583" s="103" t="s">
        <v>1512</v>
      </c>
      <c r="L583" s="103"/>
      <c r="M583" s="105">
        <v>50000</v>
      </c>
      <c r="N583" s="147">
        <v>0</v>
      </c>
      <c r="O583" s="147">
        <v>0</v>
      </c>
      <c r="P583" s="148">
        <v>0</v>
      </c>
      <c r="Q583" s="147">
        <v>0</v>
      </c>
      <c r="R583" s="149">
        <v>50000</v>
      </c>
      <c r="S5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3" s="150">
        <f ca="1">+IF(PROVEEDORES[[#This Row],[FECHA DE PAGO]]=0,TODAY()-PROVEEDORES[[#This Row],[FECHA DE FACTURACIÓN]]-PROVEEDORES[[#This Row],[PLAZO Días]],0)</f>
        <v>0</v>
      </c>
      <c r="U583" s="150">
        <f>+VLOOKUP(PROVEEDORES[[#This Row],[PROVEEDOR]],Terceros!$A:$E,4,FALSE)</f>
        <v>0</v>
      </c>
      <c r="V583" s="150">
        <f>+YEAR(PROVEEDORES[[#This Row],[FECHA DE FACTURACIÓN]])</f>
        <v>2023</v>
      </c>
      <c r="W583" s="150">
        <f>+MATCH(PROVEEDORES[[#This Row],[año facturado]],Retenciones!$1:$1,0)</f>
        <v>6</v>
      </c>
      <c r="X583" s="151">
        <f>+VLOOKUP(PROVEEDORES[[#This Row],[ID RETENCION]],Retenciones!$A$1:$O$25,PROVEEDORES[[#This Row],[indicador de columna]],FALSE)</f>
        <v>0</v>
      </c>
      <c r="Y583" s="152">
        <f>+VLOOKUP(PROVEEDORES[[#This Row],[ID RETENCION]],Retenciones!$A$1:$O$25,2,FALSE)</f>
        <v>0</v>
      </c>
      <c r="Z583" s="153" t="b">
        <f>+OR(COUNTIF(PROVEEDORES[[#This Row],[PROVEEDOR]],"*"&amp;'Palabra que no opera y Listas d'!$A$2&amp;"*"))</f>
        <v>0</v>
      </c>
    </row>
    <row r="584" spans="1:26" ht="27.75" customHeight="1" x14ac:dyDescent="0.3">
      <c r="A584" s="144" t="str">
        <f>+IF(PROVEEDORES[[#This Row],[FECHA DE PAGO]]=PROVEEDORES[[#This Row],[FECHA DE FACTURACIÓN]],"DE CONTADO","CRÉDITO")</f>
        <v>CRÉDITO</v>
      </c>
      <c r="B584" s="144" t="str">
        <f>+IF((PROVEEDORES[[#This Row],[FECHA DE PAGO]]-PROVEEDORES[[#This Row],[FECHA DE FACTURACIÓN]])&gt;PROVEEDORES[[#This Row],[PLAZO Días]],"PAGO VENCIDO")</f>
        <v>PAGO VENCIDO</v>
      </c>
      <c r="C584" s="144">
        <f>+VLOOKUP(PROVEEDORES[[#This Row],[PROVEEDOR]],TERCEROS_INFO[#All],2,FALSE)</f>
        <v>0</v>
      </c>
      <c r="D584" s="145">
        <f>+SUMIFS(PROVEEDORES[Total],PROVEEDORES[PROVEEDOR],PROVEEDORES[[#This Row],[PROVEEDOR]],PROVEEDORES[FECHA DE PAGO],"")</f>
        <v>0</v>
      </c>
      <c r="E584" s="146"/>
      <c r="F584" s="144" t="str">
        <f>+VLOOKUP(PROVEEDORES[[#This Row],[PROVEEDOR]],
                       Terceros!$A:$G,
                       5,
                       FALSE)</f>
        <v>2,5% con base</v>
      </c>
      <c r="G584" s="122">
        <v>45160</v>
      </c>
      <c r="H584" s="102" t="s">
        <v>30</v>
      </c>
      <c r="I584" s="122">
        <v>45100</v>
      </c>
      <c r="J584" s="103" t="s">
        <v>888</v>
      </c>
      <c r="K584" s="103" t="s">
        <v>1512</v>
      </c>
      <c r="L584" s="103"/>
      <c r="M584" s="105">
        <v>1119664</v>
      </c>
      <c r="N584" s="147">
        <v>212736.16</v>
      </c>
      <c r="O584" s="147">
        <v>0</v>
      </c>
      <c r="P584" s="148">
        <v>0</v>
      </c>
      <c r="Q584" s="147">
        <v>0</v>
      </c>
      <c r="R584" s="149">
        <v>1332400.1599999999</v>
      </c>
      <c r="S5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4" s="150">
        <f ca="1">+IF(PROVEEDORES[[#This Row],[FECHA DE PAGO]]=0,TODAY()-PROVEEDORES[[#This Row],[FECHA DE FACTURACIÓN]]-PROVEEDORES[[#This Row],[PLAZO Días]],0)</f>
        <v>0</v>
      </c>
      <c r="U584" s="150">
        <f>+VLOOKUP(PROVEEDORES[[#This Row],[PROVEEDOR]],Terceros!$A:$E,4,FALSE)</f>
        <v>0.19</v>
      </c>
      <c r="V584" s="150">
        <f>+YEAR(PROVEEDORES[[#This Row],[FECHA DE FACTURACIÓN]])</f>
        <v>2023</v>
      </c>
      <c r="W584" s="150">
        <f>+MATCH(PROVEEDORES[[#This Row],[año facturado]],Retenciones!$1:$1,0)</f>
        <v>6</v>
      </c>
      <c r="X584" s="151" t="e">
        <f>+VLOOKUP(PROVEEDORES[[#This Row],[ID RETENCION]],Retenciones!$A$1:$O$25,PROVEEDORES[[#This Row],[indicador de columna]],FALSE)</f>
        <v>#N/A</v>
      </c>
      <c r="Y584" s="152" t="e">
        <f>+VLOOKUP(PROVEEDORES[[#This Row],[ID RETENCION]],Retenciones!$A$1:$O$25,2,FALSE)</f>
        <v>#N/A</v>
      </c>
      <c r="Z584" s="153" t="b">
        <f>+OR(COUNTIF(PROVEEDORES[[#This Row],[PROVEEDOR]],"*"&amp;'Palabra que no opera y Listas d'!$A$2&amp;"*"))</f>
        <v>0</v>
      </c>
    </row>
    <row r="585" spans="1:26" ht="27.75" customHeight="1" x14ac:dyDescent="0.3">
      <c r="A585" s="144" t="str">
        <f>+IF(PROVEEDORES[[#This Row],[FECHA DE PAGO]]=PROVEEDORES[[#This Row],[FECHA DE FACTURACIÓN]],"DE CONTADO","CRÉDITO")</f>
        <v>CRÉDITO</v>
      </c>
      <c r="B585" s="144" t="str">
        <f>+IF((PROVEEDORES[[#This Row],[FECHA DE PAGO]]-PROVEEDORES[[#This Row],[FECHA DE FACTURACIÓN]])&gt;PROVEEDORES[[#This Row],[PLAZO Días]],"PAGO VENCIDO")</f>
        <v>PAGO VENCIDO</v>
      </c>
      <c r="C585" s="144">
        <f>+VLOOKUP(PROVEEDORES[[#This Row],[PROVEEDOR]],TERCEROS_INFO[#All],2,FALSE)</f>
        <v>0</v>
      </c>
      <c r="D585" s="145">
        <f>+SUMIFS(PROVEEDORES[Total],PROVEEDORES[PROVEEDOR],PROVEEDORES[[#This Row],[PROVEEDOR]],PROVEEDORES[FECHA DE PAGO],"")</f>
        <v>0</v>
      </c>
      <c r="E585" s="146"/>
      <c r="F585" s="144" t="str">
        <f>+VLOOKUP(PROVEEDORES[[#This Row],[PROVEEDOR]],
                       Terceros!$A:$G,
                       5,
                       FALSE)</f>
        <v>3,5% sin base</v>
      </c>
      <c r="G585" s="122">
        <v>45160</v>
      </c>
      <c r="H585" s="102" t="s">
        <v>395</v>
      </c>
      <c r="I585" s="122">
        <v>45148</v>
      </c>
      <c r="J585" s="103" t="s">
        <v>992</v>
      </c>
      <c r="K585" s="103" t="s">
        <v>1512</v>
      </c>
      <c r="L585" s="103"/>
      <c r="M585" s="105">
        <v>3456200</v>
      </c>
      <c r="N585" s="147">
        <v>0</v>
      </c>
      <c r="O585" s="147">
        <v>0</v>
      </c>
      <c r="P585" s="148">
        <v>3.5000000000000003E-2</v>
      </c>
      <c r="Q585" s="147">
        <v>120967.00000000001</v>
      </c>
      <c r="R585" s="149">
        <v>3335233</v>
      </c>
      <c r="S5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5" s="150">
        <f ca="1">+IF(PROVEEDORES[[#This Row],[FECHA DE PAGO]]=0,TODAY()-PROVEEDORES[[#This Row],[FECHA DE FACTURACIÓN]]-PROVEEDORES[[#This Row],[PLAZO Días]],0)</f>
        <v>0</v>
      </c>
      <c r="U585" s="150">
        <f>+VLOOKUP(PROVEEDORES[[#This Row],[PROVEEDOR]],Terceros!$A:$E,4,FALSE)</f>
        <v>0</v>
      </c>
      <c r="V585" s="150">
        <f>+YEAR(PROVEEDORES[[#This Row],[FECHA DE FACTURACIÓN]])</f>
        <v>2023</v>
      </c>
      <c r="W585" s="150">
        <f>+MATCH(PROVEEDORES[[#This Row],[año facturado]],Retenciones!$1:$1,0)</f>
        <v>6</v>
      </c>
      <c r="X585" s="151">
        <f>+VLOOKUP(PROVEEDORES[[#This Row],[ID RETENCION]],Retenciones!$A$1:$O$25,PROVEEDORES[[#This Row],[indicador de columna]],FALSE)</f>
        <v>0</v>
      </c>
      <c r="Y585" s="152">
        <f>+VLOOKUP(PROVEEDORES[[#This Row],[ID RETENCION]],Retenciones!$A$1:$O$25,2,FALSE)</f>
        <v>0</v>
      </c>
      <c r="Z585" s="153" t="b">
        <f>+OR(COUNTIF(PROVEEDORES[[#This Row],[PROVEEDOR]],"*"&amp;'Palabra que no opera y Listas d'!$A$2&amp;"*"))</f>
        <v>1</v>
      </c>
    </row>
    <row r="586" spans="1:26" ht="27.75" customHeight="1" x14ac:dyDescent="0.3">
      <c r="A586" s="144" t="str">
        <f>+IF(PROVEEDORES[[#This Row],[FECHA DE PAGO]]=PROVEEDORES[[#This Row],[FECHA DE FACTURACIÓN]],"DE CONTADO","CRÉDITO")</f>
        <v>DE CONTADO</v>
      </c>
      <c r="B586" s="144" t="b">
        <f>+IF((PROVEEDORES[[#This Row],[FECHA DE PAGO]]-PROVEEDORES[[#This Row],[FECHA DE FACTURACIÓN]])&gt;PROVEEDORES[[#This Row],[PLAZO Días]],"PAGO VENCIDO")</f>
        <v>0</v>
      </c>
      <c r="C586" s="144">
        <f>+VLOOKUP(PROVEEDORES[[#This Row],[PROVEEDOR]],TERCEROS_INFO[#All],2,FALSE)</f>
        <v>0</v>
      </c>
      <c r="D586" s="145">
        <f>+SUMIFS(PROVEEDORES[Total],PROVEEDORES[PROVEEDOR],PROVEEDORES[[#This Row],[PROVEEDOR]],PROVEEDORES[FECHA DE PAGO],"")</f>
        <v>0</v>
      </c>
      <c r="E586" s="146"/>
      <c r="F586" s="144">
        <f>+VLOOKUP(PROVEEDORES[[#This Row],[PROVEEDOR]],
                       Terceros!$A:$G,
                       5,
                       FALSE)</f>
        <v>0</v>
      </c>
      <c r="G586" s="122">
        <v>45160</v>
      </c>
      <c r="H586" s="102" t="s">
        <v>537</v>
      </c>
      <c r="I586" s="122">
        <v>45160</v>
      </c>
      <c r="J586" s="103" t="s">
        <v>1000</v>
      </c>
      <c r="K586" s="103" t="s">
        <v>1512</v>
      </c>
      <c r="L586" s="103"/>
      <c r="M586" s="105">
        <v>70000</v>
      </c>
      <c r="N586" s="147">
        <v>0</v>
      </c>
      <c r="O586" s="147">
        <v>0</v>
      </c>
      <c r="P586" s="148">
        <v>0</v>
      </c>
      <c r="Q586" s="147">
        <v>0</v>
      </c>
      <c r="R586" s="149">
        <v>70000</v>
      </c>
      <c r="S5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6" s="150">
        <f ca="1">+IF(PROVEEDORES[[#This Row],[FECHA DE PAGO]]=0,TODAY()-PROVEEDORES[[#This Row],[FECHA DE FACTURACIÓN]]-PROVEEDORES[[#This Row],[PLAZO Días]],0)</f>
        <v>0</v>
      </c>
      <c r="U586" s="150">
        <f>+VLOOKUP(PROVEEDORES[[#This Row],[PROVEEDOR]],Terceros!$A:$E,4,FALSE)</f>
        <v>0</v>
      </c>
      <c r="V586" s="150">
        <f>+YEAR(PROVEEDORES[[#This Row],[FECHA DE FACTURACIÓN]])</f>
        <v>2023</v>
      </c>
      <c r="W586" s="150">
        <f>+MATCH(PROVEEDORES[[#This Row],[año facturado]],Retenciones!$1:$1,0)</f>
        <v>6</v>
      </c>
      <c r="X586" s="151">
        <f>+VLOOKUP(PROVEEDORES[[#This Row],[ID RETENCION]],Retenciones!$A$1:$O$25,PROVEEDORES[[#This Row],[indicador de columna]],FALSE)</f>
        <v>0</v>
      </c>
      <c r="Y586" s="152">
        <f>+VLOOKUP(PROVEEDORES[[#This Row],[ID RETENCION]],Retenciones!$A$1:$O$25,2,FALSE)</f>
        <v>0</v>
      </c>
      <c r="Z586" s="153" t="b">
        <f>+OR(COUNTIF(PROVEEDORES[[#This Row],[PROVEEDOR]],"*"&amp;'Palabra que no opera y Listas d'!$A$2&amp;"*"))</f>
        <v>0</v>
      </c>
    </row>
    <row r="587" spans="1:26" ht="27.75" customHeight="1" x14ac:dyDescent="0.3">
      <c r="A587" s="144" t="str">
        <f>+IF(PROVEEDORES[[#This Row],[FECHA DE PAGO]]=PROVEEDORES[[#This Row],[FECHA DE FACTURACIÓN]],"DE CONTADO","CRÉDITO")</f>
        <v>CRÉDITO</v>
      </c>
      <c r="B587" s="144" t="str">
        <f>+IF((PROVEEDORES[[#This Row],[FECHA DE PAGO]]-PROVEEDORES[[#This Row],[FECHA DE FACTURACIÓN]])&gt;PROVEEDORES[[#This Row],[PLAZO Días]],"PAGO VENCIDO")</f>
        <v>PAGO VENCIDO</v>
      </c>
      <c r="C587" s="144">
        <f>+VLOOKUP(PROVEEDORES[[#This Row],[PROVEEDOR]],TERCEROS_INFO[#All],2,FALSE)</f>
        <v>0</v>
      </c>
      <c r="D587" s="145">
        <f>+SUMIFS(PROVEEDORES[Total],PROVEEDORES[PROVEEDOR],PROVEEDORES[[#This Row],[PROVEEDOR]],PROVEEDORES[FECHA DE PAGO],"")</f>
        <v>0</v>
      </c>
      <c r="E587" s="146"/>
      <c r="F587" s="144">
        <f>+VLOOKUP(PROVEEDORES[[#This Row],[PROVEEDOR]],
                       Terceros!$A:$G,
                       5,
                       FALSE)</f>
        <v>0</v>
      </c>
      <c r="G587" s="122">
        <v>45161</v>
      </c>
      <c r="H587" s="102" t="s">
        <v>397</v>
      </c>
      <c r="I587" s="122">
        <v>45139</v>
      </c>
      <c r="J587" s="103" t="s">
        <v>994</v>
      </c>
      <c r="K587" s="103" t="s">
        <v>1512</v>
      </c>
      <c r="L587" s="103"/>
      <c r="M587" s="105">
        <v>934363</v>
      </c>
      <c r="N587" s="147">
        <v>0</v>
      </c>
      <c r="O587" s="147">
        <v>0</v>
      </c>
      <c r="P587" s="148">
        <v>0</v>
      </c>
      <c r="Q587" s="147">
        <v>0</v>
      </c>
      <c r="R587" s="149">
        <v>934363</v>
      </c>
      <c r="S5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7" s="150">
        <f ca="1">+IF(PROVEEDORES[[#This Row],[FECHA DE PAGO]]=0,TODAY()-PROVEEDORES[[#This Row],[FECHA DE FACTURACIÓN]]-PROVEEDORES[[#This Row],[PLAZO Días]],0)</f>
        <v>0</v>
      </c>
      <c r="U587" s="150">
        <f>+VLOOKUP(PROVEEDORES[[#This Row],[PROVEEDOR]],Terceros!$A:$E,4,FALSE)</f>
        <v>0</v>
      </c>
      <c r="V587" s="150">
        <f>+YEAR(PROVEEDORES[[#This Row],[FECHA DE FACTURACIÓN]])</f>
        <v>2023</v>
      </c>
      <c r="W587" s="150">
        <f>+MATCH(PROVEEDORES[[#This Row],[año facturado]],Retenciones!$1:$1,0)</f>
        <v>6</v>
      </c>
      <c r="X587" s="151">
        <f>+VLOOKUP(PROVEEDORES[[#This Row],[ID RETENCION]],Retenciones!$A$1:$O$25,PROVEEDORES[[#This Row],[indicador de columna]],FALSE)</f>
        <v>0</v>
      </c>
      <c r="Y587" s="152">
        <f>+VLOOKUP(PROVEEDORES[[#This Row],[ID RETENCION]],Retenciones!$A$1:$O$25,2,FALSE)</f>
        <v>0</v>
      </c>
      <c r="Z587" s="153" t="b">
        <f>+OR(COUNTIF(PROVEEDORES[[#This Row],[PROVEEDOR]],"*"&amp;'Palabra que no opera y Listas d'!$A$2&amp;"*"))</f>
        <v>1</v>
      </c>
    </row>
    <row r="588" spans="1:26" ht="27.75" customHeight="1" x14ac:dyDescent="0.3">
      <c r="A588" s="144" t="str">
        <f>+IF(PROVEEDORES[[#This Row],[FECHA DE PAGO]]=PROVEEDORES[[#This Row],[FECHA DE FACTURACIÓN]],"DE CONTADO","CRÉDITO")</f>
        <v>CRÉDITO</v>
      </c>
      <c r="B588" s="144" t="str">
        <f>+IF((PROVEEDORES[[#This Row],[FECHA DE PAGO]]-PROVEEDORES[[#This Row],[FECHA DE FACTURACIÓN]])&gt;PROVEEDORES[[#This Row],[PLAZO Días]],"PAGO VENCIDO")</f>
        <v>PAGO VENCIDO</v>
      </c>
      <c r="C588" s="144">
        <f>+VLOOKUP(PROVEEDORES[[#This Row],[PROVEEDOR]],TERCEROS_INFO[#All],2,FALSE)</f>
        <v>0</v>
      </c>
      <c r="D588" s="145">
        <f>+SUMIFS(PROVEEDORES[Total],PROVEEDORES[PROVEEDOR],PROVEEDORES[[#This Row],[PROVEEDOR]],PROVEEDORES[FECHA DE PAGO],"")</f>
        <v>0</v>
      </c>
      <c r="E588" s="146"/>
      <c r="F588" s="144">
        <f>+VLOOKUP(PROVEEDORES[[#This Row],[PROVEEDOR]],
                       Terceros!$A:$G,
                       5,
                       FALSE)</f>
        <v>0</v>
      </c>
      <c r="G588" s="122">
        <v>45161</v>
      </c>
      <c r="H588" s="102" t="s">
        <v>397</v>
      </c>
      <c r="I588" s="122">
        <v>45139</v>
      </c>
      <c r="J588" s="103" t="s">
        <v>995</v>
      </c>
      <c r="K588" s="103" t="s">
        <v>1512</v>
      </c>
      <c r="L588" s="103"/>
      <c r="M588" s="105">
        <v>914023</v>
      </c>
      <c r="N588" s="147">
        <v>0</v>
      </c>
      <c r="O588" s="147">
        <v>0</v>
      </c>
      <c r="P588" s="148">
        <v>0</v>
      </c>
      <c r="Q588" s="147">
        <v>0</v>
      </c>
      <c r="R588" s="149">
        <v>914023</v>
      </c>
      <c r="S5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8" s="150">
        <f ca="1">+IF(PROVEEDORES[[#This Row],[FECHA DE PAGO]]=0,TODAY()-PROVEEDORES[[#This Row],[FECHA DE FACTURACIÓN]]-PROVEEDORES[[#This Row],[PLAZO Días]],0)</f>
        <v>0</v>
      </c>
      <c r="U588" s="150">
        <f>+VLOOKUP(PROVEEDORES[[#This Row],[PROVEEDOR]],Terceros!$A:$E,4,FALSE)</f>
        <v>0</v>
      </c>
      <c r="V588" s="150">
        <f>+YEAR(PROVEEDORES[[#This Row],[FECHA DE FACTURACIÓN]])</f>
        <v>2023</v>
      </c>
      <c r="W588" s="150">
        <f>+MATCH(PROVEEDORES[[#This Row],[año facturado]],Retenciones!$1:$1,0)</f>
        <v>6</v>
      </c>
      <c r="X588" s="151">
        <f>+VLOOKUP(PROVEEDORES[[#This Row],[ID RETENCION]],Retenciones!$A$1:$O$25,PROVEEDORES[[#This Row],[indicador de columna]],FALSE)</f>
        <v>0</v>
      </c>
      <c r="Y588" s="152">
        <f>+VLOOKUP(PROVEEDORES[[#This Row],[ID RETENCION]],Retenciones!$A$1:$O$25,2,FALSE)</f>
        <v>0</v>
      </c>
      <c r="Z588" s="153" t="b">
        <f>+OR(COUNTIF(PROVEEDORES[[#This Row],[PROVEEDOR]],"*"&amp;'Palabra que no opera y Listas d'!$A$2&amp;"*"))</f>
        <v>1</v>
      </c>
    </row>
    <row r="589" spans="1:26" ht="27.75" customHeight="1" x14ac:dyDescent="0.3">
      <c r="A589" s="144" t="str">
        <f>+IF(PROVEEDORES[[#This Row],[FECHA DE PAGO]]=PROVEEDORES[[#This Row],[FECHA DE FACTURACIÓN]],"DE CONTADO","CRÉDITO")</f>
        <v>DE CONTADO</v>
      </c>
      <c r="B589" s="144" t="b">
        <f>+IF((PROVEEDORES[[#This Row],[FECHA DE PAGO]]-PROVEEDORES[[#This Row],[FECHA DE FACTURACIÓN]])&gt;PROVEEDORES[[#This Row],[PLAZO Días]],"PAGO VENCIDO")</f>
        <v>0</v>
      </c>
      <c r="C589" s="144">
        <f>+VLOOKUP(PROVEEDORES[[#This Row],[PROVEEDOR]],TERCEROS_INFO[#All],2,FALSE)</f>
        <v>0</v>
      </c>
      <c r="D589" s="145">
        <f>+SUMIFS(PROVEEDORES[Total],PROVEEDORES[PROVEEDOR],PROVEEDORES[[#This Row],[PROVEEDOR]],PROVEEDORES[FECHA DE PAGO],"")</f>
        <v>0</v>
      </c>
      <c r="E589" s="146"/>
      <c r="F589" s="144" t="str">
        <f>+VLOOKUP(PROVEEDORES[[#This Row],[PROVEEDOR]],
                       Terceros!$A:$G,
                       5,
                       FALSE)</f>
        <v>2,5% con base</v>
      </c>
      <c r="G589" s="122">
        <v>45162</v>
      </c>
      <c r="H589" s="102" t="s">
        <v>1002</v>
      </c>
      <c r="I589" s="122">
        <v>45162</v>
      </c>
      <c r="J589" s="103" t="s">
        <v>1003</v>
      </c>
      <c r="K589" s="103" t="s">
        <v>1512</v>
      </c>
      <c r="L589" s="103"/>
      <c r="M589" s="105">
        <v>487395</v>
      </c>
      <c r="N589" s="147">
        <v>92605.05</v>
      </c>
      <c r="O589" s="147">
        <v>0</v>
      </c>
      <c r="P589" s="148">
        <v>0</v>
      </c>
      <c r="Q589" s="147">
        <v>0</v>
      </c>
      <c r="R589" s="149">
        <v>580000.05000000005</v>
      </c>
      <c r="S5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9" s="150">
        <f ca="1">+IF(PROVEEDORES[[#This Row],[FECHA DE PAGO]]=0,TODAY()-PROVEEDORES[[#This Row],[FECHA DE FACTURACIÓN]]-PROVEEDORES[[#This Row],[PLAZO Días]],0)</f>
        <v>0</v>
      </c>
      <c r="U589" s="150">
        <f>+VLOOKUP(PROVEEDORES[[#This Row],[PROVEEDOR]],Terceros!$A:$E,4,FALSE)</f>
        <v>0.19</v>
      </c>
      <c r="V589" s="150">
        <f>+YEAR(PROVEEDORES[[#This Row],[FECHA DE FACTURACIÓN]])</f>
        <v>2023</v>
      </c>
      <c r="W589" s="150">
        <f>+MATCH(PROVEEDORES[[#This Row],[año facturado]],Retenciones!$1:$1,0)</f>
        <v>6</v>
      </c>
      <c r="X589" s="151" t="e">
        <f>+VLOOKUP(PROVEEDORES[[#This Row],[ID RETENCION]],Retenciones!$A$1:$O$25,PROVEEDORES[[#This Row],[indicador de columna]],FALSE)</f>
        <v>#N/A</v>
      </c>
      <c r="Y589" s="152" t="e">
        <f>+VLOOKUP(PROVEEDORES[[#This Row],[ID RETENCION]],Retenciones!$A$1:$O$25,2,FALSE)</f>
        <v>#N/A</v>
      </c>
      <c r="Z589" s="153" t="b">
        <f>+OR(COUNTIF(PROVEEDORES[[#This Row],[PROVEEDOR]],"*"&amp;'Palabra que no opera y Listas d'!$A$2&amp;"*"))</f>
        <v>0</v>
      </c>
    </row>
    <row r="590" spans="1:26" ht="27.75" customHeight="1" x14ac:dyDescent="0.3">
      <c r="A590" s="144" t="str">
        <f>+IF(PROVEEDORES[[#This Row],[FECHA DE PAGO]]=PROVEEDORES[[#This Row],[FECHA DE FACTURACIÓN]],"DE CONTADO","CRÉDITO")</f>
        <v>CRÉDITO</v>
      </c>
      <c r="B590" s="144" t="str">
        <f>+IF((PROVEEDORES[[#This Row],[FECHA DE PAGO]]-PROVEEDORES[[#This Row],[FECHA DE FACTURACIÓN]])&gt;PROVEEDORES[[#This Row],[PLAZO Días]],"PAGO VENCIDO")</f>
        <v>PAGO VENCIDO</v>
      </c>
      <c r="C590" s="144">
        <f>+VLOOKUP(PROVEEDORES[[#This Row],[PROVEEDOR]],TERCEROS_INFO[#All],2,FALSE)</f>
        <v>0</v>
      </c>
      <c r="D590" s="145">
        <f>+SUMIFS(PROVEEDORES[Total],PROVEEDORES[PROVEEDOR],PROVEEDORES[[#This Row],[PROVEEDOR]],PROVEEDORES[FECHA DE PAGO],"")</f>
        <v>0</v>
      </c>
      <c r="E590" s="146"/>
      <c r="F590" s="144" t="str">
        <f>+VLOOKUP(PROVEEDORES[[#This Row],[PROVEEDOR]],
                       Terceros!$A:$G,
                       5,
                       FALSE)</f>
        <v>2,5% con base</v>
      </c>
      <c r="G590" s="122">
        <v>45163</v>
      </c>
      <c r="H590" s="102" t="s">
        <v>467</v>
      </c>
      <c r="I590" s="122">
        <v>45128</v>
      </c>
      <c r="J590" s="103" t="s">
        <v>932</v>
      </c>
      <c r="K590" s="103" t="s">
        <v>1512</v>
      </c>
      <c r="L590" s="103"/>
      <c r="M590" s="105">
        <v>1369750</v>
      </c>
      <c r="N590" s="147">
        <v>260252.5</v>
      </c>
      <c r="O590" s="147">
        <v>0</v>
      </c>
      <c r="P590" s="148">
        <v>2.5000000000000001E-2</v>
      </c>
      <c r="Q590" s="147">
        <v>34243.75</v>
      </c>
      <c r="R590" s="149">
        <v>1595758.75</v>
      </c>
      <c r="S5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0" s="150">
        <f ca="1">+IF(PROVEEDORES[[#This Row],[FECHA DE PAGO]]=0,TODAY()-PROVEEDORES[[#This Row],[FECHA DE FACTURACIÓN]]-PROVEEDORES[[#This Row],[PLAZO Días]],0)</f>
        <v>0</v>
      </c>
      <c r="U590" s="150">
        <f>+VLOOKUP(PROVEEDORES[[#This Row],[PROVEEDOR]],Terceros!$A:$E,4,FALSE)</f>
        <v>0.19</v>
      </c>
      <c r="V590" s="150">
        <f>+YEAR(PROVEEDORES[[#This Row],[FECHA DE FACTURACIÓN]])</f>
        <v>2023</v>
      </c>
      <c r="W590" s="150">
        <f>+MATCH(PROVEEDORES[[#This Row],[año facturado]],Retenciones!$1:$1,0)</f>
        <v>6</v>
      </c>
      <c r="X590" s="151" t="e">
        <f>+VLOOKUP(PROVEEDORES[[#This Row],[ID RETENCION]],Retenciones!$A$1:$O$25,PROVEEDORES[[#This Row],[indicador de columna]],FALSE)</f>
        <v>#N/A</v>
      </c>
      <c r="Y590" s="152" t="e">
        <f>+VLOOKUP(PROVEEDORES[[#This Row],[ID RETENCION]],Retenciones!$A$1:$O$25,2,FALSE)</f>
        <v>#N/A</v>
      </c>
      <c r="Z590" s="153" t="b">
        <f>+OR(COUNTIF(PROVEEDORES[[#This Row],[PROVEEDOR]],"*"&amp;'Palabra que no opera y Listas d'!$A$2&amp;"*"))</f>
        <v>0</v>
      </c>
    </row>
    <row r="591" spans="1:26" ht="27.75" customHeight="1" x14ac:dyDescent="0.3">
      <c r="A591" s="144" t="str">
        <f>+IF(PROVEEDORES[[#This Row],[FECHA DE PAGO]]=PROVEEDORES[[#This Row],[FECHA DE FACTURACIÓN]],"DE CONTADO","CRÉDITO")</f>
        <v>DE CONTADO</v>
      </c>
      <c r="B591" s="144" t="b">
        <f>+IF((PROVEEDORES[[#This Row],[FECHA DE PAGO]]-PROVEEDORES[[#This Row],[FECHA DE FACTURACIÓN]])&gt;PROVEEDORES[[#This Row],[PLAZO Días]],"PAGO VENCIDO")</f>
        <v>0</v>
      </c>
      <c r="C591" s="144">
        <f>+VLOOKUP(PROVEEDORES[[#This Row],[PROVEEDOR]],TERCEROS_INFO[#All],2,FALSE)</f>
        <v>0</v>
      </c>
      <c r="D591" s="145">
        <f>+SUMIFS(PROVEEDORES[Total],PROVEEDORES[PROVEEDOR],PROVEEDORES[[#This Row],[PROVEEDOR]],PROVEEDORES[FECHA DE PAGO],"")</f>
        <v>550000</v>
      </c>
      <c r="E591" s="146"/>
      <c r="F591" s="144">
        <f>+VLOOKUP(PROVEEDORES[[#This Row],[PROVEEDOR]],
                       Terceros!$A:$G,
                       5,
                       FALSE)</f>
        <v>0</v>
      </c>
      <c r="G591" s="122">
        <v>45163</v>
      </c>
      <c r="H591" s="102" t="s">
        <v>1784</v>
      </c>
      <c r="I591" s="122">
        <v>45163</v>
      </c>
      <c r="J591" s="103" t="s">
        <v>999</v>
      </c>
      <c r="K591" s="103" t="s">
        <v>1512</v>
      </c>
      <c r="L591" s="103"/>
      <c r="M591" s="105">
        <v>1280000</v>
      </c>
      <c r="N591" s="147">
        <v>0</v>
      </c>
      <c r="O591" s="147">
        <v>0</v>
      </c>
      <c r="P591" s="148">
        <v>0</v>
      </c>
      <c r="Q591" s="147">
        <v>0</v>
      </c>
      <c r="R591" s="149">
        <v>1280000</v>
      </c>
      <c r="S5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1" s="150">
        <f ca="1">+IF(PROVEEDORES[[#This Row],[FECHA DE PAGO]]=0,TODAY()-PROVEEDORES[[#This Row],[FECHA DE FACTURACIÓN]]-PROVEEDORES[[#This Row],[PLAZO Días]],0)</f>
        <v>0</v>
      </c>
      <c r="U591" s="150">
        <f>+VLOOKUP(PROVEEDORES[[#This Row],[PROVEEDOR]],Terceros!$A:$E,4,FALSE)</f>
        <v>0</v>
      </c>
      <c r="V591" s="150">
        <f>+YEAR(PROVEEDORES[[#This Row],[FECHA DE FACTURACIÓN]])</f>
        <v>2023</v>
      </c>
      <c r="W591" s="150">
        <f>+MATCH(PROVEEDORES[[#This Row],[año facturado]],Retenciones!$1:$1,0)</f>
        <v>6</v>
      </c>
      <c r="X591" s="151">
        <f>+VLOOKUP(PROVEEDORES[[#This Row],[ID RETENCION]],Retenciones!$A$1:$O$25,PROVEEDORES[[#This Row],[indicador de columna]],FALSE)</f>
        <v>0</v>
      </c>
      <c r="Y591" s="152">
        <f>+VLOOKUP(PROVEEDORES[[#This Row],[ID RETENCION]],Retenciones!$A$1:$O$25,2,FALSE)</f>
        <v>0</v>
      </c>
      <c r="Z591" s="153" t="b">
        <f>+OR(COUNTIF(PROVEEDORES[[#This Row],[PROVEEDOR]],"*"&amp;'Palabra que no opera y Listas d'!$A$2&amp;"*"))</f>
        <v>0</v>
      </c>
    </row>
    <row r="592" spans="1:26" ht="27.75" customHeight="1" x14ac:dyDescent="0.3">
      <c r="A592" s="144" t="str">
        <f>+IF(PROVEEDORES[[#This Row],[FECHA DE PAGO]]=PROVEEDORES[[#This Row],[FECHA DE FACTURACIÓN]],"DE CONTADO","CRÉDITO")</f>
        <v>CRÉDITO</v>
      </c>
      <c r="B592" s="144" t="str">
        <f>+IF((PROVEEDORES[[#This Row],[FECHA DE PAGO]]-PROVEEDORES[[#This Row],[FECHA DE FACTURACIÓN]])&gt;PROVEEDORES[[#This Row],[PLAZO Días]],"PAGO VENCIDO")</f>
        <v>PAGO VENCIDO</v>
      </c>
      <c r="C592" s="144">
        <f>+VLOOKUP(PROVEEDORES[[#This Row],[PROVEEDOR]],TERCEROS_INFO[#All],2,FALSE)</f>
        <v>0</v>
      </c>
      <c r="D592" s="145">
        <f>+SUMIFS(PROVEEDORES[Total],PROVEEDORES[PROVEEDOR],PROVEEDORES[[#This Row],[PROVEEDOR]],PROVEEDORES[FECHA DE PAGO],"")</f>
        <v>28179645.060000002</v>
      </c>
      <c r="E592" s="146"/>
      <c r="F592" s="144">
        <f>+VLOOKUP(PROVEEDORES[[#This Row],[PROVEEDOR]],
                       Terceros!$A:$G,
                       5,
                       FALSE)</f>
        <v>0</v>
      </c>
      <c r="G592" s="122">
        <v>45166</v>
      </c>
      <c r="H592" s="102" t="s">
        <v>18</v>
      </c>
      <c r="I592" s="122">
        <v>45107</v>
      </c>
      <c r="J592" s="103" t="s">
        <v>890</v>
      </c>
      <c r="K592" s="103" t="s">
        <v>1512</v>
      </c>
      <c r="L592" s="103"/>
      <c r="M592" s="105">
        <v>7200600</v>
      </c>
      <c r="N592" s="147">
        <v>1368114</v>
      </c>
      <c r="O592" s="147">
        <v>0</v>
      </c>
      <c r="P592" s="148">
        <v>0</v>
      </c>
      <c r="Q592" s="147">
        <v>0</v>
      </c>
      <c r="R592" s="149">
        <v>8568714</v>
      </c>
      <c r="S5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2" s="150">
        <f ca="1">+IF(PROVEEDORES[[#This Row],[FECHA DE PAGO]]=0,TODAY()-PROVEEDORES[[#This Row],[FECHA DE FACTURACIÓN]]-PROVEEDORES[[#This Row],[PLAZO Días]],0)</f>
        <v>0</v>
      </c>
      <c r="U592" s="150">
        <f>+VLOOKUP(PROVEEDORES[[#This Row],[PROVEEDOR]],Terceros!$A:$E,4,FALSE)</f>
        <v>0.19</v>
      </c>
      <c r="V592" s="150">
        <f>+YEAR(PROVEEDORES[[#This Row],[FECHA DE FACTURACIÓN]])</f>
        <v>2023</v>
      </c>
      <c r="W592" s="150">
        <f>+MATCH(PROVEEDORES[[#This Row],[año facturado]],Retenciones!$1:$1,0)</f>
        <v>6</v>
      </c>
      <c r="X592" s="151" t="e">
        <f>+VLOOKUP(PROVEEDORES[[#This Row],[ID RETENCION]],Retenciones!$A$1:$O$25,PROVEEDORES[[#This Row],[indicador de columna]],FALSE)</f>
        <v>#N/A</v>
      </c>
      <c r="Y592" s="152" t="e">
        <f>+VLOOKUP(PROVEEDORES[[#This Row],[ID RETENCION]],Retenciones!$A$1:$O$25,2,FALSE)</f>
        <v>#N/A</v>
      </c>
      <c r="Z592" s="153" t="b">
        <f>+OR(COUNTIF(PROVEEDORES[[#This Row],[PROVEEDOR]],"*"&amp;'Palabra que no opera y Listas d'!$A$2&amp;"*"))</f>
        <v>0</v>
      </c>
    </row>
    <row r="593" spans="1:26" ht="27.75" customHeight="1" x14ac:dyDescent="0.3">
      <c r="A593" s="144" t="str">
        <f>+IF(PROVEEDORES[[#This Row],[FECHA DE PAGO]]=PROVEEDORES[[#This Row],[FECHA DE FACTURACIÓN]],"DE CONTADO","CRÉDITO")</f>
        <v>CRÉDITO</v>
      </c>
      <c r="B593" s="144" t="str">
        <f>+IF((PROVEEDORES[[#This Row],[FECHA DE PAGO]]-PROVEEDORES[[#This Row],[FECHA DE FACTURACIÓN]])&gt;PROVEEDORES[[#This Row],[PLAZO Días]],"PAGO VENCIDO")</f>
        <v>PAGO VENCIDO</v>
      </c>
      <c r="C593" s="144">
        <f>+VLOOKUP(PROVEEDORES[[#This Row],[PROVEEDOR]],TERCEROS_INFO[#All],2,FALSE)</f>
        <v>0</v>
      </c>
      <c r="D593" s="145">
        <f>+SUMIFS(PROVEEDORES[Total],PROVEEDORES[PROVEEDOR],PROVEEDORES[[#This Row],[PROVEEDOR]],PROVEEDORES[FECHA DE PAGO],"")</f>
        <v>28179645.060000002</v>
      </c>
      <c r="E593" s="146"/>
      <c r="F593" s="144">
        <f>+VLOOKUP(PROVEEDORES[[#This Row],[PROVEEDOR]],
                       Terceros!$A:$G,
                       5,
                       FALSE)</f>
        <v>0</v>
      </c>
      <c r="G593" s="122">
        <v>45166</v>
      </c>
      <c r="H593" s="102" t="s">
        <v>18</v>
      </c>
      <c r="I593" s="122">
        <v>45118</v>
      </c>
      <c r="J593" s="103" t="s">
        <v>927</v>
      </c>
      <c r="K593" s="103" t="s">
        <v>1512</v>
      </c>
      <c r="L593" s="103"/>
      <c r="M593" s="105">
        <v>1635783</v>
      </c>
      <c r="N593" s="147">
        <v>310798.77</v>
      </c>
      <c r="O593" s="147">
        <v>0</v>
      </c>
      <c r="P593" s="148">
        <v>0</v>
      </c>
      <c r="Q593" s="147">
        <v>0</v>
      </c>
      <c r="R593" s="149">
        <v>1946581.77</v>
      </c>
      <c r="S5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3" s="150">
        <f ca="1">+IF(PROVEEDORES[[#This Row],[FECHA DE PAGO]]=0,TODAY()-PROVEEDORES[[#This Row],[FECHA DE FACTURACIÓN]]-PROVEEDORES[[#This Row],[PLAZO Días]],0)</f>
        <v>0</v>
      </c>
      <c r="U593" s="150">
        <f>+VLOOKUP(PROVEEDORES[[#This Row],[PROVEEDOR]],Terceros!$A:$E,4,FALSE)</f>
        <v>0.19</v>
      </c>
      <c r="V593" s="150">
        <f>+YEAR(PROVEEDORES[[#This Row],[FECHA DE FACTURACIÓN]])</f>
        <v>2023</v>
      </c>
      <c r="W593" s="150">
        <f>+MATCH(PROVEEDORES[[#This Row],[año facturado]],Retenciones!$1:$1,0)</f>
        <v>6</v>
      </c>
      <c r="X593" s="151" t="e">
        <f>+VLOOKUP(PROVEEDORES[[#This Row],[ID RETENCION]],Retenciones!$A$1:$O$25,PROVEEDORES[[#This Row],[indicador de columna]],FALSE)</f>
        <v>#N/A</v>
      </c>
      <c r="Y593" s="152" t="e">
        <f>+VLOOKUP(PROVEEDORES[[#This Row],[ID RETENCION]],Retenciones!$A$1:$O$25,2,FALSE)</f>
        <v>#N/A</v>
      </c>
      <c r="Z593" s="153" t="b">
        <f>+OR(COUNTIF(PROVEEDORES[[#This Row],[PROVEEDOR]],"*"&amp;'Palabra que no opera y Listas d'!$A$2&amp;"*"))</f>
        <v>0</v>
      </c>
    </row>
    <row r="594" spans="1:26" ht="27.75" customHeight="1" x14ac:dyDescent="0.3">
      <c r="A594" s="144" t="str">
        <f>+IF(PROVEEDORES[[#This Row],[FECHA DE PAGO]]=PROVEEDORES[[#This Row],[FECHA DE FACTURACIÓN]],"DE CONTADO","CRÉDITO")</f>
        <v>CRÉDITO</v>
      </c>
      <c r="B594" s="144" t="str">
        <f>+IF((PROVEEDORES[[#This Row],[FECHA DE PAGO]]-PROVEEDORES[[#This Row],[FECHA DE FACTURACIÓN]])&gt;PROVEEDORES[[#This Row],[PLAZO Días]],"PAGO VENCIDO")</f>
        <v>PAGO VENCIDO</v>
      </c>
      <c r="C594" s="144">
        <f>+VLOOKUP(PROVEEDORES[[#This Row],[PROVEEDOR]],TERCEROS_INFO[#All],2,FALSE)</f>
        <v>0</v>
      </c>
      <c r="D594" s="145">
        <f>+SUMIFS(PROVEEDORES[Total],PROVEEDORES[PROVEEDOR],PROVEEDORES[[#This Row],[PROVEEDOR]],PROVEEDORES[FECHA DE PAGO],"")</f>
        <v>7281829.8799999999</v>
      </c>
      <c r="E594" s="146"/>
      <c r="F594" s="144" t="str">
        <f>+VLOOKUP(PROVEEDORES[[#This Row],[PROVEEDOR]],
                       Terceros!$A:$G,
                       5,
                       FALSE)</f>
        <v>2,5% con base</v>
      </c>
      <c r="G594" s="122">
        <v>45166</v>
      </c>
      <c r="H594" s="102" t="s">
        <v>1445</v>
      </c>
      <c r="I594" s="122">
        <v>45121</v>
      </c>
      <c r="J594" s="103" t="s">
        <v>914</v>
      </c>
      <c r="K594" s="103" t="s">
        <v>1512</v>
      </c>
      <c r="L594" s="103"/>
      <c r="M594" s="105">
        <v>2828983</v>
      </c>
      <c r="N594" s="147">
        <v>537506.77</v>
      </c>
      <c r="O594" s="147">
        <v>0</v>
      </c>
      <c r="P594" s="148">
        <v>2.5000000000000001E-2</v>
      </c>
      <c r="Q594" s="147">
        <v>70724.574999999997</v>
      </c>
      <c r="R594" s="149">
        <v>3295765.1949999998</v>
      </c>
      <c r="S5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4" s="150">
        <f ca="1">+IF(PROVEEDORES[[#This Row],[FECHA DE PAGO]]=0,TODAY()-PROVEEDORES[[#This Row],[FECHA DE FACTURACIÓN]]-PROVEEDORES[[#This Row],[PLAZO Días]],0)</f>
        <v>0</v>
      </c>
      <c r="U594" s="150">
        <f>+VLOOKUP(PROVEEDORES[[#This Row],[PROVEEDOR]],Terceros!$A:$E,4,FALSE)</f>
        <v>0.19</v>
      </c>
      <c r="V594" s="150">
        <f>+YEAR(PROVEEDORES[[#This Row],[FECHA DE FACTURACIÓN]])</f>
        <v>2023</v>
      </c>
      <c r="W594" s="150">
        <f>+MATCH(PROVEEDORES[[#This Row],[año facturado]],Retenciones!$1:$1,0)</f>
        <v>6</v>
      </c>
      <c r="X594" s="151" t="e">
        <f>+VLOOKUP(PROVEEDORES[[#This Row],[ID RETENCION]],Retenciones!$A$1:$O$25,PROVEEDORES[[#This Row],[indicador de columna]],FALSE)</f>
        <v>#N/A</v>
      </c>
      <c r="Y594" s="152" t="e">
        <f>+VLOOKUP(PROVEEDORES[[#This Row],[ID RETENCION]],Retenciones!$A$1:$O$25,2,FALSE)</f>
        <v>#N/A</v>
      </c>
      <c r="Z594" s="153" t="b">
        <f>+OR(COUNTIF(PROVEEDORES[[#This Row],[PROVEEDOR]],"*"&amp;'Palabra que no opera y Listas d'!$A$2&amp;"*"))</f>
        <v>0</v>
      </c>
    </row>
    <row r="595" spans="1:26" ht="27.75" customHeight="1" x14ac:dyDescent="0.3">
      <c r="A595" s="144" t="str">
        <f>+IF(PROVEEDORES[[#This Row],[FECHA DE PAGO]]=PROVEEDORES[[#This Row],[FECHA DE FACTURACIÓN]],"DE CONTADO","CRÉDITO")</f>
        <v>CRÉDITO</v>
      </c>
      <c r="B595" s="144" t="str">
        <f>+IF((PROVEEDORES[[#This Row],[FECHA DE PAGO]]-PROVEEDORES[[#This Row],[FECHA DE FACTURACIÓN]])&gt;PROVEEDORES[[#This Row],[PLAZO Días]],"PAGO VENCIDO")</f>
        <v>PAGO VENCIDO</v>
      </c>
      <c r="C595" s="144">
        <f>+VLOOKUP(PROVEEDORES[[#This Row],[PROVEEDOR]],TERCEROS_INFO[#All],2,FALSE)</f>
        <v>0</v>
      </c>
      <c r="D595" s="145">
        <f>+SUMIFS(PROVEEDORES[Total],PROVEEDORES[PROVEEDOR],PROVEEDORES[[#This Row],[PROVEEDOR]],PROVEEDORES[FECHA DE PAGO],"")</f>
        <v>5820290</v>
      </c>
      <c r="E595" s="146"/>
      <c r="F595" s="144">
        <f>+VLOOKUP(PROVEEDORES[[#This Row],[PROVEEDOR]],
                       Terceros!$A:$G,
                       5,
                       FALSE)</f>
        <v>0</v>
      </c>
      <c r="G595" s="122">
        <v>45166</v>
      </c>
      <c r="H595" s="102" t="s">
        <v>461</v>
      </c>
      <c r="I595" s="122">
        <v>45124</v>
      </c>
      <c r="J595" s="103" t="s">
        <v>920</v>
      </c>
      <c r="K595" s="103" t="s">
        <v>1512</v>
      </c>
      <c r="L595" s="103"/>
      <c r="M595" s="105">
        <v>1710000</v>
      </c>
      <c r="N595" s="147">
        <v>324900</v>
      </c>
      <c r="O595" s="147">
        <v>0</v>
      </c>
      <c r="P595" s="148">
        <v>0</v>
      </c>
      <c r="Q595" s="147">
        <v>0</v>
      </c>
      <c r="R595" s="149">
        <v>2034900</v>
      </c>
      <c r="S5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5" s="150">
        <f ca="1">+IF(PROVEEDORES[[#This Row],[FECHA DE PAGO]]=0,TODAY()-PROVEEDORES[[#This Row],[FECHA DE FACTURACIÓN]]-PROVEEDORES[[#This Row],[PLAZO Días]],0)</f>
        <v>0</v>
      </c>
      <c r="U595" s="150">
        <f>+VLOOKUP(PROVEEDORES[[#This Row],[PROVEEDOR]],Terceros!$A:$E,4,FALSE)</f>
        <v>0.19</v>
      </c>
      <c r="V595" s="150">
        <f>+YEAR(PROVEEDORES[[#This Row],[FECHA DE FACTURACIÓN]])</f>
        <v>2023</v>
      </c>
      <c r="W595" s="150">
        <f>+MATCH(PROVEEDORES[[#This Row],[año facturado]],Retenciones!$1:$1,0)</f>
        <v>6</v>
      </c>
      <c r="X595" s="151" t="e">
        <f>+VLOOKUP(PROVEEDORES[[#This Row],[ID RETENCION]],Retenciones!$A$1:$O$25,PROVEEDORES[[#This Row],[indicador de columna]],FALSE)</f>
        <v>#N/A</v>
      </c>
      <c r="Y595" s="152" t="e">
        <f>+VLOOKUP(PROVEEDORES[[#This Row],[ID RETENCION]],Retenciones!$A$1:$O$25,2,FALSE)</f>
        <v>#N/A</v>
      </c>
      <c r="Z595" s="153" t="b">
        <f>+OR(COUNTIF(PROVEEDORES[[#This Row],[PROVEEDOR]],"*"&amp;'Palabra que no opera y Listas d'!$A$2&amp;"*"))</f>
        <v>0</v>
      </c>
    </row>
    <row r="596" spans="1:26" ht="27.75" customHeight="1" x14ac:dyDescent="0.3">
      <c r="A596" s="144" t="str">
        <f>+IF(PROVEEDORES[[#This Row],[FECHA DE PAGO]]=PROVEEDORES[[#This Row],[FECHA DE FACTURACIÓN]],"DE CONTADO","CRÉDITO")</f>
        <v>CRÉDITO</v>
      </c>
      <c r="B596" s="144" t="str">
        <f>+IF((PROVEEDORES[[#This Row],[FECHA DE PAGO]]-PROVEEDORES[[#This Row],[FECHA DE FACTURACIÓN]])&gt;PROVEEDORES[[#This Row],[PLAZO Días]],"PAGO VENCIDO")</f>
        <v>PAGO VENCIDO</v>
      </c>
      <c r="C596" s="144">
        <f>+VLOOKUP(PROVEEDORES[[#This Row],[PROVEEDOR]],TERCEROS_INFO[#All],2,FALSE)</f>
        <v>0</v>
      </c>
      <c r="D596" s="145">
        <f>+SUMIFS(PROVEEDORES[Total],PROVEEDORES[PROVEEDOR],PROVEEDORES[[#This Row],[PROVEEDOR]],PROVEEDORES[FECHA DE PAGO],"")</f>
        <v>7281829.8799999999</v>
      </c>
      <c r="E596" s="146"/>
      <c r="F596" s="144" t="str">
        <f>+VLOOKUP(PROVEEDORES[[#This Row],[PROVEEDOR]],
                       Terceros!$A:$G,
                       5,
                       FALSE)</f>
        <v>2,5% con base</v>
      </c>
      <c r="G596" s="122">
        <v>45166</v>
      </c>
      <c r="H596" s="102" t="s">
        <v>1445</v>
      </c>
      <c r="I596" s="122">
        <v>45132</v>
      </c>
      <c r="J596" s="103" t="s">
        <v>946</v>
      </c>
      <c r="K596" s="103" t="s">
        <v>1512</v>
      </c>
      <c r="L596" s="103"/>
      <c r="M596" s="105">
        <v>1571429</v>
      </c>
      <c r="N596" s="147">
        <v>298571.51</v>
      </c>
      <c r="O596" s="147">
        <v>0</v>
      </c>
      <c r="P596" s="148">
        <v>2.5000000000000001E-2</v>
      </c>
      <c r="Q596" s="147">
        <v>39285.724999999999</v>
      </c>
      <c r="R596" s="149">
        <v>1830714.7849999999</v>
      </c>
      <c r="S5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6" s="150">
        <f ca="1">+IF(PROVEEDORES[[#This Row],[FECHA DE PAGO]]=0,TODAY()-PROVEEDORES[[#This Row],[FECHA DE FACTURACIÓN]]-PROVEEDORES[[#This Row],[PLAZO Días]],0)</f>
        <v>0</v>
      </c>
      <c r="U596" s="150">
        <f>+VLOOKUP(PROVEEDORES[[#This Row],[PROVEEDOR]],Terceros!$A:$E,4,FALSE)</f>
        <v>0.19</v>
      </c>
      <c r="V596" s="150">
        <f>+YEAR(PROVEEDORES[[#This Row],[FECHA DE FACTURACIÓN]])</f>
        <v>2023</v>
      </c>
      <c r="W596" s="150">
        <f>+MATCH(PROVEEDORES[[#This Row],[año facturado]],Retenciones!$1:$1,0)</f>
        <v>6</v>
      </c>
      <c r="X596" s="151" t="e">
        <f>+VLOOKUP(PROVEEDORES[[#This Row],[ID RETENCION]],Retenciones!$A$1:$O$25,PROVEEDORES[[#This Row],[indicador de columna]],FALSE)</f>
        <v>#N/A</v>
      </c>
      <c r="Y596" s="152" t="e">
        <f>+VLOOKUP(PROVEEDORES[[#This Row],[ID RETENCION]],Retenciones!$A$1:$O$25,2,FALSE)</f>
        <v>#N/A</v>
      </c>
      <c r="Z596" s="153" t="b">
        <f>+OR(COUNTIF(PROVEEDORES[[#This Row],[PROVEEDOR]],"*"&amp;'Palabra que no opera y Listas d'!$A$2&amp;"*"))</f>
        <v>0</v>
      </c>
    </row>
    <row r="597" spans="1:26" ht="27.75" customHeight="1" x14ac:dyDescent="0.3">
      <c r="A597" s="144" t="str">
        <f>+IF(PROVEEDORES[[#This Row],[FECHA DE PAGO]]=PROVEEDORES[[#This Row],[FECHA DE FACTURACIÓN]],"DE CONTADO","CRÉDITO")</f>
        <v>DE CONTADO</v>
      </c>
      <c r="B597" s="144" t="b">
        <f>+IF((PROVEEDORES[[#This Row],[FECHA DE PAGO]]-PROVEEDORES[[#This Row],[FECHA DE FACTURACIÓN]])&gt;PROVEEDORES[[#This Row],[PLAZO Días]],"PAGO VENCIDO")</f>
        <v>0</v>
      </c>
      <c r="C597" s="144">
        <f>+VLOOKUP(PROVEEDORES[[#This Row],[PROVEEDOR]],TERCEROS_INFO[#All],2,FALSE)</f>
        <v>0</v>
      </c>
      <c r="D597" s="145">
        <f>+SUMIFS(PROVEEDORES[Total],PROVEEDORES[PROVEEDOR],PROVEEDORES[[#This Row],[PROVEEDOR]],PROVEEDORES[FECHA DE PAGO],"")</f>
        <v>0</v>
      </c>
      <c r="E597" s="146"/>
      <c r="F597" s="144" t="str">
        <f>+VLOOKUP(PROVEEDORES[[#This Row],[PROVEEDOR]],
                       Terceros!$A:$G,
                       5,
                       FALSE)</f>
        <v>2,5% con base</v>
      </c>
      <c r="G597" s="122">
        <v>45166</v>
      </c>
      <c r="H597" s="102" t="s">
        <v>222</v>
      </c>
      <c r="I597" s="122">
        <v>45166</v>
      </c>
      <c r="J597" s="103" t="s">
        <v>1004</v>
      </c>
      <c r="K597" s="103" t="s">
        <v>1512</v>
      </c>
      <c r="L597" s="103"/>
      <c r="M597" s="105">
        <v>2310000</v>
      </c>
      <c r="N597" s="147">
        <v>438900</v>
      </c>
      <c r="O597" s="147">
        <v>0</v>
      </c>
      <c r="P597" s="148">
        <v>2.5000000000000001E-2</v>
      </c>
      <c r="Q597" s="147">
        <v>57750</v>
      </c>
      <c r="R597" s="149">
        <v>2691150</v>
      </c>
      <c r="S5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7" s="150">
        <f ca="1">+IF(PROVEEDORES[[#This Row],[FECHA DE PAGO]]=0,TODAY()-PROVEEDORES[[#This Row],[FECHA DE FACTURACIÓN]]-PROVEEDORES[[#This Row],[PLAZO Días]],0)</f>
        <v>0</v>
      </c>
      <c r="U597" s="150">
        <f>+VLOOKUP(PROVEEDORES[[#This Row],[PROVEEDOR]],Terceros!$A:$E,4,FALSE)</f>
        <v>0.19</v>
      </c>
      <c r="V597" s="150">
        <f>+YEAR(PROVEEDORES[[#This Row],[FECHA DE FACTURACIÓN]])</f>
        <v>2023</v>
      </c>
      <c r="W597" s="150">
        <f>+MATCH(PROVEEDORES[[#This Row],[año facturado]],Retenciones!$1:$1,0)</f>
        <v>6</v>
      </c>
      <c r="X597" s="151" t="e">
        <f>+VLOOKUP(PROVEEDORES[[#This Row],[ID RETENCION]],Retenciones!$A$1:$O$25,PROVEEDORES[[#This Row],[indicador de columna]],FALSE)</f>
        <v>#N/A</v>
      </c>
      <c r="Y597" s="152" t="e">
        <f>+VLOOKUP(PROVEEDORES[[#This Row],[ID RETENCION]],Retenciones!$A$1:$O$25,2,FALSE)</f>
        <v>#N/A</v>
      </c>
      <c r="Z597" s="153" t="b">
        <f>+OR(COUNTIF(PROVEEDORES[[#This Row],[PROVEEDOR]],"*"&amp;'Palabra que no opera y Listas d'!$A$2&amp;"*"))</f>
        <v>0</v>
      </c>
    </row>
    <row r="598" spans="1:26" ht="27.75" customHeight="1" x14ac:dyDescent="0.3">
      <c r="A598" s="144" t="str">
        <f>+IF(PROVEEDORES[[#This Row],[FECHA DE PAGO]]=PROVEEDORES[[#This Row],[FECHA DE FACTURACIÓN]],"DE CONTADO","CRÉDITO")</f>
        <v>DE CONTADO</v>
      </c>
      <c r="B598" s="144" t="b">
        <f>+IF((PROVEEDORES[[#This Row],[FECHA DE PAGO]]-PROVEEDORES[[#This Row],[FECHA DE FACTURACIÓN]])&gt;PROVEEDORES[[#This Row],[PLAZO Días]],"PAGO VENCIDO")</f>
        <v>0</v>
      </c>
      <c r="C598" s="144">
        <f>+VLOOKUP(PROVEEDORES[[#This Row],[PROVEEDOR]],TERCEROS_INFO[#All],2,FALSE)</f>
        <v>0</v>
      </c>
      <c r="D598" s="145">
        <f>+SUMIFS(PROVEEDORES[Total],PROVEEDORES[PROVEEDOR],PROVEEDORES[[#This Row],[PROVEEDOR]],PROVEEDORES[FECHA DE PAGO],"")</f>
        <v>0</v>
      </c>
      <c r="E598" s="146"/>
      <c r="F598" s="144" t="str">
        <f>+VLOOKUP(PROVEEDORES[[#This Row],[PROVEEDOR]],
                       Terceros!$A:$G,
                       5,
                       FALSE)</f>
        <v>2,5% con base</v>
      </c>
      <c r="G598" s="122">
        <v>45166</v>
      </c>
      <c r="H598" s="102" t="s">
        <v>1023</v>
      </c>
      <c r="I598" s="122">
        <v>45166</v>
      </c>
      <c r="J598" s="103" t="s">
        <v>1022</v>
      </c>
      <c r="K598" s="103" t="s">
        <v>1512</v>
      </c>
      <c r="L598" s="103"/>
      <c r="M598" s="105">
        <v>1455126</v>
      </c>
      <c r="N598" s="147">
        <v>276473.94</v>
      </c>
      <c r="O598" s="147">
        <v>0</v>
      </c>
      <c r="P598" s="148">
        <v>2.5000000000000001E-2</v>
      </c>
      <c r="Q598" s="147">
        <v>36378.15</v>
      </c>
      <c r="R598" s="149">
        <v>1695221.79</v>
      </c>
      <c r="S5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8" s="150">
        <f ca="1">+IF(PROVEEDORES[[#This Row],[FECHA DE PAGO]]=0,TODAY()-PROVEEDORES[[#This Row],[FECHA DE FACTURACIÓN]]-PROVEEDORES[[#This Row],[PLAZO Días]],0)</f>
        <v>0</v>
      </c>
      <c r="U598" s="150">
        <f>+VLOOKUP(PROVEEDORES[[#This Row],[PROVEEDOR]],Terceros!$A:$E,4,FALSE)</f>
        <v>0.19</v>
      </c>
      <c r="V598" s="150">
        <f>+YEAR(PROVEEDORES[[#This Row],[FECHA DE FACTURACIÓN]])</f>
        <v>2023</v>
      </c>
      <c r="W598" s="150">
        <f>+MATCH(PROVEEDORES[[#This Row],[año facturado]],Retenciones!$1:$1,0)</f>
        <v>6</v>
      </c>
      <c r="X598" s="151" t="e">
        <f>+VLOOKUP(PROVEEDORES[[#This Row],[ID RETENCION]],Retenciones!$A$1:$O$25,PROVEEDORES[[#This Row],[indicador de columna]],FALSE)</f>
        <v>#N/A</v>
      </c>
      <c r="Y598" s="152" t="e">
        <f>+VLOOKUP(PROVEEDORES[[#This Row],[ID RETENCION]],Retenciones!$A$1:$O$25,2,FALSE)</f>
        <v>#N/A</v>
      </c>
      <c r="Z598" s="153" t="b">
        <f>+OR(COUNTIF(PROVEEDORES[[#This Row],[PROVEEDOR]],"*"&amp;'Palabra que no opera y Listas d'!$A$2&amp;"*"))</f>
        <v>0</v>
      </c>
    </row>
    <row r="599" spans="1:26" ht="27.75" customHeight="1" x14ac:dyDescent="0.3">
      <c r="A599" s="144" t="str">
        <f>+IF(PROVEEDORES[[#This Row],[FECHA DE PAGO]]=PROVEEDORES[[#This Row],[FECHA DE FACTURACIÓN]],"DE CONTADO","CRÉDITO")</f>
        <v>DE CONTADO</v>
      </c>
      <c r="B599" s="144" t="b">
        <f>+IF((PROVEEDORES[[#This Row],[FECHA DE PAGO]]-PROVEEDORES[[#This Row],[FECHA DE FACTURACIÓN]])&gt;PROVEEDORES[[#This Row],[PLAZO Días]],"PAGO VENCIDO")</f>
        <v>0</v>
      </c>
      <c r="C599" s="144">
        <f>+VLOOKUP(PROVEEDORES[[#This Row],[PROVEEDOR]],TERCEROS_INFO[#All],2,FALSE)</f>
        <v>0</v>
      </c>
      <c r="D599" s="145">
        <f>+SUMIFS(PROVEEDORES[Total],PROVEEDORES[PROVEEDOR],PROVEEDORES[[#This Row],[PROVEEDOR]],PROVEEDORES[FECHA DE PAGO],"")</f>
        <v>0</v>
      </c>
      <c r="E599" s="146"/>
      <c r="F599" s="144">
        <f>+VLOOKUP(PROVEEDORES[[#This Row],[PROVEEDOR]],
                       Terceros!$A:$G,
                       5,
                       FALSE)</f>
        <v>0</v>
      </c>
      <c r="G599" s="122">
        <v>45168</v>
      </c>
      <c r="H599" s="102" t="s">
        <v>191</v>
      </c>
      <c r="I599" s="122">
        <v>45168</v>
      </c>
      <c r="J599" s="103" t="s">
        <v>1050</v>
      </c>
      <c r="K599" s="103" t="s">
        <v>1512</v>
      </c>
      <c r="L599" s="103"/>
      <c r="M599" s="105">
        <v>1640000</v>
      </c>
      <c r="N599" s="147">
        <v>0</v>
      </c>
      <c r="O599" s="147">
        <v>0</v>
      </c>
      <c r="P599" s="148">
        <v>0</v>
      </c>
      <c r="Q599" s="147">
        <v>0</v>
      </c>
      <c r="R599" s="149">
        <v>1640000</v>
      </c>
      <c r="S5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9" s="150">
        <f ca="1">+IF(PROVEEDORES[[#This Row],[FECHA DE PAGO]]=0,TODAY()-PROVEEDORES[[#This Row],[FECHA DE FACTURACIÓN]]-PROVEEDORES[[#This Row],[PLAZO Días]],0)</f>
        <v>0</v>
      </c>
      <c r="U599" s="150">
        <f>+VLOOKUP(PROVEEDORES[[#This Row],[PROVEEDOR]],Terceros!$A:$E,4,FALSE)</f>
        <v>0</v>
      </c>
      <c r="V599" s="150">
        <f>+YEAR(PROVEEDORES[[#This Row],[FECHA DE FACTURACIÓN]])</f>
        <v>2023</v>
      </c>
      <c r="W599" s="150">
        <f>+MATCH(PROVEEDORES[[#This Row],[año facturado]],Retenciones!$1:$1,0)</f>
        <v>6</v>
      </c>
      <c r="X599" s="151">
        <f>+VLOOKUP(PROVEEDORES[[#This Row],[ID RETENCION]],Retenciones!$A$1:$O$25,PROVEEDORES[[#This Row],[indicador de columna]],FALSE)</f>
        <v>0</v>
      </c>
      <c r="Y599" s="152">
        <f>+VLOOKUP(PROVEEDORES[[#This Row],[ID RETENCION]],Retenciones!$A$1:$O$25,2,FALSE)</f>
        <v>0</v>
      </c>
      <c r="Z599" s="153" t="b">
        <f>+OR(COUNTIF(PROVEEDORES[[#This Row],[PROVEEDOR]],"*"&amp;'Palabra que no opera y Listas d'!$A$2&amp;"*"))</f>
        <v>0</v>
      </c>
    </row>
    <row r="600" spans="1:26" ht="27.75" customHeight="1" x14ac:dyDescent="0.3">
      <c r="A600" s="144" t="str">
        <f>+IF(PROVEEDORES[[#This Row],[FECHA DE PAGO]]=PROVEEDORES[[#This Row],[FECHA DE FACTURACIÓN]],"DE CONTADO","CRÉDITO")</f>
        <v>DE CONTADO</v>
      </c>
      <c r="B600" s="144" t="b">
        <f>+IF((PROVEEDORES[[#This Row],[FECHA DE PAGO]]-PROVEEDORES[[#This Row],[FECHA DE FACTURACIÓN]])&gt;PROVEEDORES[[#This Row],[PLAZO Días]],"PAGO VENCIDO")</f>
        <v>0</v>
      </c>
      <c r="C600" s="144">
        <f>+VLOOKUP(PROVEEDORES[[#This Row],[PROVEEDOR]],TERCEROS_INFO[#All],2,FALSE)</f>
        <v>0</v>
      </c>
      <c r="D600" s="145">
        <f>+SUMIFS(PROVEEDORES[Total],PROVEEDORES[PROVEEDOR],PROVEEDORES[[#This Row],[PROVEEDOR]],PROVEEDORES[FECHA DE PAGO],"")</f>
        <v>0</v>
      </c>
      <c r="E600" s="146"/>
      <c r="F600" s="144">
        <f>+VLOOKUP(PROVEEDORES[[#This Row],[PROVEEDOR]],
                       Terceros!$A:$G,
                       5,
                       FALSE)</f>
        <v>0</v>
      </c>
      <c r="G600" s="122">
        <v>45168</v>
      </c>
      <c r="H600" s="102" t="s">
        <v>191</v>
      </c>
      <c r="I600" s="122">
        <v>45168</v>
      </c>
      <c r="J600" s="103" t="s">
        <v>1052</v>
      </c>
      <c r="K600" s="103" t="s">
        <v>1512</v>
      </c>
      <c r="L600" s="103"/>
      <c r="M600" s="105">
        <v>2162000</v>
      </c>
      <c r="N600" s="147">
        <v>0</v>
      </c>
      <c r="O600" s="147">
        <v>0</v>
      </c>
      <c r="P600" s="148">
        <v>0</v>
      </c>
      <c r="Q600" s="147">
        <v>0</v>
      </c>
      <c r="R600" s="149">
        <v>2162000</v>
      </c>
      <c r="S6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0" s="150">
        <f ca="1">+IF(PROVEEDORES[[#This Row],[FECHA DE PAGO]]=0,TODAY()-PROVEEDORES[[#This Row],[FECHA DE FACTURACIÓN]]-PROVEEDORES[[#This Row],[PLAZO Días]],0)</f>
        <v>0</v>
      </c>
      <c r="U600" s="150">
        <f>+VLOOKUP(PROVEEDORES[[#This Row],[PROVEEDOR]],Terceros!$A:$E,4,FALSE)</f>
        <v>0</v>
      </c>
      <c r="V600" s="150">
        <f>+YEAR(PROVEEDORES[[#This Row],[FECHA DE FACTURACIÓN]])</f>
        <v>2023</v>
      </c>
      <c r="W600" s="150">
        <f>+MATCH(PROVEEDORES[[#This Row],[año facturado]],Retenciones!$1:$1,0)</f>
        <v>6</v>
      </c>
      <c r="X600" s="151">
        <f>+VLOOKUP(PROVEEDORES[[#This Row],[ID RETENCION]],Retenciones!$A$1:$O$25,PROVEEDORES[[#This Row],[indicador de columna]],FALSE)</f>
        <v>0</v>
      </c>
      <c r="Y600" s="152">
        <f>+VLOOKUP(PROVEEDORES[[#This Row],[ID RETENCION]],Retenciones!$A$1:$O$25,2,FALSE)</f>
        <v>0</v>
      </c>
      <c r="Z600" s="153" t="b">
        <f>+OR(COUNTIF(PROVEEDORES[[#This Row],[PROVEEDOR]],"*"&amp;'Palabra que no opera y Listas d'!$A$2&amp;"*"))</f>
        <v>0</v>
      </c>
    </row>
    <row r="601" spans="1:26" ht="27.75" customHeight="1" x14ac:dyDescent="0.3">
      <c r="A601" s="144" t="str">
        <f>+IF(PROVEEDORES[[#This Row],[FECHA DE PAGO]]=PROVEEDORES[[#This Row],[FECHA DE FACTURACIÓN]],"DE CONTADO","CRÉDITO")</f>
        <v>CRÉDITO</v>
      </c>
      <c r="B601" s="144" t="str">
        <f>+IF((PROVEEDORES[[#This Row],[FECHA DE PAGO]]-PROVEEDORES[[#This Row],[FECHA DE FACTURACIÓN]])&gt;PROVEEDORES[[#This Row],[PLAZO Días]],"PAGO VENCIDO")</f>
        <v>PAGO VENCIDO</v>
      </c>
      <c r="C601" s="144">
        <f>+VLOOKUP(PROVEEDORES[[#This Row],[PROVEEDOR]],TERCEROS_INFO[#All],2,FALSE)</f>
        <v>0</v>
      </c>
      <c r="D601" s="145">
        <f>+SUMIFS(PROVEEDORES[Total],PROVEEDORES[PROVEEDOR],PROVEEDORES[[#This Row],[PROVEEDOR]],PROVEEDORES[FECHA DE PAGO],"")</f>
        <v>0</v>
      </c>
      <c r="E601" s="146"/>
      <c r="F601" s="144">
        <f>+VLOOKUP(PROVEEDORES[[#This Row],[PROVEEDOR]],
                       Terceros!$A:$G,
                       5,
                       FALSE)</f>
        <v>0</v>
      </c>
      <c r="G601" s="122">
        <v>45169</v>
      </c>
      <c r="H601" s="102" t="s">
        <v>496</v>
      </c>
      <c r="I601" s="122">
        <v>45168</v>
      </c>
      <c r="J601" s="103" t="s">
        <v>1035</v>
      </c>
      <c r="K601" s="103" t="s">
        <v>1512</v>
      </c>
      <c r="L601" s="103"/>
      <c r="M601" s="105">
        <v>5655000</v>
      </c>
      <c r="N601" s="147">
        <v>0</v>
      </c>
      <c r="O601" s="147">
        <v>0</v>
      </c>
      <c r="P601" s="148">
        <v>0</v>
      </c>
      <c r="Q601" s="147">
        <v>0</v>
      </c>
      <c r="R601" s="149">
        <v>5655000</v>
      </c>
      <c r="S6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1" s="150">
        <f ca="1">+IF(PROVEEDORES[[#This Row],[FECHA DE PAGO]]=0,TODAY()-PROVEEDORES[[#This Row],[FECHA DE FACTURACIÓN]]-PROVEEDORES[[#This Row],[PLAZO Días]],0)</f>
        <v>0</v>
      </c>
      <c r="U601" s="150">
        <f>+VLOOKUP(PROVEEDORES[[#This Row],[PROVEEDOR]],Terceros!$A:$E,4,FALSE)</f>
        <v>0</v>
      </c>
      <c r="V601" s="150">
        <f>+YEAR(PROVEEDORES[[#This Row],[FECHA DE FACTURACIÓN]])</f>
        <v>2023</v>
      </c>
      <c r="W601" s="150">
        <f>+MATCH(PROVEEDORES[[#This Row],[año facturado]],Retenciones!$1:$1,0)</f>
        <v>6</v>
      </c>
      <c r="X601" s="151">
        <f>+VLOOKUP(PROVEEDORES[[#This Row],[ID RETENCION]],Retenciones!$A$1:$O$25,PROVEEDORES[[#This Row],[indicador de columna]],FALSE)</f>
        <v>0</v>
      </c>
      <c r="Y601" s="152">
        <f>+VLOOKUP(PROVEEDORES[[#This Row],[ID RETENCION]],Retenciones!$A$1:$O$25,2,FALSE)</f>
        <v>0</v>
      </c>
      <c r="Z601" s="153" t="b">
        <f>+OR(COUNTIF(PROVEEDORES[[#This Row],[PROVEEDOR]],"*"&amp;'Palabra que no opera y Listas d'!$A$2&amp;"*"))</f>
        <v>0</v>
      </c>
    </row>
    <row r="602" spans="1:26" ht="27.75" customHeight="1" x14ac:dyDescent="0.3">
      <c r="A602" s="144" t="str">
        <f>+IF(PROVEEDORES[[#This Row],[FECHA DE PAGO]]=PROVEEDORES[[#This Row],[FECHA DE FACTURACIÓN]],"DE CONTADO","CRÉDITO")</f>
        <v>DE CONTADO</v>
      </c>
      <c r="B602" s="144" t="b">
        <f>+IF((PROVEEDORES[[#This Row],[FECHA DE PAGO]]-PROVEEDORES[[#This Row],[FECHA DE FACTURACIÓN]])&gt;PROVEEDORES[[#This Row],[PLAZO Días]],"PAGO VENCIDO")</f>
        <v>0</v>
      </c>
      <c r="C602" s="144">
        <f>+VLOOKUP(PROVEEDORES[[#This Row],[PROVEEDOR]],TERCEROS_INFO[#All],2,FALSE)</f>
        <v>0</v>
      </c>
      <c r="D602" s="145">
        <f>+SUMIFS(PROVEEDORES[Total],PROVEEDORES[PROVEEDOR],PROVEEDORES[[#This Row],[PROVEEDOR]],PROVEEDORES[FECHA DE PAGO],"")</f>
        <v>0</v>
      </c>
      <c r="E602" s="146"/>
      <c r="F602" s="144">
        <f>+VLOOKUP(PROVEEDORES[[#This Row],[PROVEEDOR]],
                       Terceros!$A:$G,
                       5,
                       FALSE)</f>
        <v>0</v>
      </c>
      <c r="G602" s="122">
        <v>45169</v>
      </c>
      <c r="H602" s="102" t="s">
        <v>537</v>
      </c>
      <c r="I602" s="122">
        <v>45169</v>
      </c>
      <c r="J602" s="103" t="s">
        <v>1039</v>
      </c>
      <c r="K602" s="103" t="s">
        <v>1512</v>
      </c>
      <c r="L602" s="103"/>
      <c r="M602" s="105">
        <v>60000</v>
      </c>
      <c r="N602" s="147">
        <v>0</v>
      </c>
      <c r="O602" s="147">
        <v>0</v>
      </c>
      <c r="P602" s="148">
        <v>0</v>
      </c>
      <c r="Q602" s="147">
        <v>0</v>
      </c>
      <c r="R602" s="149">
        <v>60000</v>
      </c>
      <c r="S6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2" s="150">
        <f ca="1">+IF(PROVEEDORES[[#This Row],[FECHA DE PAGO]]=0,TODAY()-PROVEEDORES[[#This Row],[FECHA DE FACTURACIÓN]]-PROVEEDORES[[#This Row],[PLAZO Días]],0)</f>
        <v>0</v>
      </c>
      <c r="U602" s="150">
        <f>+VLOOKUP(PROVEEDORES[[#This Row],[PROVEEDOR]],Terceros!$A:$E,4,FALSE)</f>
        <v>0</v>
      </c>
      <c r="V602" s="150">
        <f>+YEAR(PROVEEDORES[[#This Row],[FECHA DE FACTURACIÓN]])</f>
        <v>2023</v>
      </c>
      <c r="W602" s="150">
        <f>+MATCH(PROVEEDORES[[#This Row],[año facturado]],Retenciones!$1:$1,0)</f>
        <v>6</v>
      </c>
      <c r="X602" s="151">
        <f>+VLOOKUP(PROVEEDORES[[#This Row],[ID RETENCION]],Retenciones!$A$1:$O$25,PROVEEDORES[[#This Row],[indicador de columna]],FALSE)</f>
        <v>0</v>
      </c>
      <c r="Y602" s="152">
        <f>+VLOOKUP(PROVEEDORES[[#This Row],[ID RETENCION]],Retenciones!$A$1:$O$25,2,FALSE)</f>
        <v>0</v>
      </c>
      <c r="Z602" s="153" t="b">
        <f>+OR(COUNTIF(PROVEEDORES[[#This Row],[PROVEEDOR]],"*"&amp;'Palabra que no opera y Listas d'!$A$2&amp;"*"))</f>
        <v>0</v>
      </c>
    </row>
    <row r="603" spans="1:26" ht="27.75" customHeight="1" x14ac:dyDescent="0.3">
      <c r="A603" s="144" t="str">
        <f>+IF(PROVEEDORES[[#This Row],[FECHA DE PAGO]]=PROVEEDORES[[#This Row],[FECHA DE FACTURACIÓN]],"DE CONTADO","CRÉDITO")</f>
        <v>DE CONTADO</v>
      </c>
      <c r="B603" s="144" t="b">
        <f>+IF((PROVEEDORES[[#This Row],[FECHA DE PAGO]]-PROVEEDORES[[#This Row],[FECHA DE FACTURACIÓN]])&gt;PROVEEDORES[[#This Row],[PLAZO Días]],"PAGO VENCIDO")</f>
        <v>0</v>
      </c>
      <c r="C603" s="144">
        <f>+VLOOKUP(PROVEEDORES[[#This Row],[PROVEEDOR]],TERCEROS_INFO[#All],2,FALSE)</f>
        <v>0</v>
      </c>
      <c r="D603" s="145">
        <f>+SUMIFS(PROVEEDORES[Total],PROVEEDORES[PROVEEDOR],PROVEEDORES[[#This Row],[PROVEEDOR]],PROVEEDORES[FECHA DE PAGO],"")</f>
        <v>0</v>
      </c>
      <c r="E603" s="146"/>
      <c r="F603" s="144">
        <f>+VLOOKUP(PROVEEDORES[[#This Row],[PROVEEDOR]],
                       Terceros!$A:$G,
                       5,
                       FALSE)</f>
        <v>0</v>
      </c>
      <c r="G603" s="122">
        <v>45169</v>
      </c>
      <c r="H603" s="102" t="s">
        <v>537</v>
      </c>
      <c r="I603" s="122">
        <v>45169</v>
      </c>
      <c r="J603" s="103" t="s">
        <v>494</v>
      </c>
      <c r="K603" s="103" t="s">
        <v>1512</v>
      </c>
      <c r="L603" s="103"/>
      <c r="M603" s="105">
        <v>165300</v>
      </c>
      <c r="N603" s="147">
        <v>0</v>
      </c>
      <c r="O603" s="147">
        <v>0</v>
      </c>
      <c r="P603" s="148">
        <v>0</v>
      </c>
      <c r="Q603" s="147">
        <v>0</v>
      </c>
      <c r="R603" s="149">
        <v>165300</v>
      </c>
      <c r="S6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3" s="150">
        <f ca="1">+IF(PROVEEDORES[[#This Row],[FECHA DE PAGO]]=0,TODAY()-PROVEEDORES[[#This Row],[FECHA DE FACTURACIÓN]]-PROVEEDORES[[#This Row],[PLAZO Días]],0)</f>
        <v>0</v>
      </c>
      <c r="U603" s="150">
        <f>+VLOOKUP(PROVEEDORES[[#This Row],[PROVEEDOR]],Terceros!$A:$E,4,FALSE)</f>
        <v>0</v>
      </c>
      <c r="V603" s="150">
        <f>+YEAR(PROVEEDORES[[#This Row],[FECHA DE FACTURACIÓN]])</f>
        <v>2023</v>
      </c>
      <c r="W603" s="150">
        <f>+MATCH(PROVEEDORES[[#This Row],[año facturado]],Retenciones!$1:$1,0)</f>
        <v>6</v>
      </c>
      <c r="X603" s="151">
        <f>+VLOOKUP(PROVEEDORES[[#This Row],[ID RETENCION]],Retenciones!$A$1:$O$25,PROVEEDORES[[#This Row],[indicador de columna]],FALSE)</f>
        <v>0</v>
      </c>
      <c r="Y603" s="152">
        <f>+VLOOKUP(PROVEEDORES[[#This Row],[ID RETENCION]],Retenciones!$A$1:$O$25,2,FALSE)</f>
        <v>0</v>
      </c>
      <c r="Z603" s="153" t="b">
        <f>+OR(COUNTIF(PROVEEDORES[[#This Row],[PROVEEDOR]],"*"&amp;'Palabra que no opera y Listas d'!$A$2&amp;"*"))</f>
        <v>0</v>
      </c>
    </row>
    <row r="604" spans="1:26" ht="27.75" customHeight="1" x14ac:dyDescent="0.3">
      <c r="A604" s="144" t="str">
        <f>+IF(PROVEEDORES[[#This Row],[FECHA DE PAGO]]=PROVEEDORES[[#This Row],[FECHA DE FACTURACIÓN]],"DE CONTADO","CRÉDITO")</f>
        <v>DE CONTADO</v>
      </c>
      <c r="B604" s="144" t="b">
        <f>+IF((PROVEEDORES[[#This Row],[FECHA DE PAGO]]-PROVEEDORES[[#This Row],[FECHA DE FACTURACIÓN]])&gt;PROVEEDORES[[#This Row],[PLAZO Días]],"PAGO VENCIDO")</f>
        <v>0</v>
      </c>
      <c r="C604" s="144">
        <f>+VLOOKUP(PROVEEDORES[[#This Row],[PROVEEDOR]],TERCEROS_INFO[#All],2,FALSE)</f>
        <v>0</v>
      </c>
      <c r="D604" s="145">
        <f>+SUMIFS(PROVEEDORES[Total],PROVEEDORES[PROVEEDOR],PROVEEDORES[[#This Row],[PROVEEDOR]],PROVEEDORES[FECHA DE PAGO],"")</f>
        <v>0</v>
      </c>
      <c r="E604" s="146"/>
      <c r="F604" s="144">
        <f>+VLOOKUP(PROVEEDORES[[#This Row],[PROVEEDOR]],
                       Terceros!$A:$G,
                       5,
                       FALSE)</f>
        <v>0</v>
      </c>
      <c r="G604" s="122">
        <v>45169</v>
      </c>
      <c r="H604" s="102" t="s">
        <v>537</v>
      </c>
      <c r="I604" s="122">
        <v>45169</v>
      </c>
      <c r="J604" s="103" t="s">
        <v>1513</v>
      </c>
      <c r="K604" s="103" t="s">
        <v>1512</v>
      </c>
      <c r="L604" s="103"/>
      <c r="M604" s="105">
        <v>214000</v>
      </c>
      <c r="N604" s="147">
        <v>0</v>
      </c>
      <c r="O604" s="147">
        <v>0</v>
      </c>
      <c r="P604" s="148">
        <v>0</v>
      </c>
      <c r="Q604" s="147">
        <v>0</v>
      </c>
      <c r="R604" s="149">
        <v>214000</v>
      </c>
      <c r="S6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4" s="150">
        <f ca="1">+IF(PROVEEDORES[[#This Row],[FECHA DE PAGO]]=0,TODAY()-PROVEEDORES[[#This Row],[FECHA DE FACTURACIÓN]]-PROVEEDORES[[#This Row],[PLAZO Días]],0)</f>
        <v>0</v>
      </c>
      <c r="U604" s="150">
        <f>+VLOOKUP(PROVEEDORES[[#This Row],[PROVEEDOR]],Terceros!$A:$E,4,FALSE)</f>
        <v>0</v>
      </c>
      <c r="V604" s="150">
        <f>+YEAR(PROVEEDORES[[#This Row],[FECHA DE FACTURACIÓN]])</f>
        <v>2023</v>
      </c>
      <c r="W604" s="150">
        <f>+MATCH(PROVEEDORES[[#This Row],[año facturado]],Retenciones!$1:$1,0)</f>
        <v>6</v>
      </c>
      <c r="X604" s="151">
        <f>+VLOOKUP(PROVEEDORES[[#This Row],[ID RETENCION]],Retenciones!$A$1:$O$25,PROVEEDORES[[#This Row],[indicador de columna]],FALSE)</f>
        <v>0</v>
      </c>
      <c r="Y604" s="152">
        <f>+VLOOKUP(PROVEEDORES[[#This Row],[ID RETENCION]],Retenciones!$A$1:$O$25,2,FALSE)</f>
        <v>0</v>
      </c>
      <c r="Z604" s="153" t="b">
        <f>+OR(COUNTIF(PROVEEDORES[[#This Row],[PROVEEDOR]],"*"&amp;'Palabra que no opera y Listas d'!$A$2&amp;"*"))</f>
        <v>0</v>
      </c>
    </row>
    <row r="605" spans="1:26" ht="27.75" customHeight="1" x14ac:dyDescent="0.3">
      <c r="A605" s="144" t="str">
        <f>+IF(PROVEEDORES[[#This Row],[FECHA DE PAGO]]=PROVEEDORES[[#This Row],[FECHA DE FACTURACIÓN]],"DE CONTADO","CRÉDITO")</f>
        <v>DE CONTADO</v>
      </c>
      <c r="B605" s="144" t="b">
        <f>+IF((PROVEEDORES[[#This Row],[FECHA DE PAGO]]-PROVEEDORES[[#This Row],[FECHA DE FACTURACIÓN]])&gt;PROVEEDORES[[#This Row],[PLAZO Días]],"PAGO VENCIDO")</f>
        <v>0</v>
      </c>
      <c r="C605" s="144">
        <f>+VLOOKUP(PROVEEDORES[[#This Row],[PROVEEDOR]],TERCEROS_INFO[#All],2,FALSE)</f>
        <v>0</v>
      </c>
      <c r="D605" s="145">
        <f>+SUMIFS(PROVEEDORES[Total],PROVEEDORES[PROVEEDOR],PROVEEDORES[[#This Row],[PROVEEDOR]],PROVEEDORES[FECHA DE PAGO],"")</f>
        <v>0</v>
      </c>
      <c r="E605" s="146"/>
      <c r="F605" s="144">
        <f>+VLOOKUP(PROVEEDORES[[#This Row],[PROVEEDOR]],
                       Terceros!$A:$G,
                       5,
                       FALSE)</f>
        <v>0</v>
      </c>
      <c r="G605" s="122">
        <v>45169</v>
      </c>
      <c r="H605" s="102" t="s">
        <v>537</v>
      </c>
      <c r="I605" s="122">
        <v>45169</v>
      </c>
      <c r="J605" s="103" t="s">
        <v>491</v>
      </c>
      <c r="K605" s="103" t="s">
        <v>1512</v>
      </c>
      <c r="L605" s="103"/>
      <c r="M605" s="105">
        <v>427000</v>
      </c>
      <c r="N605" s="147">
        <v>0</v>
      </c>
      <c r="O605" s="147">
        <v>0</v>
      </c>
      <c r="P605" s="148">
        <v>0</v>
      </c>
      <c r="Q605" s="147">
        <v>0</v>
      </c>
      <c r="R605" s="149">
        <v>427000</v>
      </c>
      <c r="S6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5" s="150">
        <f ca="1">+IF(PROVEEDORES[[#This Row],[FECHA DE PAGO]]=0,TODAY()-PROVEEDORES[[#This Row],[FECHA DE FACTURACIÓN]]-PROVEEDORES[[#This Row],[PLAZO Días]],0)</f>
        <v>0</v>
      </c>
      <c r="U605" s="150">
        <f>+VLOOKUP(PROVEEDORES[[#This Row],[PROVEEDOR]],Terceros!$A:$E,4,FALSE)</f>
        <v>0</v>
      </c>
      <c r="V605" s="150">
        <f>+YEAR(PROVEEDORES[[#This Row],[FECHA DE FACTURACIÓN]])</f>
        <v>2023</v>
      </c>
      <c r="W605" s="150">
        <f>+MATCH(PROVEEDORES[[#This Row],[año facturado]],Retenciones!$1:$1,0)</f>
        <v>6</v>
      </c>
      <c r="X605" s="151">
        <f>+VLOOKUP(PROVEEDORES[[#This Row],[ID RETENCION]],Retenciones!$A$1:$O$25,PROVEEDORES[[#This Row],[indicador de columna]],FALSE)</f>
        <v>0</v>
      </c>
      <c r="Y605" s="152">
        <f>+VLOOKUP(PROVEEDORES[[#This Row],[ID RETENCION]],Retenciones!$A$1:$O$25,2,FALSE)</f>
        <v>0</v>
      </c>
      <c r="Z605" s="153" t="b">
        <f>+OR(COUNTIF(PROVEEDORES[[#This Row],[PROVEEDOR]],"*"&amp;'Palabra que no opera y Listas d'!$A$2&amp;"*"))</f>
        <v>0</v>
      </c>
    </row>
    <row r="606" spans="1:26" ht="27.75" customHeight="1" x14ac:dyDescent="0.3">
      <c r="A606" s="144" t="str">
        <f>+IF(PROVEEDORES[[#This Row],[FECHA DE PAGO]]=PROVEEDORES[[#This Row],[FECHA DE FACTURACIÓN]],"DE CONTADO","CRÉDITO")</f>
        <v>DE CONTADO</v>
      </c>
      <c r="B606" s="144" t="b">
        <f>+IF((PROVEEDORES[[#This Row],[FECHA DE PAGO]]-PROVEEDORES[[#This Row],[FECHA DE FACTURACIÓN]])&gt;PROVEEDORES[[#This Row],[PLAZO Días]],"PAGO VENCIDO")</f>
        <v>0</v>
      </c>
      <c r="C606" s="144">
        <f>+VLOOKUP(PROVEEDORES[[#This Row],[PROVEEDOR]],TERCEROS_INFO[#All],2,FALSE)</f>
        <v>0</v>
      </c>
      <c r="D606" s="145">
        <f>+SUMIFS(PROVEEDORES[Total],PROVEEDORES[PROVEEDOR],PROVEEDORES[[#This Row],[PROVEEDOR]],PROVEEDORES[FECHA DE PAGO],"")</f>
        <v>0</v>
      </c>
      <c r="E606" s="146"/>
      <c r="F606" s="144">
        <f>+VLOOKUP(PROVEEDORES[[#This Row],[PROVEEDOR]],
                       Terceros!$A:$G,
                       5,
                       FALSE)</f>
        <v>0</v>
      </c>
      <c r="G606" s="122">
        <v>45169</v>
      </c>
      <c r="H606" s="102" t="s">
        <v>537</v>
      </c>
      <c r="I606" s="122">
        <v>45169</v>
      </c>
      <c r="J606" s="103" t="s">
        <v>495</v>
      </c>
      <c r="K606" s="103" t="s">
        <v>1512</v>
      </c>
      <c r="L606" s="103"/>
      <c r="M606" s="105">
        <v>646000</v>
      </c>
      <c r="N606" s="147">
        <v>0</v>
      </c>
      <c r="O606" s="147">
        <v>0</v>
      </c>
      <c r="P606" s="148">
        <v>0</v>
      </c>
      <c r="Q606" s="147">
        <v>0</v>
      </c>
      <c r="R606" s="149">
        <v>646000</v>
      </c>
      <c r="S6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6" s="150">
        <f ca="1">+IF(PROVEEDORES[[#This Row],[FECHA DE PAGO]]=0,TODAY()-PROVEEDORES[[#This Row],[FECHA DE FACTURACIÓN]]-PROVEEDORES[[#This Row],[PLAZO Días]],0)</f>
        <v>0</v>
      </c>
      <c r="U606" s="150">
        <f>+VLOOKUP(PROVEEDORES[[#This Row],[PROVEEDOR]],Terceros!$A:$E,4,FALSE)</f>
        <v>0</v>
      </c>
      <c r="V606" s="150">
        <f>+YEAR(PROVEEDORES[[#This Row],[FECHA DE FACTURACIÓN]])</f>
        <v>2023</v>
      </c>
      <c r="W606" s="150">
        <f>+MATCH(PROVEEDORES[[#This Row],[año facturado]],Retenciones!$1:$1,0)</f>
        <v>6</v>
      </c>
      <c r="X606" s="151">
        <f>+VLOOKUP(PROVEEDORES[[#This Row],[ID RETENCION]],Retenciones!$A$1:$O$25,PROVEEDORES[[#This Row],[indicador de columna]],FALSE)</f>
        <v>0</v>
      </c>
      <c r="Y606" s="152">
        <f>+VLOOKUP(PROVEEDORES[[#This Row],[ID RETENCION]],Retenciones!$A$1:$O$25,2,FALSE)</f>
        <v>0</v>
      </c>
      <c r="Z606" s="153" t="b">
        <f>+OR(COUNTIF(PROVEEDORES[[#This Row],[PROVEEDOR]],"*"&amp;'Palabra que no opera y Listas d'!$A$2&amp;"*"))</f>
        <v>0</v>
      </c>
    </row>
    <row r="607" spans="1:26" ht="27.75" customHeight="1" x14ac:dyDescent="0.3">
      <c r="A607" s="144" t="str">
        <f>+IF(PROVEEDORES[[#This Row],[FECHA DE PAGO]]=PROVEEDORES[[#This Row],[FECHA DE FACTURACIÓN]],"DE CONTADO","CRÉDITO")</f>
        <v>DE CONTADO</v>
      </c>
      <c r="B607" s="144" t="b">
        <f>+IF((PROVEEDORES[[#This Row],[FECHA DE PAGO]]-PROVEEDORES[[#This Row],[FECHA DE FACTURACIÓN]])&gt;PROVEEDORES[[#This Row],[PLAZO Días]],"PAGO VENCIDO")</f>
        <v>0</v>
      </c>
      <c r="C607" s="144">
        <f>+VLOOKUP(PROVEEDORES[[#This Row],[PROVEEDOR]],TERCEROS_INFO[#All],2,FALSE)</f>
        <v>0</v>
      </c>
      <c r="D607" s="145">
        <f>+SUMIFS(PROVEEDORES[Total],PROVEEDORES[PROVEEDOR],PROVEEDORES[[#This Row],[PROVEEDOR]],PROVEEDORES[FECHA DE PAGO],"")</f>
        <v>0</v>
      </c>
      <c r="E607" s="146"/>
      <c r="F607" s="144">
        <f>+VLOOKUP(PROVEEDORES[[#This Row],[PROVEEDOR]],
                       Terceros!$A:$G,
                       5,
                       FALSE)</f>
        <v>0</v>
      </c>
      <c r="G607" s="122">
        <v>45169</v>
      </c>
      <c r="H607" s="102" t="s">
        <v>537</v>
      </c>
      <c r="I607" s="122">
        <v>45169</v>
      </c>
      <c r="J607" s="103" t="s">
        <v>492</v>
      </c>
      <c r="K607" s="103" t="s">
        <v>1512</v>
      </c>
      <c r="L607" s="103"/>
      <c r="M607" s="105">
        <v>1304150</v>
      </c>
      <c r="N607" s="147">
        <v>0</v>
      </c>
      <c r="O607" s="147">
        <v>0</v>
      </c>
      <c r="P607" s="148">
        <v>0</v>
      </c>
      <c r="Q607" s="147">
        <v>0</v>
      </c>
      <c r="R607" s="149">
        <v>1304150</v>
      </c>
      <c r="S6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7" s="150">
        <f ca="1">+IF(PROVEEDORES[[#This Row],[FECHA DE PAGO]]=0,TODAY()-PROVEEDORES[[#This Row],[FECHA DE FACTURACIÓN]]-PROVEEDORES[[#This Row],[PLAZO Días]],0)</f>
        <v>0</v>
      </c>
      <c r="U607" s="150">
        <f>+VLOOKUP(PROVEEDORES[[#This Row],[PROVEEDOR]],Terceros!$A:$E,4,FALSE)</f>
        <v>0</v>
      </c>
      <c r="V607" s="150">
        <f>+YEAR(PROVEEDORES[[#This Row],[FECHA DE FACTURACIÓN]])</f>
        <v>2023</v>
      </c>
      <c r="W607" s="150">
        <f>+MATCH(PROVEEDORES[[#This Row],[año facturado]],Retenciones!$1:$1,0)</f>
        <v>6</v>
      </c>
      <c r="X607" s="151">
        <f>+VLOOKUP(PROVEEDORES[[#This Row],[ID RETENCION]],Retenciones!$A$1:$O$25,PROVEEDORES[[#This Row],[indicador de columna]],FALSE)</f>
        <v>0</v>
      </c>
      <c r="Y607" s="152">
        <f>+VLOOKUP(PROVEEDORES[[#This Row],[ID RETENCION]],Retenciones!$A$1:$O$25,2,FALSE)</f>
        <v>0</v>
      </c>
      <c r="Z607" s="153" t="b">
        <f>+OR(COUNTIF(PROVEEDORES[[#This Row],[PROVEEDOR]],"*"&amp;'Palabra que no opera y Listas d'!$A$2&amp;"*"))</f>
        <v>0</v>
      </c>
    </row>
    <row r="608" spans="1:26" ht="27.75" customHeight="1" x14ac:dyDescent="0.3">
      <c r="A608" s="144" t="str">
        <f>+IF(PROVEEDORES[[#This Row],[FECHA DE PAGO]]=PROVEEDORES[[#This Row],[FECHA DE FACTURACIÓN]],"DE CONTADO","CRÉDITO")</f>
        <v>DE CONTADO</v>
      </c>
      <c r="B608" s="144" t="b">
        <f>+IF((PROVEEDORES[[#This Row],[FECHA DE PAGO]]-PROVEEDORES[[#This Row],[FECHA DE FACTURACIÓN]])&gt;PROVEEDORES[[#This Row],[PLAZO Días]],"PAGO VENCIDO")</f>
        <v>0</v>
      </c>
      <c r="C608" s="144">
        <f>+VLOOKUP(PROVEEDORES[[#This Row],[PROVEEDOR]],TERCEROS_INFO[#All],2,FALSE)</f>
        <v>0</v>
      </c>
      <c r="D608" s="145">
        <f>+SUMIFS(PROVEEDORES[Total],PROVEEDORES[PROVEEDOR],PROVEEDORES[[#This Row],[PROVEEDOR]],PROVEEDORES[FECHA DE PAGO],"")</f>
        <v>0</v>
      </c>
      <c r="E608" s="146"/>
      <c r="F608" s="144">
        <f>+VLOOKUP(PROVEEDORES[[#This Row],[PROVEEDOR]],
                       Terceros!$A:$G,
                       5,
                       FALSE)</f>
        <v>0</v>
      </c>
      <c r="G608" s="122">
        <v>45169</v>
      </c>
      <c r="H608" s="102" t="s">
        <v>537</v>
      </c>
      <c r="I608" s="122">
        <v>45169</v>
      </c>
      <c r="J608" s="103" t="s">
        <v>493</v>
      </c>
      <c r="K608" s="103" t="s">
        <v>1512</v>
      </c>
      <c r="L608" s="103"/>
      <c r="M608" s="105">
        <v>4238550</v>
      </c>
      <c r="N608" s="147">
        <v>0</v>
      </c>
      <c r="O608" s="147">
        <v>0</v>
      </c>
      <c r="P608" s="148">
        <v>0</v>
      </c>
      <c r="Q608" s="147">
        <v>0</v>
      </c>
      <c r="R608" s="149">
        <v>4238550</v>
      </c>
      <c r="S6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8" s="150">
        <f ca="1">+IF(PROVEEDORES[[#This Row],[FECHA DE PAGO]]=0,TODAY()-PROVEEDORES[[#This Row],[FECHA DE FACTURACIÓN]]-PROVEEDORES[[#This Row],[PLAZO Días]],0)</f>
        <v>0</v>
      </c>
      <c r="U608" s="150">
        <f>+VLOOKUP(PROVEEDORES[[#This Row],[PROVEEDOR]],Terceros!$A:$E,4,FALSE)</f>
        <v>0</v>
      </c>
      <c r="V608" s="150">
        <f>+YEAR(PROVEEDORES[[#This Row],[FECHA DE FACTURACIÓN]])</f>
        <v>2023</v>
      </c>
      <c r="W608" s="150">
        <f>+MATCH(PROVEEDORES[[#This Row],[año facturado]],Retenciones!$1:$1,0)</f>
        <v>6</v>
      </c>
      <c r="X608" s="151">
        <f>+VLOOKUP(PROVEEDORES[[#This Row],[ID RETENCION]],Retenciones!$A$1:$O$25,PROVEEDORES[[#This Row],[indicador de columna]],FALSE)</f>
        <v>0</v>
      </c>
      <c r="Y608" s="152">
        <f>+VLOOKUP(PROVEEDORES[[#This Row],[ID RETENCION]],Retenciones!$A$1:$O$25,2,FALSE)</f>
        <v>0</v>
      </c>
      <c r="Z608" s="153" t="b">
        <f>+OR(COUNTIF(PROVEEDORES[[#This Row],[PROVEEDOR]],"*"&amp;'Palabra que no opera y Listas d'!$A$2&amp;"*"))</f>
        <v>0</v>
      </c>
    </row>
    <row r="609" spans="1:26" ht="27.75" customHeight="1" x14ac:dyDescent="0.3">
      <c r="A609" s="144" t="str">
        <f>+IF(PROVEEDORES[[#This Row],[FECHA DE PAGO]]=PROVEEDORES[[#This Row],[FECHA DE FACTURACIÓN]],"DE CONTADO","CRÉDITO")</f>
        <v>DE CONTADO</v>
      </c>
      <c r="B609" s="144" t="b">
        <f>+IF((PROVEEDORES[[#This Row],[FECHA DE PAGO]]-PROVEEDORES[[#This Row],[FECHA DE FACTURACIÓN]])&gt;PROVEEDORES[[#This Row],[PLAZO Días]],"PAGO VENCIDO")</f>
        <v>0</v>
      </c>
      <c r="C609" s="144">
        <f>+VLOOKUP(PROVEEDORES[[#This Row],[PROVEEDOR]],TERCEROS_INFO[#All],2,FALSE)</f>
        <v>0</v>
      </c>
      <c r="D609" s="145">
        <f>+SUMIFS(PROVEEDORES[Total],PROVEEDORES[PROVEEDOR],PROVEEDORES[[#This Row],[PROVEEDOR]],PROVEEDORES[FECHA DE PAGO],"")</f>
        <v>0</v>
      </c>
      <c r="E609" s="146"/>
      <c r="F609" s="144">
        <f>+VLOOKUP(PROVEEDORES[[#This Row],[PROVEEDOR]],
                       Terceros!$A:$G,
                       5,
                       FALSE)</f>
        <v>0</v>
      </c>
      <c r="G609" s="122">
        <v>45169</v>
      </c>
      <c r="H609" s="102" t="s">
        <v>870</v>
      </c>
      <c r="I609" s="122">
        <v>45169</v>
      </c>
      <c r="J609" s="103">
        <v>5918</v>
      </c>
      <c r="K609" s="103" t="s">
        <v>1512</v>
      </c>
      <c r="L609" s="103"/>
      <c r="M609" s="105">
        <v>505000</v>
      </c>
      <c r="N609" s="147">
        <v>0</v>
      </c>
      <c r="O609" s="147">
        <v>0</v>
      </c>
      <c r="P609" s="148">
        <v>0</v>
      </c>
      <c r="Q609" s="147">
        <v>0</v>
      </c>
      <c r="R609" s="149">
        <v>505000</v>
      </c>
      <c r="S6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9" s="150">
        <f ca="1">+IF(PROVEEDORES[[#This Row],[FECHA DE PAGO]]=0,TODAY()-PROVEEDORES[[#This Row],[FECHA DE FACTURACIÓN]]-PROVEEDORES[[#This Row],[PLAZO Días]],0)</f>
        <v>0</v>
      </c>
      <c r="U609" s="150">
        <f>+VLOOKUP(PROVEEDORES[[#This Row],[PROVEEDOR]],Terceros!$A:$E,4,FALSE)</f>
        <v>0</v>
      </c>
      <c r="V609" s="150">
        <f>+YEAR(PROVEEDORES[[#This Row],[FECHA DE FACTURACIÓN]])</f>
        <v>2023</v>
      </c>
      <c r="W609" s="150">
        <f>+MATCH(PROVEEDORES[[#This Row],[año facturado]],Retenciones!$1:$1,0)</f>
        <v>6</v>
      </c>
      <c r="X609" s="151">
        <f>+VLOOKUP(PROVEEDORES[[#This Row],[ID RETENCION]],Retenciones!$A$1:$O$25,PROVEEDORES[[#This Row],[indicador de columna]],FALSE)</f>
        <v>0</v>
      </c>
      <c r="Y609" s="152">
        <f>+VLOOKUP(PROVEEDORES[[#This Row],[ID RETENCION]],Retenciones!$A$1:$O$25,2,FALSE)</f>
        <v>0</v>
      </c>
      <c r="Z609" s="153" t="b">
        <f>+OR(COUNTIF(PROVEEDORES[[#This Row],[PROVEEDOR]],"*"&amp;'Palabra que no opera y Listas d'!$A$2&amp;"*"))</f>
        <v>0</v>
      </c>
    </row>
    <row r="610" spans="1:26" ht="27.75" customHeight="1" x14ac:dyDescent="0.3">
      <c r="A610" s="144" t="str">
        <f>+IF(PROVEEDORES[[#This Row],[FECHA DE PAGO]]=PROVEEDORES[[#This Row],[FECHA DE FACTURACIÓN]],"DE CONTADO","CRÉDITO")</f>
        <v>CRÉDITO</v>
      </c>
      <c r="B610" s="144" t="str">
        <f>+IF((PROVEEDORES[[#This Row],[FECHA DE PAGO]]-PROVEEDORES[[#This Row],[FECHA DE FACTURACIÓN]])&gt;PROVEEDORES[[#This Row],[PLAZO Días]],"PAGO VENCIDO")</f>
        <v>PAGO VENCIDO</v>
      </c>
      <c r="C610" s="144">
        <f>+VLOOKUP(PROVEEDORES[[#This Row],[PROVEEDOR]],TERCEROS_INFO[#All],2,FALSE)</f>
        <v>0</v>
      </c>
      <c r="D610" s="145">
        <f>+SUMIFS(PROVEEDORES[Total],PROVEEDORES[PROVEEDOR],PROVEEDORES[[#This Row],[PROVEEDOR]],PROVEEDORES[FECHA DE PAGO],"")</f>
        <v>0</v>
      </c>
      <c r="E610" s="146"/>
      <c r="F610" s="144">
        <f>+VLOOKUP(PROVEEDORES[[#This Row],[PROVEEDOR]],
                       Terceros!$A:$G,
                       5,
                       FALSE)</f>
        <v>0</v>
      </c>
      <c r="G610" s="122">
        <v>45170</v>
      </c>
      <c r="H610" s="102" t="s">
        <v>1785</v>
      </c>
      <c r="I610" s="122">
        <v>45139</v>
      </c>
      <c r="J610" s="103">
        <v>4297</v>
      </c>
      <c r="K610" s="103" t="s">
        <v>1512</v>
      </c>
      <c r="L610" s="103"/>
      <c r="M610" s="105">
        <v>138000</v>
      </c>
      <c r="N610" s="147">
        <v>0</v>
      </c>
      <c r="O610" s="147">
        <v>0</v>
      </c>
      <c r="P610" s="148">
        <v>0</v>
      </c>
      <c r="Q610" s="147">
        <v>0</v>
      </c>
      <c r="R610" s="149">
        <v>138000</v>
      </c>
      <c r="S6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0" s="150">
        <f ca="1">+IF(PROVEEDORES[[#This Row],[FECHA DE PAGO]]=0,TODAY()-PROVEEDORES[[#This Row],[FECHA DE FACTURACIÓN]]-PROVEEDORES[[#This Row],[PLAZO Días]],0)</f>
        <v>0</v>
      </c>
      <c r="U610" s="150">
        <f>+VLOOKUP(PROVEEDORES[[#This Row],[PROVEEDOR]],Terceros!$A:$E,4,FALSE)</f>
        <v>0</v>
      </c>
      <c r="V610" s="150">
        <f>+YEAR(PROVEEDORES[[#This Row],[FECHA DE FACTURACIÓN]])</f>
        <v>2023</v>
      </c>
      <c r="W610" s="150">
        <f>+MATCH(PROVEEDORES[[#This Row],[año facturado]],Retenciones!$1:$1,0)</f>
        <v>6</v>
      </c>
      <c r="X610" s="151">
        <f>+VLOOKUP(PROVEEDORES[[#This Row],[ID RETENCION]],Retenciones!$A$1:$O$25,PROVEEDORES[[#This Row],[indicador de columna]],FALSE)</f>
        <v>0</v>
      </c>
      <c r="Y610" s="152">
        <f>+VLOOKUP(PROVEEDORES[[#This Row],[ID RETENCION]],Retenciones!$A$1:$O$25,2,FALSE)</f>
        <v>0</v>
      </c>
      <c r="Z610" s="153" t="b">
        <f>+OR(COUNTIF(PROVEEDORES[[#This Row],[PROVEEDOR]],"*"&amp;'Palabra que no opera y Listas d'!$A$2&amp;"*"))</f>
        <v>0</v>
      </c>
    </row>
    <row r="611" spans="1:26" ht="27.75" customHeight="1" x14ac:dyDescent="0.3">
      <c r="A611" s="144" t="str">
        <f>+IF(PROVEEDORES[[#This Row],[FECHA DE PAGO]]=PROVEEDORES[[#This Row],[FECHA DE FACTURACIÓN]],"DE CONTADO","CRÉDITO")</f>
        <v>CRÉDITO</v>
      </c>
      <c r="B611" s="144" t="str">
        <f>+IF((PROVEEDORES[[#This Row],[FECHA DE PAGO]]-PROVEEDORES[[#This Row],[FECHA DE FACTURACIÓN]])&gt;PROVEEDORES[[#This Row],[PLAZO Días]],"PAGO VENCIDO")</f>
        <v>PAGO VENCIDO</v>
      </c>
      <c r="C611" s="144">
        <f>+VLOOKUP(PROVEEDORES[[#This Row],[PROVEEDOR]],TERCEROS_INFO[#All],2,FALSE)</f>
        <v>0</v>
      </c>
      <c r="D611" s="145">
        <f>+SUMIFS(PROVEEDORES[Total],PROVEEDORES[PROVEEDOR],PROVEEDORES[[#This Row],[PROVEEDOR]],PROVEEDORES[FECHA DE PAGO],"")</f>
        <v>0</v>
      </c>
      <c r="E611" s="146"/>
      <c r="F611" s="144">
        <f>+VLOOKUP(PROVEEDORES[[#This Row],[PROVEEDOR]],
                       Terceros!$A:$G,
                       5,
                       FALSE)</f>
        <v>0</v>
      </c>
      <c r="G611" s="122">
        <v>45170</v>
      </c>
      <c r="H611" s="102" t="s">
        <v>1782</v>
      </c>
      <c r="I611" s="122">
        <v>45161</v>
      </c>
      <c r="J611" s="103">
        <v>396</v>
      </c>
      <c r="K611" s="103" t="s">
        <v>1512</v>
      </c>
      <c r="L611" s="103"/>
      <c r="M611" s="105">
        <v>756000</v>
      </c>
      <c r="N611" s="147">
        <v>0</v>
      </c>
      <c r="O611" s="147">
        <v>0</v>
      </c>
      <c r="P611" s="148">
        <v>0</v>
      </c>
      <c r="Q611" s="147">
        <v>0</v>
      </c>
      <c r="R611" s="149">
        <v>756000</v>
      </c>
      <c r="S6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1" s="150">
        <f ca="1">+IF(PROVEEDORES[[#This Row],[FECHA DE PAGO]]=0,TODAY()-PROVEEDORES[[#This Row],[FECHA DE FACTURACIÓN]]-PROVEEDORES[[#This Row],[PLAZO Días]],0)</f>
        <v>0</v>
      </c>
      <c r="U611" s="150">
        <f>+VLOOKUP(PROVEEDORES[[#This Row],[PROVEEDOR]],Terceros!$A:$E,4,FALSE)</f>
        <v>0</v>
      </c>
      <c r="V611" s="150">
        <f>+YEAR(PROVEEDORES[[#This Row],[FECHA DE FACTURACIÓN]])</f>
        <v>2023</v>
      </c>
      <c r="W611" s="150">
        <f>+MATCH(PROVEEDORES[[#This Row],[año facturado]],Retenciones!$1:$1,0)</f>
        <v>6</v>
      </c>
      <c r="X611" s="151">
        <f>+VLOOKUP(PROVEEDORES[[#This Row],[ID RETENCION]],Retenciones!$A$1:$O$25,PROVEEDORES[[#This Row],[indicador de columna]],FALSE)</f>
        <v>0</v>
      </c>
      <c r="Y611" s="152">
        <f>+VLOOKUP(PROVEEDORES[[#This Row],[ID RETENCION]],Retenciones!$A$1:$O$25,2,FALSE)</f>
        <v>0</v>
      </c>
      <c r="Z611" s="153" t="b">
        <f>+OR(COUNTIF(PROVEEDORES[[#This Row],[PROVEEDOR]],"*"&amp;'Palabra que no opera y Listas d'!$A$2&amp;"*"))</f>
        <v>0</v>
      </c>
    </row>
    <row r="612" spans="1:26" ht="27.75" customHeight="1" x14ac:dyDescent="0.3">
      <c r="A612" s="144" t="str">
        <f>+IF(PROVEEDORES[[#This Row],[FECHA DE PAGO]]=PROVEEDORES[[#This Row],[FECHA DE FACTURACIÓN]],"DE CONTADO","CRÉDITO")</f>
        <v>DE CONTADO</v>
      </c>
      <c r="B612" s="144" t="b">
        <f>+IF((PROVEEDORES[[#This Row],[FECHA DE PAGO]]-PROVEEDORES[[#This Row],[FECHA DE FACTURACIÓN]])&gt;PROVEEDORES[[#This Row],[PLAZO Días]],"PAGO VENCIDO")</f>
        <v>0</v>
      </c>
      <c r="C612" s="144">
        <f>+VLOOKUP(PROVEEDORES[[#This Row],[PROVEEDOR]],TERCEROS_INFO[#All],2,FALSE)</f>
        <v>0</v>
      </c>
      <c r="D612" s="145">
        <f>+SUMIFS(PROVEEDORES[Total],PROVEEDORES[PROVEEDOR],PROVEEDORES[[#This Row],[PROVEEDOR]],PROVEEDORES[FECHA DE PAGO],"")</f>
        <v>550000</v>
      </c>
      <c r="E612" s="146"/>
      <c r="F612" s="144">
        <f>+VLOOKUP(PROVEEDORES[[#This Row],[PROVEEDOR]],
                       Terceros!$A:$G,
                       5,
                       FALSE)</f>
        <v>0</v>
      </c>
      <c r="G612" s="122">
        <v>45171</v>
      </c>
      <c r="H612" s="102" t="s">
        <v>1784</v>
      </c>
      <c r="I612" s="122">
        <v>45171</v>
      </c>
      <c r="J612" s="103" t="s">
        <v>1038</v>
      </c>
      <c r="K612" s="103" t="s">
        <v>1512</v>
      </c>
      <c r="L612" s="103"/>
      <c r="M612" s="105">
        <v>540000</v>
      </c>
      <c r="N612" s="147">
        <v>0</v>
      </c>
      <c r="O612" s="147">
        <v>0</v>
      </c>
      <c r="P612" s="148">
        <v>0</v>
      </c>
      <c r="Q612" s="147">
        <v>0</v>
      </c>
      <c r="R612" s="149">
        <v>540000</v>
      </c>
      <c r="S6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2" s="150">
        <f ca="1">+IF(PROVEEDORES[[#This Row],[FECHA DE PAGO]]=0,TODAY()-PROVEEDORES[[#This Row],[FECHA DE FACTURACIÓN]]-PROVEEDORES[[#This Row],[PLAZO Días]],0)</f>
        <v>0</v>
      </c>
      <c r="U612" s="150">
        <f>+VLOOKUP(PROVEEDORES[[#This Row],[PROVEEDOR]],Terceros!$A:$E,4,FALSE)</f>
        <v>0</v>
      </c>
      <c r="V612" s="150">
        <f>+YEAR(PROVEEDORES[[#This Row],[FECHA DE FACTURACIÓN]])</f>
        <v>2023</v>
      </c>
      <c r="W612" s="150">
        <f>+MATCH(PROVEEDORES[[#This Row],[año facturado]],Retenciones!$1:$1,0)</f>
        <v>6</v>
      </c>
      <c r="X612" s="151">
        <f>+VLOOKUP(PROVEEDORES[[#This Row],[ID RETENCION]],Retenciones!$A$1:$O$25,PROVEEDORES[[#This Row],[indicador de columna]],FALSE)</f>
        <v>0</v>
      </c>
      <c r="Y612" s="152">
        <f>+VLOOKUP(PROVEEDORES[[#This Row],[ID RETENCION]],Retenciones!$A$1:$O$25,2,FALSE)</f>
        <v>0</v>
      </c>
      <c r="Z612" s="153" t="b">
        <f>+OR(COUNTIF(PROVEEDORES[[#This Row],[PROVEEDOR]],"*"&amp;'Palabra que no opera y Listas d'!$A$2&amp;"*"))</f>
        <v>0</v>
      </c>
    </row>
    <row r="613" spans="1:26" ht="27.75" customHeight="1" x14ac:dyDescent="0.3">
      <c r="A613" s="144" t="str">
        <f>+IF(PROVEEDORES[[#This Row],[FECHA DE PAGO]]=PROVEEDORES[[#This Row],[FECHA DE FACTURACIÓN]],"DE CONTADO","CRÉDITO")</f>
        <v>DE CONTADO</v>
      </c>
      <c r="B613" s="144" t="b">
        <f>+IF((PROVEEDORES[[#This Row],[FECHA DE PAGO]]-PROVEEDORES[[#This Row],[FECHA DE FACTURACIÓN]])&gt;PROVEEDORES[[#This Row],[PLAZO Días]],"PAGO VENCIDO")</f>
        <v>0</v>
      </c>
      <c r="C613" s="144">
        <f>+VLOOKUP(PROVEEDORES[[#This Row],[PROVEEDOR]],TERCEROS_INFO[#All],2,FALSE)</f>
        <v>0</v>
      </c>
      <c r="D613" s="145">
        <f>+SUMIFS(PROVEEDORES[Total],PROVEEDORES[PROVEEDOR],PROVEEDORES[[#This Row],[PROVEEDOR]],PROVEEDORES[FECHA DE PAGO],"")</f>
        <v>0</v>
      </c>
      <c r="E613" s="146"/>
      <c r="F613" s="144">
        <f>+VLOOKUP(PROVEEDORES[[#This Row],[PROVEEDOR]],
                       Terceros!$A:$G,
                       5,
                       FALSE)</f>
        <v>0</v>
      </c>
      <c r="G613" s="122">
        <v>45171</v>
      </c>
      <c r="H613" s="102" t="s">
        <v>845</v>
      </c>
      <c r="I613" s="122">
        <v>45171</v>
      </c>
      <c r="J613" s="103"/>
      <c r="K613" s="103" t="s">
        <v>1512</v>
      </c>
      <c r="L613" s="103"/>
      <c r="M613" s="105">
        <v>508000</v>
      </c>
      <c r="N613" s="147">
        <v>0</v>
      </c>
      <c r="O613" s="147">
        <v>0</v>
      </c>
      <c r="P613" s="148">
        <v>0</v>
      </c>
      <c r="Q613" s="147">
        <v>0</v>
      </c>
      <c r="R613" s="149">
        <v>508000</v>
      </c>
      <c r="S6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3" s="150">
        <f ca="1">+IF(PROVEEDORES[[#This Row],[FECHA DE PAGO]]=0,TODAY()-PROVEEDORES[[#This Row],[FECHA DE FACTURACIÓN]]-PROVEEDORES[[#This Row],[PLAZO Días]],0)</f>
        <v>0</v>
      </c>
      <c r="U613" s="150">
        <f>+VLOOKUP(PROVEEDORES[[#This Row],[PROVEEDOR]],Terceros!$A:$E,4,FALSE)</f>
        <v>0</v>
      </c>
      <c r="V613" s="150">
        <f>+YEAR(PROVEEDORES[[#This Row],[FECHA DE FACTURACIÓN]])</f>
        <v>2023</v>
      </c>
      <c r="W613" s="150">
        <f>+MATCH(PROVEEDORES[[#This Row],[año facturado]],Retenciones!$1:$1,0)</f>
        <v>6</v>
      </c>
      <c r="X613" s="151">
        <f>+VLOOKUP(PROVEEDORES[[#This Row],[ID RETENCION]],Retenciones!$A$1:$O$25,PROVEEDORES[[#This Row],[indicador de columna]],FALSE)</f>
        <v>0</v>
      </c>
      <c r="Y613" s="152">
        <f>+VLOOKUP(PROVEEDORES[[#This Row],[ID RETENCION]],Retenciones!$A$1:$O$25,2,FALSE)</f>
        <v>0</v>
      </c>
      <c r="Z613" s="153" t="b">
        <f>+OR(COUNTIF(PROVEEDORES[[#This Row],[PROVEEDOR]],"*"&amp;'Palabra que no opera y Listas d'!$A$2&amp;"*"))</f>
        <v>0</v>
      </c>
    </row>
    <row r="614" spans="1:26" ht="27.75" customHeight="1" x14ac:dyDescent="0.3">
      <c r="A614" s="144" t="str">
        <f>+IF(PROVEEDORES[[#This Row],[FECHA DE PAGO]]=PROVEEDORES[[#This Row],[FECHA DE FACTURACIÓN]],"DE CONTADO","CRÉDITO")</f>
        <v>CRÉDITO</v>
      </c>
      <c r="B614" s="144" t="str">
        <f>+IF((PROVEEDORES[[#This Row],[FECHA DE PAGO]]-PROVEEDORES[[#This Row],[FECHA DE FACTURACIÓN]])&gt;PROVEEDORES[[#This Row],[PLAZO Días]],"PAGO VENCIDO")</f>
        <v>PAGO VENCIDO</v>
      </c>
      <c r="C614" s="144">
        <f>+VLOOKUP(PROVEEDORES[[#This Row],[PROVEEDOR]],TERCEROS_INFO[#All],2,FALSE)</f>
        <v>0</v>
      </c>
      <c r="D614" s="145">
        <f>+SUMIFS(PROVEEDORES[Total],PROVEEDORES[PROVEEDOR],PROVEEDORES[[#This Row],[PROVEEDOR]],PROVEEDORES[FECHA DE PAGO],"")</f>
        <v>3533418.74</v>
      </c>
      <c r="E614" s="146"/>
      <c r="F614" s="144">
        <f>+VLOOKUP(PROVEEDORES[[#This Row],[PROVEEDOR]],
                       Terceros!$A:$G,
                       5,
                       FALSE)</f>
        <v>0</v>
      </c>
      <c r="G614" s="122">
        <v>45173</v>
      </c>
      <c r="H614" s="102" t="s">
        <v>236</v>
      </c>
      <c r="I614" s="122">
        <v>45064</v>
      </c>
      <c r="J614" s="103" t="s">
        <v>975</v>
      </c>
      <c r="K614" s="103" t="s">
        <v>1512</v>
      </c>
      <c r="L614" s="103"/>
      <c r="M614" s="105">
        <v>-311718</v>
      </c>
      <c r="N614" s="147">
        <v>-59226.42</v>
      </c>
      <c r="O614" s="147">
        <v>0</v>
      </c>
      <c r="P614" s="148">
        <v>0</v>
      </c>
      <c r="Q614" s="147">
        <v>0</v>
      </c>
      <c r="R614" s="149">
        <v>-370944.42</v>
      </c>
      <c r="S6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4" s="150">
        <f ca="1">+IF(PROVEEDORES[[#This Row],[FECHA DE PAGO]]=0,TODAY()-PROVEEDORES[[#This Row],[FECHA DE FACTURACIÓN]]-PROVEEDORES[[#This Row],[PLAZO Días]],0)</f>
        <v>0</v>
      </c>
      <c r="U614" s="150">
        <f>+VLOOKUP(PROVEEDORES[[#This Row],[PROVEEDOR]],Terceros!$A:$E,4,FALSE)</f>
        <v>0.19</v>
      </c>
      <c r="V614" s="150">
        <f>+YEAR(PROVEEDORES[[#This Row],[FECHA DE FACTURACIÓN]])</f>
        <v>2023</v>
      </c>
      <c r="W614" s="150">
        <f>+MATCH(PROVEEDORES[[#This Row],[año facturado]],Retenciones!$1:$1,0)</f>
        <v>6</v>
      </c>
      <c r="X614" s="151" t="e">
        <f>+VLOOKUP(PROVEEDORES[[#This Row],[ID RETENCION]],Retenciones!$A$1:$O$25,PROVEEDORES[[#This Row],[indicador de columna]],FALSE)</f>
        <v>#N/A</v>
      </c>
      <c r="Y614" s="152" t="e">
        <f>+VLOOKUP(PROVEEDORES[[#This Row],[ID RETENCION]],Retenciones!$A$1:$O$25,2,FALSE)</f>
        <v>#N/A</v>
      </c>
      <c r="Z614" s="153" t="b">
        <f>+OR(COUNTIF(PROVEEDORES[[#This Row],[PROVEEDOR]],"*"&amp;'Palabra que no opera y Listas d'!$A$2&amp;"*"))</f>
        <v>0</v>
      </c>
    </row>
    <row r="615" spans="1:26" ht="27.75" customHeight="1" x14ac:dyDescent="0.3">
      <c r="A615" s="144" t="str">
        <f>+IF(PROVEEDORES[[#This Row],[FECHA DE PAGO]]=PROVEEDORES[[#This Row],[FECHA DE FACTURACIÓN]],"DE CONTADO","CRÉDITO")</f>
        <v>CRÉDITO</v>
      </c>
      <c r="B615" s="144" t="str">
        <f>+IF((PROVEEDORES[[#This Row],[FECHA DE PAGO]]-PROVEEDORES[[#This Row],[FECHA DE FACTURACIÓN]])&gt;PROVEEDORES[[#This Row],[PLAZO Días]],"PAGO VENCIDO")</f>
        <v>PAGO VENCIDO</v>
      </c>
      <c r="C615" s="144">
        <f>+VLOOKUP(PROVEEDORES[[#This Row],[PROVEEDOR]],TERCEROS_INFO[#All],2,FALSE)</f>
        <v>0</v>
      </c>
      <c r="D615" s="145">
        <f>+SUMIFS(PROVEEDORES[Total],PROVEEDORES[PROVEEDOR],PROVEEDORES[[#This Row],[PROVEEDOR]],PROVEEDORES[FECHA DE PAGO],"")</f>
        <v>3533418.74</v>
      </c>
      <c r="E615" s="146"/>
      <c r="F615" s="144">
        <f>+VLOOKUP(PROVEEDORES[[#This Row],[PROVEEDOR]],
                       Terceros!$A:$G,
                       5,
                       FALSE)</f>
        <v>0</v>
      </c>
      <c r="G615" s="122">
        <v>45173</v>
      </c>
      <c r="H615" s="102" t="s">
        <v>236</v>
      </c>
      <c r="I615" s="122">
        <v>45107</v>
      </c>
      <c r="J615" s="103" t="s">
        <v>881</v>
      </c>
      <c r="K615" s="103" t="s">
        <v>1512</v>
      </c>
      <c r="L615" s="103"/>
      <c r="M615" s="105">
        <v>1930400</v>
      </c>
      <c r="N615" s="147">
        <v>366776</v>
      </c>
      <c r="O615" s="147">
        <v>0</v>
      </c>
      <c r="P615" s="148">
        <v>0</v>
      </c>
      <c r="Q615" s="147">
        <v>0</v>
      </c>
      <c r="R615" s="149">
        <v>2297176</v>
      </c>
      <c r="S6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5" s="150">
        <f ca="1">+IF(PROVEEDORES[[#This Row],[FECHA DE PAGO]]=0,TODAY()-PROVEEDORES[[#This Row],[FECHA DE FACTURACIÓN]]-PROVEEDORES[[#This Row],[PLAZO Días]],0)</f>
        <v>0</v>
      </c>
      <c r="U615" s="150">
        <f>+VLOOKUP(PROVEEDORES[[#This Row],[PROVEEDOR]],Terceros!$A:$E,4,FALSE)</f>
        <v>0.19</v>
      </c>
      <c r="V615" s="150">
        <f>+YEAR(PROVEEDORES[[#This Row],[FECHA DE FACTURACIÓN]])</f>
        <v>2023</v>
      </c>
      <c r="W615" s="150">
        <f>+MATCH(PROVEEDORES[[#This Row],[año facturado]],Retenciones!$1:$1,0)</f>
        <v>6</v>
      </c>
      <c r="X615" s="151" t="e">
        <f>+VLOOKUP(PROVEEDORES[[#This Row],[ID RETENCION]],Retenciones!$A$1:$O$25,PROVEEDORES[[#This Row],[indicador de columna]],FALSE)</f>
        <v>#N/A</v>
      </c>
      <c r="Y615" s="152" t="e">
        <f>+VLOOKUP(PROVEEDORES[[#This Row],[ID RETENCION]],Retenciones!$A$1:$O$25,2,FALSE)</f>
        <v>#N/A</v>
      </c>
      <c r="Z615" s="153" t="b">
        <f>+OR(COUNTIF(PROVEEDORES[[#This Row],[PROVEEDOR]],"*"&amp;'Palabra que no opera y Listas d'!$A$2&amp;"*"))</f>
        <v>0</v>
      </c>
    </row>
    <row r="616" spans="1:26" ht="27.75" customHeight="1" x14ac:dyDescent="0.3">
      <c r="A616" s="144" t="str">
        <f>+IF(PROVEEDORES[[#This Row],[FECHA DE PAGO]]=PROVEEDORES[[#This Row],[FECHA DE FACTURACIÓN]],"DE CONTADO","CRÉDITO")</f>
        <v>CRÉDITO</v>
      </c>
      <c r="B616" s="144" t="str">
        <f>+IF((PROVEEDORES[[#This Row],[FECHA DE PAGO]]-PROVEEDORES[[#This Row],[FECHA DE FACTURACIÓN]])&gt;PROVEEDORES[[#This Row],[PLAZO Días]],"PAGO VENCIDO")</f>
        <v>PAGO VENCIDO</v>
      </c>
      <c r="C616" s="144">
        <f>+VLOOKUP(PROVEEDORES[[#This Row],[PROVEEDOR]],TERCEROS_INFO[#All],2,FALSE)</f>
        <v>0</v>
      </c>
      <c r="D616" s="145">
        <f>+SUMIFS(PROVEEDORES[Total],PROVEEDORES[PROVEEDOR],PROVEEDORES[[#This Row],[PROVEEDOR]],PROVEEDORES[FECHA DE PAGO],"")</f>
        <v>3533418.74</v>
      </c>
      <c r="E616" s="146"/>
      <c r="F616" s="144">
        <f>+VLOOKUP(PROVEEDORES[[#This Row],[PROVEEDOR]],
                       Terceros!$A:$G,
                       5,
                       FALSE)</f>
        <v>0</v>
      </c>
      <c r="G616" s="122">
        <v>45173</v>
      </c>
      <c r="H616" s="102" t="s">
        <v>236</v>
      </c>
      <c r="I616" s="122">
        <v>45111</v>
      </c>
      <c r="J616" s="103" t="s">
        <v>916</v>
      </c>
      <c r="K616" s="103" t="s">
        <v>1512</v>
      </c>
      <c r="L616" s="103"/>
      <c r="M616" s="105">
        <v>528624</v>
      </c>
      <c r="N616" s="147">
        <v>100438.56</v>
      </c>
      <c r="O616" s="147">
        <v>0</v>
      </c>
      <c r="P616" s="148">
        <v>0</v>
      </c>
      <c r="Q616" s="147">
        <v>0</v>
      </c>
      <c r="R616" s="149">
        <v>629062.56000000006</v>
      </c>
      <c r="S6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6" s="150">
        <f ca="1">+IF(PROVEEDORES[[#This Row],[FECHA DE PAGO]]=0,TODAY()-PROVEEDORES[[#This Row],[FECHA DE FACTURACIÓN]]-PROVEEDORES[[#This Row],[PLAZO Días]],0)</f>
        <v>0</v>
      </c>
      <c r="U616" s="150">
        <f>+VLOOKUP(PROVEEDORES[[#This Row],[PROVEEDOR]],Terceros!$A:$E,4,FALSE)</f>
        <v>0.19</v>
      </c>
      <c r="V616" s="150">
        <f>+YEAR(PROVEEDORES[[#This Row],[FECHA DE FACTURACIÓN]])</f>
        <v>2023</v>
      </c>
      <c r="W616" s="150">
        <f>+MATCH(PROVEEDORES[[#This Row],[año facturado]],Retenciones!$1:$1,0)</f>
        <v>6</v>
      </c>
      <c r="X616" s="151" t="e">
        <f>+VLOOKUP(PROVEEDORES[[#This Row],[ID RETENCION]],Retenciones!$A$1:$O$25,PROVEEDORES[[#This Row],[indicador de columna]],FALSE)</f>
        <v>#N/A</v>
      </c>
      <c r="Y616" s="152" t="e">
        <f>+VLOOKUP(PROVEEDORES[[#This Row],[ID RETENCION]],Retenciones!$A$1:$O$25,2,FALSE)</f>
        <v>#N/A</v>
      </c>
      <c r="Z616" s="153" t="b">
        <f>+OR(COUNTIF(PROVEEDORES[[#This Row],[PROVEEDOR]],"*"&amp;'Palabra que no opera y Listas d'!$A$2&amp;"*"))</f>
        <v>0</v>
      </c>
    </row>
    <row r="617" spans="1:26" ht="27.75" customHeight="1" x14ac:dyDescent="0.3">
      <c r="A617" s="144" t="str">
        <f>+IF(PROVEEDORES[[#This Row],[FECHA DE PAGO]]=PROVEEDORES[[#This Row],[FECHA DE FACTURACIÓN]],"DE CONTADO","CRÉDITO")</f>
        <v>CRÉDITO</v>
      </c>
      <c r="B617" s="144" t="str">
        <f>+IF((PROVEEDORES[[#This Row],[FECHA DE PAGO]]-PROVEEDORES[[#This Row],[FECHA DE FACTURACIÓN]])&gt;PROVEEDORES[[#This Row],[PLAZO Días]],"PAGO VENCIDO")</f>
        <v>PAGO VENCIDO</v>
      </c>
      <c r="C617" s="144">
        <f>+VLOOKUP(PROVEEDORES[[#This Row],[PROVEEDOR]],TERCEROS_INFO[#All],2,FALSE)</f>
        <v>0</v>
      </c>
      <c r="D617" s="145">
        <f>+SUMIFS(PROVEEDORES[Total],PROVEEDORES[PROVEEDOR],PROVEEDORES[[#This Row],[PROVEEDOR]],PROVEEDORES[FECHA DE PAGO],"")</f>
        <v>3533418.74</v>
      </c>
      <c r="E617" s="146"/>
      <c r="F617" s="144">
        <f>+VLOOKUP(PROVEEDORES[[#This Row],[PROVEEDOR]],
                       Terceros!$A:$G,
                       5,
                       FALSE)</f>
        <v>0</v>
      </c>
      <c r="G617" s="122">
        <v>45173</v>
      </c>
      <c r="H617" s="102" t="s">
        <v>236</v>
      </c>
      <c r="I617" s="122">
        <v>45111</v>
      </c>
      <c r="J617" s="103" t="s">
        <v>915</v>
      </c>
      <c r="K617" s="103" t="s">
        <v>1512</v>
      </c>
      <c r="L617" s="103"/>
      <c r="M617" s="105">
        <v>792936</v>
      </c>
      <c r="N617" s="147">
        <v>150657.84</v>
      </c>
      <c r="O617" s="147">
        <v>0</v>
      </c>
      <c r="P617" s="148">
        <v>0</v>
      </c>
      <c r="Q617" s="147">
        <v>0</v>
      </c>
      <c r="R617" s="149">
        <v>943593.84</v>
      </c>
      <c r="S6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7" s="150">
        <f ca="1">+IF(PROVEEDORES[[#This Row],[FECHA DE PAGO]]=0,TODAY()-PROVEEDORES[[#This Row],[FECHA DE FACTURACIÓN]]-PROVEEDORES[[#This Row],[PLAZO Días]],0)</f>
        <v>0</v>
      </c>
      <c r="U617" s="150">
        <f>+VLOOKUP(PROVEEDORES[[#This Row],[PROVEEDOR]],Terceros!$A:$E,4,FALSE)</f>
        <v>0.19</v>
      </c>
      <c r="V617" s="150">
        <f>+YEAR(PROVEEDORES[[#This Row],[FECHA DE FACTURACIÓN]])</f>
        <v>2023</v>
      </c>
      <c r="W617" s="150">
        <f>+MATCH(PROVEEDORES[[#This Row],[año facturado]],Retenciones!$1:$1,0)</f>
        <v>6</v>
      </c>
      <c r="X617" s="151" t="e">
        <f>+VLOOKUP(PROVEEDORES[[#This Row],[ID RETENCION]],Retenciones!$A$1:$O$25,PROVEEDORES[[#This Row],[indicador de columna]],FALSE)</f>
        <v>#N/A</v>
      </c>
      <c r="Y617" s="152" t="e">
        <f>+VLOOKUP(PROVEEDORES[[#This Row],[ID RETENCION]],Retenciones!$A$1:$O$25,2,FALSE)</f>
        <v>#N/A</v>
      </c>
      <c r="Z617" s="153" t="b">
        <f>+OR(COUNTIF(PROVEEDORES[[#This Row],[PROVEEDOR]],"*"&amp;'Palabra que no opera y Listas d'!$A$2&amp;"*"))</f>
        <v>0</v>
      </c>
    </row>
    <row r="618" spans="1:26" ht="27.75" customHeight="1" x14ac:dyDescent="0.3">
      <c r="A618" s="144" t="str">
        <f>+IF(PROVEEDORES[[#This Row],[FECHA DE PAGO]]=PROVEEDORES[[#This Row],[FECHA DE FACTURACIÓN]],"DE CONTADO","CRÉDITO")</f>
        <v>CRÉDITO</v>
      </c>
      <c r="B618" s="144" t="str">
        <f>+IF((PROVEEDORES[[#This Row],[FECHA DE PAGO]]-PROVEEDORES[[#This Row],[FECHA DE FACTURACIÓN]])&gt;PROVEEDORES[[#This Row],[PLAZO Días]],"PAGO VENCIDO")</f>
        <v>PAGO VENCIDO</v>
      </c>
      <c r="C618" s="144">
        <f>+VLOOKUP(PROVEEDORES[[#This Row],[PROVEEDOR]],TERCEROS_INFO[#All],2,FALSE)</f>
        <v>0</v>
      </c>
      <c r="D618" s="145" t="e">
        <f>+SUMIFS(PROVEEDORES[Total],PROVEEDORES[PROVEEDOR],PROVEEDORES[[#This Row],[PROVEEDOR]],PROVEEDORES[FECHA DE PAGO],"")</f>
        <v>#N/A</v>
      </c>
      <c r="E618" s="146"/>
      <c r="F618" s="144">
        <f>+VLOOKUP(PROVEEDORES[[#This Row],[PROVEEDOR]],
                       Terceros!$A:$G,
                       5,
                       FALSE)</f>
        <v>0</v>
      </c>
      <c r="G618" s="122">
        <v>45173</v>
      </c>
      <c r="H618" s="102" t="s">
        <v>16</v>
      </c>
      <c r="I618" s="122">
        <v>45128</v>
      </c>
      <c r="J618" s="103" t="s">
        <v>922</v>
      </c>
      <c r="K618" s="103" t="s">
        <v>1512</v>
      </c>
      <c r="L618" s="103"/>
      <c r="M618" s="105">
        <v>230906</v>
      </c>
      <c r="N618" s="147">
        <v>43872.14</v>
      </c>
      <c r="O618" s="147">
        <v>0</v>
      </c>
      <c r="P618" s="148">
        <v>0</v>
      </c>
      <c r="Q618" s="147">
        <v>0</v>
      </c>
      <c r="R618" s="149">
        <v>274778.14</v>
      </c>
      <c r="S6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8" s="150">
        <f ca="1">+IF(PROVEEDORES[[#This Row],[FECHA DE PAGO]]=0,TODAY()-PROVEEDORES[[#This Row],[FECHA DE FACTURACIÓN]]-PROVEEDORES[[#This Row],[PLAZO Días]],0)</f>
        <v>0</v>
      </c>
      <c r="U618" s="150">
        <f>+VLOOKUP(PROVEEDORES[[#This Row],[PROVEEDOR]],Terceros!$A:$E,4,FALSE)</f>
        <v>0.19</v>
      </c>
      <c r="V618" s="150">
        <f>+YEAR(PROVEEDORES[[#This Row],[FECHA DE FACTURACIÓN]])</f>
        <v>2023</v>
      </c>
      <c r="W618" s="150">
        <f>+MATCH(PROVEEDORES[[#This Row],[año facturado]],Retenciones!$1:$1,0)</f>
        <v>6</v>
      </c>
      <c r="X618" s="151" t="e">
        <f>+VLOOKUP(PROVEEDORES[[#This Row],[ID RETENCION]],Retenciones!$A$1:$O$25,PROVEEDORES[[#This Row],[indicador de columna]],FALSE)</f>
        <v>#N/A</v>
      </c>
      <c r="Y618" s="152" t="e">
        <f>+VLOOKUP(PROVEEDORES[[#This Row],[ID RETENCION]],Retenciones!$A$1:$O$25,2,FALSE)</f>
        <v>#N/A</v>
      </c>
      <c r="Z618" s="153" t="b">
        <f>+OR(COUNTIF(PROVEEDORES[[#This Row],[PROVEEDOR]],"*"&amp;'Palabra que no opera y Listas d'!$A$2&amp;"*"))</f>
        <v>0</v>
      </c>
    </row>
    <row r="619" spans="1:26" ht="27.75" customHeight="1" x14ac:dyDescent="0.3">
      <c r="A619" s="144" t="str">
        <f>+IF(PROVEEDORES[[#This Row],[FECHA DE PAGO]]=PROVEEDORES[[#This Row],[FECHA DE FACTURACIÓN]],"DE CONTADO","CRÉDITO")</f>
        <v>CRÉDITO</v>
      </c>
      <c r="B619" s="144" t="str">
        <f>+IF((PROVEEDORES[[#This Row],[FECHA DE PAGO]]-PROVEEDORES[[#This Row],[FECHA DE FACTURACIÓN]])&gt;PROVEEDORES[[#This Row],[PLAZO Días]],"PAGO VENCIDO")</f>
        <v>PAGO VENCIDO</v>
      </c>
      <c r="C619" s="144">
        <f>+VLOOKUP(PROVEEDORES[[#This Row],[PROVEEDOR]],TERCEROS_INFO[#All],2,FALSE)</f>
        <v>0</v>
      </c>
      <c r="D619" s="145" t="e">
        <f>+SUMIFS(PROVEEDORES[Total],PROVEEDORES[PROVEEDOR],PROVEEDORES[[#This Row],[PROVEEDOR]],PROVEEDORES[FECHA DE PAGO],"")</f>
        <v>#N/A</v>
      </c>
      <c r="E619" s="146"/>
      <c r="F619" s="144">
        <f>+VLOOKUP(PROVEEDORES[[#This Row],[PROVEEDOR]],
                       Terceros!$A:$G,
                       5,
                       FALSE)</f>
        <v>0</v>
      </c>
      <c r="G619" s="122">
        <v>45173</v>
      </c>
      <c r="H619" s="102" t="s">
        <v>16</v>
      </c>
      <c r="I619" s="122">
        <v>45128</v>
      </c>
      <c r="J619" s="103" t="s">
        <v>923</v>
      </c>
      <c r="K619" s="103" t="s">
        <v>1512</v>
      </c>
      <c r="L619" s="103"/>
      <c r="M619" s="105">
        <v>458175</v>
      </c>
      <c r="N619" s="147">
        <v>87053.25</v>
      </c>
      <c r="O619" s="147">
        <v>0</v>
      </c>
      <c r="P619" s="148">
        <v>0</v>
      </c>
      <c r="Q619" s="147">
        <v>0</v>
      </c>
      <c r="R619" s="149">
        <v>545228.25</v>
      </c>
      <c r="S6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9" s="150">
        <f ca="1">+IF(PROVEEDORES[[#This Row],[FECHA DE PAGO]]=0,TODAY()-PROVEEDORES[[#This Row],[FECHA DE FACTURACIÓN]]-PROVEEDORES[[#This Row],[PLAZO Días]],0)</f>
        <v>0</v>
      </c>
      <c r="U619" s="150">
        <f>+VLOOKUP(PROVEEDORES[[#This Row],[PROVEEDOR]],Terceros!$A:$E,4,FALSE)</f>
        <v>0.19</v>
      </c>
      <c r="V619" s="150">
        <f>+YEAR(PROVEEDORES[[#This Row],[FECHA DE FACTURACIÓN]])</f>
        <v>2023</v>
      </c>
      <c r="W619" s="150">
        <f>+MATCH(PROVEEDORES[[#This Row],[año facturado]],Retenciones!$1:$1,0)</f>
        <v>6</v>
      </c>
      <c r="X619" s="151" t="e">
        <f>+VLOOKUP(PROVEEDORES[[#This Row],[ID RETENCION]],Retenciones!$A$1:$O$25,PROVEEDORES[[#This Row],[indicador de columna]],FALSE)</f>
        <v>#N/A</v>
      </c>
      <c r="Y619" s="152" t="e">
        <f>+VLOOKUP(PROVEEDORES[[#This Row],[ID RETENCION]],Retenciones!$A$1:$O$25,2,FALSE)</f>
        <v>#N/A</v>
      </c>
      <c r="Z619" s="153" t="b">
        <f>+OR(COUNTIF(PROVEEDORES[[#This Row],[PROVEEDOR]],"*"&amp;'Palabra que no opera y Listas d'!$A$2&amp;"*"))</f>
        <v>0</v>
      </c>
    </row>
    <row r="620" spans="1:26" ht="27.75" customHeight="1" x14ac:dyDescent="0.3">
      <c r="A620" s="144" t="str">
        <f>+IF(PROVEEDORES[[#This Row],[FECHA DE PAGO]]=PROVEEDORES[[#This Row],[FECHA DE FACTURACIÓN]],"DE CONTADO","CRÉDITO")</f>
        <v>CRÉDITO</v>
      </c>
      <c r="B620" s="144" t="str">
        <f>+IF((PROVEEDORES[[#This Row],[FECHA DE PAGO]]-PROVEEDORES[[#This Row],[FECHA DE FACTURACIÓN]])&gt;PROVEEDORES[[#This Row],[PLAZO Días]],"PAGO VENCIDO")</f>
        <v>PAGO VENCIDO</v>
      </c>
      <c r="C620" s="144">
        <f>+VLOOKUP(PROVEEDORES[[#This Row],[PROVEEDOR]],TERCEROS_INFO[#All],2,FALSE)</f>
        <v>0</v>
      </c>
      <c r="D620" s="145" t="e">
        <f>+SUMIFS(PROVEEDORES[Total],PROVEEDORES[PROVEEDOR],PROVEEDORES[[#This Row],[PROVEEDOR]],PROVEEDORES[FECHA DE PAGO],"")</f>
        <v>#N/A</v>
      </c>
      <c r="E620" s="146"/>
      <c r="F620" s="144">
        <f>+VLOOKUP(PROVEEDORES[[#This Row],[PROVEEDOR]],
                       Terceros!$A:$G,
                       5,
                       FALSE)</f>
        <v>0</v>
      </c>
      <c r="G620" s="122">
        <v>45173</v>
      </c>
      <c r="H620" s="102" t="s">
        <v>16</v>
      </c>
      <c r="I620" s="122">
        <v>45131</v>
      </c>
      <c r="J620" s="103" t="s">
        <v>921</v>
      </c>
      <c r="K620" s="103" t="s">
        <v>1512</v>
      </c>
      <c r="L620" s="103"/>
      <c r="M620" s="105">
        <v>1902271</v>
      </c>
      <c r="N620" s="147">
        <v>361431.49</v>
      </c>
      <c r="O620" s="147">
        <v>0</v>
      </c>
      <c r="P620" s="148">
        <v>0</v>
      </c>
      <c r="Q620" s="147">
        <v>0</v>
      </c>
      <c r="R620" s="149">
        <v>2263702.4900000002</v>
      </c>
      <c r="S6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0" s="150">
        <f ca="1">+IF(PROVEEDORES[[#This Row],[FECHA DE PAGO]]=0,TODAY()-PROVEEDORES[[#This Row],[FECHA DE FACTURACIÓN]]-PROVEEDORES[[#This Row],[PLAZO Días]],0)</f>
        <v>0</v>
      </c>
      <c r="U620" s="150">
        <f>+VLOOKUP(PROVEEDORES[[#This Row],[PROVEEDOR]],Terceros!$A:$E,4,FALSE)</f>
        <v>0.19</v>
      </c>
      <c r="V620" s="150">
        <f>+YEAR(PROVEEDORES[[#This Row],[FECHA DE FACTURACIÓN]])</f>
        <v>2023</v>
      </c>
      <c r="W620" s="150">
        <f>+MATCH(PROVEEDORES[[#This Row],[año facturado]],Retenciones!$1:$1,0)</f>
        <v>6</v>
      </c>
      <c r="X620" s="151" t="e">
        <f>+VLOOKUP(PROVEEDORES[[#This Row],[ID RETENCION]],Retenciones!$A$1:$O$25,PROVEEDORES[[#This Row],[indicador de columna]],FALSE)</f>
        <v>#N/A</v>
      </c>
      <c r="Y620" s="152" t="e">
        <f>+VLOOKUP(PROVEEDORES[[#This Row],[ID RETENCION]],Retenciones!$A$1:$O$25,2,FALSE)</f>
        <v>#N/A</v>
      </c>
      <c r="Z620" s="153" t="b">
        <f>+OR(COUNTIF(PROVEEDORES[[#This Row],[PROVEEDOR]],"*"&amp;'Palabra que no opera y Listas d'!$A$2&amp;"*"))</f>
        <v>0</v>
      </c>
    </row>
    <row r="621" spans="1:26" ht="27.75" customHeight="1" x14ac:dyDescent="0.3">
      <c r="A621" s="144" t="str">
        <f>+IF(PROVEEDORES[[#This Row],[FECHA DE PAGO]]=PROVEEDORES[[#This Row],[FECHA DE FACTURACIÓN]],"DE CONTADO","CRÉDITO")</f>
        <v>CRÉDITO</v>
      </c>
      <c r="B621" s="144" t="str">
        <f>+IF((PROVEEDORES[[#This Row],[FECHA DE PAGO]]-PROVEEDORES[[#This Row],[FECHA DE FACTURACIÓN]])&gt;PROVEEDORES[[#This Row],[PLAZO Días]],"PAGO VENCIDO")</f>
        <v>PAGO VENCIDO</v>
      </c>
      <c r="C621" s="144">
        <f>+VLOOKUP(PROVEEDORES[[#This Row],[PROVEEDOR]],TERCEROS_INFO[#All],2,FALSE)</f>
        <v>0</v>
      </c>
      <c r="D621" s="145" t="e">
        <f>+SUMIFS(PROVEEDORES[Total],PROVEEDORES[PROVEEDOR],PROVEEDORES[[#This Row],[PROVEEDOR]],PROVEEDORES[FECHA DE PAGO],"")</f>
        <v>#N/A</v>
      </c>
      <c r="E621" s="146"/>
      <c r="F621" s="144">
        <f>+VLOOKUP(PROVEEDORES[[#This Row],[PROVEEDOR]],
                       Terceros!$A:$G,
                       5,
                       FALSE)</f>
        <v>0</v>
      </c>
      <c r="G621" s="122">
        <v>45173</v>
      </c>
      <c r="H621" s="102" t="s">
        <v>16</v>
      </c>
      <c r="I621" s="122">
        <v>45134</v>
      </c>
      <c r="J621" s="103" t="s">
        <v>997</v>
      </c>
      <c r="K621" s="103" t="s">
        <v>1512</v>
      </c>
      <c r="L621" s="103"/>
      <c r="M621" s="105">
        <v>719000</v>
      </c>
      <c r="N621" s="147">
        <v>136610</v>
      </c>
      <c r="O621" s="147">
        <v>0</v>
      </c>
      <c r="P621" s="148">
        <v>0</v>
      </c>
      <c r="Q621" s="147">
        <v>0</v>
      </c>
      <c r="R621" s="149">
        <v>855610</v>
      </c>
      <c r="S6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1" s="150">
        <f ca="1">+IF(PROVEEDORES[[#This Row],[FECHA DE PAGO]]=0,TODAY()-PROVEEDORES[[#This Row],[FECHA DE FACTURACIÓN]]-PROVEEDORES[[#This Row],[PLAZO Días]],0)</f>
        <v>0</v>
      </c>
      <c r="U621" s="150">
        <f>+VLOOKUP(PROVEEDORES[[#This Row],[PROVEEDOR]],Terceros!$A:$E,4,FALSE)</f>
        <v>0.19</v>
      </c>
      <c r="V621" s="150">
        <f>+YEAR(PROVEEDORES[[#This Row],[FECHA DE FACTURACIÓN]])</f>
        <v>2023</v>
      </c>
      <c r="W621" s="150">
        <f>+MATCH(PROVEEDORES[[#This Row],[año facturado]],Retenciones!$1:$1,0)</f>
        <v>6</v>
      </c>
      <c r="X621" s="151" t="e">
        <f>+VLOOKUP(PROVEEDORES[[#This Row],[ID RETENCION]],Retenciones!$A$1:$O$25,PROVEEDORES[[#This Row],[indicador de columna]],FALSE)</f>
        <v>#N/A</v>
      </c>
      <c r="Y621" s="152" t="e">
        <f>+VLOOKUP(PROVEEDORES[[#This Row],[ID RETENCION]],Retenciones!$A$1:$O$25,2,FALSE)</f>
        <v>#N/A</v>
      </c>
      <c r="Z621" s="153" t="b">
        <f>+OR(COUNTIF(PROVEEDORES[[#This Row],[PROVEEDOR]],"*"&amp;'Palabra que no opera y Listas d'!$A$2&amp;"*"))</f>
        <v>0</v>
      </c>
    </row>
    <row r="622" spans="1:26" ht="27.75" customHeight="1" x14ac:dyDescent="0.3">
      <c r="A622" s="144" t="str">
        <f>+IF(PROVEEDORES[[#This Row],[FECHA DE PAGO]]=PROVEEDORES[[#This Row],[FECHA DE FACTURACIÓN]],"DE CONTADO","CRÉDITO")</f>
        <v>DE CONTADO</v>
      </c>
      <c r="B622" s="144" t="b">
        <f>+IF((PROVEEDORES[[#This Row],[FECHA DE PAGO]]-PROVEEDORES[[#This Row],[FECHA DE FACTURACIÓN]])&gt;PROVEEDORES[[#This Row],[PLAZO Días]],"PAGO VENCIDO")</f>
        <v>0</v>
      </c>
      <c r="C622" s="144">
        <f>+VLOOKUP(PROVEEDORES[[#This Row],[PROVEEDOR]],TERCEROS_INFO[#All],2,FALSE)</f>
        <v>0</v>
      </c>
      <c r="D622" s="145">
        <f>+SUMIFS(PROVEEDORES[Total],PROVEEDORES[PROVEEDOR],PROVEEDORES[[#This Row],[PROVEEDOR]],PROVEEDORES[FECHA DE PAGO],"")</f>
        <v>0</v>
      </c>
      <c r="E622" s="146"/>
      <c r="F622" s="144">
        <f>+VLOOKUP(PROVEEDORES[[#This Row],[PROVEEDOR]],
                       Terceros!$A:$G,
                       5,
                       FALSE)</f>
        <v>0</v>
      </c>
      <c r="G622" s="122">
        <v>45174</v>
      </c>
      <c r="H622" s="102" t="s">
        <v>191</v>
      </c>
      <c r="I622" s="122">
        <v>45174</v>
      </c>
      <c r="J622" s="103" t="s">
        <v>1051</v>
      </c>
      <c r="K622" s="103" t="s">
        <v>1512</v>
      </c>
      <c r="L622" s="103"/>
      <c r="M622" s="105">
        <v>2257000</v>
      </c>
      <c r="N622" s="147">
        <v>0</v>
      </c>
      <c r="O622" s="147">
        <v>0</v>
      </c>
      <c r="P622" s="148">
        <v>0</v>
      </c>
      <c r="Q622" s="147">
        <v>0</v>
      </c>
      <c r="R622" s="149">
        <v>2257000</v>
      </c>
      <c r="S6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2" s="150">
        <f ca="1">+IF(PROVEEDORES[[#This Row],[FECHA DE PAGO]]=0,TODAY()-PROVEEDORES[[#This Row],[FECHA DE FACTURACIÓN]]-PROVEEDORES[[#This Row],[PLAZO Días]],0)</f>
        <v>0</v>
      </c>
      <c r="U622" s="150">
        <f>+VLOOKUP(PROVEEDORES[[#This Row],[PROVEEDOR]],Terceros!$A:$E,4,FALSE)</f>
        <v>0</v>
      </c>
      <c r="V622" s="150">
        <f>+YEAR(PROVEEDORES[[#This Row],[FECHA DE FACTURACIÓN]])</f>
        <v>2023</v>
      </c>
      <c r="W622" s="150">
        <f>+MATCH(PROVEEDORES[[#This Row],[año facturado]],Retenciones!$1:$1,0)</f>
        <v>6</v>
      </c>
      <c r="X622" s="151">
        <f>+VLOOKUP(PROVEEDORES[[#This Row],[ID RETENCION]],Retenciones!$A$1:$O$25,PROVEEDORES[[#This Row],[indicador de columna]],FALSE)</f>
        <v>0</v>
      </c>
      <c r="Y622" s="152">
        <f>+VLOOKUP(PROVEEDORES[[#This Row],[ID RETENCION]],Retenciones!$A$1:$O$25,2,FALSE)</f>
        <v>0</v>
      </c>
      <c r="Z622" s="153" t="b">
        <f>+OR(COUNTIF(PROVEEDORES[[#This Row],[PROVEEDOR]],"*"&amp;'Palabra que no opera y Listas d'!$A$2&amp;"*"))</f>
        <v>0</v>
      </c>
    </row>
    <row r="623" spans="1:26" ht="27.75" customHeight="1" x14ac:dyDescent="0.3">
      <c r="A623" s="144" t="str">
        <f>+IF(PROVEEDORES[[#This Row],[FECHA DE PAGO]]=PROVEEDORES[[#This Row],[FECHA DE FACTURACIÓN]],"DE CONTADO","CRÉDITO")</f>
        <v>CRÉDITO</v>
      </c>
      <c r="B623" s="144" t="str">
        <f>+IF((PROVEEDORES[[#This Row],[FECHA DE PAGO]]-PROVEEDORES[[#This Row],[FECHA DE FACTURACIÓN]])&gt;PROVEEDORES[[#This Row],[PLAZO Días]],"PAGO VENCIDO")</f>
        <v>PAGO VENCIDO</v>
      </c>
      <c r="C623" s="144">
        <f>+VLOOKUP(PROVEEDORES[[#This Row],[PROVEEDOR]],TERCEROS_INFO[#All],2,FALSE)</f>
        <v>0</v>
      </c>
      <c r="D623" s="145">
        <f>+SUMIFS(PROVEEDORES[Total],PROVEEDORES[PROVEEDOR],PROVEEDORES[[#This Row],[PROVEEDOR]],PROVEEDORES[FECHA DE PAGO],"")</f>
        <v>19124998.199999999</v>
      </c>
      <c r="E623" s="146"/>
      <c r="F623" s="144">
        <f>+VLOOKUP(PROVEEDORES[[#This Row],[PROVEEDOR]],
                       Terceros!$A:$G,
                       5,
                       FALSE)</f>
        <v>0</v>
      </c>
      <c r="G623" s="122">
        <v>45175</v>
      </c>
      <c r="H623" s="102" t="s">
        <v>29</v>
      </c>
      <c r="I623" s="122">
        <v>45082</v>
      </c>
      <c r="J623" s="103">
        <v>59276</v>
      </c>
      <c r="K623" s="103" t="s">
        <v>1512</v>
      </c>
      <c r="L623" s="103"/>
      <c r="M623" s="105">
        <v>27072616.5</v>
      </c>
      <c r="N623" s="147">
        <v>0</v>
      </c>
      <c r="O623" s="147">
        <v>0</v>
      </c>
      <c r="P623" s="148">
        <v>0</v>
      </c>
      <c r="Q623" s="147">
        <v>0</v>
      </c>
      <c r="R623" s="149">
        <v>27072616.5</v>
      </c>
      <c r="S6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3" s="150">
        <f ca="1">+IF(PROVEEDORES[[#This Row],[FECHA DE PAGO]]=0,TODAY()-PROVEEDORES[[#This Row],[FECHA DE FACTURACIÓN]]-PROVEEDORES[[#This Row],[PLAZO Días]],0)</f>
        <v>0</v>
      </c>
      <c r="U623" s="150">
        <f>+VLOOKUP(PROVEEDORES[[#This Row],[PROVEEDOR]],Terceros!$A:$E,4,FALSE)</f>
        <v>0</v>
      </c>
      <c r="V623" s="150">
        <f>+YEAR(PROVEEDORES[[#This Row],[FECHA DE FACTURACIÓN]])</f>
        <v>2023</v>
      </c>
      <c r="W623" s="150">
        <f>+MATCH(PROVEEDORES[[#This Row],[año facturado]],Retenciones!$1:$1,0)</f>
        <v>6</v>
      </c>
      <c r="X623" s="151">
        <f>+VLOOKUP(PROVEEDORES[[#This Row],[ID RETENCION]],Retenciones!$A$1:$O$25,PROVEEDORES[[#This Row],[indicador de columna]],FALSE)</f>
        <v>0</v>
      </c>
      <c r="Y623" s="152">
        <f>+VLOOKUP(PROVEEDORES[[#This Row],[ID RETENCION]],Retenciones!$A$1:$O$25,2,FALSE)</f>
        <v>0</v>
      </c>
      <c r="Z623" s="153" t="b">
        <f>+OR(COUNTIF(PROVEEDORES[[#This Row],[PROVEEDOR]],"*"&amp;'Palabra que no opera y Listas d'!$A$2&amp;"*"))</f>
        <v>0</v>
      </c>
    </row>
    <row r="624" spans="1:26" ht="27.75" customHeight="1" x14ac:dyDescent="0.3">
      <c r="A624" s="144" t="str">
        <f>+IF(PROVEEDORES[[#This Row],[FECHA DE PAGO]]=PROVEEDORES[[#This Row],[FECHA DE FACTURACIÓN]],"DE CONTADO","CRÉDITO")</f>
        <v>CRÉDITO</v>
      </c>
      <c r="B624" s="144" t="str">
        <f>+IF((PROVEEDORES[[#This Row],[FECHA DE PAGO]]-PROVEEDORES[[#This Row],[FECHA DE FACTURACIÓN]])&gt;PROVEEDORES[[#This Row],[PLAZO Días]],"PAGO VENCIDO")</f>
        <v>PAGO VENCIDO</v>
      </c>
      <c r="C624" s="144">
        <f>+VLOOKUP(PROVEEDORES[[#This Row],[PROVEEDOR]],TERCEROS_INFO[#All],2,FALSE)</f>
        <v>0</v>
      </c>
      <c r="D624" s="145">
        <f>+SUMIFS(PROVEEDORES[Total],PROVEEDORES[PROVEEDOR],PROVEEDORES[[#This Row],[PROVEEDOR]],PROVEEDORES[FECHA DE PAGO],"")</f>
        <v>3130000</v>
      </c>
      <c r="E624" s="146"/>
      <c r="F624" s="144">
        <f>+VLOOKUP(PROVEEDORES[[#This Row],[PROVEEDOR]],
                       Terceros!$A:$G,
                       5,
                       FALSE)</f>
        <v>0</v>
      </c>
      <c r="G624" s="122">
        <v>45175</v>
      </c>
      <c r="H624" s="102" t="s">
        <v>487</v>
      </c>
      <c r="I624" s="122">
        <v>45083</v>
      </c>
      <c r="J624" s="103">
        <v>1795</v>
      </c>
      <c r="K624" s="103" t="s">
        <v>1512</v>
      </c>
      <c r="L624" s="103"/>
      <c r="M624" s="105">
        <v>337500</v>
      </c>
      <c r="N624" s="147">
        <v>0</v>
      </c>
      <c r="O624" s="147">
        <v>0</v>
      </c>
      <c r="P624" s="148">
        <v>0</v>
      </c>
      <c r="Q624" s="147">
        <v>0</v>
      </c>
      <c r="R624" s="149">
        <v>337500</v>
      </c>
      <c r="S6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4" s="150">
        <f ca="1">+IF(PROVEEDORES[[#This Row],[FECHA DE PAGO]]=0,TODAY()-PROVEEDORES[[#This Row],[FECHA DE FACTURACIÓN]]-PROVEEDORES[[#This Row],[PLAZO Días]],0)</f>
        <v>0</v>
      </c>
      <c r="U624" s="150">
        <f>+VLOOKUP(PROVEEDORES[[#This Row],[PROVEEDOR]],Terceros!$A:$E,4,FALSE)</f>
        <v>0</v>
      </c>
      <c r="V624" s="150">
        <f>+YEAR(PROVEEDORES[[#This Row],[FECHA DE FACTURACIÓN]])</f>
        <v>2023</v>
      </c>
      <c r="W624" s="150">
        <f>+MATCH(PROVEEDORES[[#This Row],[año facturado]],Retenciones!$1:$1,0)</f>
        <v>6</v>
      </c>
      <c r="X624" s="151">
        <f>+VLOOKUP(PROVEEDORES[[#This Row],[ID RETENCION]],Retenciones!$A$1:$O$25,PROVEEDORES[[#This Row],[indicador de columna]],FALSE)</f>
        <v>0</v>
      </c>
      <c r="Y624" s="152">
        <f>+VLOOKUP(PROVEEDORES[[#This Row],[ID RETENCION]],Retenciones!$A$1:$O$25,2,FALSE)</f>
        <v>0</v>
      </c>
      <c r="Z624" s="153" t="b">
        <f>+OR(COUNTIF(PROVEEDORES[[#This Row],[PROVEEDOR]],"*"&amp;'Palabra que no opera y Listas d'!$A$2&amp;"*"))</f>
        <v>0</v>
      </c>
    </row>
    <row r="625" spans="1:26" ht="27.75" customHeight="1" x14ac:dyDescent="0.3">
      <c r="A625" s="144" t="str">
        <f>+IF(PROVEEDORES[[#This Row],[FECHA DE PAGO]]=PROVEEDORES[[#This Row],[FECHA DE FACTURACIÓN]],"DE CONTADO","CRÉDITO")</f>
        <v>CRÉDITO</v>
      </c>
      <c r="B625" s="144" t="str">
        <f>+IF((PROVEEDORES[[#This Row],[FECHA DE PAGO]]-PROVEEDORES[[#This Row],[FECHA DE FACTURACIÓN]])&gt;PROVEEDORES[[#This Row],[PLAZO Días]],"PAGO VENCIDO")</f>
        <v>PAGO VENCIDO</v>
      </c>
      <c r="C625" s="144">
        <f>+VLOOKUP(PROVEEDORES[[#This Row],[PROVEEDOR]],TERCEROS_INFO[#All],2,FALSE)</f>
        <v>0</v>
      </c>
      <c r="D625" s="145">
        <f>+SUMIFS(PROVEEDORES[Total],PROVEEDORES[PROVEEDOR],PROVEEDORES[[#This Row],[PROVEEDOR]],PROVEEDORES[FECHA DE PAGO],"")</f>
        <v>3130000</v>
      </c>
      <c r="E625" s="146"/>
      <c r="F625" s="144">
        <f>+VLOOKUP(PROVEEDORES[[#This Row],[PROVEEDOR]],
                       Terceros!$A:$G,
                       5,
                       FALSE)</f>
        <v>0</v>
      </c>
      <c r="G625" s="122">
        <v>45175</v>
      </c>
      <c r="H625" s="102" t="s">
        <v>487</v>
      </c>
      <c r="I625" s="122">
        <v>45083</v>
      </c>
      <c r="J625" s="103">
        <v>1794</v>
      </c>
      <c r="K625" s="103" t="s">
        <v>1512</v>
      </c>
      <c r="L625" s="103"/>
      <c r="M625" s="105">
        <v>3346000</v>
      </c>
      <c r="N625" s="147">
        <v>0</v>
      </c>
      <c r="O625" s="147">
        <v>0</v>
      </c>
      <c r="P625" s="148">
        <v>0</v>
      </c>
      <c r="Q625" s="147">
        <v>0</v>
      </c>
      <c r="R625" s="149">
        <v>3346000</v>
      </c>
      <c r="S6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5" s="150">
        <f ca="1">+IF(PROVEEDORES[[#This Row],[FECHA DE PAGO]]=0,TODAY()-PROVEEDORES[[#This Row],[FECHA DE FACTURACIÓN]]-PROVEEDORES[[#This Row],[PLAZO Días]],0)</f>
        <v>0</v>
      </c>
      <c r="U625" s="150">
        <f>+VLOOKUP(PROVEEDORES[[#This Row],[PROVEEDOR]],Terceros!$A:$E,4,FALSE)</f>
        <v>0</v>
      </c>
      <c r="V625" s="150">
        <f>+YEAR(PROVEEDORES[[#This Row],[FECHA DE FACTURACIÓN]])</f>
        <v>2023</v>
      </c>
      <c r="W625" s="150">
        <f>+MATCH(PROVEEDORES[[#This Row],[año facturado]],Retenciones!$1:$1,0)</f>
        <v>6</v>
      </c>
      <c r="X625" s="151">
        <f>+VLOOKUP(PROVEEDORES[[#This Row],[ID RETENCION]],Retenciones!$A$1:$O$25,PROVEEDORES[[#This Row],[indicador de columna]],FALSE)</f>
        <v>0</v>
      </c>
      <c r="Y625" s="152">
        <f>+VLOOKUP(PROVEEDORES[[#This Row],[ID RETENCION]],Retenciones!$A$1:$O$25,2,FALSE)</f>
        <v>0</v>
      </c>
      <c r="Z625" s="153" t="b">
        <f>+OR(COUNTIF(PROVEEDORES[[#This Row],[PROVEEDOR]],"*"&amp;'Palabra que no opera y Listas d'!$A$2&amp;"*"))</f>
        <v>0</v>
      </c>
    </row>
    <row r="626" spans="1:26" ht="27.75" customHeight="1" x14ac:dyDescent="0.3">
      <c r="A626" s="144" t="str">
        <f>+IF(PROVEEDORES[[#This Row],[FECHA DE PAGO]]=PROVEEDORES[[#This Row],[FECHA DE FACTURACIÓN]],"DE CONTADO","CRÉDITO")</f>
        <v>CRÉDITO</v>
      </c>
      <c r="B626" s="144" t="str">
        <f>+IF((PROVEEDORES[[#This Row],[FECHA DE PAGO]]-PROVEEDORES[[#This Row],[FECHA DE FACTURACIÓN]])&gt;PROVEEDORES[[#This Row],[PLAZO Días]],"PAGO VENCIDO")</f>
        <v>PAGO VENCIDO</v>
      </c>
      <c r="C626" s="144">
        <f>+VLOOKUP(PROVEEDORES[[#This Row],[PROVEEDOR]],TERCEROS_INFO[#All],2,FALSE)</f>
        <v>0</v>
      </c>
      <c r="D626" s="145">
        <f>+SUMIFS(PROVEEDORES[Total],PROVEEDORES[PROVEEDOR],PROVEEDORES[[#This Row],[PROVEEDOR]],PROVEEDORES[FECHA DE PAGO],"")</f>
        <v>0</v>
      </c>
      <c r="E626" s="146"/>
      <c r="F626" s="144" t="str">
        <f>+VLOOKUP(PROVEEDORES[[#This Row],[PROVEEDOR]],
                       Terceros!$A:$G,
                       5,
                       FALSE)</f>
        <v>2,5% con base</v>
      </c>
      <c r="G626" s="122">
        <v>45175</v>
      </c>
      <c r="H626" s="102" t="s">
        <v>71</v>
      </c>
      <c r="I626" s="122">
        <v>45090</v>
      </c>
      <c r="J626" s="103" t="s">
        <v>865</v>
      </c>
      <c r="K626" s="103" t="s">
        <v>1512</v>
      </c>
      <c r="L626" s="103"/>
      <c r="M626" s="105">
        <v>4576000</v>
      </c>
      <c r="N626" s="147">
        <v>869440</v>
      </c>
      <c r="O626" s="147">
        <v>0</v>
      </c>
      <c r="P626" s="148">
        <v>2.5000000000000001E-2</v>
      </c>
      <c r="Q626" s="147">
        <v>114400</v>
      </c>
      <c r="R626" s="149">
        <v>5331040</v>
      </c>
      <c r="S6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6" s="150">
        <f ca="1">+IF(PROVEEDORES[[#This Row],[FECHA DE PAGO]]=0,TODAY()-PROVEEDORES[[#This Row],[FECHA DE FACTURACIÓN]]-PROVEEDORES[[#This Row],[PLAZO Días]],0)</f>
        <v>0</v>
      </c>
      <c r="U626" s="150">
        <f>+VLOOKUP(PROVEEDORES[[#This Row],[PROVEEDOR]],Terceros!$A:$E,4,FALSE)</f>
        <v>0.19</v>
      </c>
      <c r="V626" s="150">
        <f>+YEAR(PROVEEDORES[[#This Row],[FECHA DE FACTURACIÓN]])</f>
        <v>2023</v>
      </c>
      <c r="W626" s="150">
        <f>+MATCH(PROVEEDORES[[#This Row],[año facturado]],Retenciones!$1:$1,0)</f>
        <v>6</v>
      </c>
      <c r="X626" s="151" t="e">
        <f>+VLOOKUP(PROVEEDORES[[#This Row],[ID RETENCION]],Retenciones!$A$1:$O$25,PROVEEDORES[[#This Row],[indicador de columna]],FALSE)</f>
        <v>#N/A</v>
      </c>
      <c r="Y626" s="152" t="e">
        <f>+VLOOKUP(PROVEEDORES[[#This Row],[ID RETENCION]],Retenciones!$A$1:$O$25,2,FALSE)</f>
        <v>#N/A</v>
      </c>
      <c r="Z626" s="153" t="b">
        <f>+OR(COUNTIF(PROVEEDORES[[#This Row],[PROVEEDOR]],"*"&amp;'Palabra que no opera y Listas d'!$A$2&amp;"*"))</f>
        <v>0</v>
      </c>
    </row>
    <row r="627" spans="1:26" ht="27.75" customHeight="1" x14ac:dyDescent="0.3">
      <c r="A627" s="144" t="str">
        <f>+IF(PROVEEDORES[[#This Row],[FECHA DE PAGO]]=PROVEEDORES[[#This Row],[FECHA DE FACTURACIÓN]],"DE CONTADO","CRÉDITO")</f>
        <v>CRÉDITO</v>
      </c>
      <c r="B627" s="144" t="str">
        <f>+IF((PROVEEDORES[[#This Row],[FECHA DE PAGO]]-PROVEEDORES[[#This Row],[FECHA DE FACTURACIÓN]])&gt;PROVEEDORES[[#This Row],[PLAZO Días]],"PAGO VENCIDO")</f>
        <v>PAGO VENCIDO</v>
      </c>
      <c r="C627" s="144">
        <f>+VLOOKUP(PROVEEDORES[[#This Row],[PROVEEDOR]],TERCEROS_INFO[#All],2,FALSE)</f>
        <v>0</v>
      </c>
      <c r="D627" s="145">
        <f>+SUMIFS(PROVEEDORES[Total],PROVEEDORES[PROVEEDOR],PROVEEDORES[[#This Row],[PROVEEDOR]],PROVEEDORES[FECHA DE PAGO],"")</f>
        <v>119844463.84</v>
      </c>
      <c r="E627" s="146"/>
      <c r="F627" s="144" t="str">
        <f>+VLOOKUP(PROVEEDORES[[#This Row],[PROVEEDOR]],
                       Terceros!$A:$G,
                       5,
                       FALSE)</f>
        <v>2,5% con base</v>
      </c>
      <c r="G627" s="122">
        <v>45175</v>
      </c>
      <c r="H627" s="102" t="s">
        <v>8</v>
      </c>
      <c r="I627" s="122">
        <v>45090</v>
      </c>
      <c r="J627" s="103" t="s">
        <v>857</v>
      </c>
      <c r="K627" s="103" t="s">
        <v>1512</v>
      </c>
      <c r="L627" s="103"/>
      <c r="M627" s="105">
        <v>3578973</v>
      </c>
      <c r="N627" s="147">
        <v>680004.87</v>
      </c>
      <c r="O627" s="147">
        <v>0</v>
      </c>
      <c r="P627" s="148">
        <v>2.5000000000000001E-2</v>
      </c>
      <c r="Q627" s="147">
        <v>89474.325000000012</v>
      </c>
      <c r="R627" s="149">
        <v>4169503.5449999999</v>
      </c>
      <c r="S6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7" s="150">
        <f ca="1">+IF(PROVEEDORES[[#This Row],[FECHA DE PAGO]]=0,TODAY()-PROVEEDORES[[#This Row],[FECHA DE FACTURACIÓN]]-PROVEEDORES[[#This Row],[PLAZO Días]],0)</f>
        <v>0</v>
      </c>
      <c r="U627" s="150">
        <f>+VLOOKUP(PROVEEDORES[[#This Row],[PROVEEDOR]],Terceros!$A:$E,4,FALSE)</f>
        <v>0.19</v>
      </c>
      <c r="V627" s="150">
        <f>+YEAR(PROVEEDORES[[#This Row],[FECHA DE FACTURACIÓN]])</f>
        <v>2023</v>
      </c>
      <c r="W627" s="150">
        <f>+MATCH(PROVEEDORES[[#This Row],[año facturado]],Retenciones!$1:$1,0)</f>
        <v>6</v>
      </c>
      <c r="X627" s="151" t="e">
        <f>+VLOOKUP(PROVEEDORES[[#This Row],[ID RETENCION]],Retenciones!$A$1:$O$25,PROVEEDORES[[#This Row],[indicador de columna]],FALSE)</f>
        <v>#N/A</v>
      </c>
      <c r="Y627" s="152" t="e">
        <f>+VLOOKUP(PROVEEDORES[[#This Row],[ID RETENCION]],Retenciones!$A$1:$O$25,2,FALSE)</f>
        <v>#N/A</v>
      </c>
      <c r="Z627" s="153" t="b">
        <f>+OR(COUNTIF(PROVEEDORES[[#This Row],[PROVEEDOR]],"*"&amp;'Palabra que no opera y Listas d'!$A$2&amp;"*"))</f>
        <v>0</v>
      </c>
    </row>
    <row r="628" spans="1:26" ht="27.75" customHeight="1" x14ac:dyDescent="0.3">
      <c r="A628" s="144" t="str">
        <f>+IF(PROVEEDORES[[#This Row],[FECHA DE PAGO]]=PROVEEDORES[[#This Row],[FECHA DE FACTURACIÓN]],"DE CONTADO","CRÉDITO")</f>
        <v>CRÉDITO</v>
      </c>
      <c r="B628" s="144" t="str">
        <f>+IF((PROVEEDORES[[#This Row],[FECHA DE PAGO]]-PROVEEDORES[[#This Row],[FECHA DE FACTURACIÓN]])&gt;PROVEEDORES[[#This Row],[PLAZO Días]],"PAGO VENCIDO")</f>
        <v>PAGO VENCIDO</v>
      </c>
      <c r="C628" s="144">
        <f>+VLOOKUP(PROVEEDORES[[#This Row],[PROVEEDOR]],TERCEROS_INFO[#All],2,FALSE)</f>
        <v>0</v>
      </c>
      <c r="D628" s="145">
        <f>+SUMIFS(PROVEEDORES[Total],PROVEEDORES[PROVEEDOR],PROVEEDORES[[#This Row],[PROVEEDOR]],PROVEEDORES[FECHA DE PAGO],"")</f>
        <v>0</v>
      </c>
      <c r="E628" s="146"/>
      <c r="F628" s="144">
        <f>+VLOOKUP(PROVEEDORES[[#This Row],[PROVEEDOR]],
                       Terceros!$A:$G,
                       5,
                       FALSE)</f>
        <v>0</v>
      </c>
      <c r="G628" s="122">
        <v>45175</v>
      </c>
      <c r="H628" s="102" t="s">
        <v>460</v>
      </c>
      <c r="I628" s="122">
        <v>45097</v>
      </c>
      <c r="J628" s="103" t="s">
        <v>882</v>
      </c>
      <c r="K628" s="103" t="s">
        <v>1512</v>
      </c>
      <c r="L628" s="103"/>
      <c r="M628" s="105">
        <v>2755600</v>
      </c>
      <c r="N628" s="147">
        <v>523564</v>
      </c>
      <c r="O628" s="147">
        <v>0</v>
      </c>
      <c r="P628" s="148">
        <v>0</v>
      </c>
      <c r="Q628" s="147">
        <v>0</v>
      </c>
      <c r="R628" s="149">
        <v>3279164</v>
      </c>
      <c r="S6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8" s="150">
        <f ca="1">+IF(PROVEEDORES[[#This Row],[FECHA DE PAGO]]=0,TODAY()-PROVEEDORES[[#This Row],[FECHA DE FACTURACIÓN]]-PROVEEDORES[[#This Row],[PLAZO Días]],0)</f>
        <v>0</v>
      </c>
      <c r="U628" s="150">
        <f>+VLOOKUP(PROVEEDORES[[#This Row],[PROVEEDOR]],Terceros!$A:$E,4,FALSE)</f>
        <v>0.19</v>
      </c>
      <c r="V628" s="150">
        <f>+YEAR(PROVEEDORES[[#This Row],[FECHA DE FACTURACIÓN]])</f>
        <v>2023</v>
      </c>
      <c r="W628" s="150">
        <f>+MATCH(PROVEEDORES[[#This Row],[año facturado]],Retenciones!$1:$1,0)</f>
        <v>6</v>
      </c>
      <c r="X628" s="151" t="e">
        <f>+VLOOKUP(PROVEEDORES[[#This Row],[ID RETENCION]],Retenciones!$A$1:$O$25,PROVEEDORES[[#This Row],[indicador de columna]],FALSE)</f>
        <v>#N/A</v>
      </c>
      <c r="Y628" s="152" t="e">
        <f>+VLOOKUP(PROVEEDORES[[#This Row],[ID RETENCION]],Retenciones!$A$1:$O$25,2,FALSE)</f>
        <v>#N/A</v>
      </c>
      <c r="Z628" s="153" t="b">
        <f>+OR(COUNTIF(PROVEEDORES[[#This Row],[PROVEEDOR]],"*"&amp;'Palabra que no opera y Listas d'!$A$2&amp;"*"))</f>
        <v>1</v>
      </c>
    </row>
    <row r="629" spans="1:26" ht="27.75" customHeight="1" x14ac:dyDescent="0.3">
      <c r="A629" s="144" t="str">
        <f>+IF(PROVEEDORES[[#This Row],[FECHA DE PAGO]]=PROVEEDORES[[#This Row],[FECHA DE FACTURACIÓN]],"DE CONTADO","CRÉDITO")</f>
        <v>CRÉDITO</v>
      </c>
      <c r="B629" s="144" t="str">
        <f>+IF((PROVEEDORES[[#This Row],[FECHA DE PAGO]]-PROVEEDORES[[#This Row],[FECHA DE FACTURACIÓN]])&gt;PROVEEDORES[[#This Row],[PLAZO Días]],"PAGO VENCIDO")</f>
        <v>PAGO VENCIDO</v>
      </c>
      <c r="C629" s="144">
        <f>+VLOOKUP(PROVEEDORES[[#This Row],[PROVEEDOR]],TERCEROS_INFO[#All],2,FALSE)</f>
        <v>0</v>
      </c>
      <c r="D629" s="145">
        <f>+SUMIFS(PROVEEDORES[Total],PROVEEDORES[PROVEEDOR],PROVEEDORES[[#This Row],[PROVEEDOR]],PROVEEDORES[FECHA DE PAGO],"")</f>
        <v>3461120</v>
      </c>
      <c r="E629" s="146"/>
      <c r="F629" s="144" t="str">
        <f>+VLOOKUP(PROVEEDORES[[#This Row],[PROVEEDOR]],
                       Terceros!$A:$G,
                       5,
                       FALSE)</f>
        <v>2,5% con base</v>
      </c>
      <c r="G629" s="122">
        <v>45175</v>
      </c>
      <c r="H629" s="102" t="s">
        <v>9</v>
      </c>
      <c r="I629" s="122">
        <v>45100</v>
      </c>
      <c r="J629" s="103" t="s">
        <v>892</v>
      </c>
      <c r="K629" s="103" t="s">
        <v>1512</v>
      </c>
      <c r="L629" s="103"/>
      <c r="M629" s="105">
        <v>560000</v>
      </c>
      <c r="N629" s="147">
        <v>106400</v>
      </c>
      <c r="O629" s="147">
        <v>0</v>
      </c>
      <c r="P629" s="148">
        <v>0</v>
      </c>
      <c r="Q629" s="147">
        <v>0</v>
      </c>
      <c r="R629" s="149">
        <v>666400</v>
      </c>
      <c r="S6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9" s="150">
        <f ca="1">+IF(PROVEEDORES[[#This Row],[FECHA DE PAGO]]=0,TODAY()-PROVEEDORES[[#This Row],[FECHA DE FACTURACIÓN]]-PROVEEDORES[[#This Row],[PLAZO Días]],0)</f>
        <v>0</v>
      </c>
      <c r="U629" s="150">
        <f>+VLOOKUP(PROVEEDORES[[#This Row],[PROVEEDOR]],Terceros!$A:$E,4,FALSE)</f>
        <v>0.19</v>
      </c>
      <c r="V629" s="150">
        <f>+YEAR(PROVEEDORES[[#This Row],[FECHA DE FACTURACIÓN]])</f>
        <v>2023</v>
      </c>
      <c r="W629" s="150">
        <f>+MATCH(PROVEEDORES[[#This Row],[año facturado]],Retenciones!$1:$1,0)</f>
        <v>6</v>
      </c>
      <c r="X629" s="151" t="e">
        <f>+VLOOKUP(PROVEEDORES[[#This Row],[ID RETENCION]],Retenciones!$A$1:$O$25,PROVEEDORES[[#This Row],[indicador de columna]],FALSE)</f>
        <v>#N/A</v>
      </c>
      <c r="Y629" s="152" t="e">
        <f>+VLOOKUP(PROVEEDORES[[#This Row],[ID RETENCION]],Retenciones!$A$1:$O$25,2,FALSE)</f>
        <v>#N/A</v>
      </c>
      <c r="Z629" s="153" t="b">
        <f>+OR(COUNTIF(PROVEEDORES[[#This Row],[PROVEEDOR]],"*"&amp;'Palabra que no opera y Listas d'!$A$2&amp;"*"))</f>
        <v>0</v>
      </c>
    </row>
    <row r="630" spans="1:26" ht="27.75" customHeight="1" x14ac:dyDescent="0.3">
      <c r="A630" s="144" t="str">
        <f>+IF(PROVEEDORES[[#This Row],[FECHA DE PAGO]]=PROVEEDORES[[#This Row],[FECHA DE FACTURACIÓN]],"DE CONTADO","CRÉDITO")</f>
        <v>CRÉDITO</v>
      </c>
      <c r="B630" s="144" t="str">
        <f>+IF((PROVEEDORES[[#This Row],[FECHA DE PAGO]]-PROVEEDORES[[#This Row],[FECHA DE FACTURACIÓN]])&gt;PROVEEDORES[[#This Row],[PLAZO Días]],"PAGO VENCIDO")</f>
        <v>PAGO VENCIDO</v>
      </c>
      <c r="C630" s="144">
        <f>+VLOOKUP(PROVEEDORES[[#This Row],[PROVEEDOR]],TERCEROS_INFO[#All],2,FALSE)</f>
        <v>0</v>
      </c>
      <c r="D630" s="145">
        <f>+SUMIFS(PROVEEDORES[Total],PROVEEDORES[PROVEEDOR],PROVEEDORES[[#This Row],[PROVEEDOR]],PROVEEDORES[FECHA DE PAGO],"")</f>
        <v>0</v>
      </c>
      <c r="E630" s="146"/>
      <c r="F630" s="144" t="str">
        <f>+VLOOKUP(PROVEEDORES[[#This Row],[PROVEEDOR]],
                       Terceros!$A:$G,
                       5,
                       FALSE)</f>
        <v>2,5% con base</v>
      </c>
      <c r="G630" s="122">
        <v>45175</v>
      </c>
      <c r="H630" s="102" t="s">
        <v>60</v>
      </c>
      <c r="I630" s="122">
        <v>45148</v>
      </c>
      <c r="J630" s="103" t="s">
        <v>982</v>
      </c>
      <c r="K630" s="103" t="s">
        <v>1512</v>
      </c>
      <c r="L630" s="103"/>
      <c r="M630" s="105">
        <v>831933</v>
      </c>
      <c r="N630" s="147">
        <v>158067.26999999999</v>
      </c>
      <c r="O630" s="147">
        <v>0</v>
      </c>
      <c r="P630" s="148">
        <v>0</v>
      </c>
      <c r="Q630" s="147">
        <v>0</v>
      </c>
      <c r="R630" s="149">
        <v>990000.27</v>
      </c>
      <c r="S6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0" s="150">
        <f ca="1">+IF(PROVEEDORES[[#This Row],[FECHA DE PAGO]]=0,TODAY()-PROVEEDORES[[#This Row],[FECHA DE FACTURACIÓN]]-PROVEEDORES[[#This Row],[PLAZO Días]],0)</f>
        <v>0</v>
      </c>
      <c r="U630" s="150">
        <f>+VLOOKUP(PROVEEDORES[[#This Row],[PROVEEDOR]],Terceros!$A:$E,4,FALSE)</f>
        <v>0.19</v>
      </c>
      <c r="V630" s="150">
        <f>+YEAR(PROVEEDORES[[#This Row],[FECHA DE FACTURACIÓN]])</f>
        <v>2023</v>
      </c>
      <c r="W630" s="150">
        <f>+MATCH(PROVEEDORES[[#This Row],[año facturado]],Retenciones!$1:$1,0)</f>
        <v>6</v>
      </c>
      <c r="X630" s="151" t="e">
        <f>+VLOOKUP(PROVEEDORES[[#This Row],[ID RETENCION]],Retenciones!$A$1:$O$25,PROVEEDORES[[#This Row],[indicador de columna]],FALSE)</f>
        <v>#N/A</v>
      </c>
      <c r="Y630" s="152" t="e">
        <f>+VLOOKUP(PROVEEDORES[[#This Row],[ID RETENCION]],Retenciones!$A$1:$O$25,2,FALSE)</f>
        <v>#N/A</v>
      </c>
      <c r="Z630" s="153" t="b">
        <f>+OR(COUNTIF(PROVEEDORES[[#This Row],[PROVEEDOR]],"*"&amp;'Palabra que no opera y Listas d'!$A$2&amp;"*"))</f>
        <v>0</v>
      </c>
    </row>
    <row r="631" spans="1:26" ht="27.75" customHeight="1" x14ac:dyDescent="0.3">
      <c r="A631" s="144" t="str">
        <f>+IF(PROVEEDORES[[#This Row],[FECHA DE PAGO]]=PROVEEDORES[[#This Row],[FECHA DE FACTURACIÓN]],"DE CONTADO","CRÉDITO")</f>
        <v>CRÉDITO</v>
      </c>
      <c r="B631" s="144" t="str">
        <f>+IF((PROVEEDORES[[#This Row],[FECHA DE PAGO]]-PROVEEDORES[[#This Row],[FECHA DE FACTURACIÓN]])&gt;PROVEEDORES[[#This Row],[PLAZO Días]],"PAGO VENCIDO")</f>
        <v>PAGO VENCIDO</v>
      </c>
      <c r="C631" s="144">
        <f>+VLOOKUP(PROVEEDORES[[#This Row],[PROVEEDOR]],TERCEROS_INFO[#All],2,FALSE)</f>
        <v>0</v>
      </c>
      <c r="D631" s="145">
        <f>+SUMIFS(PROVEEDORES[Total],PROVEEDORES[PROVEEDOR],PROVEEDORES[[#This Row],[PROVEEDOR]],PROVEEDORES[FECHA DE PAGO],"")</f>
        <v>0</v>
      </c>
      <c r="E631" s="146"/>
      <c r="F631" s="144">
        <f>+VLOOKUP(PROVEEDORES[[#This Row],[PROVEEDOR]],
                       Terceros!$A:$G,
                       5,
                       FALSE)</f>
        <v>0</v>
      </c>
      <c r="G631" s="122">
        <v>45175</v>
      </c>
      <c r="H631" s="102" t="s">
        <v>907</v>
      </c>
      <c r="I631" s="122">
        <v>45174</v>
      </c>
      <c r="J631" s="103" t="s">
        <v>1041</v>
      </c>
      <c r="K631" s="103" t="s">
        <v>1512</v>
      </c>
      <c r="L631" s="103"/>
      <c r="M631" s="105">
        <v>239700</v>
      </c>
      <c r="N631" s="147">
        <v>0</v>
      </c>
      <c r="O631" s="147">
        <v>0</v>
      </c>
      <c r="P631" s="148">
        <v>0</v>
      </c>
      <c r="Q631" s="147">
        <v>0</v>
      </c>
      <c r="R631" s="149">
        <v>239700</v>
      </c>
      <c r="S6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1" s="150">
        <f ca="1">+IF(PROVEEDORES[[#This Row],[FECHA DE PAGO]]=0,TODAY()-PROVEEDORES[[#This Row],[FECHA DE FACTURACIÓN]]-PROVEEDORES[[#This Row],[PLAZO Días]],0)</f>
        <v>0</v>
      </c>
      <c r="U631" s="150">
        <f>+VLOOKUP(PROVEEDORES[[#This Row],[PROVEEDOR]],Terceros!$A:$E,4,FALSE)</f>
        <v>0</v>
      </c>
      <c r="V631" s="150">
        <f>+YEAR(PROVEEDORES[[#This Row],[FECHA DE FACTURACIÓN]])</f>
        <v>2023</v>
      </c>
      <c r="W631" s="150">
        <f>+MATCH(PROVEEDORES[[#This Row],[año facturado]],Retenciones!$1:$1,0)</f>
        <v>6</v>
      </c>
      <c r="X631" s="151">
        <f>+VLOOKUP(PROVEEDORES[[#This Row],[ID RETENCION]],Retenciones!$A$1:$O$25,PROVEEDORES[[#This Row],[indicador de columna]],FALSE)</f>
        <v>0</v>
      </c>
      <c r="Y631" s="152">
        <f>+VLOOKUP(PROVEEDORES[[#This Row],[ID RETENCION]],Retenciones!$A$1:$O$25,2,FALSE)</f>
        <v>0</v>
      </c>
      <c r="Z631" s="153" t="b">
        <f>+OR(COUNTIF(PROVEEDORES[[#This Row],[PROVEEDOR]],"*"&amp;'Palabra que no opera y Listas d'!$A$2&amp;"*"))</f>
        <v>0</v>
      </c>
    </row>
    <row r="632" spans="1:26" ht="27.75" customHeight="1" x14ac:dyDescent="0.3">
      <c r="A632" s="144" t="str">
        <f>+IF(PROVEEDORES[[#This Row],[FECHA DE PAGO]]=PROVEEDORES[[#This Row],[FECHA DE FACTURACIÓN]],"DE CONTADO","CRÉDITO")</f>
        <v>DE CONTADO</v>
      </c>
      <c r="B632" s="144" t="b">
        <f>+IF((PROVEEDORES[[#This Row],[FECHA DE PAGO]]-PROVEEDORES[[#This Row],[FECHA DE FACTURACIÓN]])&gt;PROVEEDORES[[#This Row],[PLAZO Días]],"PAGO VENCIDO")</f>
        <v>0</v>
      </c>
      <c r="C632" s="144">
        <f>+VLOOKUP(PROVEEDORES[[#This Row],[PROVEEDOR]],TERCEROS_INFO[#All],2,FALSE)</f>
        <v>0</v>
      </c>
      <c r="D632" s="145">
        <f>+SUMIFS(PROVEEDORES[Total],PROVEEDORES[PROVEEDOR],PROVEEDORES[[#This Row],[PROVEEDOR]],PROVEEDORES[FECHA DE PAGO],"")</f>
        <v>1503120</v>
      </c>
      <c r="E632" s="146"/>
      <c r="F632" s="144">
        <f>+VLOOKUP(PROVEEDORES[[#This Row],[PROVEEDOR]],
                       Terceros!$A:$G,
                       5,
                       FALSE)</f>
        <v>0</v>
      </c>
      <c r="G632" s="122">
        <v>45175</v>
      </c>
      <c r="H632" s="102" t="s">
        <v>1780</v>
      </c>
      <c r="I632" s="122">
        <v>45175</v>
      </c>
      <c r="J632" s="103" t="s">
        <v>1116</v>
      </c>
      <c r="K632" s="103" t="s">
        <v>1512</v>
      </c>
      <c r="L632" s="103"/>
      <c r="M632" s="105">
        <v>1676636</v>
      </c>
      <c r="N632" s="147">
        <v>0</v>
      </c>
      <c r="O632" s="147">
        <v>0</v>
      </c>
      <c r="P632" s="148">
        <v>0</v>
      </c>
      <c r="Q632" s="147">
        <v>0</v>
      </c>
      <c r="R632" s="149">
        <v>1676636</v>
      </c>
      <c r="S6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2" s="150">
        <f ca="1">+IF(PROVEEDORES[[#This Row],[FECHA DE PAGO]]=0,TODAY()-PROVEEDORES[[#This Row],[FECHA DE FACTURACIÓN]]-PROVEEDORES[[#This Row],[PLAZO Días]],0)</f>
        <v>0</v>
      </c>
      <c r="U632" s="150">
        <f>+VLOOKUP(PROVEEDORES[[#This Row],[PROVEEDOR]],Terceros!$A:$E,4,FALSE)</f>
        <v>0</v>
      </c>
      <c r="V632" s="150">
        <f>+YEAR(PROVEEDORES[[#This Row],[FECHA DE FACTURACIÓN]])</f>
        <v>2023</v>
      </c>
      <c r="W632" s="150">
        <f>+MATCH(PROVEEDORES[[#This Row],[año facturado]],Retenciones!$1:$1,0)</f>
        <v>6</v>
      </c>
      <c r="X632" s="151">
        <f>+VLOOKUP(PROVEEDORES[[#This Row],[ID RETENCION]],Retenciones!$A$1:$O$25,PROVEEDORES[[#This Row],[indicador de columna]],FALSE)</f>
        <v>0</v>
      </c>
      <c r="Y632" s="152">
        <f>+VLOOKUP(PROVEEDORES[[#This Row],[ID RETENCION]],Retenciones!$A$1:$O$25,2,FALSE)</f>
        <v>0</v>
      </c>
      <c r="Z632" s="153" t="b">
        <f>+OR(COUNTIF(PROVEEDORES[[#This Row],[PROVEEDOR]],"*"&amp;'Palabra que no opera y Listas d'!$A$2&amp;"*"))</f>
        <v>0</v>
      </c>
    </row>
    <row r="633" spans="1:26" ht="27.75" customHeight="1" x14ac:dyDescent="0.3">
      <c r="A633" s="144" t="str">
        <f>+IF(PROVEEDORES[[#This Row],[FECHA DE PAGO]]=PROVEEDORES[[#This Row],[FECHA DE FACTURACIÓN]],"DE CONTADO","CRÉDITO")</f>
        <v>DE CONTADO</v>
      </c>
      <c r="B633" s="144" t="b">
        <f>+IF((PROVEEDORES[[#This Row],[FECHA DE PAGO]]-PROVEEDORES[[#This Row],[FECHA DE FACTURACIÓN]])&gt;PROVEEDORES[[#This Row],[PLAZO Días]],"PAGO VENCIDO")</f>
        <v>0</v>
      </c>
      <c r="C633" s="144">
        <f>+VLOOKUP(PROVEEDORES[[#This Row],[PROVEEDOR]],TERCEROS_INFO[#All],2,FALSE)</f>
        <v>0</v>
      </c>
      <c r="D633" s="145" t="e">
        <f>+SUMIFS(PROVEEDORES[Total],PROVEEDORES[PROVEEDOR],PROVEEDORES[[#This Row],[PROVEEDOR]],PROVEEDORES[FECHA DE PAGO],"")</f>
        <v>#N/A</v>
      </c>
      <c r="E633" s="146"/>
      <c r="F633" s="144">
        <f>+VLOOKUP(PROVEEDORES[[#This Row],[PROVEEDOR]],
                       Terceros!$A:$G,
                       5,
                       FALSE)</f>
        <v>0</v>
      </c>
      <c r="G633" s="122">
        <v>45175</v>
      </c>
      <c r="H633" s="102" t="s">
        <v>16</v>
      </c>
      <c r="I633" s="122">
        <v>45175</v>
      </c>
      <c r="J633" s="103" t="s">
        <v>1029</v>
      </c>
      <c r="K633" s="103" t="s">
        <v>1512</v>
      </c>
      <c r="L633" s="103"/>
      <c r="M633" s="105">
        <v>34665</v>
      </c>
      <c r="N633" s="147">
        <v>6586.35</v>
      </c>
      <c r="O633" s="147">
        <v>0</v>
      </c>
      <c r="P633" s="148">
        <v>0</v>
      </c>
      <c r="Q633" s="147">
        <v>0</v>
      </c>
      <c r="R633" s="149">
        <v>41251.35</v>
      </c>
      <c r="S6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3" s="150">
        <f ca="1">+IF(PROVEEDORES[[#This Row],[FECHA DE PAGO]]=0,TODAY()-PROVEEDORES[[#This Row],[FECHA DE FACTURACIÓN]]-PROVEEDORES[[#This Row],[PLAZO Días]],0)</f>
        <v>0</v>
      </c>
      <c r="U633" s="150">
        <f>+VLOOKUP(PROVEEDORES[[#This Row],[PROVEEDOR]],Terceros!$A:$E,4,FALSE)</f>
        <v>0.19</v>
      </c>
      <c r="V633" s="150">
        <f>+YEAR(PROVEEDORES[[#This Row],[FECHA DE FACTURACIÓN]])</f>
        <v>2023</v>
      </c>
      <c r="W633" s="150">
        <f>+MATCH(PROVEEDORES[[#This Row],[año facturado]],Retenciones!$1:$1,0)</f>
        <v>6</v>
      </c>
      <c r="X633" s="151" t="e">
        <f>+VLOOKUP(PROVEEDORES[[#This Row],[ID RETENCION]],Retenciones!$A$1:$O$25,PROVEEDORES[[#This Row],[indicador de columna]],FALSE)</f>
        <v>#N/A</v>
      </c>
      <c r="Y633" s="152" t="e">
        <f>+VLOOKUP(PROVEEDORES[[#This Row],[ID RETENCION]],Retenciones!$A$1:$O$25,2,FALSE)</f>
        <v>#N/A</v>
      </c>
      <c r="Z633" s="153" t="b">
        <f>+OR(COUNTIF(PROVEEDORES[[#This Row],[PROVEEDOR]],"*"&amp;'Palabra que no opera y Listas d'!$A$2&amp;"*"))</f>
        <v>0</v>
      </c>
    </row>
    <row r="634" spans="1:26" ht="27.75" customHeight="1" x14ac:dyDescent="0.3">
      <c r="A634" s="144" t="str">
        <f>+IF(PROVEEDORES[[#This Row],[FECHA DE PAGO]]=PROVEEDORES[[#This Row],[FECHA DE FACTURACIÓN]],"DE CONTADO","CRÉDITO")</f>
        <v>CRÉDITO</v>
      </c>
      <c r="B634" s="144" t="str">
        <f>+IF((PROVEEDORES[[#This Row],[FECHA DE PAGO]]-PROVEEDORES[[#This Row],[FECHA DE FACTURACIÓN]])&gt;PROVEEDORES[[#This Row],[PLAZO Días]],"PAGO VENCIDO")</f>
        <v>PAGO VENCIDO</v>
      </c>
      <c r="C634" s="144">
        <f>+VLOOKUP(PROVEEDORES[[#This Row],[PROVEEDOR]],TERCEROS_INFO[#All],2,FALSE)</f>
        <v>0</v>
      </c>
      <c r="D634" s="145">
        <f>+SUMIFS(PROVEEDORES[Total],PROVEEDORES[PROVEEDOR],PROVEEDORES[[#This Row],[PROVEEDOR]],PROVEEDORES[FECHA DE PAGO],"")</f>
        <v>0</v>
      </c>
      <c r="E634" s="146"/>
      <c r="F634" s="144">
        <f>+VLOOKUP(PROVEEDORES[[#This Row],[PROVEEDOR]],
                       Terceros!$A:$G,
                       5,
                       FALSE)</f>
        <v>0</v>
      </c>
      <c r="G634" s="122">
        <v>45177</v>
      </c>
      <c r="H634" s="102" t="s">
        <v>1782</v>
      </c>
      <c r="I634" s="122">
        <v>45152</v>
      </c>
      <c r="J634" s="103">
        <v>394</v>
      </c>
      <c r="K634" s="103" t="s">
        <v>1512</v>
      </c>
      <c r="L634" s="103"/>
      <c r="M634" s="105">
        <v>1176000</v>
      </c>
      <c r="N634" s="147">
        <v>0</v>
      </c>
      <c r="O634" s="147">
        <v>0</v>
      </c>
      <c r="P634" s="148">
        <v>0</v>
      </c>
      <c r="Q634" s="147">
        <v>0</v>
      </c>
      <c r="R634" s="149">
        <v>1176000</v>
      </c>
      <c r="S6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4" s="150">
        <f ca="1">+IF(PROVEEDORES[[#This Row],[FECHA DE PAGO]]=0,TODAY()-PROVEEDORES[[#This Row],[FECHA DE FACTURACIÓN]]-PROVEEDORES[[#This Row],[PLAZO Días]],0)</f>
        <v>0</v>
      </c>
      <c r="U634" s="150">
        <f>+VLOOKUP(PROVEEDORES[[#This Row],[PROVEEDOR]],Terceros!$A:$E,4,FALSE)</f>
        <v>0</v>
      </c>
      <c r="V634" s="150">
        <f>+YEAR(PROVEEDORES[[#This Row],[FECHA DE FACTURACIÓN]])</f>
        <v>2023</v>
      </c>
      <c r="W634" s="150">
        <f>+MATCH(PROVEEDORES[[#This Row],[año facturado]],Retenciones!$1:$1,0)</f>
        <v>6</v>
      </c>
      <c r="X634" s="151">
        <f>+VLOOKUP(PROVEEDORES[[#This Row],[ID RETENCION]],Retenciones!$A$1:$O$25,PROVEEDORES[[#This Row],[indicador de columna]],FALSE)</f>
        <v>0</v>
      </c>
      <c r="Y634" s="152">
        <f>+VLOOKUP(PROVEEDORES[[#This Row],[ID RETENCION]],Retenciones!$A$1:$O$25,2,FALSE)</f>
        <v>0</v>
      </c>
      <c r="Z634" s="153" t="b">
        <f>+OR(COUNTIF(PROVEEDORES[[#This Row],[PROVEEDOR]],"*"&amp;'Palabra que no opera y Listas d'!$A$2&amp;"*"))</f>
        <v>0</v>
      </c>
    </row>
    <row r="635" spans="1:26" ht="27.75" customHeight="1" x14ac:dyDescent="0.3">
      <c r="A635" s="144" t="str">
        <f>+IF(PROVEEDORES[[#This Row],[FECHA DE PAGO]]=PROVEEDORES[[#This Row],[FECHA DE FACTURACIÓN]],"DE CONTADO","CRÉDITO")</f>
        <v>DE CONTADO</v>
      </c>
      <c r="B635" s="144" t="b">
        <f>+IF((PROVEEDORES[[#This Row],[FECHA DE PAGO]]-PROVEEDORES[[#This Row],[FECHA DE FACTURACIÓN]])&gt;PROVEEDORES[[#This Row],[PLAZO Días]],"PAGO VENCIDO")</f>
        <v>0</v>
      </c>
      <c r="C635" s="144">
        <f>+VLOOKUP(PROVEEDORES[[#This Row],[PROVEEDOR]],TERCEROS_INFO[#All],2,FALSE)</f>
        <v>0</v>
      </c>
      <c r="D635" s="145">
        <f>+SUMIFS(PROVEEDORES[Total],PROVEEDORES[PROVEEDOR],PROVEEDORES[[#This Row],[PROVEEDOR]],PROVEEDORES[FECHA DE PAGO],"")</f>
        <v>0</v>
      </c>
      <c r="E635" s="146"/>
      <c r="F635" s="144" t="str">
        <f>+VLOOKUP(PROVEEDORES[[#This Row],[PROVEEDOR]],
                       Terceros!$A:$G,
                       5,
                       FALSE)</f>
        <v>11% sin base</v>
      </c>
      <c r="G635" s="122">
        <v>45178</v>
      </c>
      <c r="H635" s="102" t="s">
        <v>987</v>
      </c>
      <c r="I635" s="122">
        <v>45178</v>
      </c>
      <c r="J635" s="103" t="s">
        <v>988</v>
      </c>
      <c r="K635" s="103" t="s">
        <v>1512</v>
      </c>
      <c r="L635" s="103"/>
      <c r="M635" s="105">
        <v>499612</v>
      </c>
      <c r="N635" s="147">
        <v>94926.28</v>
      </c>
      <c r="O635" s="147">
        <v>0</v>
      </c>
      <c r="P635" s="148">
        <v>0.11</v>
      </c>
      <c r="Q635" s="147">
        <v>54957.32</v>
      </c>
      <c r="R635" s="149">
        <v>539580.96000000008</v>
      </c>
      <c r="S6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5" s="150">
        <f ca="1">+IF(PROVEEDORES[[#This Row],[FECHA DE PAGO]]=0,TODAY()-PROVEEDORES[[#This Row],[FECHA DE FACTURACIÓN]]-PROVEEDORES[[#This Row],[PLAZO Días]],0)</f>
        <v>0</v>
      </c>
      <c r="U635" s="150">
        <f>+VLOOKUP(PROVEEDORES[[#This Row],[PROVEEDOR]],Terceros!$A:$E,4,FALSE)</f>
        <v>0.19</v>
      </c>
      <c r="V635" s="150">
        <f>+YEAR(PROVEEDORES[[#This Row],[FECHA DE FACTURACIÓN]])</f>
        <v>2023</v>
      </c>
      <c r="W635" s="150">
        <f>+MATCH(PROVEEDORES[[#This Row],[año facturado]],Retenciones!$1:$1,0)</f>
        <v>6</v>
      </c>
      <c r="X635" s="151" t="e">
        <f>+VLOOKUP(PROVEEDORES[[#This Row],[ID RETENCION]],Retenciones!$A$1:$O$25,PROVEEDORES[[#This Row],[indicador de columna]],FALSE)</f>
        <v>#N/A</v>
      </c>
      <c r="Y635" s="152" t="e">
        <f>+VLOOKUP(PROVEEDORES[[#This Row],[ID RETENCION]],Retenciones!$A$1:$O$25,2,FALSE)</f>
        <v>#N/A</v>
      </c>
      <c r="Z635" s="153" t="b">
        <f>+OR(COUNTIF(PROVEEDORES[[#This Row],[PROVEEDOR]],"*"&amp;'Palabra que no opera y Listas d'!$A$2&amp;"*"))</f>
        <v>0</v>
      </c>
    </row>
    <row r="636" spans="1:26" ht="27.75" customHeight="1" x14ac:dyDescent="0.3">
      <c r="A636" s="144" t="str">
        <f>+IF(PROVEEDORES[[#This Row],[FECHA DE PAGO]]=PROVEEDORES[[#This Row],[FECHA DE FACTURACIÓN]],"DE CONTADO","CRÉDITO")</f>
        <v>DE CONTADO</v>
      </c>
      <c r="B636" s="144" t="b">
        <f>+IF((PROVEEDORES[[#This Row],[FECHA DE PAGO]]-PROVEEDORES[[#This Row],[FECHA DE FACTURACIÓN]])&gt;PROVEEDORES[[#This Row],[PLAZO Días]],"PAGO VENCIDO")</f>
        <v>0</v>
      </c>
      <c r="C636" s="144">
        <f>+VLOOKUP(PROVEEDORES[[#This Row],[PROVEEDOR]],TERCEROS_INFO[#All],2,FALSE)</f>
        <v>0</v>
      </c>
      <c r="D636" s="145">
        <f>+SUMIFS(PROVEEDORES[Total],PROVEEDORES[PROVEEDOR],PROVEEDORES[[#This Row],[PROVEEDOR]],PROVEEDORES[FECHA DE PAGO],"")</f>
        <v>0</v>
      </c>
      <c r="E636" s="146"/>
      <c r="F636" s="144">
        <f>+VLOOKUP(PROVEEDORES[[#This Row],[PROVEEDOR]],
                       Terceros!$A:$G,
                       5,
                       FALSE)</f>
        <v>0</v>
      </c>
      <c r="G636" s="122">
        <v>45181</v>
      </c>
      <c r="H636" s="102" t="s">
        <v>191</v>
      </c>
      <c r="I636" s="122">
        <v>45181</v>
      </c>
      <c r="J636" s="103" t="s">
        <v>1083</v>
      </c>
      <c r="K636" s="103" t="s">
        <v>1512</v>
      </c>
      <c r="L636" s="103"/>
      <c r="M636" s="105">
        <v>1660000</v>
      </c>
      <c r="N636" s="147">
        <v>0</v>
      </c>
      <c r="O636" s="147">
        <v>0</v>
      </c>
      <c r="P636" s="148">
        <v>0</v>
      </c>
      <c r="Q636" s="147">
        <v>0</v>
      </c>
      <c r="R636" s="149">
        <v>1660000</v>
      </c>
      <c r="S6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6" s="150">
        <f ca="1">+IF(PROVEEDORES[[#This Row],[FECHA DE PAGO]]=0,TODAY()-PROVEEDORES[[#This Row],[FECHA DE FACTURACIÓN]]-PROVEEDORES[[#This Row],[PLAZO Días]],0)</f>
        <v>0</v>
      </c>
      <c r="U636" s="150">
        <f>+VLOOKUP(PROVEEDORES[[#This Row],[PROVEEDOR]],Terceros!$A:$E,4,FALSE)</f>
        <v>0</v>
      </c>
      <c r="V636" s="150">
        <f>+YEAR(PROVEEDORES[[#This Row],[FECHA DE FACTURACIÓN]])</f>
        <v>2023</v>
      </c>
      <c r="W636" s="150">
        <f>+MATCH(PROVEEDORES[[#This Row],[año facturado]],Retenciones!$1:$1,0)</f>
        <v>6</v>
      </c>
      <c r="X636" s="151">
        <f>+VLOOKUP(PROVEEDORES[[#This Row],[ID RETENCION]],Retenciones!$A$1:$O$25,PROVEEDORES[[#This Row],[indicador de columna]],FALSE)</f>
        <v>0</v>
      </c>
      <c r="Y636" s="152">
        <f>+VLOOKUP(PROVEEDORES[[#This Row],[ID RETENCION]],Retenciones!$A$1:$O$25,2,FALSE)</f>
        <v>0</v>
      </c>
      <c r="Z636" s="153" t="b">
        <f>+OR(COUNTIF(PROVEEDORES[[#This Row],[PROVEEDOR]],"*"&amp;'Palabra que no opera y Listas d'!$A$2&amp;"*"))</f>
        <v>0</v>
      </c>
    </row>
    <row r="637" spans="1:26" ht="27.75" customHeight="1" x14ac:dyDescent="0.3">
      <c r="A637" s="144" t="str">
        <f>+IF(PROVEEDORES[[#This Row],[FECHA DE PAGO]]=PROVEEDORES[[#This Row],[FECHA DE FACTURACIÓN]],"DE CONTADO","CRÉDITO")</f>
        <v>CRÉDITO</v>
      </c>
      <c r="B637" s="144" t="str">
        <f>+IF((PROVEEDORES[[#This Row],[FECHA DE PAGO]]-PROVEEDORES[[#This Row],[FECHA DE FACTURACIÓN]])&gt;PROVEEDORES[[#This Row],[PLAZO Días]],"PAGO VENCIDO")</f>
        <v>PAGO VENCIDO</v>
      </c>
      <c r="C637" s="144">
        <f>+VLOOKUP(PROVEEDORES[[#This Row],[PROVEEDOR]],TERCEROS_INFO[#All],2,FALSE)</f>
        <v>0</v>
      </c>
      <c r="D637" s="145">
        <f>+SUMIFS(PROVEEDORES[Total],PROVEEDORES[PROVEEDOR],PROVEEDORES[[#This Row],[PROVEEDOR]],PROVEEDORES[FECHA DE PAGO],"")</f>
        <v>3461120</v>
      </c>
      <c r="E637" s="146"/>
      <c r="F637" s="144" t="str">
        <f>+VLOOKUP(PROVEEDORES[[#This Row],[PROVEEDOR]],
                       Terceros!$A:$G,
                       5,
                       FALSE)</f>
        <v>2,5% con base</v>
      </c>
      <c r="G637" s="122">
        <v>45182</v>
      </c>
      <c r="H637" s="102" t="s">
        <v>9</v>
      </c>
      <c r="I637" s="122">
        <v>45107</v>
      </c>
      <c r="J637" s="103" t="s">
        <v>931</v>
      </c>
      <c r="K637" s="103" t="s">
        <v>1512</v>
      </c>
      <c r="L637" s="103"/>
      <c r="M637" s="105">
        <v>3240000</v>
      </c>
      <c r="N637" s="147">
        <v>615600</v>
      </c>
      <c r="O637" s="147">
        <v>0</v>
      </c>
      <c r="P637" s="148">
        <v>2.5000000000000001E-2</v>
      </c>
      <c r="Q637" s="147">
        <v>81000</v>
      </c>
      <c r="R637" s="149">
        <v>3774600</v>
      </c>
      <c r="S6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7" s="150">
        <f ca="1">+IF(PROVEEDORES[[#This Row],[FECHA DE PAGO]]=0,TODAY()-PROVEEDORES[[#This Row],[FECHA DE FACTURACIÓN]]-PROVEEDORES[[#This Row],[PLAZO Días]],0)</f>
        <v>0</v>
      </c>
      <c r="U637" s="150">
        <f>+VLOOKUP(PROVEEDORES[[#This Row],[PROVEEDOR]],Terceros!$A:$E,4,FALSE)</f>
        <v>0.19</v>
      </c>
      <c r="V637" s="150">
        <f>+YEAR(PROVEEDORES[[#This Row],[FECHA DE FACTURACIÓN]])</f>
        <v>2023</v>
      </c>
      <c r="W637" s="150">
        <f>+MATCH(PROVEEDORES[[#This Row],[año facturado]],Retenciones!$1:$1,0)</f>
        <v>6</v>
      </c>
      <c r="X637" s="151" t="e">
        <f>+VLOOKUP(PROVEEDORES[[#This Row],[ID RETENCION]],Retenciones!$A$1:$O$25,PROVEEDORES[[#This Row],[indicador de columna]],FALSE)</f>
        <v>#N/A</v>
      </c>
      <c r="Y637" s="152" t="e">
        <f>+VLOOKUP(PROVEEDORES[[#This Row],[ID RETENCION]],Retenciones!$A$1:$O$25,2,FALSE)</f>
        <v>#N/A</v>
      </c>
      <c r="Z637" s="153" t="b">
        <f>+OR(COUNTIF(PROVEEDORES[[#This Row],[PROVEEDOR]],"*"&amp;'Palabra que no opera y Listas d'!$A$2&amp;"*"))</f>
        <v>0</v>
      </c>
    </row>
    <row r="638" spans="1:26" ht="27.75" customHeight="1" x14ac:dyDescent="0.3">
      <c r="A638" s="144" t="str">
        <f>+IF(PROVEEDORES[[#This Row],[FECHA DE PAGO]]=PROVEEDORES[[#This Row],[FECHA DE FACTURACIÓN]],"DE CONTADO","CRÉDITO")</f>
        <v>CRÉDITO</v>
      </c>
      <c r="B638" s="144" t="str">
        <f>+IF((PROVEEDORES[[#This Row],[FECHA DE PAGO]]-PROVEEDORES[[#This Row],[FECHA DE FACTURACIÓN]])&gt;PROVEEDORES[[#This Row],[PLAZO Días]],"PAGO VENCIDO")</f>
        <v>PAGO VENCIDO</v>
      </c>
      <c r="C638" s="144">
        <f>+VLOOKUP(PROVEEDORES[[#This Row],[PROVEEDOR]],TERCEROS_INFO[#All],2,FALSE)</f>
        <v>0</v>
      </c>
      <c r="D638" s="145">
        <f>+SUMIFS(PROVEEDORES[Total],PROVEEDORES[PROVEEDOR],PROVEEDORES[[#This Row],[PROVEEDOR]],PROVEEDORES[FECHA DE PAGO],"")</f>
        <v>3461120</v>
      </c>
      <c r="E638" s="146"/>
      <c r="F638" s="144" t="str">
        <f>+VLOOKUP(PROVEEDORES[[#This Row],[PROVEEDOR]],
                       Terceros!$A:$G,
                       5,
                       FALSE)</f>
        <v>2,5% con base</v>
      </c>
      <c r="G638" s="122">
        <v>45182</v>
      </c>
      <c r="H638" s="102" t="s">
        <v>9</v>
      </c>
      <c r="I638" s="122">
        <v>45118</v>
      </c>
      <c r="J638" s="103" t="s">
        <v>930</v>
      </c>
      <c r="K638" s="103" t="s">
        <v>1512</v>
      </c>
      <c r="L638" s="103"/>
      <c r="M638" s="105">
        <v>-3240000</v>
      </c>
      <c r="N638" s="147">
        <v>-615600</v>
      </c>
      <c r="O638" s="147">
        <v>0</v>
      </c>
      <c r="P638" s="148">
        <v>0</v>
      </c>
      <c r="Q638" s="147">
        <v>0</v>
      </c>
      <c r="R638" s="149">
        <v>-3855600</v>
      </c>
      <c r="S6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8" s="150">
        <f ca="1">+IF(PROVEEDORES[[#This Row],[FECHA DE PAGO]]=0,TODAY()-PROVEEDORES[[#This Row],[FECHA DE FACTURACIÓN]]-PROVEEDORES[[#This Row],[PLAZO Días]],0)</f>
        <v>0</v>
      </c>
      <c r="U638" s="150">
        <f>+VLOOKUP(PROVEEDORES[[#This Row],[PROVEEDOR]],Terceros!$A:$E,4,FALSE)</f>
        <v>0.19</v>
      </c>
      <c r="V638" s="150">
        <f>+YEAR(PROVEEDORES[[#This Row],[FECHA DE FACTURACIÓN]])</f>
        <v>2023</v>
      </c>
      <c r="W638" s="150">
        <f>+MATCH(PROVEEDORES[[#This Row],[año facturado]],Retenciones!$1:$1,0)</f>
        <v>6</v>
      </c>
      <c r="X638" s="151" t="e">
        <f>+VLOOKUP(PROVEEDORES[[#This Row],[ID RETENCION]],Retenciones!$A$1:$O$25,PROVEEDORES[[#This Row],[indicador de columna]],FALSE)</f>
        <v>#N/A</v>
      </c>
      <c r="Y638" s="152" t="e">
        <f>+VLOOKUP(PROVEEDORES[[#This Row],[ID RETENCION]],Retenciones!$A$1:$O$25,2,FALSE)</f>
        <v>#N/A</v>
      </c>
      <c r="Z638" s="153" t="b">
        <f>+OR(COUNTIF(PROVEEDORES[[#This Row],[PROVEEDOR]],"*"&amp;'Palabra que no opera y Listas d'!$A$2&amp;"*"))</f>
        <v>0</v>
      </c>
    </row>
    <row r="639" spans="1:26" ht="27.75" customHeight="1" x14ac:dyDescent="0.3">
      <c r="A639" s="144" t="str">
        <f>+IF(PROVEEDORES[[#This Row],[FECHA DE PAGO]]=PROVEEDORES[[#This Row],[FECHA DE FACTURACIÓN]],"DE CONTADO","CRÉDITO")</f>
        <v>CRÉDITO</v>
      </c>
      <c r="B639" s="144" t="str">
        <f>+IF((PROVEEDORES[[#This Row],[FECHA DE PAGO]]-PROVEEDORES[[#This Row],[FECHA DE FACTURACIÓN]])&gt;PROVEEDORES[[#This Row],[PLAZO Días]],"PAGO VENCIDO")</f>
        <v>PAGO VENCIDO</v>
      </c>
      <c r="C639" s="144">
        <f>+VLOOKUP(PROVEEDORES[[#This Row],[PROVEEDOR]],TERCEROS_INFO[#All],2,FALSE)</f>
        <v>0</v>
      </c>
      <c r="D639" s="145">
        <f>+SUMIFS(PROVEEDORES[Total],PROVEEDORES[PROVEEDOR],PROVEEDORES[[#This Row],[PROVEEDOR]],PROVEEDORES[FECHA DE PAGO],"")</f>
        <v>3461120</v>
      </c>
      <c r="E639" s="146"/>
      <c r="F639" s="144" t="str">
        <f>+VLOOKUP(PROVEEDORES[[#This Row],[PROVEEDOR]],
                       Terceros!$A:$G,
                       5,
                       FALSE)</f>
        <v>2,5% con base</v>
      </c>
      <c r="G639" s="122">
        <v>45182</v>
      </c>
      <c r="H639" s="102" t="s">
        <v>9</v>
      </c>
      <c r="I639" s="122">
        <v>45118</v>
      </c>
      <c r="J639" s="103" t="s">
        <v>929</v>
      </c>
      <c r="K639" s="103" t="s">
        <v>1512</v>
      </c>
      <c r="L639" s="103"/>
      <c r="M639" s="105">
        <v>924000</v>
      </c>
      <c r="N639" s="147">
        <v>175560</v>
      </c>
      <c r="O639" s="147">
        <v>0</v>
      </c>
      <c r="P639" s="148">
        <v>0</v>
      </c>
      <c r="Q639" s="147">
        <v>0</v>
      </c>
      <c r="R639" s="149">
        <v>1099560</v>
      </c>
      <c r="S6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9" s="150">
        <f ca="1">+IF(PROVEEDORES[[#This Row],[FECHA DE PAGO]]=0,TODAY()-PROVEEDORES[[#This Row],[FECHA DE FACTURACIÓN]]-PROVEEDORES[[#This Row],[PLAZO Días]],0)</f>
        <v>0</v>
      </c>
      <c r="U639" s="150">
        <f>+VLOOKUP(PROVEEDORES[[#This Row],[PROVEEDOR]],Terceros!$A:$E,4,FALSE)</f>
        <v>0.19</v>
      </c>
      <c r="V639" s="150">
        <f>+YEAR(PROVEEDORES[[#This Row],[FECHA DE FACTURACIÓN]])</f>
        <v>2023</v>
      </c>
      <c r="W639" s="150">
        <f>+MATCH(PROVEEDORES[[#This Row],[año facturado]],Retenciones!$1:$1,0)</f>
        <v>6</v>
      </c>
      <c r="X639" s="151" t="e">
        <f>+VLOOKUP(PROVEEDORES[[#This Row],[ID RETENCION]],Retenciones!$A$1:$O$25,PROVEEDORES[[#This Row],[indicador de columna]],FALSE)</f>
        <v>#N/A</v>
      </c>
      <c r="Y639" s="152" t="e">
        <f>+VLOOKUP(PROVEEDORES[[#This Row],[ID RETENCION]],Retenciones!$A$1:$O$25,2,FALSE)</f>
        <v>#N/A</v>
      </c>
      <c r="Z639" s="153" t="b">
        <f>+OR(COUNTIF(PROVEEDORES[[#This Row],[PROVEEDOR]],"*"&amp;'Palabra que no opera y Listas d'!$A$2&amp;"*"))</f>
        <v>0</v>
      </c>
    </row>
    <row r="640" spans="1:26" ht="27.75" customHeight="1" x14ac:dyDescent="0.3">
      <c r="A640" s="144" t="str">
        <f>+IF(PROVEEDORES[[#This Row],[FECHA DE PAGO]]=PROVEEDORES[[#This Row],[FECHA DE FACTURACIÓN]],"DE CONTADO","CRÉDITO")</f>
        <v>CRÉDITO</v>
      </c>
      <c r="B640" s="144" t="str">
        <f>+IF((PROVEEDORES[[#This Row],[FECHA DE PAGO]]-PROVEEDORES[[#This Row],[FECHA DE FACTURACIÓN]])&gt;PROVEEDORES[[#This Row],[PLAZO Días]],"PAGO VENCIDO")</f>
        <v>PAGO VENCIDO</v>
      </c>
      <c r="C640" s="144">
        <f>+VLOOKUP(PROVEEDORES[[#This Row],[PROVEEDOR]],TERCEROS_INFO[#All],2,FALSE)</f>
        <v>0</v>
      </c>
      <c r="D640" s="145">
        <f>+SUMIFS(PROVEEDORES[Total],PROVEEDORES[PROVEEDOR],PROVEEDORES[[#This Row],[PROVEEDOR]],PROVEEDORES[FECHA DE PAGO],"")</f>
        <v>0</v>
      </c>
      <c r="E640" s="146"/>
      <c r="F640" s="144">
        <f>+VLOOKUP(PROVEEDORES[[#This Row],[PROVEEDOR]],
                       Terceros!$A:$G,
                       5,
                       FALSE)</f>
        <v>0</v>
      </c>
      <c r="G640" s="122">
        <v>45182</v>
      </c>
      <c r="H640" s="102" t="s">
        <v>1800</v>
      </c>
      <c r="I640" s="122">
        <v>45176</v>
      </c>
      <c r="J640" s="103" t="s">
        <v>1072</v>
      </c>
      <c r="K640" s="103" t="s">
        <v>1512</v>
      </c>
      <c r="L640" s="103"/>
      <c r="M640" s="105">
        <v>2299500</v>
      </c>
      <c r="N640" s="147">
        <v>0</v>
      </c>
      <c r="O640" s="147">
        <v>0</v>
      </c>
      <c r="P640" s="148">
        <v>0</v>
      </c>
      <c r="Q640" s="147">
        <v>0</v>
      </c>
      <c r="R640" s="149">
        <v>2299500</v>
      </c>
      <c r="S6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0" s="150">
        <f ca="1">+IF(PROVEEDORES[[#This Row],[FECHA DE PAGO]]=0,TODAY()-PROVEEDORES[[#This Row],[FECHA DE FACTURACIÓN]]-PROVEEDORES[[#This Row],[PLAZO Días]],0)</f>
        <v>0</v>
      </c>
      <c r="U640" s="150">
        <f>+VLOOKUP(PROVEEDORES[[#This Row],[PROVEEDOR]],Terceros!$A:$E,4,FALSE)</f>
        <v>0</v>
      </c>
      <c r="V640" s="150">
        <f>+YEAR(PROVEEDORES[[#This Row],[FECHA DE FACTURACIÓN]])</f>
        <v>2023</v>
      </c>
      <c r="W640" s="150">
        <f>+MATCH(PROVEEDORES[[#This Row],[año facturado]],Retenciones!$1:$1,0)</f>
        <v>6</v>
      </c>
      <c r="X640" s="151">
        <f>+VLOOKUP(PROVEEDORES[[#This Row],[ID RETENCION]],Retenciones!$A$1:$O$25,PROVEEDORES[[#This Row],[indicador de columna]],FALSE)</f>
        <v>0</v>
      </c>
      <c r="Y640" s="152">
        <f>+VLOOKUP(PROVEEDORES[[#This Row],[ID RETENCION]],Retenciones!$A$1:$O$25,2,FALSE)</f>
        <v>0</v>
      </c>
      <c r="Z640" s="153" t="b">
        <f>+OR(COUNTIF(PROVEEDORES[[#This Row],[PROVEEDOR]],"*"&amp;'Palabra que no opera y Listas d'!$A$2&amp;"*"))</f>
        <v>0</v>
      </c>
    </row>
    <row r="641" spans="1:26" ht="27.75" customHeight="1" x14ac:dyDescent="0.3">
      <c r="A641" s="144" t="str">
        <f>+IF(PROVEEDORES[[#This Row],[FECHA DE PAGO]]=PROVEEDORES[[#This Row],[FECHA DE FACTURACIÓN]],"DE CONTADO","CRÉDITO")</f>
        <v>DE CONTADO</v>
      </c>
      <c r="B641" s="144" t="b">
        <f>+IF((PROVEEDORES[[#This Row],[FECHA DE PAGO]]-PROVEEDORES[[#This Row],[FECHA DE FACTURACIÓN]])&gt;PROVEEDORES[[#This Row],[PLAZO Días]],"PAGO VENCIDO")</f>
        <v>0</v>
      </c>
      <c r="C641" s="144">
        <f>+VLOOKUP(PROVEEDORES[[#This Row],[PROVEEDOR]],TERCEROS_INFO[#All],2,FALSE)</f>
        <v>0</v>
      </c>
      <c r="D641" s="145">
        <f>+SUMIFS(PROVEEDORES[Total],PROVEEDORES[PROVEEDOR],PROVEEDORES[[#This Row],[PROVEEDOR]],PROVEEDORES[FECHA DE PAGO],"")</f>
        <v>0</v>
      </c>
      <c r="E641" s="146"/>
      <c r="F641" s="144">
        <f>+VLOOKUP(PROVEEDORES[[#This Row],[PROVEEDOR]],
                       Terceros!$A:$G,
                       5,
                       FALSE)</f>
        <v>0</v>
      </c>
      <c r="G641" s="122">
        <v>45182</v>
      </c>
      <c r="H641" s="102" t="s">
        <v>907</v>
      </c>
      <c r="I641" s="122">
        <v>45182</v>
      </c>
      <c r="J641" s="103" t="s">
        <v>1114</v>
      </c>
      <c r="K641" s="103" t="s">
        <v>1512</v>
      </c>
      <c r="L641" s="103"/>
      <c r="M641" s="105">
        <v>290750</v>
      </c>
      <c r="N641" s="147">
        <v>0</v>
      </c>
      <c r="O641" s="147">
        <v>0</v>
      </c>
      <c r="P641" s="148">
        <v>0</v>
      </c>
      <c r="Q641" s="147">
        <v>0</v>
      </c>
      <c r="R641" s="149">
        <v>290750</v>
      </c>
      <c r="S6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1" s="150">
        <f ca="1">+IF(PROVEEDORES[[#This Row],[FECHA DE PAGO]]=0,TODAY()-PROVEEDORES[[#This Row],[FECHA DE FACTURACIÓN]]-PROVEEDORES[[#This Row],[PLAZO Días]],0)</f>
        <v>0</v>
      </c>
      <c r="U641" s="150">
        <f>+VLOOKUP(PROVEEDORES[[#This Row],[PROVEEDOR]],Terceros!$A:$E,4,FALSE)</f>
        <v>0</v>
      </c>
      <c r="V641" s="150">
        <f>+YEAR(PROVEEDORES[[#This Row],[FECHA DE FACTURACIÓN]])</f>
        <v>2023</v>
      </c>
      <c r="W641" s="150">
        <f>+MATCH(PROVEEDORES[[#This Row],[año facturado]],Retenciones!$1:$1,0)</f>
        <v>6</v>
      </c>
      <c r="X641" s="151">
        <f>+VLOOKUP(PROVEEDORES[[#This Row],[ID RETENCION]],Retenciones!$A$1:$O$25,PROVEEDORES[[#This Row],[indicador de columna]],FALSE)</f>
        <v>0</v>
      </c>
      <c r="Y641" s="152">
        <f>+VLOOKUP(PROVEEDORES[[#This Row],[ID RETENCION]],Retenciones!$A$1:$O$25,2,FALSE)</f>
        <v>0</v>
      </c>
      <c r="Z641" s="153" t="b">
        <f>+OR(COUNTIF(PROVEEDORES[[#This Row],[PROVEEDOR]],"*"&amp;'Palabra que no opera y Listas d'!$A$2&amp;"*"))</f>
        <v>0</v>
      </c>
    </row>
    <row r="642" spans="1:26" ht="27.75" customHeight="1" x14ac:dyDescent="0.3">
      <c r="A642" s="144" t="str">
        <f>+IF(PROVEEDORES[[#This Row],[FECHA DE PAGO]]=PROVEEDORES[[#This Row],[FECHA DE FACTURACIÓN]],"DE CONTADO","CRÉDITO")</f>
        <v>DE CONTADO</v>
      </c>
      <c r="B642" s="144" t="b">
        <f>+IF((PROVEEDORES[[#This Row],[FECHA DE PAGO]]-PROVEEDORES[[#This Row],[FECHA DE FACTURACIÓN]])&gt;PROVEEDORES[[#This Row],[PLAZO Días]],"PAGO VENCIDO")</f>
        <v>0</v>
      </c>
      <c r="C642" s="144">
        <f>+VLOOKUP(PROVEEDORES[[#This Row],[PROVEEDOR]],TERCEROS_INFO[#All],2,FALSE)</f>
        <v>0</v>
      </c>
      <c r="D642" s="145">
        <f>+SUMIFS(PROVEEDORES[Total],PROVEEDORES[PROVEEDOR],PROVEEDORES[[#This Row],[PROVEEDOR]],PROVEEDORES[FECHA DE PAGO],"")</f>
        <v>0</v>
      </c>
      <c r="E642" s="146"/>
      <c r="F642" s="144">
        <f>+VLOOKUP(PROVEEDORES[[#This Row],[PROVEEDOR]],
                       Terceros!$A:$G,
                       5,
                       FALSE)</f>
        <v>0</v>
      </c>
      <c r="G642" s="122">
        <v>45183</v>
      </c>
      <c r="H642" s="102" t="s">
        <v>496</v>
      </c>
      <c r="I642" s="122">
        <v>45183</v>
      </c>
      <c r="J642" s="103" t="s">
        <v>1117</v>
      </c>
      <c r="K642" s="103" t="s">
        <v>1512</v>
      </c>
      <c r="L642" s="103"/>
      <c r="M642" s="105">
        <v>3672000</v>
      </c>
      <c r="N642" s="147">
        <v>0</v>
      </c>
      <c r="O642" s="147">
        <v>0</v>
      </c>
      <c r="P642" s="148">
        <v>0</v>
      </c>
      <c r="Q642" s="147">
        <v>0</v>
      </c>
      <c r="R642" s="149">
        <v>3672000</v>
      </c>
      <c r="S6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2" s="150">
        <f ca="1">+IF(PROVEEDORES[[#This Row],[FECHA DE PAGO]]=0,TODAY()-PROVEEDORES[[#This Row],[FECHA DE FACTURACIÓN]]-PROVEEDORES[[#This Row],[PLAZO Días]],0)</f>
        <v>0</v>
      </c>
      <c r="U642" s="150">
        <f>+VLOOKUP(PROVEEDORES[[#This Row],[PROVEEDOR]],Terceros!$A:$E,4,FALSE)</f>
        <v>0</v>
      </c>
      <c r="V642" s="150">
        <f>+YEAR(PROVEEDORES[[#This Row],[FECHA DE FACTURACIÓN]])</f>
        <v>2023</v>
      </c>
      <c r="W642" s="150">
        <f>+MATCH(PROVEEDORES[[#This Row],[año facturado]],Retenciones!$1:$1,0)</f>
        <v>6</v>
      </c>
      <c r="X642" s="151">
        <f>+VLOOKUP(PROVEEDORES[[#This Row],[ID RETENCION]],Retenciones!$A$1:$O$25,PROVEEDORES[[#This Row],[indicador de columna]],FALSE)</f>
        <v>0</v>
      </c>
      <c r="Y642" s="152">
        <f>+VLOOKUP(PROVEEDORES[[#This Row],[ID RETENCION]],Retenciones!$A$1:$O$25,2,FALSE)</f>
        <v>0</v>
      </c>
      <c r="Z642" s="153" t="b">
        <f>+OR(COUNTIF(PROVEEDORES[[#This Row],[PROVEEDOR]],"*"&amp;'Palabra que no opera y Listas d'!$A$2&amp;"*"))</f>
        <v>0</v>
      </c>
    </row>
    <row r="643" spans="1:26" ht="27.75" customHeight="1" x14ac:dyDescent="0.3">
      <c r="A643" s="144" t="str">
        <f>+IF(PROVEEDORES[[#This Row],[FECHA DE PAGO]]=PROVEEDORES[[#This Row],[FECHA DE FACTURACIÓN]],"DE CONTADO","CRÉDITO")</f>
        <v>DE CONTADO</v>
      </c>
      <c r="B643" s="144" t="b">
        <f>+IF((PROVEEDORES[[#This Row],[FECHA DE PAGO]]-PROVEEDORES[[#This Row],[FECHA DE FACTURACIÓN]])&gt;PROVEEDORES[[#This Row],[PLAZO Días]],"PAGO VENCIDO")</f>
        <v>0</v>
      </c>
      <c r="C643" s="144">
        <f>+VLOOKUP(PROVEEDORES[[#This Row],[PROVEEDOR]],TERCEROS_INFO[#All],2,FALSE)</f>
        <v>0</v>
      </c>
      <c r="D643" s="145">
        <f>+SUMIFS(PROVEEDORES[Total],PROVEEDORES[PROVEEDOR],PROVEEDORES[[#This Row],[PROVEEDOR]],PROVEEDORES[FECHA DE PAGO],"")</f>
        <v>0</v>
      </c>
      <c r="E643" s="146"/>
      <c r="F643" s="144">
        <f>+VLOOKUP(PROVEEDORES[[#This Row],[PROVEEDOR]],
                       Terceros!$A:$G,
                       5,
                       FALSE)</f>
        <v>0</v>
      </c>
      <c r="G643" s="122">
        <v>45183</v>
      </c>
      <c r="H643" s="102" t="s">
        <v>537</v>
      </c>
      <c r="I643" s="122">
        <v>45183</v>
      </c>
      <c r="J643" s="103" t="s">
        <v>1103</v>
      </c>
      <c r="K643" s="103" t="s">
        <v>1512</v>
      </c>
      <c r="L643" s="103"/>
      <c r="M643" s="105">
        <v>171400</v>
      </c>
      <c r="N643" s="147">
        <v>0</v>
      </c>
      <c r="O643" s="147">
        <v>0</v>
      </c>
      <c r="P643" s="148">
        <v>0</v>
      </c>
      <c r="Q643" s="147">
        <v>0</v>
      </c>
      <c r="R643" s="149">
        <v>171400</v>
      </c>
      <c r="S6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3" s="150">
        <f ca="1">+IF(PROVEEDORES[[#This Row],[FECHA DE PAGO]]=0,TODAY()-PROVEEDORES[[#This Row],[FECHA DE FACTURACIÓN]]-PROVEEDORES[[#This Row],[PLAZO Días]],0)</f>
        <v>0</v>
      </c>
      <c r="U643" s="150">
        <f>+VLOOKUP(PROVEEDORES[[#This Row],[PROVEEDOR]],Terceros!$A:$E,4,FALSE)</f>
        <v>0</v>
      </c>
      <c r="V643" s="150">
        <f>+YEAR(PROVEEDORES[[#This Row],[FECHA DE FACTURACIÓN]])</f>
        <v>2023</v>
      </c>
      <c r="W643" s="150">
        <f>+MATCH(PROVEEDORES[[#This Row],[año facturado]],Retenciones!$1:$1,0)</f>
        <v>6</v>
      </c>
      <c r="X643" s="151">
        <f>+VLOOKUP(PROVEEDORES[[#This Row],[ID RETENCION]],Retenciones!$A$1:$O$25,PROVEEDORES[[#This Row],[indicador de columna]],FALSE)</f>
        <v>0</v>
      </c>
      <c r="Y643" s="152">
        <f>+VLOOKUP(PROVEEDORES[[#This Row],[ID RETENCION]],Retenciones!$A$1:$O$25,2,FALSE)</f>
        <v>0</v>
      </c>
      <c r="Z643" s="153" t="b">
        <f>+OR(COUNTIF(PROVEEDORES[[#This Row],[PROVEEDOR]],"*"&amp;'Palabra que no opera y Listas d'!$A$2&amp;"*"))</f>
        <v>0</v>
      </c>
    </row>
    <row r="644" spans="1:26" ht="27.75" customHeight="1" x14ac:dyDescent="0.3">
      <c r="A644" s="144" t="str">
        <f>+IF(PROVEEDORES[[#This Row],[FECHA DE PAGO]]=PROVEEDORES[[#This Row],[FECHA DE FACTURACIÓN]],"DE CONTADO","CRÉDITO")</f>
        <v>DE CONTADO</v>
      </c>
      <c r="B644" s="144" t="b">
        <f>+IF((PROVEEDORES[[#This Row],[FECHA DE PAGO]]-PROVEEDORES[[#This Row],[FECHA DE FACTURACIÓN]])&gt;PROVEEDORES[[#This Row],[PLAZO Días]],"PAGO VENCIDO")</f>
        <v>0</v>
      </c>
      <c r="C644" s="144">
        <f>+VLOOKUP(PROVEEDORES[[#This Row],[PROVEEDOR]],TERCEROS_INFO[#All],2,FALSE)</f>
        <v>0</v>
      </c>
      <c r="D644" s="145">
        <f>+SUMIFS(PROVEEDORES[Total],PROVEEDORES[PROVEEDOR],PROVEEDORES[[#This Row],[PROVEEDOR]],PROVEEDORES[FECHA DE PAGO],"")</f>
        <v>0</v>
      </c>
      <c r="E644" s="146"/>
      <c r="F644" s="144">
        <f>+VLOOKUP(PROVEEDORES[[#This Row],[PROVEEDOR]],
                       Terceros!$A:$G,
                       5,
                       FALSE)</f>
        <v>0</v>
      </c>
      <c r="G644" s="122">
        <v>45186</v>
      </c>
      <c r="H644" s="102" t="s">
        <v>845</v>
      </c>
      <c r="I644" s="122">
        <v>45186</v>
      </c>
      <c r="J644" s="103"/>
      <c r="K644" s="103" t="s">
        <v>1512</v>
      </c>
      <c r="L644" s="103"/>
      <c r="M644" s="105">
        <v>396000</v>
      </c>
      <c r="N644" s="147">
        <v>0</v>
      </c>
      <c r="O644" s="147">
        <v>0</v>
      </c>
      <c r="P644" s="148">
        <v>0</v>
      </c>
      <c r="Q644" s="147">
        <v>0</v>
      </c>
      <c r="R644" s="149">
        <v>396000</v>
      </c>
      <c r="S6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4" s="150">
        <f ca="1">+IF(PROVEEDORES[[#This Row],[FECHA DE PAGO]]=0,TODAY()-PROVEEDORES[[#This Row],[FECHA DE FACTURACIÓN]]-PROVEEDORES[[#This Row],[PLAZO Días]],0)</f>
        <v>0</v>
      </c>
      <c r="U644" s="150">
        <f>+VLOOKUP(PROVEEDORES[[#This Row],[PROVEEDOR]],Terceros!$A:$E,4,FALSE)</f>
        <v>0</v>
      </c>
      <c r="V644" s="150">
        <f>+YEAR(PROVEEDORES[[#This Row],[FECHA DE FACTURACIÓN]])</f>
        <v>2023</v>
      </c>
      <c r="W644" s="150">
        <f>+MATCH(PROVEEDORES[[#This Row],[año facturado]],Retenciones!$1:$1,0)</f>
        <v>6</v>
      </c>
      <c r="X644" s="151">
        <f>+VLOOKUP(PROVEEDORES[[#This Row],[ID RETENCION]],Retenciones!$A$1:$O$25,PROVEEDORES[[#This Row],[indicador de columna]],FALSE)</f>
        <v>0</v>
      </c>
      <c r="Y644" s="152">
        <f>+VLOOKUP(PROVEEDORES[[#This Row],[ID RETENCION]],Retenciones!$A$1:$O$25,2,FALSE)</f>
        <v>0</v>
      </c>
      <c r="Z644" s="153" t="b">
        <f>+OR(COUNTIF(PROVEEDORES[[#This Row],[PROVEEDOR]],"*"&amp;'Palabra que no opera y Listas d'!$A$2&amp;"*"))</f>
        <v>0</v>
      </c>
    </row>
    <row r="645" spans="1:26" ht="27.75" customHeight="1" x14ac:dyDescent="0.3">
      <c r="A645" s="144" t="str">
        <f>+IF(PROVEEDORES[[#This Row],[FECHA DE PAGO]]=PROVEEDORES[[#This Row],[FECHA DE FACTURACIÓN]],"DE CONTADO","CRÉDITO")</f>
        <v>CRÉDITO</v>
      </c>
      <c r="B645" s="144" t="str">
        <f>+IF((PROVEEDORES[[#This Row],[FECHA DE PAGO]]-PROVEEDORES[[#This Row],[FECHA DE FACTURACIÓN]])&gt;PROVEEDORES[[#This Row],[PLAZO Días]],"PAGO VENCIDO")</f>
        <v>PAGO VENCIDO</v>
      </c>
      <c r="C645" s="144">
        <f>+VLOOKUP(PROVEEDORES[[#This Row],[PROVEEDOR]],TERCEROS_INFO[#All],2,FALSE)</f>
        <v>0</v>
      </c>
      <c r="D645" s="145">
        <f>+SUMIFS(PROVEEDORES[Total],PROVEEDORES[PROVEEDOR],PROVEEDORES[[#This Row],[PROVEEDOR]],PROVEEDORES[FECHA DE PAGO],"")</f>
        <v>28179645.060000002</v>
      </c>
      <c r="E645" s="146"/>
      <c r="F645" s="144">
        <f>+VLOOKUP(PROVEEDORES[[#This Row],[PROVEEDOR]],
                       Terceros!$A:$G,
                       5,
                       FALSE)</f>
        <v>0</v>
      </c>
      <c r="G645" s="122">
        <v>45187</v>
      </c>
      <c r="H645" s="102" t="s">
        <v>18</v>
      </c>
      <c r="I645" s="122">
        <v>45121</v>
      </c>
      <c r="J645" s="103" t="s">
        <v>926</v>
      </c>
      <c r="K645" s="103" t="s">
        <v>1512</v>
      </c>
      <c r="L645" s="103"/>
      <c r="M645" s="105">
        <v>1635783</v>
      </c>
      <c r="N645" s="147">
        <v>310798.77</v>
      </c>
      <c r="O645" s="147">
        <v>0</v>
      </c>
      <c r="P645" s="148">
        <v>0</v>
      </c>
      <c r="Q645" s="147">
        <v>0</v>
      </c>
      <c r="R645" s="149">
        <v>1946581.77</v>
      </c>
      <c r="S6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5" s="150">
        <f ca="1">+IF(PROVEEDORES[[#This Row],[FECHA DE PAGO]]=0,TODAY()-PROVEEDORES[[#This Row],[FECHA DE FACTURACIÓN]]-PROVEEDORES[[#This Row],[PLAZO Días]],0)</f>
        <v>0</v>
      </c>
      <c r="U645" s="150">
        <f>+VLOOKUP(PROVEEDORES[[#This Row],[PROVEEDOR]],Terceros!$A:$E,4,FALSE)</f>
        <v>0.19</v>
      </c>
      <c r="V645" s="150">
        <f>+YEAR(PROVEEDORES[[#This Row],[FECHA DE FACTURACIÓN]])</f>
        <v>2023</v>
      </c>
      <c r="W645" s="150">
        <f>+MATCH(PROVEEDORES[[#This Row],[año facturado]],Retenciones!$1:$1,0)</f>
        <v>6</v>
      </c>
      <c r="X645" s="151" t="e">
        <f>+VLOOKUP(PROVEEDORES[[#This Row],[ID RETENCION]],Retenciones!$A$1:$O$25,PROVEEDORES[[#This Row],[indicador de columna]],FALSE)</f>
        <v>#N/A</v>
      </c>
      <c r="Y645" s="152" t="e">
        <f>+VLOOKUP(PROVEEDORES[[#This Row],[ID RETENCION]],Retenciones!$A$1:$O$25,2,FALSE)</f>
        <v>#N/A</v>
      </c>
      <c r="Z645" s="153" t="b">
        <f>+OR(COUNTIF(PROVEEDORES[[#This Row],[PROVEEDOR]],"*"&amp;'Palabra que no opera y Listas d'!$A$2&amp;"*"))</f>
        <v>0</v>
      </c>
    </row>
    <row r="646" spans="1:26" ht="27.75" customHeight="1" x14ac:dyDescent="0.3">
      <c r="A646" s="144" t="str">
        <f>+IF(PROVEEDORES[[#This Row],[FECHA DE PAGO]]=PROVEEDORES[[#This Row],[FECHA DE FACTURACIÓN]],"DE CONTADO","CRÉDITO")</f>
        <v>CRÉDITO</v>
      </c>
      <c r="B646" s="144" t="str">
        <f>+IF((PROVEEDORES[[#This Row],[FECHA DE PAGO]]-PROVEEDORES[[#This Row],[FECHA DE FACTURACIÓN]])&gt;PROVEEDORES[[#This Row],[PLAZO Días]],"PAGO VENCIDO")</f>
        <v>PAGO VENCIDO</v>
      </c>
      <c r="C646" s="144">
        <f>+VLOOKUP(PROVEEDORES[[#This Row],[PROVEEDOR]],TERCEROS_INFO[#All],2,FALSE)</f>
        <v>0</v>
      </c>
      <c r="D646" s="145">
        <f>+SUMIFS(PROVEEDORES[Total],PROVEEDORES[PROVEEDOR],PROVEEDORES[[#This Row],[PROVEEDOR]],PROVEEDORES[FECHA DE PAGO],"")</f>
        <v>28179645.060000002</v>
      </c>
      <c r="E646" s="146"/>
      <c r="F646" s="144">
        <f>+VLOOKUP(PROVEEDORES[[#This Row],[PROVEEDOR]],
                       Terceros!$A:$G,
                       5,
                       FALSE)</f>
        <v>0</v>
      </c>
      <c r="G646" s="122">
        <v>45187</v>
      </c>
      <c r="H646" s="102" t="s">
        <v>18</v>
      </c>
      <c r="I646" s="122">
        <v>45135</v>
      </c>
      <c r="J646" s="103" t="s">
        <v>960</v>
      </c>
      <c r="K646" s="103" t="s">
        <v>1512</v>
      </c>
      <c r="L646" s="103"/>
      <c r="M646" s="105">
        <v>1220051</v>
      </c>
      <c r="N646" s="147">
        <v>231809.69</v>
      </c>
      <c r="O646" s="147">
        <v>0</v>
      </c>
      <c r="P646" s="148">
        <v>0</v>
      </c>
      <c r="Q646" s="147">
        <v>0</v>
      </c>
      <c r="R646" s="149">
        <v>1451860.69</v>
      </c>
      <c r="S6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6" s="150">
        <f ca="1">+IF(PROVEEDORES[[#This Row],[FECHA DE PAGO]]=0,TODAY()-PROVEEDORES[[#This Row],[FECHA DE FACTURACIÓN]]-PROVEEDORES[[#This Row],[PLAZO Días]],0)</f>
        <v>0</v>
      </c>
      <c r="U646" s="150">
        <f>+VLOOKUP(PROVEEDORES[[#This Row],[PROVEEDOR]],Terceros!$A:$E,4,FALSE)</f>
        <v>0.19</v>
      </c>
      <c r="V646" s="150">
        <f>+YEAR(PROVEEDORES[[#This Row],[FECHA DE FACTURACIÓN]])</f>
        <v>2023</v>
      </c>
      <c r="W646" s="150">
        <f>+MATCH(PROVEEDORES[[#This Row],[año facturado]],Retenciones!$1:$1,0)</f>
        <v>6</v>
      </c>
      <c r="X646" s="151" t="e">
        <f>+VLOOKUP(PROVEEDORES[[#This Row],[ID RETENCION]],Retenciones!$A$1:$O$25,PROVEEDORES[[#This Row],[indicador de columna]],FALSE)</f>
        <v>#N/A</v>
      </c>
      <c r="Y646" s="152" t="e">
        <f>+VLOOKUP(PROVEEDORES[[#This Row],[ID RETENCION]],Retenciones!$A$1:$O$25,2,FALSE)</f>
        <v>#N/A</v>
      </c>
      <c r="Z646" s="153" t="b">
        <f>+OR(COUNTIF(PROVEEDORES[[#This Row],[PROVEEDOR]],"*"&amp;'Palabra que no opera y Listas d'!$A$2&amp;"*"))</f>
        <v>0</v>
      </c>
    </row>
    <row r="647" spans="1:26" ht="27.75" customHeight="1" x14ac:dyDescent="0.3">
      <c r="A647" s="144" t="str">
        <f>+IF(PROVEEDORES[[#This Row],[FECHA DE PAGO]]=PROVEEDORES[[#This Row],[FECHA DE FACTURACIÓN]],"DE CONTADO","CRÉDITO")</f>
        <v>CRÉDITO</v>
      </c>
      <c r="B647" s="144" t="str">
        <f>+IF((PROVEEDORES[[#This Row],[FECHA DE PAGO]]-PROVEEDORES[[#This Row],[FECHA DE FACTURACIÓN]])&gt;PROVEEDORES[[#This Row],[PLAZO Días]],"PAGO VENCIDO")</f>
        <v>PAGO VENCIDO</v>
      </c>
      <c r="C647" s="144">
        <f>+VLOOKUP(PROVEEDORES[[#This Row],[PROVEEDOR]],TERCEROS_INFO[#All],2,FALSE)</f>
        <v>0</v>
      </c>
      <c r="D647" s="145">
        <f>+SUMIFS(PROVEEDORES[Total],PROVEEDORES[PROVEEDOR],PROVEEDORES[[#This Row],[PROVEEDOR]],PROVEEDORES[FECHA DE PAGO],"")</f>
        <v>0</v>
      </c>
      <c r="E647" s="146"/>
      <c r="F647" s="144" t="str">
        <f>+VLOOKUP(PROVEEDORES[[#This Row],[PROVEEDOR]],
                       Terceros!$A:$G,
                       5,
                       FALSE)</f>
        <v>3,5% sin base</v>
      </c>
      <c r="G647" s="122">
        <v>45187</v>
      </c>
      <c r="H647" s="102" t="s">
        <v>409</v>
      </c>
      <c r="I647" s="122">
        <v>45170</v>
      </c>
      <c r="J647" s="103" t="s">
        <v>1044</v>
      </c>
      <c r="K647" s="103" t="s">
        <v>1512</v>
      </c>
      <c r="L647" s="103"/>
      <c r="M647" s="105">
        <v>243611</v>
      </c>
      <c r="N647" s="147">
        <v>46286.090000000004</v>
      </c>
      <c r="O647" s="147">
        <v>0</v>
      </c>
      <c r="P647" s="148">
        <v>3.5000000000000003E-2</v>
      </c>
      <c r="Q647" s="147">
        <v>8526.3850000000002</v>
      </c>
      <c r="R647" s="149">
        <v>281370.70500000002</v>
      </c>
      <c r="S6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7" s="150">
        <f ca="1">+IF(PROVEEDORES[[#This Row],[FECHA DE PAGO]]=0,TODAY()-PROVEEDORES[[#This Row],[FECHA DE FACTURACIÓN]]-PROVEEDORES[[#This Row],[PLAZO Días]],0)</f>
        <v>0</v>
      </c>
      <c r="U647" s="150">
        <f>+VLOOKUP(PROVEEDORES[[#This Row],[PROVEEDOR]],Terceros!$A:$E,4,FALSE)</f>
        <v>0.19</v>
      </c>
      <c r="V647" s="150">
        <f>+YEAR(PROVEEDORES[[#This Row],[FECHA DE FACTURACIÓN]])</f>
        <v>2023</v>
      </c>
      <c r="W647" s="150">
        <f>+MATCH(PROVEEDORES[[#This Row],[año facturado]],Retenciones!$1:$1,0)</f>
        <v>6</v>
      </c>
      <c r="X647" s="151" t="e">
        <f>+VLOOKUP(PROVEEDORES[[#This Row],[ID RETENCION]],Retenciones!$A$1:$O$25,PROVEEDORES[[#This Row],[indicador de columna]],FALSE)</f>
        <v>#N/A</v>
      </c>
      <c r="Y647" s="152" t="e">
        <f>+VLOOKUP(PROVEEDORES[[#This Row],[ID RETENCION]],Retenciones!$A$1:$O$25,2,FALSE)</f>
        <v>#N/A</v>
      </c>
      <c r="Z647" s="153" t="b">
        <f>+OR(COUNTIF(PROVEEDORES[[#This Row],[PROVEEDOR]],"*"&amp;'Palabra que no opera y Listas d'!$A$2&amp;"*"))</f>
        <v>1</v>
      </c>
    </row>
    <row r="648" spans="1:26" ht="27.75" customHeight="1" x14ac:dyDescent="0.3">
      <c r="A648" s="144" t="str">
        <f>+IF(PROVEEDORES[[#This Row],[FECHA DE PAGO]]=PROVEEDORES[[#This Row],[FECHA DE FACTURACIÓN]],"DE CONTADO","CRÉDITO")</f>
        <v>CRÉDITO</v>
      </c>
      <c r="B648" s="144" t="str">
        <f>+IF((PROVEEDORES[[#This Row],[FECHA DE PAGO]]-PROVEEDORES[[#This Row],[FECHA DE FACTURACIÓN]])&gt;PROVEEDORES[[#This Row],[PLAZO Días]],"PAGO VENCIDO")</f>
        <v>PAGO VENCIDO</v>
      </c>
      <c r="C648" s="144">
        <f>+VLOOKUP(PROVEEDORES[[#This Row],[PROVEEDOR]],TERCEROS_INFO[#All],2,FALSE)</f>
        <v>0</v>
      </c>
      <c r="D648" s="145">
        <f>+SUMIFS(PROVEEDORES[Total],PROVEEDORES[PROVEEDOR],PROVEEDORES[[#This Row],[PROVEEDOR]],PROVEEDORES[FECHA DE PAGO],"")</f>
        <v>0</v>
      </c>
      <c r="E648" s="146"/>
      <c r="F648" s="144">
        <f>+VLOOKUP(PROVEEDORES[[#This Row],[PROVEEDOR]],
                       Terceros!$A:$G,
                       5,
                       FALSE)</f>
        <v>0</v>
      </c>
      <c r="G648" s="122">
        <v>45187</v>
      </c>
      <c r="H648" s="102" t="s">
        <v>391</v>
      </c>
      <c r="I648" s="122">
        <v>45170</v>
      </c>
      <c r="J648" s="103" t="s">
        <v>1047</v>
      </c>
      <c r="K648" s="103" t="s">
        <v>1512</v>
      </c>
      <c r="L648" s="103"/>
      <c r="M648" s="105">
        <v>318603</v>
      </c>
      <c r="N648" s="147">
        <v>0</v>
      </c>
      <c r="O648" s="147">
        <v>0</v>
      </c>
      <c r="P648" s="148">
        <v>0</v>
      </c>
      <c r="Q648" s="147">
        <v>0</v>
      </c>
      <c r="R648" s="149">
        <v>318603</v>
      </c>
      <c r="S6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8" s="150">
        <f ca="1">+IF(PROVEEDORES[[#This Row],[FECHA DE PAGO]]=0,TODAY()-PROVEEDORES[[#This Row],[FECHA DE FACTURACIÓN]]-PROVEEDORES[[#This Row],[PLAZO Días]],0)</f>
        <v>0</v>
      </c>
      <c r="U648" s="150">
        <f>+VLOOKUP(PROVEEDORES[[#This Row],[PROVEEDOR]],Terceros!$A:$E,4,FALSE)</f>
        <v>0</v>
      </c>
      <c r="V648" s="150">
        <f>+YEAR(PROVEEDORES[[#This Row],[FECHA DE FACTURACIÓN]])</f>
        <v>2023</v>
      </c>
      <c r="W648" s="150">
        <f>+MATCH(PROVEEDORES[[#This Row],[año facturado]],Retenciones!$1:$1,0)</f>
        <v>6</v>
      </c>
      <c r="X648" s="151">
        <f>+VLOOKUP(PROVEEDORES[[#This Row],[ID RETENCION]],Retenciones!$A$1:$O$25,PROVEEDORES[[#This Row],[indicador de columna]],FALSE)</f>
        <v>0</v>
      </c>
      <c r="Y648" s="152">
        <f>+VLOOKUP(PROVEEDORES[[#This Row],[ID RETENCION]],Retenciones!$A$1:$O$25,2,FALSE)</f>
        <v>0</v>
      </c>
      <c r="Z648" s="153" t="b">
        <f>+OR(COUNTIF(PROVEEDORES[[#This Row],[PROVEEDOR]],"*"&amp;'Palabra que no opera y Listas d'!$A$2&amp;"*"))</f>
        <v>1</v>
      </c>
    </row>
    <row r="649" spans="1:26" ht="27.75" customHeight="1" x14ac:dyDescent="0.3">
      <c r="A649" s="144" t="str">
        <f>+IF(PROVEEDORES[[#This Row],[FECHA DE PAGO]]=PROVEEDORES[[#This Row],[FECHA DE FACTURACIÓN]],"DE CONTADO","CRÉDITO")</f>
        <v>CRÉDITO</v>
      </c>
      <c r="B649" s="144" t="str">
        <f>+IF((PROVEEDORES[[#This Row],[FECHA DE PAGO]]-PROVEEDORES[[#This Row],[FECHA DE FACTURACIÓN]])&gt;PROVEEDORES[[#This Row],[PLAZO Días]],"PAGO VENCIDO")</f>
        <v>PAGO VENCIDO</v>
      </c>
      <c r="C649" s="144">
        <f>+VLOOKUP(PROVEEDORES[[#This Row],[PROVEEDOR]],TERCEROS_INFO[#All],2,FALSE)</f>
        <v>0</v>
      </c>
      <c r="D649" s="145">
        <f>+SUMIFS(PROVEEDORES[Total],PROVEEDORES[PROVEEDOR],PROVEEDORES[[#This Row],[PROVEEDOR]],PROVEEDORES[FECHA DE PAGO],"")</f>
        <v>181631</v>
      </c>
      <c r="E649" s="146"/>
      <c r="F649" s="144">
        <f>+VLOOKUP(PROVEEDORES[[#This Row],[PROVEEDOR]],
                       Terceros!$A:$G,
                       5,
                       FALSE)</f>
        <v>0</v>
      </c>
      <c r="G649" s="122">
        <v>45187</v>
      </c>
      <c r="H649" s="102" t="s">
        <v>383</v>
      </c>
      <c r="I649" s="122">
        <v>45170</v>
      </c>
      <c r="J649" s="103" t="s">
        <v>1089</v>
      </c>
      <c r="K649" s="103" t="s">
        <v>1512</v>
      </c>
      <c r="L649" s="103"/>
      <c r="M649" s="105">
        <v>908172</v>
      </c>
      <c r="N649" s="147">
        <v>172552.68</v>
      </c>
      <c r="O649" s="147">
        <v>0</v>
      </c>
      <c r="P649" s="148">
        <v>0</v>
      </c>
      <c r="Q649" s="147">
        <v>0</v>
      </c>
      <c r="R649" s="149">
        <v>1080724.68</v>
      </c>
      <c r="S6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9" s="150">
        <f ca="1">+IF(PROVEEDORES[[#This Row],[FECHA DE PAGO]]=0,TODAY()-PROVEEDORES[[#This Row],[FECHA DE FACTURACIÓN]]-PROVEEDORES[[#This Row],[PLAZO Días]],0)</f>
        <v>0</v>
      </c>
      <c r="U649" s="150">
        <f>+VLOOKUP(PROVEEDORES[[#This Row],[PROVEEDOR]],Terceros!$A:$E,4,FALSE)</f>
        <v>0.19</v>
      </c>
      <c r="V649" s="150">
        <f>+YEAR(PROVEEDORES[[#This Row],[FECHA DE FACTURACIÓN]])</f>
        <v>2023</v>
      </c>
      <c r="W649" s="150">
        <f>+MATCH(PROVEEDORES[[#This Row],[año facturado]],Retenciones!$1:$1,0)</f>
        <v>6</v>
      </c>
      <c r="X649" s="151" t="e">
        <f>+VLOOKUP(PROVEEDORES[[#This Row],[ID RETENCION]],Retenciones!$A$1:$O$25,PROVEEDORES[[#This Row],[indicador de columna]],FALSE)</f>
        <v>#N/A</v>
      </c>
      <c r="Y649" s="152" t="e">
        <f>+VLOOKUP(PROVEEDORES[[#This Row],[ID RETENCION]],Retenciones!$A$1:$O$25,2,FALSE)</f>
        <v>#N/A</v>
      </c>
      <c r="Z649" s="153" t="b">
        <f>+OR(COUNTIF(PROVEEDORES[[#This Row],[PROVEEDOR]],"*"&amp;'Palabra que no opera y Listas d'!$A$2&amp;"*"))</f>
        <v>1</v>
      </c>
    </row>
    <row r="650" spans="1:26" ht="27.75" customHeight="1" x14ac:dyDescent="0.3">
      <c r="A650" s="144" t="str">
        <f>+IF(PROVEEDORES[[#This Row],[FECHA DE PAGO]]=PROVEEDORES[[#This Row],[FECHA DE FACTURACIÓN]],"DE CONTADO","CRÉDITO")</f>
        <v>CRÉDITO</v>
      </c>
      <c r="B650" s="144" t="str">
        <f>+IF((PROVEEDORES[[#This Row],[FECHA DE PAGO]]-PROVEEDORES[[#This Row],[FECHA DE FACTURACIÓN]])&gt;PROVEEDORES[[#This Row],[PLAZO Días]],"PAGO VENCIDO")</f>
        <v>PAGO VENCIDO</v>
      </c>
      <c r="C650" s="144">
        <f>+VLOOKUP(PROVEEDORES[[#This Row],[PROVEEDOR]],TERCEROS_INFO[#All],2,FALSE)</f>
        <v>0</v>
      </c>
      <c r="D650" s="145">
        <f>+SUMIFS(PROVEEDORES[Total],PROVEEDORES[PROVEEDOR],PROVEEDORES[[#This Row],[PROVEEDOR]],PROVEEDORES[FECHA DE PAGO],"")</f>
        <v>181631</v>
      </c>
      <c r="E650" s="146"/>
      <c r="F650" s="144">
        <f>+VLOOKUP(PROVEEDORES[[#This Row],[PROVEEDOR]],
                       Terceros!$A:$G,
                       5,
                       FALSE)</f>
        <v>0</v>
      </c>
      <c r="G650" s="122">
        <v>45187</v>
      </c>
      <c r="H650" s="102" t="s">
        <v>383</v>
      </c>
      <c r="I650" s="122">
        <v>45170</v>
      </c>
      <c r="J650" s="103" t="s">
        <v>1088</v>
      </c>
      <c r="K650" s="103" t="s">
        <v>1512</v>
      </c>
      <c r="L650" s="103"/>
      <c r="M650" s="105">
        <v>3792544</v>
      </c>
      <c r="N650" s="147">
        <v>720583.36</v>
      </c>
      <c r="O650" s="147">
        <v>0</v>
      </c>
      <c r="P650" s="148">
        <v>0</v>
      </c>
      <c r="Q650" s="147">
        <v>0</v>
      </c>
      <c r="R650" s="149">
        <v>4513127.3600000003</v>
      </c>
      <c r="S6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0" s="150">
        <f ca="1">+IF(PROVEEDORES[[#This Row],[FECHA DE PAGO]]=0,TODAY()-PROVEEDORES[[#This Row],[FECHA DE FACTURACIÓN]]-PROVEEDORES[[#This Row],[PLAZO Días]],0)</f>
        <v>0</v>
      </c>
      <c r="U650" s="150">
        <f>+VLOOKUP(PROVEEDORES[[#This Row],[PROVEEDOR]],Terceros!$A:$E,4,FALSE)</f>
        <v>0.19</v>
      </c>
      <c r="V650" s="150">
        <f>+YEAR(PROVEEDORES[[#This Row],[FECHA DE FACTURACIÓN]])</f>
        <v>2023</v>
      </c>
      <c r="W650" s="150">
        <f>+MATCH(PROVEEDORES[[#This Row],[año facturado]],Retenciones!$1:$1,0)</f>
        <v>6</v>
      </c>
      <c r="X650" s="151" t="e">
        <f>+VLOOKUP(PROVEEDORES[[#This Row],[ID RETENCION]],Retenciones!$A$1:$O$25,PROVEEDORES[[#This Row],[indicador de columna]],FALSE)</f>
        <v>#N/A</v>
      </c>
      <c r="Y650" s="152" t="e">
        <f>+VLOOKUP(PROVEEDORES[[#This Row],[ID RETENCION]],Retenciones!$A$1:$O$25,2,FALSE)</f>
        <v>#N/A</v>
      </c>
      <c r="Z650" s="153" t="b">
        <f>+OR(COUNTIF(PROVEEDORES[[#This Row],[PROVEEDOR]],"*"&amp;'Palabra que no opera y Listas d'!$A$2&amp;"*"))</f>
        <v>1</v>
      </c>
    </row>
    <row r="651" spans="1:26" ht="27.75" customHeight="1" x14ac:dyDescent="0.3">
      <c r="A651" s="144" t="str">
        <f>+IF(PROVEEDORES[[#This Row],[FECHA DE PAGO]]=PROVEEDORES[[#This Row],[FECHA DE FACTURACIÓN]],"DE CONTADO","CRÉDITO")</f>
        <v>CRÉDITO</v>
      </c>
      <c r="B651" s="144" t="str">
        <f>+IF((PROVEEDORES[[#This Row],[FECHA DE PAGO]]-PROVEEDORES[[#This Row],[FECHA DE FACTURACIÓN]])&gt;PROVEEDORES[[#This Row],[PLAZO Días]],"PAGO VENCIDO")</f>
        <v>PAGO VENCIDO</v>
      </c>
      <c r="C651" s="144">
        <f>+VLOOKUP(PROVEEDORES[[#This Row],[PROVEEDOR]],TERCEROS_INFO[#All],2,FALSE)</f>
        <v>0</v>
      </c>
      <c r="D651" s="145">
        <f>+SUMIFS(PROVEEDORES[Total],PROVEEDORES[PROVEEDOR],PROVEEDORES[[#This Row],[PROVEEDOR]],PROVEEDORES[FECHA DE PAGO],"")</f>
        <v>0</v>
      </c>
      <c r="E651" s="146"/>
      <c r="F651" s="144">
        <f>+VLOOKUP(PROVEEDORES[[#This Row],[PROVEEDOR]],
                       Terceros!$A:$G,
                       5,
                       FALSE)</f>
        <v>0</v>
      </c>
      <c r="G651" s="122">
        <v>45187</v>
      </c>
      <c r="H651" s="102" t="s">
        <v>388</v>
      </c>
      <c r="I651" s="122">
        <v>45171</v>
      </c>
      <c r="J651" s="103" t="s">
        <v>1046</v>
      </c>
      <c r="K651" s="103" t="s">
        <v>1512</v>
      </c>
      <c r="L651" s="103"/>
      <c r="M651" s="105">
        <v>1840056</v>
      </c>
      <c r="N651" s="147">
        <v>0</v>
      </c>
      <c r="O651" s="147">
        <v>0</v>
      </c>
      <c r="P651" s="148">
        <v>0</v>
      </c>
      <c r="Q651" s="147">
        <v>0</v>
      </c>
      <c r="R651" s="149">
        <v>1840056</v>
      </c>
      <c r="S6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1" s="150">
        <f ca="1">+IF(PROVEEDORES[[#This Row],[FECHA DE PAGO]]=0,TODAY()-PROVEEDORES[[#This Row],[FECHA DE FACTURACIÓN]]-PROVEEDORES[[#This Row],[PLAZO Días]],0)</f>
        <v>0</v>
      </c>
      <c r="U651" s="150">
        <f>+VLOOKUP(PROVEEDORES[[#This Row],[PROVEEDOR]],Terceros!$A:$E,4,FALSE)</f>
        <v>0</v>
      </c>
      <c r="V651" s="150">
        <f>+YEAR(PROVEEDORES[[#This Row],[FECHA DE FACTURACIÓN]])</f>
        <v>2023</v>
      </c>
      <c r="W651" s="150">
        <f>+MATCH(PROVEEDORES[[#This Row],[año facturado]],Retenciones!$1:$1,0)</f>
        <v>6</v>
      </c>
      <c r="X651" s="151">
        <f>+VLOOKUP(PROVEEDORES[[#This Row],[ID RETENCION]],Retenciones!$A$1:$O$25,PROVEEDORES[[#This Row],[indicador de columna]],FALSE)</f>
        <v>0</v>
      </c>
      <c r="Y651" s="152">
        <f>+VLOOKUP(PROVEEDORES[[#This Row],[ID RETENCION]],Retenciones!$A$1:$O$25,2,FALSE)</f>
        <v>0</v>
      </c>
      <c r="Z651" s="153" t="b">
        <f>+OR(COUNTIF(PROVEEDORES[[#This Row],[PROVEEDOR]],"*"&amp;'Palabra que no opera y Listas d'!$A$2&amp;"*"))</f>
        <v>1</v>
      </c>
    </row>
    <row r="652" spans="1:26" ht="27.75" customHeight="1" x14ac:dyDescent="0.3">
      <c r="A652" s="144" t="str">
        <f>+IF(PROVEEDORES[[#This Row],[FECHA DE PAGO]]=PROVEEDORES[[#This Row],[FECHA DE FACTURACIÓN]],"DE CONTADO","CRÉDITO")</f>
        <v>CRÉDITO</v>
      </c>
      <c r="B652" s="144" t="str">
        <f>+IF((PROVEEDORES[[#This Row],[FECHA DE PAGO]]-PROVEEDORES[[#This Row],[FECHA DE FACTURACIÓN]])&gt;PROVEEDORES[[#This Row],[PLAZO Días]],"PAGO VENCIDO")</f>
        <v>PAGO VENCIDO</v>
      </c>
      <c r="C652" s="144">
        <f>+VLOOKUP(PROVEEDORES[[#This Row],[PROVEEDOR]],TERCEROS_INFO[#All],2,FALSE)</f>
        <v>0</v>
      </c>
      <c r="D652" s="145">
        <f>+SUMIFS(PROVEEDORES[Total],PROVEEDORES[PROVEEDOR],PROVEEDORES[[#This Row],[PROVEEDOR]],PROVEEDORES[FECHA DE PAGO],"")</f>
        <v>0</v>
      </c>
      <c r="E652" s="146"/>
      <c r="F652" s="144" t="str">
        <f>+VLOOKUP(PROVEEDORES[[#This Row],[PROVEEDOR]],
                       Terceros!$A:$G,
                       5,
                       FALSE)</f>
        <v>2,5% con base</v>
      </c>
      <c r="G652" s="122">
        <v>45187</v>
      </c>
      <c r="H652" s="102" t="s">
        <v>222</v>
      </c>
      <c r="I652" s="122">
        <v>45183</v>
      </c>
      <c r="J652" s="103" t="s">
        <v>1043</v>
      </c>
      <c r="K652" s="103" t="s">
        <v>1512</v>
      </c>
      <c r="L652" s="103"/>
      <c r="M652" s="105">
        <v>1260000</v>
      </c>
      <c r="N652" s="147">
        <v>239400</v>
      </c>
      <c r="O652" s="147">
        <v>0</v>
      </c>
      <c r="P652" s="148">
        <v>2.5000000000000001E-2</v>
      </c>
      <c r="Q652" s="147">
        <v>31500</v>
      </c>
      <c r="R652" s="149">
        <v>1467900</v>
      </c>
      <c r="S6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2" s="150">
        <f ca="1">+IF(PROVEEDORES[[#This Row],[FECHA DE PAGO]]=0,TODAY()-PROVEEDORES[[#This Row],[FECHA DE FACTURACIÓN]]-PROVEEDORES[[#This Row],[PLAZO Días]],0)</f>
        <v>0</v>
      </c>
      <c r="U652" s="150">
        <f>+VLOOKUP(PROVEEDORES[[#This Row],[PROVEEDOR]],Terceros!$A:$E,4,FALSE)</f>
        <v>0.19</v>
      </c>
      <c r="V652" s="150">
        <f>+YEAR(PROVEEDORES[[#This Row],[FECHA DE FACTURACIÓN]])</f>
        <v>2023</v>
      </c>
      <c r="W652" s="150">
        <f>+MATCH(PROVEEDORES[[#This Row],[año facturado]],Retenciones!$1:$1,0)</f>
        <v>6</v>
      </c>
      <c r="X652" s="151" t="e">
        <f>+VLOOKUP(PROVEEDORES[[#This Row],[ID RETENCION]],Retenciones!$A$1:$O$25,PROVEEDORES[[#This Row],[indicador de columna]],FALSE)</f>
        <v>#N/A</v>
      </c>
      <c r="Y652" s="152" t="e">
        <f>+VLOOKUP(PROVEEDORES[[#This Row],[ID RETENCION]],Retenciones!$A$1:$O$25,2,FALSE)</f>
        <v>#N/A</v>
      </c>
      <c r="Z652" s="153" t="b">
        <f>+OR(COUNTIF(PROVEEDORES[[#This Row],[PROVEEDOR]],"*"&amp;'Palabra que no opera y Listas d'!$A$2&amp;"*"))</f>
        <v>0</v>
      </c>
    </row>
    <row r="653" spans="1:26" ht="27.75" customHeight="1" x14ac:dyDescent="0.3">
      <c r="A653" s="144" t="str">
        <f>+IF(PROVEEDORES[[#This Row],[FECHA DE PAGO]]=PROVEEDORES[[#This Row],[FECHA DE FACTURACIÓN]],"DE CONTADO","CRÉDITO")</f>
        <v>DE CONTADO</v>
      </c>
      <c r="B653" s="144" t="b">
        <f>+IF((PROVEEDORES[[#This Row],[FECHA DE PAGO]]-PROVEEDORES[[#This Row],[FECHA DE FACTURACIÓN]])&gt;PROVEEDORES[[#This Row],[PLAZO Días]],"PAGO VENCIDO")</f>
        <v>0</v>
      </c>
      <c r="C653" s="144">
        <f>+VLOOKUP(PROVEEDORES[[#This Row],[PROVEEDOR]],TERCEROS_INFO[#All],2,FALSE)</f>
        <v>0</v>
      </c>
      <c r="D653" s="145">
        <f>+SUMIFS(PROVEEDORES[Total],PROVEEDORES[PROVEEDOR],PROVEEDORES[[#This Row],[PROVEEDOR]],PROVEEDORES[FECHA DE PAGO],"")</f>
        <v>0</v>
      </c>
      <c r="E653" s="146"/>
      <c r="F653" s="144">
        <f>+VLOOKUP(PROVEEDORES[[#This Row],[PROVEEDOR]],
                       Terceros!$A:$G,
                       5,
                       FALSE)</f>
        <v>0</v>
      </c>
      <c r="G653" s="122">
        <v>45187</v>
      </c>
      <c r="H653" s="102" t="s">
        <v>496</v>
      </c>
      <c r="I653" s="122">
        <v>45187</v>
      </c>
      <c r="J653" s="103" t="s">
        <v>1118</v>
      </c>
      <c r="K653" s="103" t="s">
        <v>1512</v>
      </c>
      <c r="L653" s="103"/>
      <c r="M653" s="105">
        <v>1348000</v>
      </c>
      <c r="N653" s="147">
        <v>0</v>
      </c>
      <c r="O653" s="147">
        <v>0</v>
      </c>
      <c r="P653" s="148">
        <v>0</v>
      </c>
      <c r="Q653" s="147">
        <v>0</v>
      </c>
      <c r="R653" s="149">
        <v>1348000</v>
      </c>
      <c r="S6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3" s="150">
        <f ca="1">+IF(PROVEEDORES[[#This Row],[FECHA DE PAGO]]=0,TODAY()-PROVEEDORES[[#This Row],[FECHA DE FACTURACIÓN]]-PROVEEDORES[[#This Row],[PLAZO Días]],0)</f>
        <v>0</v>
      </c>
      <c r="U653" s="150">
        <f>+VLOOKUP(PROVEEDORES[[#This Row],[PROVEEDOR]],Terceros!$A:$E,4,FALSE)</f>
        <v>0</v>
      </c>
      <c r="V653" s="150">
        <f>+YEAR(PROVEEDORES[[#This Row],[FECHA DE FACTURACIÓN]])</f>
        <v>2023</v>
      </c>
      <c r="W653" s="150">
        <f>+MATCH(PROVEEDORES[[#This Row],[año facturado]],Retenciones!$1:$1,0)</f>
        <v>6</v>
      </c>
      <c r="X653" s="151">
        <f>+VLOOKUP(PROVEEDORES[[#This Row],[ID RETENCION]],Retenciones!$A$1:$O$25,PROVEEDORES[[#This Row],[indicador de columna]],FALSE)</f>
        <v>0</v>
      </c>
      <c r="Y653" s="152">
        <f>+VLOOKUP(PROVEEDORES[[#This Row],[ID RETENCION]],Retenciones!$A$1:$O$25,2,FALSE)</f>
        <v>0</v>
      </c>
      <c r="Z653" s="153" t="b">
        <f>+OR(COUNTIF(PROVEEDORES[[#This Row],[PROVEEDOR]],"*"&amp;'Palabra que no opera y Listas d'!$A$2&amp;"*"))</f>
        <v>0</v>
      </c>
    </row>
    <row r="654" spans="1:26" ht="27.75" customHeight="1" x14ac:dyDescent="0.3">
      <c r="A654" s="144" t="str">
        <f>+IF(PROVEEDORES[[#This Row],[FECHA DE PAGO]]=PROVEEDORES[[#This Row],[FECHA DE FACTURACIÓN]],"DE CONTADO","CRÉDITO")</f>
        <v>CRÉDITO</v>
      </c>
      <c r="B654" s="144" t="str">
        <f>+IF((PROVEEDORES[[#This Row],[FECHA DE PAGO]]-PROVEEDORES[[#This Row],[FECHA DE FACTURACIÓN]])&gt;PROVEEDORES[[#This Row],[PLAZO Días]],"PAGO VENCIDO")</f>
        <v>PAGO VENCIDO</v>
      </c>
      <c r="C654" s="144">
        <f>+VLOOKUP(PROVEEDORES[[#This Row],[PROVEEDOR]],TERCEROS_INFO[#All],2,FALSE)</f>
        <v>0</v>
      </c>
      <c r="D654" s="145">
        <f>+SUMIFS(PROVEEDORES[Total],PROVEEDORES[PROVEEDOR],PROVEEDORES[[#This Row],[PROVEEDOR]],PROVEEDORES[FECHA DE PAGO],"")</f>
        <v>0</v>
      </c>
      <c r="E654" s="146"/>
      <c r="F654" s="144" t="str">
        <f>+VLOOKUP(PROVEEDORES[[#This Row],[PROVEEDOR]],
                       Terceros!$A:$G,
                       5,
                       FALSE)</f>
        <v>3,5% sin base</v>
      </c>
      <c r="G654" s="122">
        <v>45188</v>
      </c>
      <c r="H654" s="102" t="s">
        <v>398</v>
      </c>
      <c r="I654" s="122">
        <v>45170</v>
      </c>
      <c r="J654" s="103" t="s">
        <v>1049</v>
      </c>
      <c r="K654" s="103" t="s">
        <v>1512</v>
      </c>
      <c r="L654" s="103"/>
      <c r="M654" s="105">
        <v>3935776</v>
      </c>
      <c r="N654" s="147">
        <v>747797.44000000006</v>
      </c>
      <c r="O654" s="147">
        <v>0</v>
      </c>
      <c r="P654" s="148">
        <v>3.5000000000000003E-2</v>
      </c>
      <c r="Q654" s="147">
        <v>137752.16</v>
      </c>
      <c r="R654" s="149">
        <v>4545821.28</v>
      </c>
      <c r="S6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4" s="150">
        <f ca="1">+IF(PROVEEDORES[[#This Row],[FECHA DE PAGO]]=0,TODAY()-PROVEEDORES[[#This Row],[FECHA DE FACTURACIÓN]]-PROVEEDORES[[#This Row],[PLAZO Días]],0)</f>
        <v>0</v>
      </c>
      <c r="U654" s="150">
        <f>+VLOOKUP(PROVEEDORES[[#This Row],[PROVEEDOR]],Terceros!$A:$E,4,FALSE)</f>
        <v>0.19</v>
      </c>
      <c r="V654" s="150">
        <f>+YEAR(PROVEEDORES[[#This Row],[FECHA DE FACTURACIÓN]])</f>
        <v>2023</v>
      </c>
      <c r="W654" s="150">
        <f>+MATCH(PROVEEDORES[[#This Row],[año facturado]],Retenciones!$1:$1,0)</f>
        <v>6</v>
      </c>
      <c r="X654" s="151" t="e">
        <f>+VLOOKUP(PROVEEDORES[[#This Row],[ID RETENCION]],Retenciones!$A$1:$O$25,PROVEEDORES[[#This Row],[indicador de columna]],FALSE)</f>
        <v>#N/A</v>
      </c>
      <c r="Y654" s="152" t="e">
        <f>+VLOOKUP(PROVEEDORES[[#This Row],[ID RETENCION]],Retenciones!$A$1:$O$25,2,FALSE)</f>
        <v>#N/A</v>
      </c>
      <c r="Z654" s="153" t="b">
        <f>+OR(COUNTIF(PROVEEDORES[[#This Row],[PROVEEDOR]],"*"&amp;'Palabra que no opera y Listas d'!$A$2&amp;"*"))</f>
        <v>1</v>
      </c>
    </row>
    <row r="655" spans="1:26" ht="27.75" customHeight="1" x14ac:dyDescent="0.3">
      <c r="A655" s="144" t="str">
        <f>+IF(PROVEEDORES[[#This Row],[FECHA DE PAGO]]=PROVEEDORES[[#This Row],[FECHA DE FACTURACIÓN]],"DE CONTADO","CRÉDITO")</f>
        <v>CRÉDITO</v>
      </c>
      <c r="B655" s="144" t="str">
        <f>+IF((PROVEEDORES[[#This Row],[FECHA DE PAGO]]-PROVEEDORES[[#This Row],[FECHA DE FACTURACIÓN]])&gt;PROVEEDORES[[#This Row],[PLAZO Días]],"PAGO VENCIDO")</f>
        <v>PAGO VENCIDO</v>
      </c>
      <c r="C655" s="144">
        <f>+VLOOKUP(PROVEEDORES[[#This Row],[PROVEEDOR]],TERCEROS_INFO[#All],2,FALSE)</f>
        <v>0</v>
      </c>
      <c r="D655" s="145">
        <f>+SUMIFS(PROVEEDORES[Total],PROVEEDORES[PROVEEDOR],PROVEEDORES[[#This Row],[PROVEEDOR]],PROVEEDORES[FECHA DE PAGO],"")</f>
        <v>0</v>
      </c>
      <c r="E655" s="146"/>
      <c r="F655" s="144">
        <f>+VLOOKUP(PROVEEDORES[[#This Row],[PROVEEDOR]],
                       Terceros!$A:$G,
                       5,
                       FALSE)</f>
        <v>0</v>
      </c>
      <c r="G655" s="122">
        <v>45188</v>
      </c>
      <c r="H655" s="102" t="s">
        <v>496</v>
      </c>
      <c r="I655" s="122">
        <v>45187</v>
      </c>
      <c r="J655" s="103" t="s">
        <v>1119</v>
      </c>
      <c r="K655" s="103" t="s">
        <v>1512</v>
      </c>
      <c r="L655" s="103"/>
      <c r="M655" s="105">
        <v>5788000</v>
      </c>
      <c r="N655" s="147">
        <v>0</v>
      </c>
      <c r="O655" s="147">
        <v>0</v>
      </c>
      <c r="P655" s="148">
        <v>0</v>
      </c>
      <c r="Q655" s="147">
        <v>0</v>
      </c>
      <c r="R655" s="149">
        <v>5788000</v>
      </c>
      <c r="S6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5" s="150">
        <f ca="1">+IF(PROVEEDORES[[#This Row],[FECHA DE PAGO]]=0,TODAY()-PROVEEDORES[[#This Row],[FECHA DE FACTURACIÓN]]-PROVEEDORES[[#This Row],[PLAZO Días]],0)</f>
        <v>0</v>
      </c>
      <c r="U655" s="150">
        <f>+VLOOKUP(PROVEEDORES[[#This Row],[PROVEEDOR]],Terceros!$A:$E,4,FALSE)</f>
        <v>0</v>
      </c>
      <c r="V655" s="150">
        <f>+YEAR(PROVEEDORES[[#This Row],[FECHA DE FACTURACIÓN]])</f>
        <v>2023</v>
      </c>
      <c r="W655" s="150">
        <f>+MATCH(PROVEEDORES[[#This Row],[año facturado]],Retenciones!$1:$1,0)</f>
        <v>6</v>
      </c>
      <c r="X655" s="151">
        <f>+VLOOKUP(PROVEEDORES[[#This Row],[ID RETENCION]],Retenciones!$A$1:$O$25,PROVEEDORES[[#This Row],[indicador de columna]],FALSE)</f>
        <v>0</v>
      </c>
      <c r="Y655" s="152">
        <f>+VLOOKUP(PROVEEDORES[[#This Row],[ID RETENCION]],Retenciones!$A$1:$O$25,2,FALSE)</f>
        <v>0</v>
      </c>
      <c r="Z655" s="153" t="b">
        <f>+OR(COUNTIF(PROVEEDORES[[#This Row],[PROVEEDOR]],"*"&amp;'Palabra que no opera y Listas d'!$A$2&amp;"*"))</f>
        <v>0</v>
      </c>
    </row>
    <row r="656" spans="1:26" ht="27.75" customHeight="1" x14ac:dyDescent="0.3">
      <c r="A656" s="144" t="str">
        <f>+IF(PROVEEDORES[[#This Row],[FECHA DE PAGO]]=PROVEEDORES[[#This Row],[FECHA DE FACTURACIÓN]],"DE CONTADO","CRÉDITO")</f>
        <v>DE CONTADO</v>
      </c>
      <c r="B656" s="144" t="b">
        <f>+IF((PROVEEDORES[[#This Row],[FECHA DE PAGO]]-PROVEEDORES[[#This Row],[FECHA DE FACTURACIÓN]])&gt;PROVEEDORES[[#This Row],[PLAZO Días]],"PAGO VENCIDO")</f>
        <v>0</v>
      </c>
      <c r="C656" s="144">
        <f>+VLOOKUP(PROVEEDORES[[#This Row],[PROVEEDOR]],TERCEROS_INFO[#All],2,FALSE)</f>
        <v>0</v>
      </c>
      <c r="D656" s="145">
        <f>+SUMIFS(PROVEEDORES[Total],PROVEEDORES[PROVEEDOR],PROVEEDORES[[#This Row],[PROVEEDOR]],PROVEEDORES[FECHA DE PAGO],"")</f>
        <v>0</v>
      </c>
      <c r="E656" s="146"/>
      <c r="F656" s="144">
        <f>+VLOOKUP(PROVEEDORES[[#This Row],[PROVEEDOR]],
                       Terceros!$A:$G,
                       5,
                       FALSE)</f>
        <v>0</v>
      </c>
      <c r="G656" s="122">
        <v>45188</v>
      </c>
      <c r="H656" s="102" t="s">
        <v>907</v>
      </c>
      <c r="I656" s="122">
        <v>45188</v>
      </c>
      <c r="J656" s="103" t="s">
        <v>1113</v>
      </c>
      <c r="K656" s="103" t="s">
        <v>1512</v>
      </c>
      <c r="L656" s="103"/>
      <c r="M656" s="105">
        <v>309000</v>
      </c>
      <c r="N656" s="147">
        <v>0</v>
      </c>
      <c r="O656" s="147">
        <v>0</v>
      </c>
      <c r="P656" s="148">
        <v>0</v>
      </c>
      <c r="Q656" s="147">
        <v>0</v>
      </c>
      <c r="R656" s="149">
        <v>309000</v>
      </c>
      <c r="S6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6" s="150">
        <f ca="1">+IF(PROVEEDORES[[#This Row],[FECHA DE PAGO]]=0,TODAY()-PROVEEDORES[[#This Row],[FECHA DE FACTURACIÓN]]-PROVEEDORES[[#This Row],[PLAZO Días]],0)</f>
        <v>0</v>
      </c>
      <c r="U656" s="150">
        <f>+VLOOKUP(PROVEEDORES[[#This Row],[PROVEEDOR]],Terceros!$A:$E,4,FALSE)</f>
        <v>0</v>
      </c>
      <c r="V656" s="150">
        <f>+YEAR(PROVEEDORES[[#This Row],[FECHA DE FACTURACIÓN]])</f>
        <v>2023</v>
      </c>
      <c r="W656" s="150">
        <f>+MATCH(PROVEEDORES[[#This Row],[año facturado]],Retenciones!$1:$1,0)</f>
        <v>6</v>
      </c>
      <c r="X656" s="151">
        <f>+VLOOKUP(PROVEEDORES[[#This Row],[ID RETENCION]],Retenciones!$A$1:$O$25,PROVEEDORES[[#This Row],[indicador de columna]],FALSE)</f>
        <v>0</v>
      </c>
      <c r="Y656" s="152">
        <f>+VLOOKUP(PROVEEDORES[[#This Row],[ID RETENCION]],Retenciones!$A$1:$O$25,2,FALSE)</f>
        <v>0</v>
      </c>
      <c r="Z656" s="153" t="b">
        <f>+OR(COUNTIF(PROVEEDORES[[#This Row],[PROVEEDOR]],"*"&amp;'Palabra que no opera y Listas d'!$A$2&amp;"*"))</f>
        <v>0</v>
      </c>
    </row>
    <row r="657" spans="1:26" ht="27.75" customHeight="1" x14ac:dyDescent="0.3">
      <c r="A657" s="144" t="str">
        <f>+IF(PROVEEDORES[[#This Row],[FECHA DE PAGO]]=PROVEEDORES[[#This Row],[FECHA DE FACTURACIÓN]],"DE CONTADO","CRÉDITO")</f>
        <v>CRÉDITO</v>
      </c>
      <c r="B657" s="144" t="str">
        <f>+IF((PROVEEDORES[[#This Row],[FECHA DE PAGO]]-PROVEEDORES[[#This Row],[FECHA DE FACTURACIÓN]])&gt;PROVEEDORES[[#This Row],[PLAZO Días]],"PAGO VENCIDO")</f>
        <v>PAGO VENCIDO</v>
      </c>
      <c r="C657" s="144">
        <f>+VLOOKUP(PROVEEDORES[[#This Row],[PROVEEDOR]],TERCEROS_INFO[#All],2,FALSE)</f>
        <v>0</v>
      </c>
      <c r="D657" s="145">
        <f>+SUMIFS(PROVEEDORES[Total],PROVEEDORES[PROVEEDOR],PROVEEDORES[[#This Row],[PROVEEDOR]],PROVEEDORES[FECHA DE PAGO],"")</f>
        <v>0</v>
      </c>
      <c r="E657" s="146"/>
      <c r="F657" s="144" t="str">
        <f>+VLOOKUP(PROVEEDORES[[#This Row],[PROVEEDOR]],
                       Terceros!$A:$G,
                       5,
                       FALSE)</f>
        <v>2,5% con base</v>
      </c>
      <c r="G657" s="122">
        <v>45189</v>
      </c>
      <c r="H657" s="102" t="s">
        <v>19</v>
      </c>
      <c r="I657" s="122">
        <v>45117</v>
      </c>
      <c r="J657" s="103" t="s">
        <v>919</v>
      </c>
      <c r="K657" s="103" t="s">
        <v>1512</v>
      </c>
      <c r="L657" s="103"/>
      <c r="M657" s="105">
        <v>721284</v>
      </c>
      <c r="N657" s="147">
        <v>137043.96</v>
      </c>
      <c r="O657" s="147">
        <v>0</v>
      </c>
      <c r="P657" s="148">
        <v>0</v>
      </c>
      <c r="Q657" s="147">
        <v>0</v>
      </c>
      <c r="R657" s="149">
        <v>858327.96</v>
      </c>
      <c r="S6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7" s="150">
        <f ca="1">+IF(PROVEEDORES[[#This Row],[FECHA DE PAGO]]=0,TODAY()-PROVEEDORES[[#This Row],[FECHA DE FACTURACIÓN]]-PROVEEDORES[[#This Row],[PLAZO Días]],0)</f>
        <v>0</v>
      </c>
      <c r="U657" s="150">
        <f>+VLOOKUP(PROVEEDORES[[#This Row],[PROVEEDOR]],Terceros!$A:$E,4,FALSE)</f>
        <v>0.19</v>
      </c>
      <c r="V657" s="150">
        <f>+YEAR(PROVEEDORES[[#This Row],[FECHA DE FACTURACIÓN]])</f>
        <v>2023</v>
      </c>
      <c r="W657" s="150">
        <f>+MATCH(PROVEEDORES[[#This Row],[año facturado]],Retenciones!$1:$1,0)</f>
        <v>6</v>
      </c>
      <c r="X657" s="151" t="e">
        <f>+VLOOKUP(PROVEEDORES[[#This Row],[ID RETENCION]],Retenciones!$A$1:$O$25,PROVEEDORES[[#This Row],[indicador de columna]],FALSE)</f>
        <v>#N/A</v>
      </c>
      <c r="Y657" s="152" t="e">
        <f>+VLOOKUP(PROVEEDORES[[#This Row],[ID RETENCION]],Retenciones!$A$1:$O$25,2,FALSE)</f>
        <v>#N/A</v>
      </c>
      <c r="Z657" s="153" t="b">
        <f>+OR(COUNTIF(PROVEEDORES[[#This Row],[PROVEEDOR]],"*"&amp;'Palabra que no opera y Listas d'!$A$2&amp;"*"))</f>
        <v>0</v>
      </c>
    </row>
    <row r="658" spans="1:26" ht="27.75" customHeight="1" x14ac:dyDescent="0.3">
      <c r="A658" s="144" t="str">
        <f>+IF(PROVEEDORES[[#This Row],[FECHA DE PAGO]]=PROVEEDORES[[#This Row],[FECHA DE FACTURACIÓN]],"DE CONTADO","CRÉDITO")</f>
        <v>CRÉDITO</v>
      </c>
      <c r="B658" s="144" t="str">
        <f>+IF((PROVEEDORES[[#This Row],[FECHA DE PAGO]]-PROVEEDORES[[#This Row],[FECHA DE FACTURACIÓN]])&gt;PROVEEDORES[[#This Row],[PLAZO Días]],"PAGO VENCIDO")</f>
        <v>PAGO VENCIDO</v>
      </c>
      <c r="C658" s="144">
        <f>+VLOOKUP(PROVEEDORES[[#This Row],[PROVEEDOR]],TERCEROS_INFO[#All],2,FALSE)</f>
        <v>0</v>
      </c>
      <c r="D658" s="145">
        <f>+SUMIFS(PROVEEDORES[Total],PROVEEDORES[PROVEEDOR],PROVEEDORES[[#This Row],[PROVEEDOR]],PROVEEDORES[FECHA DE PAGO],"")</f>
        <v>31839627.134999998</v>
      </c>
      <c r="E658" s="146"/>
      <c r="F658" s="144" t="str">
        <f>+VLOOKUP(PROVEEDORES[[#This Row],[PROVEEDOR]],
                       Terceros!$A:$G,
                       5,
                       FALSE)</f>
        <v>2,5% con base</v>
      </c>
      <c r="G658" s="122">
        <v>45189</v>
      </c>
      <c r="H658" s="102" t="s">
        <v>17</v>
      </c>
      <c r="I658" s="122">
        <v>45128</v>
      </c>
      <c r="J658" s="103" t="s">
        <v>918</v>
      </c>
      <c r="K658" s="103" t="s">
        <v>1512</v>
      </c>
      <c r="L658" s="103"/>
      <c r="M658" s="105">
        <v>3393918</v>
      </c>
      <c r="N658" s="147">
        <v>644844.42000000004</v>
      </c>
      <c r="O658" s="147">
        <v>0</v>
      </c>
      <c r="P658" s="148">
        <v>2.5000000000000001E-2</v>
      </c>
      <c r="Q658" s="147">
        <v>84847.950000000012</v>
      </c>
      <c r="R658" s="149">
        <v>3953914.4699999997</v>
      </c>
      <c r="S6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8" s="150">
        <f ca="1">+IF(PROVEEDORES[[#This Row],[FECHA DE PAGO]]=0,TODAY()-PROVEEDORES[[#This Row],[FECHA DE FACTURACIÓN]]-PROVEEDORES[[#This Row],[PLAZO Días]],0)</f>
        <v>0</v>
      </c>
      <c r="U658" s="150">
        <f>+VLOOKUP(PROVEEDORES[[#This Row],[PROVEEDOR]],Terceros!$A:$E,4,FALSE)</f>
        <v>0.19</v>
      </c>
      <c r="V658" s="150">
        <f>+YEAR(PROVEEDORES[[#This Row],[FECHA DE FACTURACIÓN]])</f>
        <v>2023</v>
      </c>
      <c r="W658" s="150">
        <f>+MATCH(PROVEEDORES[[#This Row],[año facturado]],Retenciones!$1:$1,0)</f>
        <v>6</v>
      </c>
      <c r="X658" s="151" t="e">
        <f>+VLOOKUP(PROVEEDORES[[#This Row],[ID RETENCION]],Retenciones!$A$1:$O$25,PROVEEDORES[[#This Row],[indicador de columna]],FALSE)</f>
        <v>#N/A</v>
      </c>
      <c r="Y658" s="152" t="e">
        <f>+VLOOKUP(PROVEEDORES[[#This Row],[ID RETENCION]],Retenciones!$A$1:$O$25,2,FALSE)</f>
        <v>#N/A</v>
      </c>
      <c r="Z658" s="153" t="b">
        <f>+OR(COUNTIF(PROVEEDORES[[#This Row],[PROVEEDOR]],"*"&amp;'Palabra que no opera y Listas d'!$A$2&amp;"*"))</f>
        <v>0</v>
      </c>
    </row>
    <row r="659" spans="1:26" ht="27.75" customHeight="1" x14ac:dyDescent="0.3">
      <c r="A659" s="144" t="str">
        <f>+IF(PROVEEDORES[[#This Row],[FECHA DE PAGO]]=PROVEEDORES[[#This Row],[FECHA DE FACTURACIÓN]],"DE CONTADO","CRÉDITO")</f>
        <v>CRÉDITO</v>
      </c>
      <c r="B659" s="144" t="str">
        <f>+IF((PROVEEDORES[[#This Row],[FECHA DE PAGO]]-PROVEEDORES[[#This Row],[FECHA DE FACTURACIÓN]])&gt;PROVEEDORES[[#This Row],[PLAZO Días]],"PAGO VENCIDO")</f>
        <v>PAGO VENCIDO</v>
      </c>
      <c r="C659" s="144">
        <f>+VLOOKUP(PROVEEDORES[[#This Row],[PROVEEDOR]],TERCEROS_INFO[#All],2,FALSE)</f>
        <v>0</v>
      </c>
      <c r="D659" s="145">
        <f>+SUMIFS(PROVEEDORES[Total],PROVEEDORES[PROVEEDOR],PROVEEDORES[[#This Row],[PROVEEDOR]],PROVEEDORES[FECHA DE PAGO],"")</f>
        <v>31839627.134999998</v>
      </c>
      <c r="E659" s="146"/>
      <c r="F659" s="144" t="str">
        <f>+VLOOKUP(PROVEEDORES[[#This Row],[PROVEEDOR]],
                       Terceros!$A:$G,
                       5,
                       FALSE)</f>
        <v>2,5% con base</v>
      </c>
      <c r="G659" s="122">
        <v>45189</v>
      </c>
      <c r="H659" s="102" t="s">
        <v>17</v>
      </c>
      <c r="I659" s="122">
        <v>45134</v>
      </c>
      <c r="J659" s="103" t="s">
        <v>1042</v>
      </c>
      <c r="K659" s="103" t="s">
        <v>1512</v>
      </c>
      <c r="L659" s="103"/>
      <c r="M659" s="105">
        <v>8431200</v>
      </c>
      <c r="N659" s="147">
        <v>1601928</v>
      </c>
      <c r="O659" s="147">
        <v>0</v>
      </c>
      <c r="P659" s="148">
        <v>2.5000000000000001E-2</v>
      </c>
      <c r="Q659" s="147">
        <v>210780</v>
      </c>
      <c r="R659" s="149">
        <v>9822348</v>
      </c>
      <c r="S6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9" s="150">
        <f ca="1">+IF(PROVEEDORES[[#This Row],[FECHA DE PAGO]]=0,TODAY()-PROVEEDORES[[#This Row],[FECHA DE FACTURACIÓN]]-PROVEEDORES[[#This Row],[PLAZO Días]],0)</f>
        <v>0</v>
      </c>
      <c r="U659" s="150">
        <f>+VLOOKUP(PROVEEDORES[[#This Row],[PROVEEDOR]],Terceros!$A:$E,4,FALSE)</f>
        <v>0.19</v>
      </c>
      <c r="V659" s="150">
        <f>+YEAR(PROVEEDORES[[#This Row],[FECHA DE FACTURACIÓN]])</f>
        <v>2023</v>
      </c>
      <c r="W659" s="150">
        <f>+MATCH(PROVEEDORES[[#This Row],[año facturado]],Retenciones!$1:$1,0)</f>
        <v>6</v>
      </c>
      <c r="X659" s="151" t="e">
        <f>+VLOOKUP(PROVEEDORES[[#This Row],[ID RETENCION]],Retenciones!$A$1:$O$25,PROVEEDORES[[#This Row],[indicador de columna]],FALSE)</f>
        <v>#N/A</v>
      </c>
      <c r="Y659" s="152" t="e">
        <f>+VLOOKUP(PROVEEDORES[[#This Row],[ID RETENCION]],Retenciones!$A$1:$O$25,2,FALSE)</f>
        <v>#N/A</v>
      </c>
      <c r="Z659" s="153" t="b">
        <f>+OR(COUNTIF(PROVEEDORES[[#This Row],[PROVEEDOR]],"*"&amp;'Palabra que no opera y Listas d'!$A$2&amp;"*"))</f>
        <v>0</v>
      </c>
    </row>
    <row r="660" spans="1:26" ht="27.75" customHeight="1" x14ac:dyDescent="0.3">
      <c r="A660" s="144" t="str">
        <f>+IF(PROVEEDORES[[#This Row],[FECHA DE PAGO]]=PROVEEDORES[[#This Row],[FECHA DE FACTURACIÓN]],"DE CONTADO","CRÉDITO")</f>
        <v>CRÉDITO</v>
      </c>
      <c r="B660" s="144" t="str">
        <f>+IF((PROVEEDORES[[#This Row],[FECHA DE PAGO]]-PROVEEDORES[[#This Row],[FECHA DE FACTURACIÓN]])&gt;PROVEEDORES[[#This Row],[PLAZO Días]],"PAGO VENCIDO")</f>
        <v>PAGO VENCIDO</v>
      </c>
      <c r="C660" s="144">
        <f>+VLOOKUP(PROVEEDORES[[#This Row],[PROVEEDOR]],TERCEROS_INFO[#All],2,FALSE)</f>
        <v>0</v>
      </c>
      <c r="D660" s="145">
        <f>+SUMIFS(PROVEEDORES[Total],PROVEEDORES[PROVEEDOR],PROVEEDORES[[#This Row],[PROVEEDOR]],PROVEEDORES[FECHA DE PAGO],"")</f>
        <v>7281829.8799999999</v>
      </c>
      <c r="E660" s="146"/>
      <c r="F660" s="144" t="str">
        <f>+VLOOKUP(PROVEEDORES[[#This Row],[PROVEEDOR]],
                       Terceros!$A:$G,
                       5,
                       FALSE)</f>
        <v>2,5% con base</v>
      </c>
      <c r="G660" s="122">
        <v>45190</v>
      </c>
      <c r="H660" s="102" t="s">
        <v>1445</v>
      </c>
      <c r="I660" s="122">
        <v>45139</v>
      </c>
      <c r="J660" s="103" t="s">
        <v>1005</v>
      </c>
      <c r="K660" s="103" t="s">
        <v>1512</v>
      </c>
      <c r="L660" s="103"/>
      <c r="M660" s="105">
        <v>25562</v>
      </c>
      <c r="N660" s="147">
        <v>4856.78</v>
      </c>
      <c r="O660" s="147">
        <v>0</v>
      </c>
      <c r="P660" s="148">
        <v>0</v>
      </c>
      <c r="Q660" s="147">
        <v>0</v>
      </c>
      <c r="R660" s="149">
        <v>30418.78</v>
      </c>
      <c r="S6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0" s="150">
        <f ca="1">+IF(PROVEEDORES[[#This Row],[FECHA DE PAGO]]=0,TODAY()-PROVEEDORES[[#This Row],[FECHA DE FACTURACIÓN]]-PROVEEDORES[[#This Row],[PLAZO Días]],0)</f>
        <v>0</v>
      </c>
      <c r="U660" s="150">
        <f>+VLOOKUP(PROVEEDORES[[#This Row],[PROVEEDOR]],Terceros!$A:$E,4,FALSE)</f>
        <v>0.19</v>
      </c>
      <c r="V660" s="150">
        <f>+YEAR(PROVEEDORES[[#This Row],[FECHA DE FACTURACIÓN]])</f>
        <v>2023</v>
      </c>
      <c r="W660" s="150">
        <f>+MATCH(PROVEEDORES[[#This Row],[año facturado]],Retenciones!$1:$1,0)</f>
        <v>6</v>
      </c>
      <c r="X660" s="151" t="e">
        <f>+VLOOKUP(PROVEEDORES[[#This Row],[ID RETENCION]],Retenciones!$A$1:$O$25,PROVEEDORES[[#This Row],[indicador de columna]],FALSE)</f>
        <v>#N/A</v>
      </c>
      <c r="Y660" s="152" t="e">
        <f>+VLOOKUP(PROVEEDORES[[#This Row],[ID RETENCION]],Retenciones!$A$1:$O$25,2,FALSE)</f>
        <v>#N/A</v>
      </c>
      <c r="Z660" s="153" t="b">
        <f>+OR(COUNTIF(PROVEEDORES[[#This Row],[PROVEEDOR]],"*"&amp;'Palabra que no opera y Listas d'!$A$2&amp;"*"))</f>
        <v>0</v>
      </c>
    </row>
    <row r="661" spans="1:26" ht="27.75" customHeight="1" x14ac:dyDescent="0.3">
      <c r="A661" s="144" t="str">
        <f>+IF(PROVEEDORES[[#This Row],[FECHA DE PAGO]]=PROVEEDORES[[#This Row],[FECHA DE FACTURACIÓN]],"DE CONTADO","CRÉDITO")</f>
        <v>CRÉDITO</v>
      </c>
      <c r="B661" s="144" t="str">
        <f>+IF((PROVEEDORES[[#This Row],[FECHA DE PAGO]]-PROVEEDORES[[#This Row],[FECHA DE FACTURACIÓN]])&gt;PROVEEDORES[[#This Row],[PLAZO Días]],"PAGO VENCIDO")</f>
        <v>PAGO VENCIDO</v>
      </c>
      <c r="C661" s="144">
        <f>+VLOOKUP(PROVEEDORES[[#This Row],[PROVEEDOR]],TERCEROS_INFO[#All],2,FALSE)</f>
        <v>0</v>
      </c>
      <c r="D661" s="145" t="e">
        <f>+SUMIFS(PROVEEDORES[Total],PROVEEDORES[PROVEEDOR],PROVEEDORES[[#This Row],[PROVEEDOR]],PROVEEDORES[FECHA DE PAGO],"")</f>
        <v>#N/A</v>
      </c>
      <c r="E661" s="146"/>
      <c r="F661" s="144">
        <f>+VLOOKUP(PROVEEDORES[[#This Row],[PROVEEDOR]],
                       Terceros!$A:$G,
                       5,
                       FALSE)</f>
        <v>0</v>
      </c>
      <c r="G661" s="122">
        <v>45190</v>
      </c>
      <c r="H661" s="102" t="s">
        <v>16</v>
      </c>
      <c r="I661" s="122">
        <v>45160</v>
      </c>
      <c r="J661" s="103" t="s">
        <v>996</v>
      </c>
      <c r="K661" s="103" t="s">
        <v>1512</v>
      </c>
      <c r="L661" s="103"/>
      <c r="M661" s="105">
        <v>614158</v>
      </c>
      <c r="N661" s="147">
        <v>116690.02</v>
      </c>
      <c r="O661" s="147">
        <v>0</v>
      </c>
      <c r="P661" s="148">
        <v>0</v>
      </c>
      <c r="Q661" s="147">
        <v>0</v>
      </c>
      <c r="R661" s="149">
        <v>730848.02</v>
      </c>
      <c r="S6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1" s="150">
        <f ca="1">+IF(PROVEEDORES[[#This Row],[FECHA DE PAGO]]=0,TODAY()-PROVEEDORES[[#This Row],[FECHA DE FACTURACIÓN]]-PROVEEDORES[[#This Row],[PLAZO Días]],0)</f>
        <v>0</v>
      </c>
      <c r="U661" s="150">
        <f>+VLOOKUP(PROVEEDORES[[#This Row],[PROVEEDOR]],Terceros!$A:$E,4,FALSE)</f>
        <v>0.19</v>
      </c>
      <c r="V661" s="150">
        <f>+YEAR(PROVEEDORES[[#This Row],[FECHA DE FACTURACIÓN]])</f>
        <v>2023</v>
      </c>
      <c r="W661" s="150">
        <f>+MATCH(PROVEEDORES[[#This Row],[año facturado]],Retenciones!$1:$1,0)</f>
        <v>6</v>
      </c>
      <c r="X661" s="151" t="e">
        <f>+VLOOKUP(PROVEEDORES[[#This Row],[ID RETENCION]],Retenciones!$A$1:$O$25,PROVEEDORES[[#This Row],[indicador de columna]],FALSE)</f>
        <v>#N/A</v>
      </c>
      <c r="Y661" s="152" t="e">
        <f>+VLOOKUP(PROVEEDORES[[#This Row],[ID RETENCION]],Retenciones!$A$1:$O$25,2,FALSE)</f>
        <v>#N/A</v>
      </c>
      <c r="Z661" s="153" t="b">
        <f>+OR(COUNTIF(PROVEEDORES[[#This Row],[PROVEEDOR]],"*"&amp;'Palabra que no opera y Listas d'!$A$2&amp;"*"))</f>
        <v>0</v>
      </c>
    </row>
    <row r="662" spans="1:26" ht="27.75" customHeight="1" x14ac:dyDescent="0.3">
      <c r="A662" s="144" t="str">
        <f>+IF(PROVEEDORES[[#This Row],[FECHA DE PAGO]]=PROVEEDORES[[#This Row],[FECHA DE FACTURACIÓN]],"DE CONTADO","CRÉDITO")</f>
        <v>CRÉDITO</v>
      </c>
      <c r="B662" s="144" t="str">
        <f>+IF((PROVEEDORES[[#This Row],[FECHA DE PAGO]]-PROVEEDORES[[#This Row],[FECHA DE FACTURACIÓN]])&gt;PROVEEDORES[[#This Row],[PLAZO Días]],"PAGO VENCIDO")</f>
        <v>PAGO VENCIDO</v>
      </c>
      <c r="C662" s="144">
        <f>+VLOOKUP(PROVEEDORES[[#This Row],[PROVEEDOR]],TERCEROS_INFO[#All],2,FALSE)</f>
        <v>0</v>
      </c>
      <c r="D662" s="145">
        <f>+SUMIFS(PROVEEDORES[Total],PROVEEDORES[PROVEEDOR],PROVEEDORES[[#This Row],[PROVEEDOR]],PROVEEDORES[FECHA DE PAGO],"")</f>
        <v>9349257.8100000005</v>
      </c>
      <c r="E662" s="146"/>
      <c r="F662" s="144" t="str">
        <f>+VLOOKUP(PROVEEDORES[[#This Row],[PROVEEDOR]],
                       Terceros!$A:$G,
                       5,
                       FALSE)</f>
        <v>2,5% con base</v>
      </c>
      <c r="G662" s="122">
        <v>45191</v>
      </c>
      <c r="H662" s="102" t="s">
        <v>242</v>
      </c>
      <c r="I662" s="122">
        <v>45108</v>
      </c>
      <c r="J662" s="103" t="s">
        <v>928</v>
      </c>
      <c r="K662" s="103" t="s">
        <v>1512</v>
      </c>
      <c r="L662" s="103"/>
      <c r="M662" s="105">
        <v>4879238</v>
      </c>
      <c r="N662" s="147">
        <v>927055.22</v>
      </c>
      <c r="O662" s="147">
        <v>0</v>
      </c>
      <c r="P662" s="148">
        <v>2.5000000000000001E-2</v>
      </c>
      <c r="Q662" s="147">
        <v>121980.95000000001</v>
      </c>
      <c r="R662" s="149">
        <v>5684312.2699999996</v>
      </c>
      <c r="S6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2" s="150">
        <f ca="1">+IF(PROVEEDORES[[#This Row],[FECHA DE PAGO]]=0,TODAY()-PROVEEDORES[[#This Row],[FECHA DE FACTURACIÓN]]-PROVEEDORES[[#This Row],[PLAZO Días]],0)</f>
        <v>0</v>
      </c>
      <c r="U662" s="150">
        <f>+VLOOKUP(PROVEEDORES[[#This Row],[PROVEEDOR]],Terceros!$A:$E,4,FALSE)</f>
        <v>0.19</v>
      </c>
      <c r="V662" s="150">
        <f>+YEAR(PROVEEDORES[[#This Row],[FECHA DE FACTURACIÓN]])</f>
        <v>2023</v>
      </c>
      <c r="W662" s="150">
        <f>+MATCH(PROVEEDORES[[#This Row],[año facturado]],Retenciones!$1:$1,0)</f>
        <v>6</v>
      </c>
      <c r="X662" s="151" t="e">
        <f>+VLOOKUP(PROVEEDORES[[#This Row],[ID RETENCION]],Retenciones!$A$1:$O$25,PROVEEDORES[[#This Row],[indicador de columna]],FALSE)</f>
        <v>#N/A</v>
      </c>
      <c r="Y662" s="152" t="e">
        <f>+VLOOKUP(PROVEEDORES[[#This Row],[ID RETENCION]],Retenciones!$A$1:$O$25,2,FALSE)</f>
        <v>#N/A</v>
      </c>
      <c r="Z662" s="153" t="b">
        <f>+OR(COUNTIF(PROVEEDORES[[#This Row],[PROVEEDOR]],"*"&amp;'Palabra que no opera y Listas d'!$A$2&amp;"*"))</f>
        <v>0</v>
      </c>
    </row>
    <row r="663" spans="1:26" ht="27.75" customHeight="1" x14ac:dyDescent="0.3">
      <c r="A663" s="144" t="str">
        <f>+IF(PROVEEDORES[[#This Row],[FECHA DE PAGO]]=PROVEEDORES[[#This Row],[FECHA DE FACTURACIÓN]],"DE CONTADO","CRÉDITO")</f>
        <v>CRÉDITO</v>
      </c>
      <c r="B663" s="144" t="str">
        <f>+IF((PROVEEDORES[[#This Row],[FECHA DE PAGO]]-PROVEEDORES[[#This Row],[FECHA DE FACTURACIÓN]])&gt;PROVEEDORES[[#This Row],[PLAZO Días]],"PAGO VENCIDO")</f>
        <v>PAGO VENCIDO</v>
      </c>
      <c r="C663" s="144">
        <f>+VLOOKUP(PROVEEDORES[[#This Row],[PROVEEDOR]],TERCEROS_INFO[#All],2,FALSE)</f>
        <v>0</v>
      </c>
      <c r="D663" s="145">
        <f>+SUMIFS(PROVEEDORES[Total],PROVEEDORES[PROVEEDOR],PROVEEDORES[[#This Row],[PROVEEDOR]],PROVEEDORES[FECHA DE PAGO],"")</f>
        <v>0</v>
      </c>
      <c r="E663" s="146"/>
      <c r="F663" s="144" t="str">
        <f>+VLOOKUP(PROVEEDORES[[#This Row],[PROVEEDOR]],
                       Terceros!$A:$G,
                       5,
                       FALSE)</f>
        <v>2,5% con base</v>
      </c>
      <c r="G663" s="122">
        <v>45191</v>
      </c>
      <c r="H663" s="102" t="s">
        <v>1574</v>
      </c>
      <c r="I663" s="122">
        <v>45124</v>
      </c>
      <c r="J663" s="103" t="s">
        <v>933</v>
      </c>
      <c r="K663" s="103" t="s">
        <v>1512</v>
      </c>
      <c r="L663" s="103"/>
      <c r="M663" s="105">
        <v>1952200</v>
      </c>
      <c r="N663" s="147">
        <v>370918</v>
      </c>
      <c r="O663" s="147">
        <v>0</v>
      </c>
      <c r="P663" s="148">
        <v>2.5000000000000001E-2</v>
      </c>
      <c r="Q663" s="147">
        <v>48805</v>
      </c>
      <c r="R663" s="149">
        <v>2274313</v>
      </c>
      <c r="S6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3" s="150">
        <f ca="1">+IF(PROVEEDORES[[#This Row],[FECHA DE PAGO]]=0,TODAY()-PROVEEDORES[[#This Row],[FECHA DE FACTURACIÓN]]-PROVEEDORES[[#This Row],[PLAZO Días]],0)</f>
        <v>0</v>
      </c>
      <c r="U663" s="150">
        <f>+VLOOKUP(PROVEEDORES[[#This Row],[PROVEEDOR]],Terceros!$A:$E,4,FALSE)</f>
        <v>0.19</v>
      </c>
      <c r="V663" s="150">
        <f>+YEAR(PROVEEDORES[[#This Row],[FECHA DE FACTURACIÓN]])</f>
        <v>2023</v>
      </c>
      <c r="W663" s="150">
        <f>+MATCH(PROVEEDORES[[#This Row],[año facturado]],Retenciones!$1:$1,0)</f>
        <v>6</v>
      </c>
      <c r="X663" s="151" t="e">
        <f>+VLOOKUP(PROVEEDORES[[#This Row],[ID RETENCION]],Retenciones!$A$1:$O$25,PROVEEDORES[[#This Row],[indicador de columna]],FALSE)</f>
        <v>#N/A</v>
      </c>
      <c r="Y663" s="152" t="e">
        <f>+VLOOKUP(PROVEEDORES[[#This Row],[ID RETENCION]],Retenciones!$A$1:$O$25,2,FALSE)</f>
        <v>#N/A</v>
      </c>
      <c r="Z663" s="153" t="b">
        <f>+OR(COUNTIF(PROVEEDORES[[#This Row],[PROVEEDOR]],"*"&amp;'Palabra que no opera y Listas d'!$A$2&amp;"*"))</f>
        <v>0</v>
      </c>
    </row>
    <row r="664" spans="1:26" ht="27.75" customHeight="1" x14ac:dyDescent="0.3">
      <c r="A664" s="144" t="str">
        <f>+IF(PROVEEDORES[[#This Row],[FECHA DE PAGO]]=PROVEEDORES[[#This Row],[FECHA DE FACTURACIÓN]],"DE CONTADO","CRÉDITO")</f>
        <v>CRÉDITO</v>
      </c>
      <c r="B664" s="144" t="str">
        <f>+IF((PROVEEDORES[[#This Row],[FECHA DE PAGO]]-PROVEEDORES[[#This Row],[FECHA DE FACTURACIÓN]])&gt;PROVEEDORES[[#This Row],[PLAZO Días]],"PAGO VENCIDO")</f>
        <v>PAGO VENCIDO</v>
      </c>
      <c r="C664" s="144">
        <f>+VLOOKUP(PROVEEDORES[[#This Row],[PROVEEDOR]],TERCEROS_INFO[#All],2,FALSE)</f>
        <v>0</v>
      </c>
      <c r="D664" s="145">
        <f>+SUMIFS(PROVEEDORES[Total],PROVEEDORES[PROVEEDOR],PROVEEDORES[[#This Row],[PROVEEDOR]],PROVEEDORES[FECHA DE PAGO],"")</f>
        <v>8493745.8849999998</v>
      </c>
      <c r="E664" s="146"/>
      <c r="F664" s="144" t="str">
        <f>+VLOOKUP(PROVEEDORES[[#This Row],[PROVEEDOR]],
                       Terceros!$A:$G,
                       5,
                       FALSE)</f>
        <v>2,5% con base</v>
      </c>
      <c r="G664" s="122">
        <v>45191</v>
      </c>
      <c r="H664" s="102" t="s">
        <v>10</v>
      </c>
      <c r="I664" s="122">
        <v>45133</v>
      </c>
      <c r="J664" s="103" t="s">
        <v>943</v>
      </c>
      <c r="K664" s="103" t="s">
        <v>1512</v>
      </c>
      <c r="L664" s="103"/>
      <c r="M664" s="105">
        <v>1552944</v>
      </c>
      <c r="N664" s="147">
        <v>295059.36</v>
      </c>
      <c r="O664" s="147">
        <v>0</v>
      </c>
      <c r="P664" s="148">
        <v>2.5000000000000001E-2</v>
      </c>
      <c r="Q664" s="147">
        <v>38823.599999999999</v>
      </c>
      <c r="R664" s="149">
        <v>1809179.7599999998</v>
      </c>
      <c r="S6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4" s="150">
        <f ca="1">+IF(PROVEEDORES[[#This Row],[FECHA DE PAGO]]=0,TODAY()-PROVEEDORES[[#This Row],[FECHA DE FACTURACIÓN]]-PROVEEDORES[[#This Row],[PLAZO Días]],0)</f>
        <v>0</v>
      </c>
      <c r="U664" s="150">
        <f>+VLOOKUP(PROVEEDORES[[#This Row],[PROVEEDOR]],Terceros!$A:$E,4,FALSE)</f>
        <v>0.19</v>
      </c>
      <c r="V664" s="150">
        <f>+YEAR(PROVEEDORES[[#This Row],[FECHA DE FACTURACIÓN]])</f>
        <v>2023</v>
      </c>
      <c r="W664" s="150">
        <f>+MATCH(PROVEEDORES[[#This Row],[año facturado]],Retenciones!$1:$1,0)</f>
        <v>6</v>
      </c>
      <c r="X664" s="151" t="e">
        <f>+VLOOKUP(PROVEEDORES[[#This Row],[ID RETENCION]],Retenciones!$A$1:$O$25,PROVEEDORES[[#This Row],[indicador de columna]],FALSE)</f>
        <v>#N/A</v>
      </c>
      <c r="Y664" s="152" t="e">
        <f>+VLOOKUP(PROVEEDORES[[#This Row],[ID RETENCION]],Retenciones!$A$1:$O$25,2,FALSE)</f>
        <v>#N/A</v>
      </c>
      <c r="Z664" s="153" t="b">
        <f>+OR(COUNTIF(PROVEEDORES[[#This Row],[PROVEEDOR]],"*"&amp;'Palabra que no opera y Listas d'!$A$2&amp;"*"))</f>
        <v>0</v>
      </c>
    </row>
    <row r="665" spans="1:26" ht="27.75" customHeight="1" x14ac:dyDescent="0.3">
      <c r="A665" s="144" t="str">
        <f>+IF(PROVEEDORES[[#This Row],[FECHA DE PAGO]]=PROVEEDORES[[#This Row],[FECHA DE FACTURACIÓN]],"DE CONTADO","CRÉDITO")</f>
        <v>CRÉDITO</v>
      </c>
      <c r="B665" s="144" t="str">
        <f>+IF((PROVEEDORES[[#This Row],[FECHA DE PAGO]]-PROVEEDORES[[#This Row],[FECHA DE FACTURACIÓN]])&gt;PROVEEDORES[[#This Row],[PLAZO Días]],"PAGO VENCIDO")</f>
        <v>PAGO VENCIDO</v>
      </c>
      <c r="C665" s="144">
        <f>+VLOOKUP(PROVEEDORES[[#This Row],[PROVEEDOR]],TERCEROS_INFO[#All],2,FALSE)</f>
        <v>0</v>
      </c>
      <c r="D665" s="145">
        <f>+SUMIFS(PROVEEDORES[Total],PROVEEDORES[PROVEEDOR],PROVEEDORES[[#This Row],[PROVEEDOR]],PROVEEDORES[FECHA DE PAGO],"")</f>
        <v>9349257.8100000005</v>
      </c>
      <c r="E665" s="146"/>
      <c r="F665" s="144" t="str">
        <f>+VLOOKUP(PROVEEDORES[[#This Row],[PROVEEDOR]],
                       Terceros!$A:$G,
                       5,
                       FALSE)</f>
        <v>2,5% con base</v>
      </c>
      <c r="G665" s="122">
        <v>45191</v>
      </c>
      <c r="H665" s="102" t="s">
        <v>242</v>
      </c>
      <c r="I665" s="122">
        <v>45156</v>
      </c>
      <c r="J665" s="103" t="s">
        <v>1015</v>
      </c>
      <c r="K665" s="103" t="s">
        <v>1512</v>
      </c>
      <c r="L665" s="103"/>
      <c r="M665" s="105">
        <v>1000204</v>
      </c>
      <c r="N665" s="147">
        <v>190038.76</v>
      </c>
      <c r="O665" s="147">
        <v>0</v>
      </c>
      <c r="P665" s="148">
        <v>0</v>
      </c>
      <c r="Q665" s="147">
        <v>0</v>
      </c>
      <c r="R665" s="149">
        <v>1190242.76</v>
      </c>
      <c r="S6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5" s="150">
        <f ca="1">+IF(PROVEEDORES[[#This Row],[FECHA DE PAGO]]=0,TODAY()-PROVEEDORES[[#This Row],[FECHA DE FACTURACIÓN]]-PROVEEDORES[[#This Row],[PLAZO Días]],0)</f>
        <v>0</v>
      </c>
      <c r="U665" s="150">
        <f>+VLOOKUP(PROVEEDORES[[#This Row],[PROVEEDOR]],Terceros!$A:$E,4,FALSE)</f>
        <v>0.19</v>
      </c>
      <c r="V665" s="150">
        <f>+YEAR(PROVEEDORES[[#This Row],[FECHA DE FACTURACIÓN]])</f>
        <v>2023</v>
      </c>
      <c r="W665" s="150">
        <f>+MATCH(PROVEEDORES[[#This Row],[año facturado]],Retenciones!$1:$1,0)</f>
        <v>6</v>
      </c>
      <c r="X665" s="151" t="e">
        <f>+VLOOKUP(PROVEEDORES[[#This Row],[ID RETENCION]],Retenciones!$A$1:$O$25,PROVEEDORES[[#This Row],[indicador de columna]],FALSE)</f>
        <v>#N/A</v>
      </c>
      <c r="Y665" s="152" t="e">
        <f>+VLOOKUP(PROVEEDORES[[#This Row],[ID RETENCION]],Retenciones!$A$1:$O$25,2,FALSE)</f>
        <v>#N/A</v>
      </c>
      <c r="Z665" s="153" t="b">
        <f>+OR(COUNTIF(PROVEEDORES[[#This Row],[PROVEEDOR]],"*"&amp;'Palabra que no opera y Listas d'!$A$2&amp;"*"))</f>
        <v>0</v>
      </c>
    </row>
    <row r="666" spans="1:26" ht="27.75" customHeight="1" x14ac:dyDescent="0.3">
      <c r="A666" s="144" t="str">
        <f>+IF(PROVEEDORES[[#This Row],[FECHA DE PAGO]]=PROVEEDORES[[#This Row],[FECHA DE FACTURACIÓN]],"DE CONTADO","CRÉDITO")</f>
        <v>CRÉDITO</v>
      </c>
      <c r="B666" s="144" t="str">
        <f>+IF((PROVEEDORES[[#This Row],[FECHA DE PAGO]]-PROVEEDORES[[#This Row],[FECHA DE FACTURACIÓN]])&gt;PROVEEDORES[[#This Row],[PLAZO Días]],"PAGO VENCIDO")</f>
        <v>PAGO VENCIDO</v>
      </c>
      <c r="C666" s="144">
        <f>+VLOOKUP(PROVEEDORES[[#This Row],[PROVEEDOR]],TERCEROS_INFO[#All],2,FALSE)</f>
        <v>0</v>
      </c>
      <c r="D666" s="145">
        <f>+SUMIFS(PROVEEDORES[Total],PROVEEDORES[PROVEEDOR],PROVEEDORES[[#This Row],[PROVEEDOR]],PROVEEDORES[FECHA DE PAGO],"")</f>
        <v>0</v>
      </c>
      <c r="E666" s="146"/>
      <c r="F666" s="144" t="str">
        <f>+VLOOKUP(PROVEEDORES[[#This Row],[PROVEEDOR]],
                       Terceros!$A:$G,
                       5,
                       FALSE)</f>
        <v>2,5% con base</v>
      </c>
      <c r="G666" s="122">
        <v>45191</v>
      </c>
      <c r="H666" s="102" t="s">
        <v>306</v>
      </c>
      <c r="I666" s="122">
        <v>45190</v>
      </c>
      <c r="J666" s="103" t="s">
        <v>1077</v>
      </c>
      <c r="K666" s="103" t="s">
        <v>1512</v>
      </c>
      <c r="L666" s="103"/>
      <c r="M666" s="105">
        <v>1669877</v>
      </c>
      <c r="N666" s="147">
        <v>317276.63</v>
      </c>
      <c r="O666" s="147">
        <v>0</v>
      </c>
      <c r="P666" s="148">
        <v>2.5000000000000001E-2</v>
      </c>
      <c r="Q666" s="147">
        <v>41746.925000000003</v>
      </c>
      <c r="R666" s="149">
        <v>1945406.7049999998</v>
      </c>
      <c r="S6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6" s="150">
        <f ca="1">+IF(PROVEEDORES[[#This Row],[FECHA DE PAGO]]=0,TODAY()-PROVEEDORES[[#This Row],[FECHA DE FACTURACIÓN]]-PROVEEDORES[[#This Row],[PLAZO Días]],0)</f>
        <v>0</v>
      </c>
      <c r="U666" s="150">
        <f>+VLOOKUP(PROVEEDORES[[#This Row],[PROVEEDOR]],Terceros!$A:$E,4,FALSE)</f>
        <v>0.19</v>
      </c>
      <c r="V666" s="150">
        <f>+YEAR(PROVEEDORES[[#This Row],[FECHA DE FACTURACIÓN]])</f>
        <v>2023</v>
      </c>
      <c r="W666" s="150">
        <f>+MATCH(PROVEEDORES[[#This Row],[año facturado]],Retenciones!$1:$1,0)</f>
        <v>6</v>
      </c>
      <c r="X666" s="151" t="e">
        <f>+VLOOKUP(PROVEEDORES[[#This Row],[ID RETENCION]],Retenciones!$A$1:$O$25,PROVEEDORES[[#This Row],[indicador de columna]],FALSE)</f>
        <v>#N/A</v>
      </c>
      <c r="Y666" s="152" t="e">
        <f>+VLOOKUP(PROVEEDORES[[#This Row],[ID RETENCION]],Retenciones!$A$1:$O$25,2,FALSE)</f>
        <v>#N/A</v>
      </c>
      <c r="Z666" s="153" t="b">
        <f>+OR(COUNTIF(PROVEEDORES[[#This Row],[PROVEEDOR]],"*"&amp;'Palabra que no opera y Listas d'!$A$2&amp;"*"))</f>
        <v>0</v>
      </c>
    </row>
    <row r="667" spans="1:26" ht="27.75" customHeight="1" x14ac:dyDescent="0.3">
      <c r="A667" s="144" t="str">
        <f>+IF(PROVEEDORES[[#This Row],[FECHA DE PAGO]]=PROVEEDORES[[#This Row],[FECHA DE FACTURACIÓN]],"DE CONTADO","CRÉDITO")</f>
        <v>DE CONTADO</v>
      </c>
      <c r="B667" s="144" t="b">
        <f>+IF((PROVEEDORES[[#This Row],[FECHA DE PAGO]]-PROVEEDORES[[#This Row],[FECHA DE FACTURACIÓN]])&gt;PROVEEDORES[[#This Row],[PLAZO Días]],"PAGO VENCIDO")</f>
        <v>0</v>
      </c>
      <c r="C667" s="144">
        <f>+VLOOKUP(PROVEEDORES[[#This Row],[PROVEEDOR]],TERCEROS_INFO[#All],2,FALSE)</f>
        <v>0</v>
      </c>
      <c r="D667" s="145">
        <f>+SUMIFS(PROVEEDORES[Total],PROVEEDORES[PROVEEDOR],PROVEEDORES[[#This Row],[PROVEEDOR]],PROVEEDORES[FECHA DE PAGO],"")</f>
        <v>0</v>
      </c>
      <c r="E667" s="146"/>
      <c r="F667" s="144" t="str">
        <f>+VLOOKUP(PROVEEDORES[[#This Row],[PROVEEDOR]],
                       Terceros!$A:$G,
                       5,
                       FALSE)</f>
        <v>11% sin base</v>
      </c>
      <c r="G667" s="122">
        <v>45191</v>
      </c>
      <c r="H667" s="102" t="s">
        <v>987</v>
      </c>
      <c r="I667" s="122">
        <v>45191</v>
      </c>
      <c r="J667" s="103" t="s">
        <v>1053</v>
      </c>
      <c r="K667" s="103" t="s">
        <v>1512</v>
      </c>
      <c r="L667" s="103"/>
      <c r="M667" s="105">
        <v>105212</v>
      </c>
      <c r="N667" s="147">
        <v>19990.28</v>
      </c>
      <c r="O667" s="147">
        <v>0</v>
      </c>
      <c r="P667" s="148">
        <v>0.11</v>
      </c>
      <c r="Q667" s="147">
        <v>11573.32</v>
      </c>
      <c r="R667" s="149">
        <v>113628.95999999999</v>
      </c>
      <c r="S6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7" s="150">
        <f ca="1">+IF(PROVEEDORES[[#This Row],[FECHA DE PAGO]]=0,TODAY()-PROVEEDORES[[#This Row],[FECHA DE FACTURACIÓN]]-PROVEEDORES[[#This Row],[PLAZO Días]],0)</f>
        <v>0</v>
      </c>
      <c r="U667" s="150">
        <f>+VLOOKUP(PROVEEDORES[[#This Row],[PROVEEDOR]],Terceros!$A:$E,4,FALSE)</f>
        <v>0.19</v>
      </c>
      <c r="V667" s="150">
        <f>+YEAR(PROVEEDORES[[#This Row],[FECHA DE FACTURACIÓN]])</f>
        <v>2023</v>
      </c>
      <c r="W667" s="150">
        <f>+MATCH(PROVEEDORES[[#This Row],[año facturado]],Retenciones!$1:$1,0)</f>
        <v>6</v>
      </c>
      <c r="X667" s="151" t="e">
        <f>+VLOOKUP(PROVEEDORES[[#This Row],[ID RETENCION]],Retenciones!$A$1:$O$25,PROVEEDORES[[#This Row],[indicador de columna]],FALSE)</f>
        <v>#N/A</v>
      </c>
      <c r="Y667" s="152" t="e">
        <f>+VLOOKUP(PROVEEDORES[[#This Row],[ID RETENCION]],Retenciones!$A$1:$O$25,2,FALSE)</f>
        <v>#N/A</v>
      </c>
      <c r="Z667" s="153" t="b">
        <f>+OR(COUNTIF(PROVEEDORES[[#This Row],[PROVEEDOR]],"*"&amp;'Palabra que no opera y Listas d'!$A$2&amp;"*"))</f>
        <v>0</v>
      </c>
    </row>
    <row r="668" spans="1:26" ht="27.75" customHeight="1" x14ac:dyDescent="0.3">
      <c r="A668" s="144" t="str">
        <f>+IF(PROVEEDORES[[#This Row],[FECHA DE PAGO]]=PROVEEDORES[[#This Row],[FECHA DE FACTURACIÓN]],"DE CONTADO","CRÉDITO")</f>
        <v>DE CONTADO</v>
      </c>
      <c r="B668" s="144" t="b">
        <f>+IF((PROVEEDORES[[#This Row],[FECHA DE PAGO]]-PROVEEDORES[[#This Row],[FECHA DE FACTURACIÓN]])&gt;PROVEEDORES[[#This Row],[PLAZO Días]],"PAGO VENCIDO")</f>
        <v>0</v>
      </c>
      <c r="C668" s="144">
        <f>+VLOOKUP(PROVEEDORES[[#This Row],[PROVEEDOR]],TERCEROS_INFO[#All],2,FALSE)</f>
        <v>0</v>
      </c>
      <c r="D668" s="145">
        <f>+SUMIFS(PROVEEDORES[Total],PROVEEDORES[PROVEEDOR],PROVEEDORES[[#This Row],[PROVEEDOR]],PROVEEDORES[FECHA DE PAGO],"")</f>
        <v>550000</v>
      </c>
      <c r="E668" s="146"/>
      <c r="F668" s="144">
        <f>+VLOOKUP(PROVEEDORES[[#This Row],[PROVEEDOR]],
                       Terceros!$A:$G,
                       5,
                       FALSE)</f>
        <v>0</v>
      </c>
      <c r="G668" s="122">
        <v>45192</v>
      </c>
      <c r="H668" s="102" t="s">
        <v>1784</v>
      </c>
      <c r="I668" s="122">
        <v>45192</v>
      </c>
      <c r="J668" s="103" t="s">
        <v>1110</v>
      </c>
      <c r="K668" s="103" t="s">
        <v>1512</v>
      </c>
      <c r="L668" s="103"/>
      <c r="M668" s="105">
        <v>900000</v>
      </c>
      <c r="N668" s="147">
        <v>0</v>
      </c>
      <c r="O668" s="147">
        <v>0</v>
      </c>
      <c r="P668" s="148">
        <v>0</v>
      </c>
      <c r="Q668" s="147">
        <v>0</v>
      </c>
      <c r="R668" s="149">
        <v>900000</v>
      </c>
      <c r="S6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8" s="150">
        <f ca="1">+IF(PROVEEDORES[[#This Row],[FECHA DE PAGO]]=0,TODAY()-PROVEEDORES[[#This Row],[FECHA DE FACTURACIÓN]]-PROVEEDORES[[#This Row],[PLAZO Días]],0)</f>
        <v>0</v>
      </c>
      <c r="U668" s="150">
        <f>+VLOOKUP(PROVEEDORES[[#This Row],[PROVEEDOR]],Terceros!$A:$E,4,FALSE)</f>
        <v>0</v>
      </c>
      <c r="V668" s="150">
        <f>+YEAR(PROVEEDORES[[#This Row],[FECHA DE FACTURACIÓN]])</f>
        <v>2023</v>
      </c>
      <c r="W668" s="150">
        <f>+MATCH(PROVEEDORES[[#This Row],[año facturado]],Retenciones!$1:$1,0)</f>
        <v>6</v>
      </c>
      <c r="X668" s="151">
        <f>+VLOOKUP(PROVEEDORES[[#This Row],[ID RETENCION]],Retenciones!$A$1:$O$25,PROVEEDORES[[#This Row],[indicador de columna]],FALSE)</f>
        <v>0</v>
      </c>
      <c r="Y668" s="152">
        <f>+VLOOKUP(PROVEEDORES[[#This Row],[ID RETENCION]],Retenciones!$A$1:$O$25,2,FALSE)</f>
        <v>0</v>
      </c>
      <c r="Z668" s="153" t="b">
        <f>+OR(COUNTIF(PROVEEDORES[[#This Row],[PROVEEDOR]],"*"&amp;'Palabra que no opera y Listas d'!$A$2&amp;"*"))</f>
        <v>0</v>
      </c>
    </row>
    <row r="669" spans="1:26" ht="27.75" customHeight="1" x14ac:dyDescent="0.3">
      <c r="A669" s="144" t="str">
        <f>+IF(PROVEEDORES[[#This Row],[FECHA DE PAGO]]=PROVEEDORES[[#This Row],[FECHA DE FACTURACIÓN]],"DE CONTADO","CRÉDITO")</f>
        <v>CRÉDITO</v>
      </c>
      <c r="B669" s="144" t="str">
        <f>+IF((PROVEEDORES[[#This Row],[FECHA DE PAGO]]-PROVEEDORES[[#This Row],[FECHA DE FACTURACIÓN]])&gt;PROVEEDORES[[#This Row],[PLAZO Días]],"PAGO VENCIDO")</f>
        <v>PAGO VENCIDO</v>
      </c>
      <c r="C669" s="144">
        <f>+VLOOKUP(PROVEEDORES[[#This Row],[PROVEEDOR]],TERCEROS_INFO[#All],2,FALSE)</f>
        <v>0</v>
      </c>
      <c r="D669" s="145">
        <f>+SUMIFS(PROVEEDORES[Total],PROVEEDORES[PROVEEDOR],PROVEEDORES[[#This Row],[PROVEEDOR]],PROVEEDORES[FECHA DE PAGO],"")</f>
        <v>0</v>
      </c>
      <c r="E669" s="146"/>
      <c r="F669" s="144">
        <f>+VLOOKUP(PROVEEDORES[[#This Row],[PROVEEDOR]],
                       Terceros!$A:$G,
                       5,
                       FALSE)</f>
        <v>0</v>
      </c>
      <c r="G669" s="122">
        <v>45194</v>
      </c>
      <c r="H669" s="102" t="s">
        <v>1785</v>
      </c>
      <c r="I669" s="122">
        <v>45055</v>
      </c>
      <c r="J669" s="103">
        <v>4136</v>
      </c>
      <c r="K669" s="103" t="s">
        <v>1512</v>
      </c>
      <c r="L669" s="103"/>
      <c r="M669" s="105">
        <v>44000</v>
      </c>
      <c r="N669" s="147">
        <v>0</v>
      </c>
      <c r="O669" s="147">
        <v>0</v>
      </c>
      <c r="P669" s="148">
        <v>0</v>
      </c>
      <c r="Q669" s="147">
        <v>0</v>
      </c>
      <c r="R669" s="149">
        <v>44000</v>
      </c>
      <c r="S6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9" s="150">
        <f ca="1">+IF(PROVEEDORES[[#This Row],[FECHA DE PAGO]]=0,TODAY()-PROVEEDORES[[#This Row],[FECHA DE FACTURACIÓN]]-PROVEEDORES[[#This Row],[PLAZO Días]],0)</f>
        <v>0</v>
      </c>
      <c r="U669" s="150">
        <f>+VLOOKUP(PROVEEDORES[[#This Row],[PROVEEDOR]],Terceros!$A:$E,4,FALSE)</f>
        <v>0</v>
      </c>
      <c r="V669" s="150">
        <f>+YEAR(PROVEEDORES[[#This Row],[FECHA DE FACTURACIÓN]])</f>
        <v>2023</v>
      </c>
      <c r="W669" s="150">
        <f>+MATCH(PROVEEDORES[[#This Row],[año facturado]],Retenciones!$1:$1,0)</f>
        <v>6</v>
      </c>
      <c r="X669" s="151">
        <f>+VLOOKUP(PROVEEDORES[[#This Row],[ID RETENCION]],Retenciones!$A$1:$O$25,PROVEEDORES[[#This Row],[indicador de columna]],FALSE)</f>
        <v>0</v>
      </c>
      <c r="Y669" s="152">
        <f>+VLOOKUP(PROVEEDORES[[#This Row],[ID RETENCION]],Retenciones!$A$1:$O$25,2,FALSE)</f>
        <v>0</v>
      </c>
      <c r="Z669" s="153" t="b">
        <f>+OR(COUNTIF(PROVEEDORES[[#This Row],[PROVEEDOR]],"*"&amp;'Palabra que no opera y Listas d'!$A$2&amp;"*"))</f>
        <v>0</v>
      </c>
    </row>
    <row r="670" spans="1:26" ht="27.75" customHeight="1" x14ac:dyDescent="0.3">
      <c r="A670" s="144" t="str">
        <f>+IF(PROVEEDORES[[#This Row],[FECHA DE PAGO]]=PROVEEDORES[[#This Row],[FECHA DE FACTURACIÓN]],"DE CONTADO","CRÉDITO")</f>
        <v>CRÉDITO</v>
      </c>
      <c r="B670" s="144" t="str">
        <f>+IF((PROVEEDORES[[#This Row],[FECHA DE PAGO]]-PROVEEDORES[[#This Row],[FECHA DE FACTURACIÓN]])&gt;PROVEEDORES[[#This Row],[PLAZO Días]],"PAGO VENCIDO")</f>
        <v>PAGO VENCIDO</v>
      </c>
      <c r="C670" s="144">
        <f>+VLOOKUP(PROVEEDORES[[#This Row],[PROVEEDOR]],TERCEROS_INFO[#All],2,FALSE)</f>
        <v>0</v>
      </c>
      <c r="D670" s="145">
        <f>+SUMIFS(PROVEEDORES[Total],PROVEEDORES[PROVEEDOR],PROVEEDORES[[#This Row],[PROVEEDOR]],PROVEEDORES[FECHA DE PAGO],"")</f>
        <v>119844463.84</v>
      </c>
      <c r="E670" s="146"/>
      <c r="F670" s="144" t="str">
        <f>+VLOOKUP(PROVEEDORES[[#This Row],[PROVEEDOR]],
                       Terceros!$A:$G,
                       5,
                       FALSE)</f>
        <v>2,5% con base</v>
      </c>
      <c r="G670" s="122">
        <v>45194</v>
      </c>
      <c r="H670" s="102" t="s">
        <v>8</v>
      </c>
      <c r="I670" s="122">
        <v>45100</v>
      </c>
      <c r="J670" s="103" t="s">
        <v>891</v>
      </c>
      <c r="K670" s="103" t="s">
        <v>1512</v>
      </c>
      <c r="L670" s="103"/>
      <c r="M670" s="105">
        <v>2734715</v>
      </c>
      <c r="N670" s="147">
        <v>519595.85000000003</v>
      </c>
      <c r="O670" s="147">
        <v>0</v>
      </c>
      <c r="P670" s="148">
        <v>2.5000000000000001E-2</v>
      </c>
      <c r="Q670" s="147">
        <v>68367.875</v>
      </c>
      <c r="R670" s="149">
        <v>3185942.9750000001</v>
      </c>
      <c r="S6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0" s="150">
        <f ca="1">+IF(PROVEEDORES[[#This Row],[FECHA DE PAGO]]=0,TODAY()-PROVEEDORES[[#This Row],[FECHA DE FACTURACIÓN]]-PROVEEDORES[[#This Row],[PLAZO Días]],0)</f>
        <v>0</v>
      </c>
      <c r="U670" s="150">
        <f>+VLOOKUP(PROVEEDORES[[#This Row],[PROVEEDOR]],Terceros!$A:$E,4,FALSE)</f>
        <v>0.19</v>
      </c>
      <c r="V670" s="150">
        <f>+YEAR(PROVEEDORES[[#This Row],[FECHA DE FACTURACIÓN]])</f>
        <v>2023</v>
      </c>
      <c r="W670" s="150">
        <f>+MATCH(PROVEEDORES[[#This Row],[año facturado]],Retenciones!$1:$1,0)</f>
        <v>6</v>
      </c>
      <c r="X670" s="151" t="e">
        <f>+VLOOKUP(PROVEEDORES[[#This Row],[ID RETENCION]],Retenciones!$A$1:$O$25,PROVEEDORES[[#This Row],[indicador de columna]],FALSE)</f>
        <v>#N/A</v>
      </c>
      <c r="Y670" s="152" t="e">
        <f>+VLOOKUP(PROVEEDORES[[#This Row],[ID RETENCION]],Retenciones!$A$1:$O$25,2,FALSE)</f>
        <v>#N/A</v>
      </c>
      <c r="Z670" s="153" t="b">
        <f>+OR(COUNTIF(PROVEEDORES[[#This Row],[PROVEEDOR]],"*"&amp;'Palabra que no opera y Listas d'!$A$2&amp;"*"))</f>
        <v>0</v>
      </c>
    </row>
    <row r="671" spans="1:26" ht="27.75" customHeight="1" x14ac:dyDescent="0.3">
      <c r="A671" s="144" t="str">
        <f>+IF(PROVEEDORES[[#This Row],[FECHA DE PAGO]]=PROVEEDORES[[#This Row],[FECHA DE FACTURACIÓN]],"DE CONTADO","CRÉDITO")</f>
        <v>CRÉDITO</v>
      </c>
      <c r="B671" s="144" t="str">
        <f>+IF((PROVEEDORES[[#This Row],[FECHA DE PAGO]]-PROVEEDORES[[#This Row],[FECHA DE FACTURACIÓN]])&gt;PROVEEDORES[[#This Row],[PLAZO Días]],"PAGO VENCIDO")</f>
        <v>PAGO VENCIDO</v>
      </c>
      <c r="C671" s="144">
        <f>+VLOOKUP(PROVEEDORES[[#This Row],[PROVEEDOR]],TERCEROS_INFO[#All],2,FALSE)</f>
        <v>0</v>
      </c>
      <c r="D671" s="145">
        <f>+SUMIFS(PROVEEDORES[Total],PROVEEDORES[PROVEEDOR],PROVEEDORES[[#This Row],[PROVEEDOR]],PROVEEDORES[FECHA DE PAGO],"")</f>
        <v>0</v>
      </c>
      <c r="E671" s="146"/>
      <c r="F671" s="144">
        <f>+VLOOKUP(PROVEEDORES[[#This Row],[PROVEEDOR]],
                       Terceros!$A:$G,
                       5,
                       FALSE)</f>
        <v>0</v>
      </c>
      <c r="G671" s="122">
        <v>45194</v>
      </c>
      <c r="H671" s="102" t="s">
        <v>1785</v>
      </c>
      <c r="I671" s="122">
        <v>45078</v>
      </c>
      <c r="J671" s="103">
        <v>4186</v>
      </c>
      <c r="K671" s="103" t="s">
        <v>1512</v>
      </c>
      <c r="L671" s="103"/>
      <c r="M671" s="105">
        <v>99000</v>
      </c>
      <c r="N671" s="147">
        <v>0</v>
      </c>
      <c r="O671" s="147">
        <v>0</v>
      </c>
      <c r="P671" s="148">
        <v>0</v>
      </c>
      <c r="Q671" s="147">
        <v>0</v>
      </c>
      <c r="R671" s="149">
        <v>99000</v>
      </c>
      <c r="S6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1" s="150">
        <f ca="1">+IF(PROVEEDORES[[#This Row],[FECHA DE PAGO]]=0,TODAY()-PROVEEDORES[[#This Row],[FECHA DE FACTURACIÓN]]-PROVEEDORES[[#This Row],[PLAZO Días]],0)</f>
        <v>0</v>
      </c>
      <c r="U671" s="150">
        <f>+VLOOKUP(PROVEEDORES[[#This Row],[PROVEEDOR]],Terceros!$A:$E,4,FALSE)</f>
        <v>0</v>
      </c>
      <c r="V671" s="150">
        <f>+YEAR(PROVEEDORES[[#This Row],[FECHA DE FACTURACIÓN]])</f>
        <v>2023</v>
      </c>
      <c r="W671" s="150">
        <f>+MATCH(PROVEEDORES[[#This Row],[año facturado]],Retenciones!$1:$1,0)</f>
        <v>6</v>
      </c>
      <c r="X671" s="151">
        <f>+VLOOKUP(PROVEEDORES[[#This Row],[ID RETENCION]],Retenciones!$A$1:$O$25,PROVEEDORES[[#This Row],[indicador de columna]],FALSE)</f>
        <v>0</v>
      </c>
      <c r="Y671" s="152">
        <f>+VLOOKUP(PROVEEDORES[[#This Row],[ID RETENCION]],Retenciones!$A$1:$O$25,2,FALSE)</f>
        <v>0</v>
      </c>
      <c r="Z671" s="153" t="b">
        <f>+OR(COUNTIF(PROVEEDORES[[#This Row],[PROVEEDOR]],"*"&amp;'Palabra que no opera y Listas d'!$A$2&amp;"*"))</f>
        <v>0</v>
      </c>
    </row>
    <row r="672" spans="1:26" ht="27.75" customHeight="1" x14ac:dyDescent="0.3">
      <c r="A672" s="144" t="str">
        <f>+IF(PROVEEDORES[[#This Row],[FECHA DE PAGO]]=PROVEEDORES[[#This Row],[FECHA DE FACTURACIÓN]],"DE CONTADO","CRÉDITO")</f>
        <v>CRÉDITO</v>
      </c>
      <c r="B672" s="144" t="str">
        <f>+IF((PROVEEDORES[[#This Row],[FECHA DE PAGO]]-PROVEEDORES[[#This Row],[FECHA DE FACTURACIÓN]])&gt;PROVEEDORES[[#This Row],[PLAZO Días]],"PAGO VENCIDO")</f>
        <v>PAGO VENCIDO</v>
      </c>
      <c r="C672" s="144">
        <f>+VLOOKUP(PROVEEDORES[[#This Row],[PROVEEDOR]],TERCEROS_INFO[#All],2,FALSE)</f>
        <v>0</v>
      </c>
      <c r="D672" s="145">
        <f>+SUMIFS(PROVEEDORES[Total],PROVEEDORES[PROVEEDOR],PROVEEDORES[[#This Row],[PROVEEDOR]],PROVEEDORES[FECHA DE PAGO],"")</f>
        <v>224000</v>
      </c>
      <c r="E672" s="146"/>
      <c r="F672" s="144">
        <f>+VLOOKUP(PROVEEDORES[[#This Row],[PROVEEDOR]],
                       Terceros!$A:$G,
                       5,
                       FALSE)</f>
        <v>0</v>
      </c>
      <c r="G672" s="122">
        <v>45194</v>
      </c>
      <c r="H672" s="102" t="s">
        <v>539</v>
      </c>
      <c r="I672" s="122">
        <v>45111</v>
      </c>
      <c r="J672" s="103">
        <v>57</v>
      </c>
      <c r="K672" s="103" t="s">
        <v>1512</v>
      </c>
      <c r="L672" s="103"/>
      <c r="M672" s="105">
        <v>171500</v>
      </c>
      <c r="N672" s="147">
        <v>0</v>
      </c>
      <c r="O672" s="147">
        <v>0</v>
      </c>
      <c r="P672" s="148">
        <v>0</v>
      </c>
      <c r="Q672" s="147">
        <v>0</v>
      </c>
      <c r="R672" s="149">
        <v>171500</v>
      </c>
      <c r="S6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2" s="150">
        <f ca="1">+IF(PROVEEDORES[[#This Row],[FECHA DE PAGO]]=0,TODAY()-PROVEEDORES[[#This Row],[FECHA DE FACTURACIÓN]]-PROVEEDORES[[#This Row],[PLAZO Días]],0)</f>
        <v>0</v>
      </c>
      <c r="U672" s="150">
        <f>+VLOOKUP(PROVEEDORES[[#This Row],[PROVEEDOR]],Terceros!$A:$E,4,FALSE)</f>
        <v>0</v>
      </c>
      <c r="V672" s="150">
        <f>+YEAR(PROVEEDORES[[#This Row],[FECHA DE FACTURACIÓN]])</f>
        <v>2023</v>
      </c>
      <c r="W672" s="150">
        <f>+MATCH(PROVEEDORES[[#This Row],[año facturado]],Retenciones!$1:$1,0)</f>
        <v>6</v>
      </c>
      <c r="X672" s="151">
        <f>+VLOOKUP(PROVEEDORES[[#This Row],[ID RETENCION]],Retenciones!$A$1:$O$25,PROVEEDORES[[#This Row],[indicador de columna]],FALSE)</f>
        <v>0</v>
      </c>
      <c r="Y672" s="152">
        <f>+VLOOKUP(PROVEEDORES[[#This Row],[ID RETENCION]],Retenciones!$A$1:$O$25,2,FALSE)</f>
        <v>0</v>
      </c>
      <c r="Z672" s="153" t="b">
        <f>+OR(COUNTIF(PROVEEDORES[[#This Row],[PROVEEDOR]],"*"&amp;'Palabra que no opera y Listas d'!$A$2&amp;"*"))</f>
        <v>0</v>
      </c>
    </row>
    <row r="673" spans="1:26" ht="27.75" customHeight="1" x14ac:dyDescent="0.3">
      <c r="A673" s="144" t="str">
        <f>+IF(PROVEEDORES[[#This Row],[FECHA DE PAGO]]=PROVEEDORES[[#This Row],[FECHA DE FACTURACIÓN]],"DE CONTADO","CRÉDITO")</f>
        <v>CRÉDITO</v>
      </c>
      <c r="B673" s="144" t="str">
        <f>+IF((PROVEEDORES[[#This Row],[FECHA DE PAGO]]-PROVEEDORES[[#This Row],[FECHA DE FACTURACIÓN]])&gt;PROVEEDORES[[#This Row],[PLAZO Días]],"PAGO VENCIDO")</f>
        <v>PAGO VENCIDO</v>
      </c>
      <c r="C673" s="144">
        <f>+VLOOKUP(PROVEEDORES[[#This Row],[PROVEEDOR]],TERCEROS_INFO[#All],2,FALSE)</f>
        <v>0</v>
      </c>
      <c r="D673" s="145">
        <f>+SUMIFS(PROVEEDORES[Total],PROVEEDORES[PROVEEDOR],PROVEEDORES[[#This Row],[PROVEEDOR]],PROVEEDORES[FECHA DE PAGO],"")</f>
        <v>224000</v>
      </c>
      <c r="E673" s="146"/>
      <c r="F673" s="144">
        <f>+VLOOKUP(PROVEEDORES[[#This Row],[PROVEEDOR]],
                       Terceros!$A:$G,
                       5,
                       FALSE)</f>
        <v>0</v>
      </c>
      <c r="G673" s="122">
        <v>45194</v>
      </c>
      <c r="H673" s="102" t="s">
        <v>539</v>
      </c>
      <c r="I673" s="122">
        <v>45114</v>
      </c>
      <c r="J673" s="103">
        <v>58</v>
      </c>
      <c r="K673" s="103" t="s">
        <v>1512</v>
      </c>
      <c r="L673" s="103"/>
      <c r="M673" s="105">
        <v>65000</v>
      </c>
      <c r="N673" s="147">
        <v>0</v>
      </c>
      <c r="O673" s="147">
        <v>0</v>
      </c>
      <c r="P673" s="148">
        <v>0</v>
      </c>
      <c r="Q673" s="147">
        <v>0</v>
      </c>
      <c r="R673" s="149">
        <v>65000</v>
      </c>
      <c r="S6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3" s="150">
        <f ca="1">+IF(PROVEEDORES[[#This Row],[FECHA DE PAGO]]=0,TODAY()-PROVEEDORES[[#This Row],[FECHA DE FACTURACIÓN]]-PROVEEDORES[[#This Row],[PLAZO Días]],0)</f>
        <v>0</v>
      </c>
      <c r="U673" s="150">
        <f>+VLOOKUP(PROVEEDORES[[#This Row],[PROVEEDOR]],Terceros!$A:$E,4,FALSE)</f>
        <v>0</v>
      </c>
      <c r="V673" s="150">
        <f>+YEAR(PROVEEDORES[[#This Row],[FECHA DE FACTURACIÓN]])</f>
        <v>2023</v>
      </c>
      <c r="W673" s="150">
        <f>+MATCH(PROVEEDORES[[#This Row],[año facturado]],Retenciones!$1:$1,0)</f>
        <v>6</v>
      </c>
      <c r="X673" s="151">
        <f>+VLOOKUP(PROVEEDORES[[#This Row],[ID RETENCION]],Retenciones!$A$1:$O$25,PROVEEDORES[[#This Row],[indicador de columna]],FALSE)</f>
        <v>0</v>
      </c>
      <c r="Y673" s="152">
        <f>+VLOOKUP(PROVEEDORES[[#This Row],[ID RETENCION]],Retenciones!$A$1:$O$25,2,FALSE)</f>
        <v>0</v>
      </c>
      <c r="Z673" s="153" t="b">
        <f>+OR(COUNTIF(PROVEEDORES[[#This Row],[PROVEEDOR]],"*"&amp;'Palabra que no opera y Listas d'!$A$2&amp;"*"))</f>
        <v>0</v>
      </c>
    </row>
    <row r="674" spans="1:26" ht="27.75" customHeight="1" x14ac:dyDescent="0.3">
      <c r="A674" s="144" t="str">
        <f>+IF(PROVEEDORES[[#This Row],[FECHA DE PAGO]]=PROVEEDORES[[#This Row],[FECHA DE FACTURACIÓN]],"DE CONTADO","CRÉDITO")</f>
        <v>CRÉDITO</v>
      </c>
      <c r="B674" s="144" t="str">
        <f>+IF((PROVEEDORES[[#This Row],[FECHA DE PAGO]]-PROVEEDORES[[#This Row],[FECHA DE FACTURACIÓN]])&gt;PROVEEDORES[[#This Row],[PLAZO Días]],"PAGO VENCIDO")</f>
        <v>PAGO VENCIDO</v>
      </c>
      <c r="C674" s="144">
        <f>+VLOOKUP(PROVEEDORES[[#This Row],[PROVEEDOR]],TERCEROS_INFO[#All],2,FALSE)</f>
        <v>0</v>
      </c>
      <c r="D674" s="145">
        <f>+SUMIFS(PROVEEDORES[Total],PROVEEDORES[PROVEEDOR],PROVEEDORES[[#This Row],[PROVEEDOR]],PROVEEDORES[FECHA DE PAGO],"")</f>
        <v>0</v>
      </c>
      <c r="E674" s="146"/>
      <c r="F674" s="144">
        <f>+VLOOKUP(PROVEEDORES[[#This Row],[PROVEEDOR]],
                       Terceros!$A:$G,
                       5,
                       FALSE)</f>
        <v>0</v>
      </c>
      <c r="G674" s="122">
        <v>45194</v>
      </c>
      <c r="H674" s="102" t="s">
        <v>507</v>
      </c>
      <c r="I674" s="122">
        <v>45120</v>
      </c>
      <c r="J674" s="103">
        <v>461</v>
      </c>
      <c r="K674" s="103" t="s">
        <v>1512</v>
      </c>
      <c r="L674" s="103"/>
      <c r="M674" s="105">
        <v>780000</v>
      </c>
      <c r="N674" s="147">
        <v>0</v>
      </c>
      <c r="O674" s="147">
        <v>0</v>
      </c>
      <c r="P674" s="148">
        <v>0</v>
      </c>
      <c r="Q674" s="147">
        <v>0</v>
      </c>
      <c r="R674" s="149">
        <v>780000</v>
      </c>
      <c r="S6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4" s="150">
        <f ca="1">+IF(PROVEEDORES[[#This Row],[FECHA DE PAGO]]=0,TODAY()-PROVEEDORES[[#This Row],[FECHA DE FACTURACIÓN]]-PROVEEDORES[[#This Row],[PLAZO Días]],0)</f>
        <v>0</v>
      </c>
      <c r="U674" s="150">
        <f>+VLOOKUP(PROVEEDORES[[#This Row],[PROVEEDOR]],Terceros!$A:$E,4,FALSE)</f>
        <v>0</v>
      </c>
      <c r="V674" s="150">
        <f>+YEAR(PROVEEDORES[[#This Row],[FECHA DE FACTURACIÓN]])</f>
        <v>2023</v>
      </c>
      <c r="W674" s="150">
        <f>+MATCH(PROVEEDORES[[#This Row],[año facturado]],Retenciones!$1:$1,0)</f>
        <v>6</v>
      </c>
      <c r="X674" s="151">
        <f>+VLOOKUP(PROVEEDORES[[#This Row],[ID RETENCION]],Retenciones!$A$1:$O$25,PROVEEDORES[[#This Row],[indicador de columna]],FALSE)</f>
        <v>0</v>
      </c>
      <c r="Y674" s="152">
        <f>+VLOOKUP(PROVEEDORES[[#This Row],[ID RETENCION]],Retenciones!$A$1:$O$25,2,FALSE)</f>
        <v>0</v>
      </c>
      <c r="Z674" s="153" t="b">
        <f>+OR(COUNTIF(PROVEEDORES[[#This Row],[PROVEEDOR]],"*"&amp;'Palabra que no opera y Listas d'!$A$2&amp;"*"))</f>
        <v>0</v>
      </c>
    </row>
    <row r="675" spans="1:26" ht="27.75" customHeight="1" x14ac:dyDescent="0.3">
      <c r="A675" s="144" t="str">
        <f>+IF(PROVEEDORES[[#This Row],[FECHA DE PAGO]]=PROVEEDORES[[#This Row],[FECHA DE FACTURACIÓN]],"DE CONTADO","CRÉDITO")</f>
        <v>CRÉDITO</v>
      </c>
      <c r="B675" s="144" t="str">
        <f>+IF((PROVEEDORES[[#This Row],[FECHA DE PAGO]]-PROVEEDORES[[#This Row],[FECHA DE FACTURACIÓN]])&gt;PROVEEDORES[[#This Row],[PLAZO Días]],"PAGO VENCIDO")</f>
        <v>PAGO VENCIDO</v>
      </c>
      <c r="C675" s="144">
        <f>+VLOOKUP(PROVEEDORES[[#This Row],[PROVEEDOR]],TERCEROS_INFO[#All],2,FALSE)</f>
        <v>0</v>
      </c>
      <c r="D675" s="145">
        <f>+SUMIFS(PROVEEDORES[Total],PROVEEDORES[PROVEEDOR],PROVEEDORES[[#This Row],[PROVEEDOR]],PROVEEDORES[FECHA DE PAGO],"")</f>
        <v>224000</v>
      </c>
      <c r="E675" s="146"/>
      <c r="F675" s="144">
        <f>+VLOOKUP(PROVEEDORES[[#This Row],[PROVEEDOR]],
                       Terceros!$A:$G,
                       5,
                       FALSE)</f>
        <v>0</v>
      </c>
      <c r="G675" s="122">
        <v>45194</v>
      </c>
      <c r="H675" s="102" t="s">
        <v>539</v>
      </c>
      <c r="I675" s="122">
        <v>45122</v>
      </c>
      <c r="J675" s="103">
        <v>59</v>
      </c>
      <c r="K675" s="103" t="s">
        <v>1512</v>
      </c>
      <c r="L675" s="103"/>
      <c r="M675" s="105">
        <v>78000</v>
      </c>
      <c r="N675" s="147">
        <v>0</v>
      </c>
      <c r="O675" s="147">
        <v>0</v>
      </c>
      <c r="P675" s="148">
        <v>0</v>
      </c>
      <c r="Q675" s="147">
        <v>0</v>
      </c>
      <c r="R675" s="149">
        <v>78000</v>
      </c>
      <c r="S6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5" s="150">
        <f ca="1">+IF(PROVEEDORES[[#This Row],[FECHA DE PAGO]]=0,TODAY()-PROVEEDORES[[#This Row],[FECHA DE FACTURACIÓN]]-PROVEEDORES[[#This Row],[PLAZO Días]],0)</f>
        <v>0</v>
      </c>
      <c r="U675" s="150">
        <f>+VLOOKUP(PROVEEDORES[[#This Row],[PROVEEDOR]],Terceros!$A:$E,4,FALSE)</f>
        <v>0</v>
      </c>
      <c r="V675" s="150">
        <f>+YEAR(PROVEEDORES[[#This Row],[FECHA DE FACTURACIÓN]])</f>
        <v>2023</v>
      </c>
      <c r="W675" s="150">
        <f>+MATCH(PROVEEDORES[[#This Row],[año facturado]],Retenciones!$1:$1,0)</f>
        <v>6</v>
      </c>
      <c r="X675" s="151">
        <f>+VLOOKUP(PROVEEDORES[[#This Row],[ID RETENCION]],Retenciones!$A$1:$O$25,PROVEEDORES[[#This Row],[indicador de columna]],FALSE)</f>
        <v>0</v>
      </c>
      <c r="Y675" s="152">
        <f>+VLOOKUP(PROVEEDORES[[#This Row],[ID RETENCION]],Retenciones!$A$1:$O$25,2,FALSE)</f>
        <v>0</v>
      </c>
      <c r="Z675" s="153" t="b">
        <f>+OR(COUNTIF(PROVEEDORES[[#This Row],[PROVEEDOR]],"*"&amp;'Palabra que no opera y Listas d'!$A$2&amp;"*"))</f>
        <v>0</v>
      </c>
    </row>
    <row r="676" spans="1:26" ht="27.75" customHeight="1" x14ac:dyDescent="0.3">
      <c r="A676" s="144" t="str">
        <f>+IF(PROVEEDORES[[#This Row],[FECHA DE PAGO]]=PROVEEDORES[[#This Row],[FECHA DE FACTURACIÓN]],"DE CONTADO","CRÉDITO")</f>
        <v>CRÉDITO</v>
      </c>
      <c r="B676" s="144" t="str">
        <f>+IF((PROVEEDORES[[#This Row],[FECHA DE PAGO]]-PROVEEDORES[[#This Row],[FECHA DE FACTURACIÓN]])&gt;PROVEEDORES[[#This Row],[PLAZO Días]],"PAGO VENCIDO")</f>
        <v>PAGO VENCIDO</v>
      </c>
      <c r="C676" s="144">
        <f>+VLOOKUP(PROVEEDORES[[#This Row],[PROVEEDOR]],TERCEROS_INFO[#All],2,FALSE)</f>
        <v>0</v>
      </c>
      <c r="D676" s="145">
        <f>+SUMIFS(PROVEEDORES[Total],PROVEEDORES[PROVEEDOR],PROVEEDORES[[#This Row],[PROVEEDOR]],PROVEEDORES[FECHA DE PAGO],"")</f>
        <v>224000</v>
      </c>
      <c r="E676" s="146"/>
      <c r="F676" s="144">
        <f>+VLOOKUP(PROVEEDORES[[#This Row],[PROVEEDOR]],
                       Terceros!$A:$G,
                       5,
                       FALSE)</f>
        <v>0</v>
      </c>
      <c r="G676" s="122">
        <v>45194</v>
      </c>
      <c r="H676" s="102" t="s">
        <v>539</v>
      </c>
      <c r="I676" s="122">
        <v>45122</v>
      </c>
      <c r="J676" s="103">
        <v>60</v>
      </c>
      <c r="K676" s="103" t="s">
        <v>1512</v>
      </c>
      <c r="L676" s="103"/>
      <c r="M676" s="105">
        <v>227000</v>
      </c>
      <c r="N676" s="147">
        <v>0</v>
      </c>
      <c r="O676" s="147">
        <v>0</v>
      </c>
      <c r="P676" s="148">
        <v>0</v>
      </c>
      <c r="Q676" s="147">
        <v>0</v>
      </c>
      <c r="R676" s="149">
        <v>227000</v>
      </c>
      <c r="S6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6" s="150">
        <f ca="1">+IF(PROVEEDORES[[#This Row],[FECHA DE PAGO]]=0,TODAY()-PROVEEDORES[[#This Row],[FECHA DE FACTURACIÓN]]-PROVEEDORES[[#This Row],[PLAZO Días]],0)</f>
        <v>0</v>
      </c>
      <c r="U676" s="150">
        <f>+VLOOKUP(PROVEEDORES[[#This Row],[PROVEEDOR]],Terceros!$A:$E,4,FALSE)</f>
        <v>0</v>
      </c>
      <c r="V676" s="150">
        <f>+YEAR(PROVEEDORES[[#This Row],[FECHA DE FACTURACIÓN]])</f>
        <v>2023</v>
      </c>
      <c r="W676" s="150">
        <f>+MATCH(PROVEEDORES[[#This Row],[año facturado]],Retenciones!$1:$1,0)</f>
        <v>6</v>
      </c>
      <c r="X676" s="151">
        <f>+VLOOKUP(PROVEEDORES[[#This Row],[ID RETENCION]],Retenciones!$A$1:$O$25,PROVEEDORES[[#This Row],[indicador de columna]],FALSE)</f>
        <v>0</v>
      </c>
      <c r="Y676" s="152">
        <f>+VLOOKUP(PROVEEDORES[[#This Row],[ID RETENCION]],Retenciones!$A$1:$O$25,2,FALSE)</f>
        <v>0</v>
      </c>
      <c r="Z676" s="153" t="b">
        <f>+OR(COUNTIF(PROVEEDORES[[#This Row],[PROVEEDOR]],"*"&amp;'Palabra que no opera y Listas d'!$A$2&amp;"*"))</f>
        <v>0</v>
      </c>
    </row>
    <row r="677" spans="1:26" ht="27.75" customHeight="1" x14ac:dyDescent="0.3">
      <c r="A677" s="144" t="str">
        <f>+IF(PROVEEDORES[[#This Row],[FECHA DE PAGO]]=PROVEEDORES[[#This Row],[FECHA DE FACTURACIÓN]],"DE CONTADO","CRÉDITO")</f>
        <v>CRÉDITO</v>
      </c>
      <c r="B677" s="144" t="str">
        <f>+IF((PROVEEDORES[[#This Row],[FECHA DE PAGO]]-PROVEEDORES[[#This Row],[FECHA DE FACTURACIÓN]])&gt;PROVEEDORES[[#This Row],[PLAZO Días]],"PAGO VENCIDO")</f>
        <v>PAGO VENCIDO</v>
      </c>
      <c r="C677" s="144">
        <f>+VLOOKUP(PROVEEDORES[[#This Row],[PROVEEDOR]],TERCEROS_INFO[#All],2,FALSE)</f>
        <v>0</v>
      </c>
      <c r="D677" s="145">
        <f>+SUMIFS(PROVEEDORES[Total],PROVEEDORES[PROVEEDOR],PROVEEDORES[[#This Row],[PROVEEDOR]],PROVEEDORES[FECHA DE PAGO],"")</f>
        <v>0</v>
      </c>
      <c r="E677" s="146"/>
      <c r="F677" s="144">
        <f>+VLOOKUP(PROVEEDORES[[#This Row],[PROVEEDOR]],
                       Terceros!$A:$G,
                       5,
                       FALSE)</f>
        <v>0</v>
      </c>
      <c r="G677" s="122">
        <v>45194</v>
      </c>
      <c r="H677" s="102" t="s">
        <v>1785</v>
      </c>
      <c r="I677" s="122">
        <v>45111</v>
      </c>
      <c r="J677" s="103">
        <v>4236</v>
      </c>
      <c r="K677" s="103" t="s">
        <v>1512</v>
      </c>
      <c r="L677" s="103"/>
      <c r="M677" s="105">
        <v>233000</v>
      </c>
      <c r="N677" s="147">
        <v>0</v>
      </c>
      <c r="O677" s="147">
        <v>0</v>
      </c>
      <c r="P677" s="148">
        <v>0</v>
      </c>
      <c r="Q677" s="147">
        <v>0</v>
      </c>
      <c r="R677" s="149">
        <v>233000</v>
      </c>
      <c r="S6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7" s="150">
        <f ca="1">+IF(PROVEEDORES[[#This Row],[FECHA DE PAGO]]=0,TODAY()-PROVEEDORES[[#This Row],[FECHA DE FACTURACIÓN]]-PROVEEDORES[[#This Row],[PLAZO Días]],0)</f>
        <v>0</v>
      </c>
      <c r="U677" s="150">
        <f>+VLOOKUP(PROVEEDORES[[#This Row],[PROVEEDOR]],Terceros!$A:$E,4,FALSE)</f>
        <v>0</v>
      </c>
      <c r="V677" s="150">
        <f>+YEAR(PROVEEDORES[[#This Row],[FECHA DE FACTURACIÓN]])</f>
        <v>2023</v>
      </c>
      <c r="W677" s="150">
        <f>+MATCH(PROVEEDORES[[#This Row],[año facturado]],Retenciones!$1:$1,0)</f>
        <v>6</v>
      </c>
      <c r="X677" s="151">
        <f>+VLOOKUP(PROVEEDORES[[#This Row],[ID RETENCION]],Retenciones!$A$1:$O$25,PROVEEDORES[[#This Row],[indicador de columna]],FALSE)</f>
        <v>0</v>
      </c>
      <c r="Y677" s="152">
        <f>+VLOOKUP(PROVEEDORES[[#This Row],[ID RETENCION]],Retenciones!$A$1:$O$25,2,FALSE)</f>
        <v>0</v>
      </c>
      <c r="Z677" s="153" t="b">
        <f>+OR(COUNTIF(PROVEEDORES[[#This Row],[PROVEEDOR]],"*"&amp;'Palabra que no opera y Listas d'!$A$2&amp;"*"))</f>
        <v>0</v>
      </c>
    </row>
    <row r="678" spans="1:26" ht="27.75" customHeight="1" x14ac:dyDescent="0.3">
      <c r="A678" s="144" t="str">
        <f>+IF(PROVEEDORES[[#This Row],[FECHA DE PAGO]]=PROVEEDORES[[#This Row],[FECHA DE FACTURACIÓN]],"DE CONTADO","CRÉDITO")</f>
        <v>CRÉDITO</v>
      </c>
      <c r="B678" s="144" t="str">
        <f>+IF((PROVEEDORES[[#This Row],[FECHA DE PAGO]]-PROVEEDORES[[#This Row],[FECHA DE FACTURACIÓN]])&gt;PROVEEDORES[[#This Row],[PLAZO Días]],"PAGO VENCIDO")</f>
        <v>PAGO VENCIDO</v>
      </c>
      <c r="C678" s="144">
        <f>+VLOOKUP(PROVEEDORES[[#This Row],[PROVEEDOR]],TERCEROS_INFO[#All],2,FALSE)</f>
        <v>0</v>
      </c>
      <c r="D678" s="145">
        <f>+SUMIFS(PROVEEDORES[Total],PROVEEDORES[PROVEEDOR],PROVEEDORES[[#This Row],[PROVEEDOR]],PROVEEDORES[FECHA DE PAGO],"")</f>
        <v>9343197</v>
      </c>
      <c r="E678" s="146"/>
      <c r="F678" s="144" t="str">
        <f>+VLOOKUP(PROVEEDORES[[#This Row],[PROVEEDOR]],
                       Terceros!$A:$G,
                       5,
                       FALSE)</f>
        <v>2,5% con base</v>
      </c>
      <c r="G678" s="122">
        <v>45194</v>
      </c>
      <c r="H678" s="102" t="s">
        <v>466</v>
      </c>
      <c r="I678" s="122">
        <v>45124</v>
      </c>
      <c r="J678" s="103" t="s">
        <v>925</v>
      </c>
      <c r="K678" s="103" t="s">
        <v>1512</v>
      </c>
      <c r="L678" s="103"/>
      <c r="M678" s="105">
        <v>925000</v>
      </c>
      <c r="N678" s="147">
        <v>175750</v>
      </c>
      <c r="O678" s="147">
        <v>0</v>
      </c>
      <c r="P678" s="148">
        <v>0</v>
      </c>
      <c r="Q678" s="147">
        <v>0</v>
      </c>
      <c r="R678" s="149">
        <v>1100750</v>
      </c>
      <c r="S6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8" s="150">
        <f ca="1">+IF(PROVEEDORES[[#This Row],[FECHA DE PAGO]]=0,TODAY()-PROVEEDORES[[#This Row],[FECHA DE FACTURACIÓN]]-PROVEEDORES[[#This Row],[PLAZO Días]],0)</f>
        <v>0</v>
      </c>
      <c r="U678" s="150">
        <f>+VLOOKUP(PROVEEDORES[[#This Row],[PROVEEDOR]],Terceros!$A:$E,4,FALSE)</f>
        <v>0.19</v>
      </c>
      <c r="V678" s="150">
        <f>+YEAR(PROVEEDORES[[#This Row],[FECHA DE FACTURACIÓN]])</f>
        <v>2023</v>
      </c>
      <c r="W678" s="150">
        <f>+MATCH(PROVEEDORES[[#This Row],[año facturado]],Retenciones!$1:$1,0)</f>
        <v>6</v>
      </c>
      <c r="X678" s="151" t="e">
        <f>+VLOOKUP(PROVEEDORES[[#This Row],[ID RETENCION]],Retenciones!$A$1:$O$25,PROVEEDORES[[#This Row],[indicador de columna]],FALSE)</f>
        <v>#N/A</v>
      </c>
      <c r="Y678" s="152" t="e">
        <f>+VLOOKUP(PROVEEDORES[[#This Row],[ID RETENCION]],Retenciones!$A$1:$O$25,2,FALSE)</f>
        <v>#N/A</v>
      </c>
      <c r="Z678" s="153" t="b">
        <f>+OR(COUNTIF(PROVEEDORES[[#This Row],[PROVEEDOR]],"*"&amp;'Palabra que no opera y Listas d'!$A$2&amp;"*"))</f>
        <v>0</v>
      </c>
    </row>
    <row r="679" spans="1:26" ht="27.75" customHeight="1" x14ac:dyDescent="0.3">
      <c r="A679" s="144" t="str">
        <f>+IF(PROVEEDORES[[#This Row],[FECHA DE PAGO]]=PROVEEDORES[[#This Row],[FECHA DE FACTURACIÓN]],"DE CONTADO","CRÉDITO")</f>
        <v>CRÉDITO</v>
      </c>
      <c r="B679" s="144" t="str">
        <f>+IF((PROVEEDORES[[#This Row],[FECHA DE PAGO]]-PROVEEDORES[[#This Row],[FECHA DE FACTURACIÓN]])&gt;PROVEEDORES[[#This Row],[PLAZO Días]],"PAGO VENCIDO")</f>
        <v>PAGO VENCIDO</v>
      </c>
      <c r="C679" s="144">
        <f>+VLOOKUP(PROVEEDORES[[#This Row],[PROVEEDOR]],TERCEROS_INFO[#All],2,FALSE)</f>
        <v>0</v>
      </c>
      <c r="D679" s="145">
        <f>+SUMIFS(PROVEEDORES[Total],PROVEEDORES[PROVEEDOR],PROVEEDORES[[#This Row],[PROVEEDOR]],PROVEEDORES[FECHA DE PAGO],"")</f>
        <v>9343197</v>
      </c>
      <c r="E679" s="146"/>
      <c r="F679" s="144" t="str">
        <f>+VLOOKUP(PROVEEDORES[[#This Row],[PROVEEDOR]],
                       Terceros!$A:$G,
                       5,
                       FALSE)</f>
        <v>2,5% con base</v>
      </c>
      <c r="G679" s="122">
        <v>45194</v>
      </c>
      <c r="H679" s="102" t="s">
        <v>466</v>
      </c>
      <c r="I679" s="122">
        <v>45131</v>
      </c>
      <c r="J679" s="103" t="s">
        <v>924</v>
      </c>
      <c r="K679" s="103" t="s">
        <v>1512</v>
      </c>
      <c r="L679" s="103"/>
      <c r="M679" s="105">
        <v>3318355</v>
      </c>
      <c r="N679" s="147">
        <v>630487.44999999995</v>
      </c>
      <c r="O679" s="147">
        <v>0</v>
      </c>
      <c r="P679" s="148">
        <v>2.5000000000000001E-2</v>
      </c>
      <c r="Q679" s="147">
        <v>82958.875</v>
      </c>
      <c r="R679" s="149">
        <v>3865883.5750000002</v>
      </c>
      <c r="S6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9" s="150">
        <f ca="1">+IF(PROVEEDORES[[#This Row],[FECHA DE PAGO]]=0,TODAY()-PROVEEDORES[[#This Row],[FECHA DE FACTURACIÓN]]-PROVEEDORES[[#This Row],[PLAZO Días]],0)</f>
        <v>0</v>
      </c>
      <c r="U679" s="150">
        <f>+VLOOKUP(PROVEEDORES[[#This Row],[PROVEEDOR]],Terceros!$A:$E,4,FALSE)</f>
        <v>0.19</v>
      </c>
      <c r="V679" s="150">
        <f>+YEAR(PROVEEDORES[[#This Row],[FECHA DE FACTURACIÓN]])</f>
        <v>2023</v>
      </c>
      <c r="W679" s="150">
        <f>+MATCH(PROVEEDORES[[#This Row],[año facturado]],Retenciones!$1:$1,0)</f>
        <v>6</v>
      </c>
      <c r="X679" s="151" t="e">
        <f>+VLOOKUP(PROVEEDORES[[#This Row],[ID RETENCION]],Retenciones!$A$1:$O$25,PROVEEDORES[[#This Row],[indicador de columna]],FALSE)</f>
        <v>#N/A</v>
      </c>
      <c r="Y679" s="152" t="e">
        <f>+VLOOKUP(PROVEEDORES[[#This Row],[ID RETENCION]],Retenciones!$A$1:$O$25,2,FALSE)</f>
        <v>#N/A</v>
      </c>
      <c r="Z679" s="153" t="b">
        <f>+OR(COUNTIF(PROVEEDORES[[#This Row],[PROVEEDOR]],"*"&amp;'Palabra que no opera y Listas d'!$A$2&amp;"*"))</f>
        <v>0</v>
      </c>
    </row>
    <row r="680" spans="1:26" ht="27.75" customHeight="1" x14ac:dyDescent="0.3">
      <c r="A680" s="144" t="str">
        <f>+IF(PROVEEDORES[[#This Row],[FECHA DE PAGO]]=PROVEEDORES[[#This Row],[FECHA DE FACTURACIÓN]],"DE CONTADO","CRÉDITO")</f>
        <v>CRÉDITO</v>
      </c>
      <c r="B680" s="144" t="str">
        <f>+IF((PROVEEDORES[[#This Row],[FECHA DE PAGO]]-PROVEEDORES[[#This Row],[FECHA DE FACTURACIÓN]])&gt;PROVEEDORES[[#This Row],[PLAZO Días]],"PAGO VENCIDO")</f>
        <v>PAGO VENCIDO</v>
      </c>
      <c r="C680" s="144">
        <f>+VLOOKUP(PROVEEDORES[[#This Row],[PROVEEDOR]],TERCEROS_INFO[#All],2,FALSE)</f>
        <v>0</v>
      </c>
      <c r="D680" s="145">
        <f>+SUMIFS(PROVEEDORES[Total],PROVEEDORES[PROVEEDOR],PROVEEDORES[[#This Row],[PROVEEDOR]],PROVEEDORES[FECHA DE PAGO],"")</f>
        <v>0</v>
      </c>
      <c r="E680" s="146"/>
      <c r="F680" s="144">
        <f>+VLOOKUP(PROVEEDORES[[#This Row],[PROVEEDOR]],
                       Terceros!$A:$G,
                       5,
                       FALSE)</f>
        <v>0</v>
      </c>
      <c r="G680" s="122">
        <v>45194</v>
      </c>
      <c r="H680" s="102" t="s">
        <v>507</v>
      </c>
      <c r="I680" s="122">
        <v>45134</v>
      </c>
      <c r="J680" s="103">
        <v>474</v>
      </c>
      <c r="K680" s="103" t="s">
        <v>1512</v>
      </c>
      <c r="L680" s="103"/>
      <c r="M680" s="105">
        <v>621600</v>
      </c>
      <c r="N680" s="147">
        <v>0</v>
      </c>
      <c r="O680" s="147">
        <v>0</v>
      </c>
      <c r="P680" s="148">
        <v>0</v>
      </c>
      <c r="Q680" s="147">
        <v>0</v>
      </c>
      <c r="R680" s="149">
        <v>621600</v>
      </c>
      <c r="S6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0" s="150">
        <f ca="1">+IF(PROVEEDORES[[#This Row],[FECHA DE PAGO]]=0,TODAY()-PROVEEDORES[[#This Row],[FECHA DE FACTURACIÓN]]-PROVEEDORES[[#This Row],[PLAZO Días]],0)</f>
        <v>0</v>
      </c>
      <c r="U680" s="150">
        <f>+VLOOKUP(PROVEEDORES[[#This Row],[PROVEEDOR]],Terceros!$A:$E,4,FALSE)</f>
        <v>0</v>
      </c>
      <c r="V680" s="150">
        <f>+YEAR(PROVEEDORES[[#This Row],[FECHA DE FACTURACIÓN]])</f>
        <v>2023</v>
      </c>
      <c r="W680" s="150">
        <f>+MATCH(PROVEEDORES[[#This Row],[año facturado]],Retenciones!$1:$1,0)</f>
        <v>6</v>
      </c>
      <c r="X680" s="151">
        <f>+VLOOKUP(PROVEEDORES[[#This Row],[ID RETENCION]],Retenciones!$A$1:$O$25,PROVEEDORES[[#This Row],[indicador de columna]],FALSE)</f>
        <v>0</v>
      </c>
      <c r="Y680" s="152">
        <f>+VLOOKUP(PROVEEDORES[[#This Row],[ID RETENCION]],Retenciones!$A$1:$O$25,2,FALSE)</f>
        <v>0</v>
      </c>
      <c r="Z680" s="153" t="b">
        <f>+OR(COUNTIF(PROVEEDORES[[#This Row],[PROVEEDOR]],"*"&amp;'Palabra que no opera y Listas d'!$A$2&amp;"*"))</f>
        <v>0</v>
      </c>
    </row>
    <row r="681" spans="1:26" ht="27.75" customHeight="1" x14ac:dyDescent="0.3">
      <c r="A681" s="144" t="str">
        <f>+IF(PROVEEDORES[[#This Row],[FECHA DE PAGO]]=PROVEEDORES[[#This Row],[FECHA DE FACTURACIÓN]],"DE CONTADO","CRÉDITO")</f>
        <v>CRÉDITO</v>
      </c>
      <c r="B681" s="144" t="str">
        <f>+IF((PROVEEDORES[[#This Row],[FECHA DE PAGO]]-PROVEEDORES[[#This Row],[FECHA DE FACTURACIÓN]])&gt;PROVEEDORES[[#This Row],[PLAZO Días]],"PAGO VENCIDO")</f>
        <v>PAGO VENCIDO</v>
      </c>
      <c r="C681" s="144">
        <f>+VLOOKUP(PROVEEDORES[[#This Row],[PROVEEDOR]],TERCEROS_INFO[#All],2,FALSE)</f>
        <v>0</v>
      </c>
      <c r="D681" s="145">
        <f>+SUMIFS(PROVEEDORES[Total],PROVEEDORES[PROVEEDOR],PROVEEDORES[[#This Row],[PROVEEDOR]],PROVEEDORES[FECHA DE PAGO],"")</f>
        <v>9343197</v>
      </c>
      <c r="E681" s="146"/>
      <c r="F681" s="144" t="str">
        <f>+VLOOKUP(PROVEEDORES[[#This Row],[PROVEEDOR]],
                       Terceros!$A:$G,
                       5,
                       FALSE)</f>
        <v>2,5% con base</v>
      </c>
      <c r="G681" s="122">
        <v>45194</v>
      </c>
      <c r="H681" s="102" t="s">
        <v>466</v>
      </c>
      <c r="I681" s="122">
        <v>45136</v>
      </c>
      <c r="J681" s="103" t="s">
        <v>957</v>
      </c>
      <c r="K681" s="103" t="s">
        <v>1512</v>
      </c>
      <c r="L681" s="103"/>
      <c r="M681" s="105">
        <v>225600</v>
      </c>
      <c r="N681" s="147">
        <v>42864</v>
      </c>
      <c r="O681" s="147">
        <v>0</v>
      </c>
      <c r="P681" s="148">
        <v>0</v>
      </c>
      <c r="Q681" s="147">
        <v>0</v>
      </c>
      <c r="R681" s="149">
        <v>268464</v>
      </c>
      <c r="S6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1" s="150">
        <f ca="1">+IF(PROVEEDORES[[#This Row],[FECHA DE PAGO]]=0,TODAY()-PROVEEDORES[[#This Row],[FECHA DE FACTURACIÓN]]-PROVEEDORES[[#This Row],[PLAZO Días]],0)</f>
        <v>0</v>
      </c>
      <c r="U681" s="150">
        <f>+VLOOKUP(PROVEEDORES[[#This Row],[PROVEEDOR]],Terceros!$A:$E,4,FALSE)</f>
        <v>0.19</v>
      </c>
      <c r="V681" s="150">
        <f>+YEAR(PROVEEDORES[[#This Row],[FECHA DE FACTURACIÓN]])</f>
        <v>2023</v>
      </c>
      <c r="W681" s="150">
        <f>+MATCH(PROVEEDORES[[#This Row],[año facturado]],Retenciones!$1:$1,0)</f>
        <v>6</v>
      </c>
      <c r="X681" s="151" t="e">
        <f>+VLOOKUP(PROVEEDORES[[#This Row],[ID RETENCION]],Retenciones!$A$1:$O$25,PROVEEDORES[[#This Row],[indicador de columna]],FALSE)</f>
        <v>#N/A</v>
      </c>
      <c r="Y681" s="152" t="e">
        <f>+VLOOKUP(PROVEEDORES[[#This Row],[ID RETENCION]],Retenciones!$A$1:$O$25,2,FALSE)</f>
        <v>#N/A</v>
      </c>
      <c r="Z681" s="153" t="b">
        <f>+OR(COUNTIF(PROVEEDORES[[#This Row],[PROVEEDOR]],"*"&amp;'Palabra que no opera y Listas d'!$A$2&amp;"*"))</f>
        <v>0</v>
      </c>
    </row>
    <row r="682" spans="1:26" ht="27.75" customHeight="1" x14ac:dyDescent="0.3">
      <c r="A682" s="144" t="str">
        <f>+IF(PROVEEDORES[[#This Row],[FECHA DE PAGO]]=PROVEEDORES[[#This Row],[FECHA DE FACTURACIÓN]],"DE CONTADO","CRÉDITO")</f>
        <v>CRÉDITO</v>
      </c>
      <c r="B682" s="144" t="str">
        <f>+IF((PROVEEDORES[[#This Row],[FECHA DE PAGO]]-PROVEEDORES[[#This Row],[FECHA DE FACTURACIÓN]])&gt;PROVEEDORES[[#This Row],[PLAZO Días]],"PAGO VENCIDO")</f>
        <v>PAGO VENCIDO</v>
      </c>
      <c r="C682" s="144">
        <f>+VLOOKUP(PROVEEDORES[[#This Row],[PROVEEDOR]],TERCEROS_INFO[#All],2,FALSE)</f>
        <v>0</v>
      </c>
      <c r="D682" s="145">
        <f>+SUMIFS(PROVEEDORES[Total],PROVEEDORES[PROVEEDOR],PROVEEDORES[[#This Row],[PROVEEDOR]],PROVEEDORES[FECHA DE PAGO],"")</f>
        <v>0</v>
      </c>
      <c r="E682" s="146"/>
      <c r="F682" s="144">
        <f>+VLOOKUP(PROVEEDORES[[#This Row],[PROVEEDOR]],
                       Terceros!$A:$G,
                       5,
                       FALSE)</f>
        <v>0</v>
      </c>
      <c r="G682" s="122">
        <v>45194</v>
      </c>
      <c r="H682" s="102" t="s">
        <v>1785</v>
      </c>
      <c r="I682" s="122">
        <v>45124</v>
      </c>
      <c r="J682" s="103">
        <v>4272</v>
      </c>
      <c r="K682" s="103" t="s">
        <v>1512</v>
      </c>
      <c r="L682" s="103"/>
      <c r="M682" s="105">
        <v>703000</v>
      </c>
      <c r="N682" s="147">
        <v>0</v>
      </c>
      <c r="O682" s="147">
        <v>0</v>
      </c>
      <c r="P682" s="148">
        <v>0</v>
      </c>
      <c r="Q682" s="147">
        <v>0</v>
      </c>
      <c r="R682" s="149">
        <v>703000</v>
      </c>
      <c r="S6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2" s="150">
        <f ca="1">+IF(PROVEEDORES[[#This Row],[FECHA DE PAGO]]=0,TODAY()-PROVEEDORES[[#This Row],[FECHA DE FACTURACIÓN]]-PROVEEDORES[[#This Row],[PLAZO Días]],0)</f>
        <v>0</v>
      </c>
      <c r="U682" s="150">
        <f>+VLOOKUP(PROVEEDORES[[#This Row],[PROVEEDOR]],Terceros!$A:$E,4,FALSE)</f>
        <v>0</v>
      </c>
      <c r="V682" s="150">
        <f>+YEAR(PROVEEDORES[[#This Row],[FECHA DE FACTURACIÓN]])</f>
        <v>2023</v>
      </c>
      <c r="W682" s="150">
        <f>+MATCH(PROVEEDORES[[#This Row],[año facturado]],Retenciones!$1:$1,0)</f>
        <v>6</v>
      </c>
      <c r="X682" s="151">
        <f>+VLOOKUP(PROVEEDORES[[#This Row],[ID RETENCION]],Retenciones!$A$1:$O$25,PROVEEDORES[[#This Row],[indicador de columna]],FALSE)</f>
        <v>0</v>
      </c>
      <c r="Y682" s="152">
        <f>+VLOOKUP(PROVEEDORES[[#This Row],[ID RETENCION]],Retenciones!$A$1:$O$25,2,FALSE)</f>
        <v>0</v>
      </c>
      <c r="Z682" s="153" t="b">
        <f>+OR(COUNTIF(PROVEEDORES[[#This Row],[PROVEEDOR]],"*"&amp;'Palabra que no opera y Listas d'!$A$2&amp;"*"))</f>
        <v>0</v>
      </c>
    </row>
    <row r="683" spans="1:26" ht="27.75" customHeight="1" x14ac:dyDescent="0.3">
      <c r="A683" s="144" t="str">
        <f>+IF(PROVEEDORES[[#This Row],[FECHA DE PAGO]]=PROVEEDORES[[#This Row],[FECHA DE FACTURACIÓN]],"DE CONTADO","CRÉDITO")</f>
        <v>CRÉDITO</v>
      </c>
      <c r="B683" s="144" t="str">
        <f>+IF((PROVEEDORES[[#This Row],[FECHA DE PAGO]]-PROVEEDORES[[#This Row],[FECHA DE FACTURACIÓN]])&gt;PROVEEDORES[[#This Row],[PLAZO Días]],"PAGO VENCIDO")</f>
        <v>PAGO VENCIDO</v>
      </c>
      <c r="C683" s="144">
        <f>+VLOOKUP(PROVEEDORES[[#This Row],[PROVEEDOR]],TERCEROS_INFO[#All],2,FALSE)</f>
        <v>0</v>
      </c>
      <c r="D683" s="145">
        <f>+SUMIFS(PROVEEDORES[Total],PROVEEDORES[PROVEEDOR],PROVEEDORES[[#This Row],[PROVEEDOR]],PROVEEDORES[FECHA DE PAGO],"")</f>
        <v>224000</v>
      </c>
      <c r="E683" s="146"/>
      <c r="F683" s="144">
        <f>+VLOOKUP(PROVEEDORES[[#This Row],[PROVEEDOR]],
                       Terceros!$A:$G,
                       5,
                       FALSE)</f>
        <v>0</v>
      </c>
      <c r="G683" s="122">
        <v>45194</v>
      </c>
      <c r="H683" s="102" t="s">
        <v>539</v>
      </c>
      <c r="I683" s="122">
        <v>45140</v>
      </c>
      <c r="J683" s="103">
        <v>61</v>
      </c>
      <c r="K683" s="103" t="s">
        <v>1512</v>
      </c>
      <c r="L683" s="103"/>
      <c r="M683" s="105">
        <v>75000</v>
      </c>
      <c r="N683" s="147">
        <v>0</v>
      </c>
      <c r="O683" s="147">
        <v>0</v>
      </c>
      <c r="P683" s="148">
        <v>0</v>
      </c>
      <c r="Q683" s="147">
        <v>0</v>
      </c>
      <c r="R683" s="149">
        <v>75000</v>
      </c>
      <c r="S6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3" s="150">
        <f ca="1">+IF(PROVEEDORES[[#This Row],[FECHA DE PAGO]]=0,TODAY()-PROVEEDORES[[#This Row],[FECHA DE FACTURACIÓN]]-PROVEEDORES[[#This Row],[PLAZO Días]],0)</f>
        <v>0</v>
      </c>
      <c r="U683" s="150">
        <f>+VLOOKUP(PROVEEDORES[[#This Row],[PROVEEDOR]],Terceros!$A:$E,4,FALSE)</f>
        <v>0</v>
      </c>
      <c r="V683" s="150">
        <f>+YEAR(PROVEEDORES[[#This Row],[FECHA DE FACTURACIÓN]])</f>
        <v>2023</v>
      </c>
      <c r="W683" s="150">
        <f>+MATCH(PROVEEDORES[[#This Row],[año facturado]],Retenciones!$1:$1,0)</f>
        <v>6</v>
      </c>
      <c r="X683" s="151">
        <f>+VLOOKUP(PROVEEDORES[[#This Row],[ID RETENCION]],Retenciones!$A$1:$O$25,PROVEEDORES[[#This Row],[indicador de columna]],FALSE)</f>
        <v>0</v>
      </c>
      <c r="Y683" s="152">
        <f>+VLOOKUP(PROVEEDORES[[#This Row],[ID RETENCION]],Retenciones!$A$1:$O$25,2,FALSE)</f>
        <v>0</v>
      </c>
      <c r="Z683" s="153" t="b">
        <f>+OR(COUNTIF(PROVEEDORES[[#This Row],[PROVEEDOR]],"*"&amp;'Palabra que no opera y Listas d'!$A$2&amp;"*"))</f>
        <v>0</v>
      </c>
    </row>
    <row r="684" spans="1:26" ht="27.75" customHeight="1" x14ac:dyDescent="0.3">
      <c r="A684" s="144" t="str">
        <f>+IF(PROVEEDORES[[#This Row],[FECHA DE PAGO]]=PROVEEDORES[[#This Row],[FECHA DE FACTURACIÓN]],"DE CONTADO","CRÉDITO")</f>
        <v>CRÉDITO</v>
      </c>
      <c r="B684" s="144" t="str">
        <f>+IF((PROVEEDORES[[#This Row],[FECHA DE PAGO]]-PROVEEDORES[[#This Row],[FECHA DE FACTURACIÓN]])&gt;PROVEEDORES[[#This Row],[PLAZO Días]],"PAGO VENCIDO")</f>
        <v>PAGO VENCIDO</v>
      </c>
      <c r="C684" s="144">
        <f>+VLOOKUP(PROVEEDORES[[#This Row],[PROVEEDOR]],TERCEROS_INFO[#All],2,FALSE)</f>
        <v>0</v>
      </c>
      <c r="D684" s="145">
        <f>+SUMIFS(PROVEEDORES[Total],PROVEEDORES[PROVEEDOR],PROVEEDORES[[#This Row],[PROVEEDOR]],PROVEEDORES[FECHA DE PAGO],"")</f>
        <v>9343197</v>
      </c>
      <c r="E684" s="146"/>
      <c r="F684" s="144" t="str">
        <f>+VLOOKUP(PROVEEDORES[[#This Row],[PROVEEDOR]],
                       Terceros!$A:$G,
                       5,
                       FALSE)</f>
        <v>2,5% con base</v>
      </c>
      <c r="G684" s="122">
        <v>45194</v>
      </c>
      <c r="H684" s="102" t="s">
        <v>466</v>
      </c>
      <c r="I684" s="122">
        <v>45141</v>
      </c>
      <c r="J684" s="103" t="s">
        <v>963</v>
      </c>
      <c r="K684" s="103" t="s">
        <v>1512</v>
      </c>
      <c r="L684" s="103"/>
      <c r="M684" s="105">
        <v>4116710</v>
      </c>
      <c r="N684" s="147">
        <v>782174.9</v>
      </c>
      <c r="O684" s="147">
        <v>0</v>
      </c>
      <c r="P684" s="148">
        <v>2.5000000000000001E-2</v>
      </c>
      <c r="Q684" s="147">
        <v>102917.75</v>
      </c>
      <c r="R684" s="149">
        <v>4795967.1500000004</v>
      </c>
      <c r="S6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4" s="150">
        <f ca="1">+IF(PROVEEDORES[[#This Row],[FECHA DE PAGO]]=0,TODAY()-PROVEEDORES[[#This Row],[FECHA DE FACTURACIÓN]]-PROVEEDORES[[#This Row],[PLAZO Días]],0)</f>
        <v>0</v>
      </c>
      <c r="U684" s="150">
        <f>+VLOOKUP(PROVEEDORES[[#This Row],[PROVEEDOR]],Terceros!$A:$E,4,FALSE)</f>
        <v>0.19</v>
      </c>
      <c r="V684" s="150">
        <f>+YEAR(PROVEEDORES[[#This Row],[FECHA DE FACTURACIÓN]])</f>
        <v>2023</v>
      </c>
      <c r="W684" s="150">
        <f>+MATCH(PROVEEDORES[[#This Row],[año facturado]],Retenciones!$1:$1,0)</f>
        <v>6</v>
      </c>
      <c r="X684" s="151" t="e">
        <f>+VLOOKUP(PROVEEDORES[[#This Row],[ID RETENCION]],Retenciones!$A$1:$O$25,PROVEEDORES[[#This Row],[indicador de columna]],FALSE)</f>
        <v>#N/A</v>
      </c>
      <c r="Y684" s="152" t="e">
        <f>+VLOOKUP(PROVEEDORES[[#This Row],[ID RETENCION]],Retenciones!$A$1:$O$25,2,FALSE)</f>
        <v>#N/A</v>
      </c>
      <c r="Z684" s="153" t="b">
        <f>+OR(COUNTIF(PROVEEDORES[[#This Row],[PROVEEDOR]],"*"&amp;'Palabra que no opera y Listas d'!$A$2&amp;"*"))</f>
        <v>0</v>
      </c>
    </row>
    <row r="685" spans="1:26" ht="27.75" customHeight="1" x14ac:dyDescent="0.3">
      <c r="A685" s="144" t="str">
        <f>+IF(PROVEEDORES[[#This Row],[FECHA DE PAGO]]=PROVEEDORES[[#This Row],[FECHA DE FACTURACIÓN]],"DE CONTADO","CRÉDITO")</f>
        <v>CRÉDITO</v>
      </c>
      <c r="B685" s="144" t="str">
        <f>+IF((PROVEEDORES[[#This Row],[FECHA DE PAGO]]-PROVEEDORES[[#This Row],[FECHA DE FACTURACIÓN]])&gt;PROVEEDORES[[#This Row],[PLAZO Días]],"PAGO VENCIDO")</f>
        <v>PAGO VENCIDO</v>
      </c>
      <c r="C685" s="144">
        <f>+VLOOKUP(PROVEEDORES[[#This Row],[PROVEEDOR]],TERCEROS_INFO[#All],2,FALSE)</f>
        <v>0</v>
      </c>
      <c r="D685" s="145">
        <f>+SUMIFS(PROVEEDORES[Total],PROVEEDORES[PROVEEDOR],PROVEEDORES[[#This Row],[PROVEEDOR]],PROVEEDORES[FECHA DE PAGO],"")</f>
        <v>0</v>
      </c>
      <c r="E685" s="146"/>
      <c r="F685" s="144">
        <f>+VLOOKUP(PROVEEDORES[[#This Row],[PROVEEDOR]],
                       Terceros!$A:$G,
                       5,
                       FALSE)</f>
        <v>0</v>
      </c>
      <c r="G685" s="122">
        <v>45194</v>
      </c>
      <c r="H685" s="102" t="s">
        <v>1785</v>
      </c>
      <c r="I685" s="122">
        <v>45142</v>
      </c>
      <c r="J685" s="103">
        <v>4307</v>
      </c>
      <c r="K685" s="103" t="s">
        <v>1512</v>
      </c>
      <c r="L685" s="103"/>
      <c r="M685" s="105">
        <v>413100</v>
      </c>
      <c r="N685" s="147">
        <v>0</v>
      </c>
      <c r="O685" s="147">
        <v>0</v>
      </c>
      <c r="P685" s="148">
        <v>0</v>
      </c>
      <c r="Q685" s="147">
        <v>0</v>
      </c>
      <c r="R685" s="149">
        <v>413100</v>
      </c>
      <c r="S6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5" s="150">
        <f ca="1">+IF(PROVEEDORES[[#This Row],[FECHA DE PAGO]]=0,TODAY()-PROVEEDORES[[#This Row],[FECHA DE FACTURACIÓN]]-PROVEEDORES[[#This Row],[PLAZO Días]],0)</f>
        <v>0</v>
      </c>
      <c r="U685" s="150">
        <f>+VLOOKUP(PROVEEDORES[[#This Row],[PROVEEDOR]],Terceros!$A:$E,4,FALSE)</f>
        <v>0</v>
      </c>
      <c r="V685" s="150">
        <f>+YEAR(PROVEEDORES[[#This Row],[FECHA DE FACTURACIÓN]])</f>
        <v>2023</v>
      </c>
      <c r="W685" s="150">
        <f>+MATCH(PROVEEDORES[[#This Row],[año facturado]],Retenciones!$1:$1,0)</f>
        <v>6</v>
      </c>
      <c r="X685" s="151">
        <f>+VLOOKUP(PROVEEDORES[[#This Row],[ID RETENCION]],Retenciones!$A$1:$O$25,PROVEEDORES[[#This Row],[indicador de columna]],FALSE)</f>
        <v>0</v>
      </c>
      <c r="Y685" s="152">
        <f>+VLOOKUP(PROVEEDORES[[#This Row],[ID RETENCION]],Retenciones!$A$1:$O$25,2,FALSE)</f>
        <v>0</v>
      </c>
      <c r="Z685" s="153" t="b">
        <f>+OR(COUNTIF(PROVEEDORES[[#This Row],[PROVEEDOR]],"*"&amp;'Palabra que no opera y Listas d'!$A$2&amp;"*"))</f>
        <v>0</v>
      </c>
    </row>
    <row r="686" spans="1:26" ht="27.75" customHeight="1" x14ac:dyDescent="0.3">
      <c r="A686" s="144" t="str">
        <f>+IF(PROVEEDORES[[#This Row],[FECHA DE PAGO]]=PROVEEDORES[[#This Row],[FECHA DE FACTURACIÓN]],"DE CONTADO","CRÉDITO")</f>
        <v>CRÉDITO</v>
      </c>
      <c r="B686" s="144" t="str">
        <f>+IF((PROVEEDORES[[#This Row],[FECHA DE PAGO]]-PROVEEDORES[[#This Row],[FECHA DE FACTURACIÓN]])&gt;PROVEEDORES[[#This Row],[PLAZO Días]],"PAGO VENCIDO")</f>
        <v>PAGO VENCIDO</v>
      </c>
      <c r="C686" s="144">
        <f>+VLOOKUP(PROVEEDORES[[#This Row],[PROVEEDOR]],TERCEROS_INFO[#All],2,FALSE)</f>
        <v>0</v>
      </c>
      <c r="D686" s="145">
        <f>+SUMIFS(PROVEEDORES[Total],PROVEEDORES[PROVEEDOR],PROVEEDORES[[#This Row],[PROVEEDOR]],PROVEEDORES[FECHA DE PAGO],"")</f>
        <v>224000</v>
      </c>
      <c r="E686" s="146"/>
      <c r="F686" s="144">
        <f>+VLOOKUP(PROVEEDORES[[#This Row],[PROVEEDOR]],
                       Terceros!$A:$G,
                       5,
                       FALSE)</f>
        <v>0</v>
      </c>
      <c r="G686" s="122">
        <v>45194</v>
      </c>
      <c r="H686" s="102" t="s">
        <v>539</v>
      </c>
      <c r="I686" s="122">
        <v>45142</v>
      </c>
      <c r="J686" s="103">
        <v>62</v>
      </c>
      <c r="K686" s="103" t="s">
        <v>1512</v>
      </c>
      <c r="L686" s="103"/>
      <c r="M686" s="105">
        <v>50000</v>
      </c>
      <c r="N686" s="147">
        <v>0</v>
      </c>
      <c r="O686" s="147">
        <v>0</v>
      </c>
      <c r="P686" s="148">
        <v>0</v>
      </c>
      <c r="Q686" s="147">
        <v>0</v>
      </c>
      <c r="R686" s="149">
        <v>50000</v>
      </c>
      <c r="S6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6" s="150">
        <f ca="1">+IF(PROVEEDORES[[#This Row],[FECHA DE PAGO]]=0,TODAY()-PROVEEDORES[[#This Row],[FECHA DE FACTURACIÓN]]-PROVEEDORES[[#This Row],[PLAZO Días]],0)</f>
        <v>0</v>
      </c>
      <c r="U686" s="150">
        <f>+VLOOKUP(PROVEEDORES[[#This Row],[PROVEEDOR]],Terceros!$A:$E,4,FALSE)</f>
        <v>0</v>
      </c>
      <c r="V686" s="150">
        <f>+YEAR(PROVEEDORES[[#This Row],[FECHA DE FACTURACIÓN]])</f>
        <v>2023</v>
      </c>
      <c r="W686" s="150">
        <f>+MATCH(PROVEEDORES[[#This Row],[año facturado]],Retenciones!$1:$1,0)</f>
        <v>6</v>
      </c>
      <c r="X686" s="151">
        <f>+VLOOKUP(PROVEEDORES[[#This Row],[ID RETENCION]],Retenciones!$A$1:$O$25,PROVEEDORES[[#This Row],[indicador de columna]],FALSE)</f>
        <v>0</v>
      </c>
      <c r="Y686" s="152">
        <f>+VLOOKUP(PROVEEDORES[[#This Row],[ID RETENCION]],Retenciones!$A$1:$O$25,2,FALSE)</f>
        <v>0</v>
      </c>
      <c r="Z686" s="153" t="b">
        <f>+OR(COUNTIF(PROVEEDORES[[#This Row],[PROVEEDOR]],"*"&amp;'Palabra que no opera y Listas d'!$A$2&amp;"*"))</f>
        <v>0</v>
      </c>
    </row>
    <row r="687" spans="1:26" ht="27.75" customHeight="1" x14ac:dyDescent="0.3">
      <c r="A687" s="144" t="str">
        <f>+IF(PROVEEDORES[[#This Row],[FECHA DE PAGO]]=PROVEEDORES[[#This Row],[FECHA DE FACTURACIÓN]],"DE CONTADO","CRÉDITO")</f>
        <v>CRÉDITO</v>
      </c>
      <c r="B687" s="144" t="str">
        <f>+IF((PROVEEDORES[[#This Row],[FECHA DE PAGO]]-PROVEEDORES[[#This Row],[FECHA DE FACTURACIÓN]])&gt;PROVEEDORES[[#This Row],[PLAZO Días]],"PAGO VENCIDO")</f>
        <v>PAGO VENCIDO</v>
      </c>
      <c r="C687" s="144">
        <f>+VLOOKUP(PROVEEDORES[[#This Row],[PROVEEDOR]],TERCEROS_INFO[#All],2,FALSE)</f>
        <v>0</v>
      </c>
      <c r="D687" s="145">
        <f>+SUMIFS(PROVEEDORES[Total],PROVEEDORES[PROVEEDOR],PROVEEDORES[[#This Row],[PROVEEDOR]],PROVEEDORES[FECHA DE PAGO],"")</f>
        <v>224000</v>
      </c>
      <c r="E687" s="146"/>
      <c r="F687" s="144">
        <f>+VLOOKUP(PROVEEDORES[[#This Row],[PROVEEDOR]],
                       Terceros!$A:$G,
                       5,
                       FALSE)</f>
        <v>0</v>
      </c>
      <c r="G687" s="122">
        <v>45194</v>
      </c>
      <c r="H687" s="102" t="s">
        <v>539</v>
      </c>
      <c r="I687" s="122">
        <v>45144</v>
      </c>
      <c r="J687" s="103">
        <v>63</v>
      </c>
      <c r="K687" s="103" t="s">
        <v>1512</v>
      </c>
      <c r="L687" s="103"/>
      <c r="M687" s="105">
        <v>49000</v>
      </c>
      <c r="N687" s="147">
        <v>0</v>
      </c>
      <c r="O687" s="147">
        <v>0</v>
      </c>
      <c r="P687" s="148">
        <v>0</v>
      </c>
      <c r="Q687" s="147">
        <v>0</v>
      </c>
      <c r="R687" s="149">
        <v>49000</v>
      </c>
      <c r="S6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7" s="150">
        <f ca="1">+IF(PROVEEDORES[[#This Row],[FECHA DE PAGO]]=0,TODAY()-PROVEEDORES[[#This Row],[FECHA DE FACTURACIÓN]]-PROVEEDORES[[#This Row],[PLAZO Días]],0)</f>
        <v>0</v>
      </c>
      <c r="U687" s="150">
        <f>+VLOOKUP(PROVEEDORES[[#This Row],[PROVEEDOR]],Terceros!$A:$E,4,FALSE)</f>
        <v>0</v>
      </c>
      <c r="V687" s="150">
        <f>+YEAR(PROVEEDORES[[#This Row],[FECHA DE FACTURACIÓN]])</f>
        <v>2023</v>
      </c>
      <c r="W687" s="150">
        <f>+MATCH(PROVEEDORES[[#This Row],[año facturado]],Retenciones!$1:$1,0)</f>
        <v>6</v>
      </c>
      <c r="X687" s="151">
        <f>+VLOOKUP(PROVEEDORES[[#This Row],[ID RETENCION]],Retenciones!$A$1:$O$25,PROVEEDORES[[#This Row],[indicador de columna]],FALSE)</f>
        <v>0</v>
      </c>
      <c r="Y687" s="152">
        <f>+VLOOKUP(PROVEEDORES[[#This Row],[ID RETENCION]],Retenciones!$A$1:$O$25,2,FALSE)</f>
        <v>0</v>
      </c>
      <c r="Z687" s="153" t="b">
        <f>+OR(COUNTIF(PROVEEDORES[[#This Row],[PROVEEDOR]],"*"&amp;'Palabra que no opera y Listas d'!$A$2&amp;"*"))</f>
        <v>0</v>
      </c>
    </row>
    <row r="688" spans="1:26" ht="27.75" customHeight="1" x14ac:dyDescent="0.3">
      <c r="A688" s="144" t="str">
        <f>+IF(PROVEEDORES[[#This Row],[FECHA DE PAGO]]=PROVEEDORES[[#This Row],[FECHA DE FACTURACIÓN]],"DE CONTADO","CRÉDITO")</f>
        <v>CRÉDITO</v>
      </c>
      <c r="B688" s="144" t="str">
        <f>+IF((PROVEEDORES[[#This Row],[FECHA DE PAGO]]-PROVEEDORES[[#This Row],[FECHA DE FACTURACIÓN]])&gt;PROVEEDORES[[#This Row],[PLAZO Días]],"PAGO VENCIDO")</f>
        <v>PAGO VENCIDO</v>
      </c>
      <c r="C688" s="144">
        <f>+VLOOKUP(PROVEEDORES[[#This Row],[PROVEEDOR]],TERCEROS_INFO[#All],2,FALSE)</f>
        <v>0</v>
      </c>
      <c r="D688" s="145">
        <f>+SUMIFS(PROVEEDORES[Total],PROVEEDORES[PROVEEDOR],PROVEEDORES[[#This Row],[PROVEEDOR]],PROVEEDORES[FECHA DE PAGO],"")</f>
        <v>224000</v>
      </c>
      <c r="E688" s="146"/>
      <c r="F688" s="144">
        <f>+VLOOKUP(PROVEEDORES[[#This Row],[PROVEEDOR]],
                       Terceros!$A:$G,
                       5,
                       FALSE)</f>
        <v>0</v>
      </c>
      <c r="G688" s="122">
        <v>45194</v>
      </c>
      <c r="H688" s="102" t="s">
        <v>539</v>
      </c>
      <c r="I688" s="122">
        <v>45149</v>
      </c>
      <c r="J688" s="103">
        <v>64</v>
      </c>
      <c r="K688" s="103" t="s">
        <v>1512</v>
      </c>
      <c r="L688" s="103"/>
      <c r="M688" s="105">
        <v>34000</v>
      </c>
      <c r="N688" s="147">
        <v>0</v>
      </c>
      <c r="O688" s="147">
        <v>0</v>
      </c>
      <c r="P688" s="148">
        <v>0</v>
      </c>
      <c r="Q688" s="147">
        <v>0</v>
      </c>
      <c r="R688" s="149">
        <v>34000</v>
      </c>
      <c r="S6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8" s="150">
        <f ca="1">+IF(PROVEEDORES[[#This Row],[FECHA DE PAGO]]=0,TODAY()-PROVEEDORES[[#This Row],[FECHA DE FACTURACIÓN]]-PROVEEDORES[[#This Row],[PLAZO Días]],0)</f>
        <v>0</v>
      </c>
      <c r="U688" s="150">
        <f>+VLOOKUP(PROVEEDORES[[#This Row],[PROVEEDOR]],Terceros!$A:$E,4,FALSE)</f>
        <v>0</v>
      </c>
      <c r="V688" s="150">
        <f>+YEAR(PROVEEDORES[[#This Row],[FECHA DE FACTURACIÓN]])</f>
        <v>2023</v>
      </c>
      <c r="W688" s="150">
        <f>+MATCH(PROVEEDORES[[#This Row],[año facturado]],Retenciones!$1:$1,0)</f>
        <v>6</v>
      </c>
      <c r="X688" s="151">
        <f>+VLOOKUP(PROVEEDORES[[#This Row],[ID RETENCION]],Retenciones!$A$1:$O$25,PROVEEDORES[[#This Row],[indicador de columna]],FALSE)</f>
        <v>0</v>
      </c>
      <c r="Y688" s="152">
        <f>+VLOOKUP(PROVEEDORES[[#This Row],[ID RETENCION]],Retenciones!$A$1:$O$25,2,FALSE)</f>
        <v>0</v>
      </c>
      <c r="Z688" s="153" t="b">
        <f>+OR(COUNTIF(PROVEEDORES[[#This Row],[PROVEEDOR]],"*"&amp;'Palabra que no opera y Listas d'!$A$2&amp;"*"))</f>
        <v>0</v>
      </c>
    </row>
    <row r="689" spans="1:26" ht="27.75" customHeight="1" x14ac:dyDescent="0.3">
      <c r="A689" s="144" t="str">
        <f>+IF(PROVEEDORES[[#This Row],[FECHA DE PAGO]]=PROVEEDORES[[#This Row],[FECHA DE FACTURACIÓN]],"DE CONTADO","CRÉDITO")</f>
        <v>CRÉDITO</v>
      </c>
      <c r="B689" s="144" t="str">
        <f>+IF((PROVEEDORES[[#This Row],[FECHA DE PAGO]]-PROVEEDORES[[#This Row],[FECHA DE FACTURACIÓN]])&gt;PROVEEDORES[[#This Row],[PLAZO Días]],"PAGO VENCIDO")</f>
        <v>PAGO VENCIDO</v>
      </c>
      <c r="C689" s="144">
        <f>+VLOOKUP(PROVEEDORES[[#This Row],[PROVEEDOR]],TERCEROS_INFO[#All],2,FALSE)</f>
        <v>0</v>
      </c>
      <c r="D689" s="145">
        <f>+SUMIFS(PROVEEDORES[Total],PROVEEDORES[PROVEEDOR],PROVEEDORES[[#This Row],[PROVEEDOR]],PROVEEDORES[FECHA DE PAGO],"")</f>
        <v>224000</v>
      </c>
      <c r="E689" s="146"/>
      <c r="F689" s="144">
        <f>+VLOOKUP(PROVEEDORES[[#This Row],[PROVEEDOR]],
                       Terceros!$A:$G,
                       5,
                       FALSE)</f>
        <v>0</v>
      </c>
      <c r="G689" s="122">
        <v>45194</v>
      </c>
      <c r="H689" s="102" t="s">
        <v>539</v>
      </c>
      <c r="I689" s="122">
        <v>45153</v>
      </c>
      <c r="J689" s="103">
        <v>65</v>
      </c>
      <c r="K689" s="103" t="s">
        <v>1512</v>
      </c>
      <c r="L689" s="103"/>
      <c r="M689" s="105">
        <v>74000</v>
      </c>
      <c r="N689" s="147">
        <v>0</v>
      </c>
      <c r="O689" s="147">
        <v>0</v>
      </c>
      <c r="P689" s="148">
        <v>0</v>
      </c>
      <c r="Q689" s="147">
        <v>0</v>
      </c>
      <c r="R689" s="149">
        <v>74000</v>
      </c>
      <c r="S6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9" s="150">
        <f ca="1">+IF(PROVEEDORES[[#This Row],[FECHA DE PAGO]]=0,TODAY()-PROVEEDORES[[#This Row],[FECHA DE FACTURACIÓN]]-PROVEEDORES[[#This Row],[PLAZO Días]],0)</f>
        <v>0</v>
      </c>
      <c r="U689" s="150">
        <f>+VLOOKUP(PROVEEDORES[[#This Row],[PROVEEDOR]],Terceros!$A:$E,4,FALSE)</f>
        <v>0</v>
      </c>
      <c r="V689" s="150">
        <f>+YEAR(PROVEEDORES[[#This Row],[FECHA DE FACTURACIÓN]])</f>
        <v>2023</v>
      </c>
      <c r="W689" s="150">
        <f>+MATCH(PROVEEDORES[[#This Row],[año facturado]],Retenciones!$1:$1,0)</f>
        <v>6</v>
      </c>
      <c r="X689" s="151">
        <f>+VLOOKUP(PROVEEDORES[[#This Row],[ID RETENCION]],Retenciones!$A$1:$O$25,PROVEEDORES[[#This Row],[indicador de columna]],FALSE)</f>
        <v>0</v>
      </c>
      <c r="Y689" s="152">
        <f>+VLOOKUP(PROVEEDORES[[#This Row],[ID RETENCION]],Retenciones!$A$1:$O$25,2,FALSE)</f>
        <v>0</v>
      </c>
      <c r="Z689" s="153" t="b">
        <f>+OR(COUNTIF(PROVEEDORES[[#This Row],[PROVEEDOR]],"*"&amp;'Palabra que no opera y Listas d'!$A$2&amp;"*"))</f>
        <v>0</v>
      </c>
    </row>
    <row r="690" spans="1:26" ht="27.75" customHeight="1" x14ac:dyDescent="0.3">
      <c r="A690" s="144" t="str">
        <f>+IF(PROVEEDORES[[#This Row],[FECHA DE PAGO]]=PROVEEDORES[[#This Row],[FECHA DE FACTURACIÓN]],"DE CONTADO","CRÉDITO")</f>
        <v>CRÉDITO</v>
      </c>
      <c r="B690" s="144" t="str">
        <f>+IF((PROVEEDORES[[#This Row],[FECHA DE PAGO]]-PROVEEDORES[[#This Row],[FECHA DE FACTURACIÓN]])&gt;PROVEEDORES[[#This Row],[PLAZO Días]],"PAGO VENCIDO")</f>
        <v>PAGO VENCIDO</v>
      </c>
      <c r="C690" s="144">
        <f>+VLOOKUP(PROVEEDORES[[#This Row],[PROVEEDOR]],TERCEROS_INFO[#All],2,FALSE)</f>
        <v>0</v>
      </c>
      <c r="D690" s="145">
        <f>+SUMIFS(PROVEEDORES[Total],PROVEEDORES[PROVEEDOR],PROVEEDORES[[#This Row],[PROVEEDOR]],PROVEEDORES[FECHA DE PAGO],"")</f>
        <v>0</v>
      </c>
      <c r="E690" s="146"/>
      <c r="F690" s="144">
        <f>+VLOOKUP(PROVEEDORES[[#This Row],[PROVEEDOR]],
                       Terceros!$A:$G,
                       5,
                       FALSE)</f>
        <v>0</v>
      </c>
      <c r="G690" s="122">
        <v>45194</v>
      </c>
      <c r="H690" s="102" t="s">
        <v>1785</v>
      </c>
      <c r="I690" s="122">
        <v>45154</v>
      </c>
      <c r="J690" s="103">
        <v>4327</v>
      </c>
      <c r="K690" s="103" t="s">
        <v>1512</v>
      </c>
      <c r="L690" s="103"/>
      <c r="M690" s="105">
        <v>200000</v>
      </c>
      <c r="N690" s="147">
        <v>0</v>
      </c>
      <c r="O690" s="147">
        <v>0</v>
      </c>
      <c r="P690" s="148">
        <v>0</v>
      </c>
      <c r="Q690" s="147">
        <v>0</v>
      </c>
      <c r="R690" s="149">
        <v>200000</v>
      </c>
      <c r="S6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0" s="150">
        <f ca="1">+IF(PROVEEDORES[[#This Row],[FECHA DE PAGO]]=0,TODAY()-PROVEEDORES[[#This Row],[FECHA DE FACTURACIÓN]]-PROVEEDORES[[#This Row],[PLAZO Días]],0)</f>
        <v>0</v>
      </c>
      <c r="U690" s="150">
        <f>+VLOOKUP(PROVEEDORES[[#This Row],[PROVEEDOR]],Terceros!$A:$E,4,FALSE)</f>
        <v>0</v>
      </c>
      <c r="V690" s="150">
        <f>+YEAR(PROVEEDORES[[#This Row],[FECHA DE FACTURACIÓN]])</f>
        <v>2023</v>
      </c>
      <c r="W690" s="150">
        <f>+MATCH(PROVEEDORES[[#This Row],[año facturado]],Retenciones!$1:$1,0)</f>
        <v>6</v>
      </c>
      <c r="X690" s="151">
        <f>+VLOOKUP(PROVEEDORES[[#This Row],[ID RETENCION]],Retenciones!$A$1:$O$25,PROVEEDORES[[#This Row],[indicador de columna]],FALSE)</f>
        <v>0</v>
      </c>
      <c r="Y690" s="152">
        <f>+VLOOKUP(PROVEEDORES[[#This Row],[ID RETENCION]],Retenciones!$A$1:$O$25,2,FALSE)</f>
        <v>0</v>
      </c>
      <c r="Z690" s="153" t="b">
        <f>+OR(COUNTIF(PROVEEDORES[[#This Row],[PROVEEDOR]],"*"&amp;'Palabra que no opera y Listas d'!$A$2&amp;"*"))</f>
        <v>0</v>
      </c>
    </row>
    <row r="691" spans="1:26" ht="27.75" customHeight="1" x14ac:dyDescent="0.3">
      <c r="A691" s="144" t="str">
        <f>+IF(PROVEEDORES[[#This Row],[FECHA DE PAGO]]=PROVEEDORES[[#This Row],[FECHA DE FACTURACIÓN]],"DE CONTADO","CRÉDITO")</f>
        <v>CRÉDITO</v>
      </c>
      <c r="B691" s="144" t="str">
        <f>+IF((PROVEEDORES[[#This Row],[FECHA DE PAGO]]-PROVEEDORES[[#This Row],[FECHA DE FACTURACIÓN]])&gt;PROVEEDORES[[#This Row],[PLAZO Días]],"PAGO VENCIDO")</f>
        <v>PAGO VENCIDO</v>
      </c>
      <c r="C691" s="144">
        <f>+VLOOKUP(PROVEEDORES[[#This Row],[PROVEEDOR]],TERCEROS_INFO[#All],2,FALSE)</f>
        <v>0</v>
      </c>
      <c r="D691" s="145">
        <f>+SUMIFS(PROVEEDORES[Total],PROVEEDORES[PROVEEDOR],PROVEEDORES[[#This Row],[PROVEEDOR]],PROVEEDORES[FECHA DE PAGO],"")</f>
        <v>0</v>
      </c>
      <c r="E691" s="146"/>
      <c r="F691" s="144">
        <f>+VLOOKUP(PROVEEDORES[[#This Row],[PROVEEDOR]],
                       Terceros!$A:$G,
                       5,
                       FALSE)</f>
        <v>0</v>
      </c>
      <c r="G691" s="122">
        <v>45194</v>
      </c>
      <c r="H691" s="102" t="s">
        <v>507</v>
      </c>
      <c r="I691" s="122">
        <v>45155</v>
      </c>
      <c r="J691" s="103">
        <v>491</v>
      </c>
      <c r="K691" s="103" t="s">
        <v>1512</v>
      </c>
      <c r="L691" s="103"/>
      <c r="M691" s="105">
        <v>300000</v>
      </c>
      <c r="N691" s="147">
        <v>0</v>
      </c>
      <c r="O691" s="147">
        <v>0</v>
      </c>
      <c r="P691" s="148">
        <v>0</v>
      </c>
      <c r="Q691" s="147">
        <v>0</v>
      </c>
      <c r="R691" s="149">
        <v>300000</v>
      </c>
      <c r="S6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1" s="150">
        <f ca="1">+IF(PROVEEDORES[[#This Row],[FECHA DE PAGO]]=0,TODAY()-PROVEEDORES[[#This Row],[FECHA DE FACTURACIÓN]]-PROVEEDORES[[#This Row],[PLAZO Días]],0)</f>
        <v>0</v>
      </c>
      <c r="U691" s="150">
        <f>+VLOOKUP(PROVEEDORES[[#This Row],[PROVEEDOR]],Terceros!$A:$E,4,FALSE)</f>
        <v>0</v>
      </c>
      <c r="V691" s="150">
        <f>+YEAR(PROVEEDORES[[#This Row],[FECHA DE FACTURACIÓN]])</f>
        <v>2023</v>
      </c>
      <c r="W691" s="150">
        <f>+MATCH(PROVEEDORES[[#This Row],[año facturado]],Retenciones!$1:$1,0)</f>
        <v>6</v>
      </c>
      <c r="X691" s="151">
        <f>+VLOOKUP(PROVEEDORES[[#This Row],[ID RETENCION]],Retenciones!$A$1:$O$25,PROVEEDORES[[#This Row],[indicador de columna]],FALSE)</f>
        <v>0</v>
      </c>
      <c r="Y691" s="152">
        <f>+VLOOKUP(PROVEEDORES[[#This Row],[ID RETENCION]],Retenciones!$A$1:$O$25,2,FALSE)</f>
        <v>0</v>
      </c>
      <c r="Z691" s="153" t="b">
        <f>+OR(COUNTIF(PROVEEDORES[[#This Row],[PROVEEDOR]],"*"&amp;'Palabra que no opera y Listas d'!$A$2&amp;"*"))</f>
        <v>0</v>
      </c>
    </row>
    <row r="692" spans="1:26" ht="27.75" customHeight="1" x14ac:dyDescent="0.3">
      <c r="A692" s="144" t="str">
        <f>+IF(PROVEEDORES[[#This Row],[FECHA DE PAGO]]=PROVEEDORES[[#This Row],[FECHA DE FACTURACIÓN]],"DE CONTADO","CRÉDITO")</f>
        <v>CRÉDITO</v>
      </c>
      <c r="B692" s="144" t="str">
        <f>+IF((PROVEEDORES[[#This Row],[FECHA DE PAGO]]-PROVEEDORES[[#This Row],[FECHA DE FACTURACIÓN]])&gt;PROVEEDORES[[#This Row],[PLAZO Días]],"PAGO VENCIDO")</f>
        <v>PAGO VENCIDO</v>
      </c>
      <c r="C692" s="144">
        <f>+VLOOKUP(PROVEEDORES[[#This Row],[PROVEEDOR]],TERCEROS_INFO[#All],2,FALSE)</f>
        <v>0</v>
      </c>
      <c r="D692" s="145">
        <f>+SUMIFS(PROVEEDORES[Total],PROVEEDORES[PROVEEDOR],PROVEEDORES[[#This Row],[PROVEEDOR]],PROVEEDORES[FECHA DE PAGO],"")</f>
        <v>224000</v>
      </c>
      <c r="E692" s="146"/>
      <c r="F692" s="144">
        <f>+VLOOKUP(PROVEEDORES[[#This Row],[PROVEEDOR]],
                       Terceros!$A:$G,
                       5,
                       FALSE)</f>
        <v>0</v>
      </c>
      <c r="G692" s="122">
        <v>45194</v>
      </c>
      <c r="H692" s="102" t="s">
        <v>539</v>
      </c>
      <c r="I692" s="122">
        <v>45160</v>
      </c>
      <c r="J692" s="103">
        <v>66</v>
      </c>
      <c r="K692" s="103" t="s">
        <v>1512</v>
      </c>
      <c r="L692" s="103"/>
      <c r="M692" s="105">
        <v>20000</v>
      </c>
      <c r="N692" s="147">
        <v>0</v>
      </c>
      <c r="O692" s="147">
        <v>0</v>
      </c>
      <c r="P692" s="148">
        <v>0</v>
      </c>
      <c r="Q692" s="147">
        <v>0</v>
      </c>
      <c r="R692" s="149">
        <v>20000</v>
      </c>
      <c r="S6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2" s="150">
        <f ca="1">+IF(PROVEEDORES[[#This Row],[FECHA DE PAGO]]=0,TODAY()-PROVEEDORES[[#This Row],[FECHA DE FACTURACIÓN]]-PROVEEDORES[[#This Row],[PLAZO Días]],0)</f>
        <v>0</v>
      </c>
      <c r="U692" s="150">
        <f>+VLOOKUP(PROVEEDORES[[#This Row],[PROVEEDOR]],Terceros!$A:$E,4,FALSE)</f>
        <v>0</v>
      </c>
      <c r="V692" s="150">
        <f>+YEAR(PROVEEDORES[[#This Row],[FECHA DE FACTURACIÓN]])</f>
        <v>2023</v>
      </c>
      <c r="W692" s="150">
        <f>+MATCH(PROVEEDORES[[#This Row],[año facturado]],Retenciones!$1:$1,0)</f>
        <v>6</v>
      </c>
      <c r="X692" s="151">
        <f>+VLOOKUP(PROVEEDORES[[#This Row],[ID RETENCION]],Retenciones!$A$1:$O$25,PROVEEDORES[[#This Row],[indicador de columna]],FALSE)</f>
        <v>0</v>
      </c>
      <c r="Y692" s="152">
        <f>+VLOOKUP(PROVEEDORES[[#This Row],[ID RETENCION]],Retenciones!$A$1:$O$25,2,FALSE)</f>
        <v>0</v>
      </c>
      <c r="Z692" s="153" t="b">
        <f>+OR(COUNTIF(PROVEEDORES[[#This Row],[PROVEEDOR]],"*"&amp;'Palabra que no opera y Listas d'!$A$2&amp;"*"))</f>
        <v>0</v>
      </c>
    </row>
    <row r="693" spans="1:26" ht="27.75" customHeight="1" x14ac:dyDescent="0.3">
      <c r="A693" s="144" t="str">
        <f>+IF(PROVEEDORES[[#This Row],[FECHA DE PAGO]]=PROVEEDORES[[#This Row],[FECHA DE FACTURACIÓN]],"DE CONTADO","CRÉDITO")</f>
        <v>CRÉDITO</v>
      </c>
      <c r="B693" s="144" t="str">
        <f>+IF((PROVEEDORES[[#This Row],[FECHA DE PAGO]]-PROVEEDORES[[#This Row],[FECHA DE FACTURACIÓN]])&gt;PROVEEDORES[[#This Row],[PLAZO Días]],"PAGO VENCIDO")</f>
        <v>PAGO VENCIDO</v>
      </c>
      <c r="C693" s="144">
        <f>+VLOOKUP(PROVEEDORES[[#This Row],[PROVEEDOR]],TERCEROS_INFO[#All],2,FALSE)</f>
        <v>0</v>
      </c>
      <c r="D693" s="145">
        <f>+SUMIFS(PROVEEDORES[Total],PROVEEDORES[PROVEEDOR],PROVEEDORES[[#This Row],[PROVEEDOR]],PROVEEDORES[FECHA DE PAGO],"")</f>
        <v>7281829.8799999999</v>
      </c>
      <c r="E693" s="146"/>
      <c r="F693" s="144" t="str">
        <f>+VLOOKUP(PROVEEDORES[[#This Row],[PROVEEDOR]],
                       Terceros!$A:$G,
                       5,
                       FALSE)</f>
        <v>2,5% con base</v>
      </c>
      <c r="G693" s="122">
        <v>45194</v>
      </c>
      <c r="H693" s="102" t="s">
        <v>1445</v>
      </c>
      <c r="I693" s="122">
        <v>45162</v>
      </c>
      <c r="J693" s="103" t="s">
        <v>1006</v>
      </c>
      <c r="K693" s="103" t="s">
        <v>1512</v>
      </c>
      <c r="L693" s="103"/>
      <c r="M693" s="105">
        <v>1877600</v>
      </c>
      <c r="N693" s="147">
        <v>356744</v>
      </c>
      <c r="O693" s="147">
        <v>0</v>
      </c>
      <c r="P693" s="148">
        <v>2.5000000000000001E-2</v>
      </c>
      <c r="Q693" s="147">
        <v>46940</v>
      </c>
      <c r="R693" s="149">
        <v>2187404</v>
      </c>
      <c r="S6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3" s="150">
        <f ca="1">+IF(PROVEEDORES[[#This Row],[FECHA DE PAGO]]=0,TODAY()-PROVEEDORES[[#This Row],[FECHA DE FACTURACIÓN]]-PROVEEDORES[[#This Row],[PLAZO Días]],0)</f>
        <v>0</v>
      </c>
      <c r="U693" s="150">
        <f>+VLOOKUP(PROVEEDORES[[#This Row],[PROVEEDOR]],Terceros!$A:$E,4,FALSE)</f>
        <v>0.19</v>
      </c>
      <c r="V693" s="150">
        <f>+YEAR(PROVEEDORES[[#This Row],[FECHA DE FACTURACIÓN]])</f>
        <v>2023</v>
      </c>
      <c r="W693" s="150">
        <f>+MATCH(PROVEEDORES[[#This Row],[año facturado]],Retenciones!$1:$1,0)</f>
        <v>6</v>
      </c>
      <c r="X693" s="151" t="e">
        <f>+VLOOKUP(PROVEEDORES[[#This Row],[ID RETENCION]],Retenciones!$A$1:$O$25,PROVEEDORES[[#This Row],[indicador de columna]],FALSE)</f>
        <v>#N/A</v>
      </c>
      <c r="Y693" s="152" t="e">
        <f>+VLOOKUP(PROVEEDORES[[#This Row],[ID RETENCION]],Retenciones!$A$1:$O$25,2,FALSE)</f>
        <v>#N/A</v>
      </c>
      <c r="Z693" s="153" t="b">
        <f>+OR(COUNTIF(PROVEEDORES[[#This Row],[PROVEEDOR]],"*"&amp;'Palabra que no opera y Listas d'!$A$2&amp;"*"))</f>
        <v>0</v>
      </c>
    </row>
    <row r="694" spans="1:26" ht="27.75" customHeight="1" x14ac:dyDescent="0.3">
      <c r="A694" s="144" t="str">
        <f>+IF(PROVEEDORES[[#This Row],[FECHA DE PAGO]]=PROVEEDORES[[#This Row],[FECHA DE FACTURACIÓN]],"DE CONTADO","CRÉDITO")</f>
        <v>CRÉDITO</v>
      </c>
      <c r="B694" s="144" t="str">
        <f>+IF((PROVEEDORES[[#This Row],[FECHA DE PAGO]]-PROVEEDORES[[#This Row],[FECHA DE FACTURACIÓN]])&gt;PROVEEDORES[[#This Row],[PLAZO Días]],"PAGO VENCIDO")</f>
        <v>PAGO VENCIDO</v>
      </c>
      <c r="C694" s="144">
        <f>+VLOOKUP(PROVEEDORES[[#This Row],[PROVEEDOR]],TERCEROS_INFO[#All],2,FALSE)</f>
        <v>0</v>
      </c>
      <c r="D694" s="145">
        <f>+SUMIFS(PROVEEDORES[Total],PROVEEDORES[PROVEEDOR],PROVEEDORES[[#This Row],[PROVEEDOR]],PROVEEDORES[FECHA DE PAGO],"")</f>
        <v>224000</v>
      </c>
      <c r="E694" s="146"/>
      <c r="F694" s="144">
        <f>+VLOOKUP(PROVEEDORES[[#This Row],[PROVEEDOR]],
                       Terceros!$A:$G,
                       5,
                       FALSE)</f>
        <v>0</v>
      </c>
      <c r="G694" s="122">
        <v>45194</v>
      </c>
      <c r="H694" s="102" t="s">
        <v>539</v>
      </c>
      <c r="I694" s="122">
        <v>45166</v>
      </c>
      <c r="J694" s="103">
        <v>67</v>
      </c>
      <c r="K694" s="103" t="s">
        <v>1512</v>
      </c>
      <c r="L694" s="103"/>
      <c r="M694" s="105">
        <v>22000</v>
      </c>
      <c r="N694" s="147">
        <v>0</v>
      </c>
      <c r="O694" s="147">
        <v>0</v>
      </c>
      <c r="P694" s="148">
        <v>0</v>
      </c>
      <c r="Q694" s="147">
        <v>0</v>
      </c>
      <c r="R694" s="149">
        <v>22000</v>
      </c>
      <c r="S6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4" s="150">
        <f ca="1">+IF(PROVEEDORES[[#This Row],[FECHA DE PAGO]]=0,TODAY()-PROVEEDORES[[#This Row],[FECHA DE FACTURACIÓN]]-PROVEEDORES[[#This Row],[PLAZO Días]],0)</f>
        <v>0</v>
      </c>
      <c r="U694" s="150">
        <f>+VLOOKUP(PROVEEDORES[[#This Row],[PROVEEDOR]],Terceros!$A:$E,4,FALSE)</f>
        <v>0</v>
      </c>
      <c r="V694" s="150">
        <f>+YEAR(PROVEEDORES[[#This Row],[FECHA DE FACTURACIÓN]])</f>
        <v>2023</v>
      </c>
      <c r="W694" s="150">
        <f>+MATCH(PROVEEDORES[[#This Row],[año facturado]],Retenciones!$1:$1,0)</f>
        <v>6</v>
      </c>
      <c r="X694" s="151">
        <f>+VLOOKUP(PROVEEDORES[[#This Row],[ID RETENCION]],Retenciones!$A$1:$O$25,PROVEEDORES[[#This Row],[indicador de columna]],FALSE)</f>
        <v>0</v>
      </c>
      <c r="Y694" s="152">
        <f>+VLOOKUP(PROVEEDORES[[#This Row],[ID RETENCION]],Retenciones!$A$1:$O$25,2,FALSE)</f>
        <v>0</v>
      </c>
      <c r="Z694" s="153" t="b">
        <f>+OR(COUNTIF(PROVEEDORES[[#This Row],[PROVEEDOR]],"*"&amp;'Palabra que no opera y Listas d'!$A$2&amp;"*"))</f>
        <v>0</v>
      </c>
    </row>
    <row r="695" spans="1:26" ht="27.75" customHeight="1" x14ac:dyDescent="0.3">
      <c r="A695" s="144" t="str">
        <f>+IF(PROVEEDORES[[#This Row],[FECHA DE PAGO]]=PROVEEDORES[[#This Row],[FECHA DE FACTURACIÓN]],"DE CONTADO","CRÉDITO")</f>
        <v>CRÉDITO</v>
      </c>
      <c r="B695" s="144" t="str">
        <f>+IF((PROVEEDORES[[#This Row],[FECHA DE PAGO]]-PROVEEDORES[[#This Row],[FECHA DE FACTURACIÓN]])&gt;PROVEEDORES[[#This Row],[PLAZO Días]],"PAGO VENCIDO")</f>
        <v>PAGO VENCIDO</v>
      </c>
      <c r="C695" s="144">
        <f>+VLOOKUP(PROVEEDORES[[#This Row],[PROVEEDOR]],TERCEROS_INFO[#All],2,FALSE)</f>
        <v>0</v>
      </c>
      <c r="D695" s="145">
        <f>+SUMIFS(PROVEEDORES[Total],PROVEEDORES[PROVEEDOR],PROVEEDORES[[#This Row],[PROVEEDOR]],PROVEEDORES[FECHA DE PAGO],"")</f>
        <v>224000</v>
      </c>
      <c r="E695" s="146"/>
      <c r="F695" s="144">
        <f>+VLOOKUP(PROVEEDORES[[#This Row],[PROVEEDOR]],
                       Terceros!$A:$G,
                       5,
                       FALSE)</f>
        <v>0</v>
      </c>
      <c r="G695" s="122">
        <v>45194</v>
      </c>
      <c r="H695" s="102" t="s">
        <v>539</v>
      </c>
      <c r="I695" s="122">
        <v>45168</v>
      </c>
      <c r="J695" s="103">
        <v>68</v>
      </c>
      <c r="K695" s="103" t="s">
        <v>1512</v>
      </c>
      <c r="L695" s="103"/>
      <c r="M695" s="105">
        <v>66000</v>
      </c>
      <c r="N695" s="147">
        <v>0</v>
      </c>
      <c r="O695" s="147">
        <v>0</v>
      </c>
      <c r="P695" s="148">
        <v>0</v>
      </c>
      <c r="Q695" s="147">
        <v>0</v>
      </c>
      <c r="R695" s="149">
        <v>66000</v>
      </c>
      <c r="S6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5" s="150">
        <f ca="1">+IF(PROVEEDORES[[#This Row],[FECHA DE PAGO]]=0,TODAY()-PROVEEDORES[[#This Row],[FECHA DE FACTURACIÓN]]-PROVEEDORES[[#This Row],[PLAZO Días]],0)</f>
        <v>0</v>
      </c>
      <c r="U695" s="150">
        <f>+VLOOKUP(PROVEEDORES[[#This Row],[PROVEEDOR]],Terceros!$A:$E,4,FALSE)</f>
        <v>0</v>
      </c>
      <c r="V695" s="150">
        <f>+YEAR(PROVEEDORES[[#This Row],[FECHA DE FACTURACIÓN]])</f>
        <v>2023</v>
      </c>
      <c r="W695" s="150">
        <f>+MATCH(PROVEEDORES[[#This Row],[año facturado]],Retenciones!$1:$1,0)</f>
        <v>6</v>
      </c>
      <c r="X695" s="151">
        <f>+VLOOKUP(PROVEEDORES[[#This Row],[ID RETENCION]],Retenciones!$A$1:$O$25,PROVEEDORES[[#This Row],[indicador de columna]],FALSE)</f>
        <v>0</v>
      </c>
      <c r="Y695" s="152">
        <f>+VLOOKUP(PROVEEDORES[[#This Row],[ID RETENCION]],Retenciones!$A$1:$O$25,2,FALSE)</f>
        <v>0</v>
      </c>
      <c r="Z695" s="153" t="b">
        <f>+OR(COUNTIF(PROVEEDORES[[#This Row],[PROVEEDOR]],"*"&amp;'Palabra que no opera y Listas d'!$A$2&amp;"*"))</f>
        <v>0</v>
      </c>
    </row>
    <row r="696" spans="1:26" ht="27.75" customHeight="1" x14ac:dyDescent="0.3">
      <c r="A696" s="144" t="str">
        <f>+IF(PROVEEDORES[[#This Row],[FECHA DE PAGO]]=PROVEEDORES[[#This Row],[FECHA DE FACTURACIÓN]],"DE CONTADO","CRÉDITO")</f>
        <v>CRÉDITO</v>
      </c>
      <c r="B696" s="144" t="str">
        <f>+IF((PROVEEDORES[[#This Row],[FECHA DE PAGO]]-PROVEEDORES[[#This Row],[FECHA DE FACTURACIÓN]])&gt;PROVEEDORES[[#This Row],[PLAZO Días]],"PAGO VENCIDO")</f>
        <v>PAGO VENCIDO</v>
      </c>
      <c r="C696" s="144">
        <f>+VLOOKUP(PROVEEDORES[[#This Row],[PROVEEDOR]],TERCEROS_INFO[#All],2,FALSE)</f>
        <v>0</v>
      </c>
      <c r="D696" s="145">
        <f>+SUMIFS(PROVEEDORES[Total],PROVEEDORES[PROVEEDOR],PROVEEDORES[[#This Row],[PROVEEDOR]],PROVEEDORES[FECHA DE PAGO],"")</f>
        <v>0</v>
      </c>
      <c r="E696" s="146"/>
      <c r="F696" s="144">
        <f>+VLOOKUP(PROVEEDORES[[#This Row],[PROVEEDOR]],
                       Terceros!$A:$G,
                       5,
                       FALSE)</f>
        <v>0</v>
      </c>
      <c r="G696" s="122">
        <v>45194</v>
      </c>
      <c r="H696" s="102" t="s">
        <v>397</v>
      </c>
      <c r="I696" s="122">
        <v>45170</v>
      </c>
      <c r="J696" s="103" t="s">
        <v>1057</v>
      </c>
      <c r="K696" s="103" t="s">
        <v>1512</v>
      </c>
      <c r="L696" s="103"/>
      <c r="M696" s="105">
        <v>914023</v>
      </c>
      <c r="N696" s="147">
        <v>0</v>
      </c>
      <c r="O696" s="147">
        <v>0</v>
      </c>
      <c r="P696" s="148">
        <v>0</v>
      </c>
      <c r="Q696" s="147">
        <v>0</v>
      </c>
      <c r="R696" s="149">
        <v>914023</v>
      </c>
      <c r="S6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6" s="150">
        <f ca="1">+IF(PROVEEDORES[[#This Row],[FECHA DE PAGO]]=0,TODAY()-PROVEEDORES[[#This Row],[FECHA DE FACTURACIÓN]]-PROVEEDORES[[#This Row],[PLAZO Días]],0)</f>
        <v>0</v>
      </c>
      <c r="U696" s="150">
        <f>+VLOOKUP(PROVEEDORES[[#This Row],[PROVEEDOR]],Terceros!$A:$E,4,FALSE)</f>
        <v>0</v>
      </c>
      <c r="V696" s="150">
        <f>+YEAR(PROVEEDORES[[#This Row],[FECHA DE FACTURACIÓN]])</f>
        <v>2023</v>
      </c>
      <c r="W696" s="150">
        <f>+MATCH(PROVEEDORES[[#This Row],[año facturado]],Retenciones!$1:$1,0)</f>
        <v>6</v>
      </c>
      <c r="X696" s="151">
        <f>+VLOOKUP(PROVEEDORES[[#This Row],[ID RETENCION]],Retenciones!$A$1:$O$25,PROVEEDORES[[#This Row],[indicador de columna]],FALSE)</f>
        <v>0</v>
      </c>
      <c r="Y696" s="152">
        <f>+VLOOKUP(PROVEEDORES[[#This Row],[ID RETENCION]],Retenciones!$A$1:$O$25,2,FALSE)</f>
        <v>0</v>
      </c>
      <c r="Z696" s="153" t="b">
        <f>+OR(COUNTIF(PROVEEDORES[[#This Row],[PROVEEDOR]],"*"&amp;'Palabra que no opera y Listas d'!$A$2&amp;"*"))</f>
        <v>1</v>
      </c>
    </row>
    <row r="697" spans="1:26" ht="27.75" customHeight="1" x14ac:dyDescent="0.3">
      <c r="A697" s="144" t="str">
        <f>+IF(PROVEEDORES[[#This Row],[FECHA DE PAGO]]=PROVEEDORES[[#This Row],[FECHA DE FACTURACIÓN]],"DE CONTADO","CRÉDITO")</f>
        <v>CRÉDITO</v>
      </c>
      <c r="B697" s="144" t="str">
        <f>+IF((PROVEEDORES[[#This Row],[FECHA DE PAGO]]-PROVEEDORES[[#This Row],[FECHA DE FACTURACIÓN]])&gt;PROVEEDORES[[#This Row],[PLAZO Días]],"PAGO VENCIDO")</f>
        <v>PAGO VENCIDO</v>
      </c>
      <c r="C697" s="144">
        <f>+VLOOKUP(PROVEEDORES[[#This Row],[PROVEEDOR]],TERCEROS_INFO[#All],2,FALSE)</f>
        <v>0</v>
      </c>
      <c r="D697" s="145">
        <f>+SUMIFS(PROVEEDORES[Total],PROVEEDORES[PROVEEDOR],PROVEEDORES[[#This Row],[PROVEEDOR]],PROVEEDORES[FECHA DE PAGO],"")</f>
        <v>0</v>
      </c>
      <c r="E697" s="146"/>
      <c r="F697" s="144">
        <f>+VLOOKUP(PROVEEDORES[[#This Row],[PROVEEDOR]],
                       Terceros!$A:$G,
                       5,
                       FALSE)</f>
        <v>0</v>
      </c>
      <c r="G697" s="122">
        <v>45194</v>
      </c>
      <c r="H697" s="102" t="s">
        <v>397</v>
      </c>
      <c r="I697" s="122">
        <v>45170</v>
      </c>
      <c r="J697" s="103" t="s">
        <v>1058</v>
      </c>
      <c r="K697" s="103" t="s">
        <v>1512</v>
      </c>
      <c r="L697" s="103"/>
      <c r="M697" s="105">
        <v>934363</v>
      </c>
      <c r="N697" s="147">
        <v>0</v>
      </c>
      <c r="O697" s="147">
        <v>0</v>
      </c>
      <c r="P697" s="148">
        <v>0</v>
      </c>
      <c r="Q697" s="147">
        <v>0</v>
      </c>
      <c r="R697" s="149">
        <v>934363</v>
      </c>
      <c r="S6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7" s="150">
        <f ca="1">+IF(PROVEEDORES[[#This Row],[FECHA DE PAGO]]=0,TODAY()-PROVEEDORES[[#This Row],[FECHA DE FACTURACIÓN]]-PROVEEDORES[[#This Row],[PLAZO Días]],0)</f>
        <v>0</v>
      </c>
      <c r="U697" s="150">
        <f>+VLOOKUP(PROVEEDORES[[#This Row],[PROVEEDOR]],Terceros!$A:$E,4,FALSE)</f>
        <v>0</v>
      </c>
      <c r="V697" s="150">
        <f>+YEAR(PROVEEDORES[[#This Row],[FECHA DE FACTURACIÓN]])</f>
        <v>2023</v>
      </c>
      <c r="W697" s="150">
        <f>+MATCH(PROVEEDORES[[#This Row],[año facturado]],Retenciones!$1:$1,0)</f>
        <v>6</v>
      </c>
      <c r="X697" s="151">
        <f>+VLOOKUP(PROVEEDORES[[#This Row],[ID RETENCION]],Retenciones!$A$1:$O$25,PROVEEDORES[[#This Row],[indicador de columna]],FALSE)</f>
        <v>0</v>
      </c>
      <c r="Y697" s="152">
        <f>+VLOOKUP(PROVEEDORES[[#This Row],[ID RETENCION]],Retenciones!$A$1:$O$25,2,FALSE)</f>
        <v>0</v>
      </c>
      <c r="Z697" s="153" t="b">
        <f>+OR(COUNTIF(PROVEEDORES[[#This Row],[PROVEEDOR]],"*"&amp;'Palabra que no opera y Listas d'!$A$2&amp;"*"))</f>
        <v>1</v>
      </c>
    </row>
    <row r="698" spans="1:26" ht="27.75" customHeight="1" x14ac:dyDescent="0.3">
      <c r="A698" s="144" t="str">
        <f>+IF(PROVEEDORES[[#This Row],[FECHA DE PAGO]]=PROVEEDORES[[#This Row],[FECHA DE FACTURACIÓN]],"DE CONTADO","CRÉDITO")</f>
        <v>CRÉDITO</v>
      </c>
      <c r="B698" s="144" t="str">
        <f>+IF((PROVEEDORES[[#This Row],[FECHA DE PAGO]]-PROVEEDORES[[#This Row],[FECHA DE FACTURACIÓN]])&gt;PROVEEDORES[[#This Row],[PLAZO Días]],"PAGO VENCIDO")</f>
        <v>PAGO VENCIDO</v>
      </c>
      <c r="C698" s="144">
        <f>+VLOOKUP(PROVEEDORES[[#This Row],[PROVEEDOR]],TERCEROS_INFO[#All],2,FALSE)</f>
        <v>0</v>
      </c>
      <c r="D698" s="145">
        <f>+SUMIFS(PROVEEDORES[Total],PROVEEDORES[PROVEEDOR],PROVEEDORES[[#This Row],[PROVEEDOR]],PROVEEDORES[FECHA DE PAGO],"")</f>
        <v>0</v>
      </c>
      <c r="E698" s="146"/>
      <c r="F698" s="144">
        <f>+VLOOKUP(PROVEEDORES[[#This Row],[PROVEEDOR]],
                       Terceros!$A:$G,
                       5,
                       FALSE)</f>
        <v>0</v>
      </c>
      <c r="G698" s="122">
        <v>45194</v>
      </c>
      <c r="H698" s="102" t="s">
        <v>497</v>
      </c>
      <c r="I698" s="122">
        <v>45170</v>
      </c>
      <c r="J698" s="103" t="s">
        <v>1056</v>
      </c>
      <c r="K698" s="103" t="s">
        <v>1512</v>
      </c>
      <c r="L698" s="103"/>
      <c r="M698" s="105">
        <v>5350576</v>
      </c>
      <c r="N698" s="147">
        <v>1016609.4400000001</v>
      </c>
      <c r="O698" s="147">
        <v>0</v>
      </c>
      <c r="P698" s="148">
        <v>0</v>
      </c>
      <c r="Q698" s="147">
        <v>0</v>
      </c>
      <c r="R698" s="149">
        <v>6367185.4400000004</v>
      </c>
      <c r="S6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8" s="150">
        <f ca="1">+IF(PROVEEDORES[[#This Row],[FECHA DE PAGO]]=0,TODAY()-PROVEEDORES[[#This Row],[FECHA DE FACTURACIÓN]]-PROVEEDORES[[#This Row],[PLAZO Días]],0)</f>
        <v>0</v>
      </c>
      <c r="U698" s="150">
        <f>+VLOOKUP(PROVEEDORES[[#This Row],[PROVEEDOR]],Terceros!$A:$E,4,FALSE)</f>
        <v>0.19</v>
      </c>
      <c r="V698" s="150">
        <f>+YEAR(PROVEEDORES[[#This Row],[FECHA DE FACTURACIÓN]])</f>
        <v>2023</v>
      </c>
      <c r="W698" s="150">
        <f>+MATCH(PROVEEDORES[[#This Row],[año facturado]],Retenciones!$1:$1,0)</f>
        <v>6</v>
      </c>
      <c r="X698" s="151" t="e">
        <f>+VLOOKUP(PROVEEDORES[[#This Row],[ID RETENCION]],Retenciones!$A$1:$O$25,PROVEEDORES[[#This Row],[indicador de columna]],FALSE)</f>
        <v>#N/A</v>
      </c>
      <c r="Y698" s="152" t="e">
        <f>+VLOOKUP(PROVEEDORES[[#This Row],[ID RETENCION]],Retenciones!$A$1:$O$25,2,FALSE)</f>
        <v>#N/A</v>
      </c>
      <c r="Z698" s="153" t="b">
        <f>+OR(COUNTIF(PROVEEDORES[[#This Row],[PROVEEDOR]],"*"&amp;'Palabra que no opera y Listas d'!$A$2&amp;"*"))</f>
        <v>1</v>
      </c>
    </row>
    <row r="699" spans="1:26" ht="27.75" customHeight="1" x14ac:dyDescent="0.3">
      <c r="A699" s="144" t="str">
        <f>+IF(PROVEEDORES[[#This Row],[FECHA DE PAGO]]=PROVEEDORES[[#This Row],[FECHA DE FACTURACIÓN]],"DE CONTADO","CRÉDITO")</f>
        <v>CRÉDITO</v>
      </c>
      <c r="B699" s="144" t="str">
        <f>+IF((PROVEEDORES[[#This Row],[FECHA DE PAGO]]-PROVEEDORES[[#This Row],[FECHA DE FACTURACIÓN]])&gt;PROVEEDORES[[#This Row],[PLAZO Días]],"PAGO VENCIDO")</f>
        <v>PAGO VENCIDO</v>
      </c>
      <c r="C699" s="144">
        <f>+VLOOKUP(PROVEEDORES[[#This Row],[PROVEEDOR]],TERCEROS_INFO[#All],2,FALSE)</f>
        <v>0</v>
      </c>
      <c r="D699" s="145">
        <f>+SUMIFS(PROVEEDORES[Total],PROVEEDORES[PROVEEDOR],PROVEEDORES[[#This Row],[PROVEEDOR]],PROVEEDORES[FECHA DE PAGO],"")</f>
        <v>0</v>
      </c>
      <c r="E699" s="146"/>
      <c r="F699" s="144" t="str">
        <f>+VLOOKUP(PROVEEDORES[[#This Row],[PROVEEDOR]],
                       Terceros!$A:$G,
                       5,
                       FALSE)</f>
        <v>3,5% sin base</v>
      </c>
      <c r="G699" s="122">
        <v>45194</v>
      </c>
      <c r="H699" s="102" t="s">
        <v>395</v>
      </c>
      <c r="I699" s="122">
        <v>45179</v>
      </c>
      <c r="J699" s="103" t="s">
        <v>1055</v>
      </c>
      <c r="K699" s="103" t="s">
        <v>1512</v>
      </c>
      <c r="L699" s="103"/>
      <c r="M699" s="105">
        <v>3456200</v>
      </c>
      <c r="N699" s="147">
        <v>0</v>
      </c>
      <c r="O699" s="147">
        <v>0</v>
      </c>
      <c r="P699" s="148">
        <v>3.5000000000000003E-2</v>
      </c>
      <c r="Q699" s="147">
        <v>120967.00000000001</v>
      </c>
      <c r="R699" s="149">
        <v>3335233</v>
      </c>
      <c r="S6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9" s="150">
        <f ca="1">+IF(PROVEEDORES[[#This Row],[FECHA DE PAGO]]=0,TODAY()-PROVEEDORES[[#This Row],[FECHA DE FACTURACIÓN]]-PROVEEDORES[[#This Row],[PLAZO Días]],0)</f>
        <v>0</v>
      </c>
      <c r="U699" s="150">
        <f>+VLOOKUP(PROVEEDORES[[#This Row],[PROVEEDOR]],Terceros!$A:$E,4,FALSE)</f>
        <v>0</v>
      </c>
      <c r="V699" s="150">
        <f>+YEAR(PROVEEDORES[[#This Row],[FECHA DE FACTURACIÓN]])</f>
        <v>2023</v>
      </c>
      <c r="W699" s="150">
        <f>+MATCH(PROVEEDORES[[#This Row],[año facturado]],Retenciones!$1:$1,0)</f>
        <v>6</v>
      </c>
      <c r="X699" s="151">
        <f>+VLOOKUP(PROVEEDORES[[#This Row],[ID RETENCION]],Retenciones!$A$1:$O$25,PROVEEDORES[[#This Row],[indicador de columna]],FALSE)</f>
        <v>0</v>
      </c>
      <c r="Y699" s="152">
        <f>+VLOOKUP(PROVEEDORES[[#This Row],[ID RETENCION]],Retenciones!$A$1:$O$25,2,FALSE)</f>
        <v>0</v>
      </c>
      <c r="Z699" s="153" t="b">
        <f>+OR(COUNTIF(PROVEEDORES[[#This Row],[PROVEEDOR]],"*"&amp;'Palabra que no opera y Listas d'!$A$2&amp;"*"))</f>
        <v>1</v>
      </c>
    </row>
    <row r="700" spans="1:26" ht="27.75" customHeight="1" x14ac:dyDescent="0.3">
      <c r="A700" s="144" t="str">
        <f>+IF(PROVEEDORES[[#This Row],[FECHA DE PAGO]]=PROVEEDORES[[#This Row],[FECHA DE FACTURACIÓN]],"DE CONTADO","CRÉDITO")</f>
        <v>DE CONTADO</v>
      </c>
      <c r="B700" s="144" t="b">
        <f>+IF((PROVEEDORES[[#This Row],[FECHA DE PAGO]]-PROVEEDORES[[#This Row],[FECHA DE FACTURACIÓN]])&gt;PROVEEDORES[[#This Row],[PLAZO Días]],"PAGO VENCIDO")</f>
        <v>0</v>
      </c>
      <c r="C700" s="144">
        <f>+VLOOKUP(PROVEEDORES[[#This Row],[PROVEEDOR]],TERCEROS_INFO[#All],2,FALSE)</f>
        <v>0</v>
      </c>
      <c r="D700" s="145">
        <f>+SUMIFS(PROVEEDORES[Total],PROVEEDORES[PROVEEDOR],PROVEEDORES[[#This Row],[PROVEEDOR]],PROVEEDORES[FECHA DE PAGO],"")</f>
        <v>0</v>
      </c>
      <c r="E700" s="146"/>
      <c r="F700" s="144">
        <f>+VLOOKUP(PROVEEDORES[[#This Row],[PROVEEDOR]],
                       Terceros!$A:$G,
                       5,
                       FALSE)</f>
        <v>0</v>
      </c>
      <c r="G700" s="122">
        <v>45194</v>
      </c>
      <c r="H700" s="102" t="s">
        <v>191</v>
      </c>
      <c r="I700" s="122">
        <v>45194</v>
      </c>
      <c r="J700" s="103" t="s">
        <v>1085</v>
      </c>
      <c r="K700" s="103" t="s">
        <v>1512</v>
      </c>
      <c r="L700" s="103"/>
      <c r="M700" s="105">
        <v>2299649</v>
      </c>
      <c r="N700" s="147">
        <v>0</v>
      </c>
      <c r="O700" s="147">
        <v>0</v>
      </c>
      <c r="P700" s="148">
        <v>0</v>
      </c>
      <c r="Q700" s="147">
        <v>0</v>
      </c>
      <c r="R700" s="149">
        <v>2299649</v>
      </c>
      <c r="S7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0" s="150">
        <f ca="1">+IF(PROVEEDORES[[#This Row],[FECHA DE PAGO]]=0,TODAY()-PROVEEDORES[[#This Row],[FECHA DE FACTURACIÓN]]-PROVEEDORES[[#This Row],[PLAZO Días]],0)</f>
        <v>0</v>
      </c>
      <c r="U700" s="150">
        <f>+VLOOKUP(PROVEEDORES[[#This Row],[PROVEEDOR]],Terceros!$A:$E,4,FALSE)</f>
        <v>0</v>
      </c>
      <c r="V700" s="150">
        <f>+YEAR(PROVEEDORES[[#This Row],[FECHA DE FACTURACIÓN]])</f>
        <v>2023</v>
      </c>
      <c r="W700" s="150">
        <f>+MATCH(PROVEEDORES[[#This Row],[año facturado]],Retenciones!$1:$1,0)</f>
        <v>6</v>
      </c>
      <c r="X700" s="151">
        <f>+VLOOKUP(PROVEEDORES[[#This Row],[ID RETENCION]],Retenciones!$A$1:$O$25,PROVEEDORES[[#This Row],[indicador de columna]],FALSE)</f>
        <v>0</v>
      </c>
      <c r="Y700" s="152">
        <f>+VLOOKUP(PROVEEDORES[[#This Row],[ID RETENCION]],Retenciones!$A$1:$O$25,2,FALSE)</f>
        <v>0</v>
      </c>
      <c r="Z700" s="153" t="b">
        <f>+OR(COUNTIF(PROVEEDORES[[#This Row],[PROVEEDOR]],"*"&amp;'Palabra que no opera y Listas d'!$A$2&amp;"*"))</f>
        <v>0</v>
      </c>
    </row>
    <row r="701" spans="1:26" ht="27.75" customHeight="1" x14ac:dyDescent="0.3">
      <c r="A701" s="144" t="str">
        <f>+IF(PROVEEDORES[[#This Row],[FECHA DE PAGO]]=PROVEEDORES[[#This Row],[FECHA DE FACTURACIÓN]],"DE CONTADO","CRÉDITO")</f>
        <v>CRÉDITO</v>
      </c>
      <c r="B701" s="144" t="str">
        <f>+IF((PROVEEDORES[[#This Row],[FECHA DE PAGO]]-PROVEEDORES[[#This Row],[FECHA DE FACTURACIÓN]])&gt;PROVEEDORES[[#This Row],[PLAZO Días]],"PAGO VENCIDO")</f>
        <v>PAGO VENCIDO</v>
      </c>
      <c r="C701" s="144">
        <f>+VLOOKUP(PROVEEDORES[[#This Row],[PROVEEDOR]],TERCEROS_INFO[#All],2,FALSE)</f>
        <v>0</v>
      </c>
      <c r="D701" s="145">
        <f>+SUMIFS(PROVEEDORES[Total],PROVEEDORES[PROVEEDOR],PROVEEDORES[[#This Row],[PROVEEDOR]],PROVEEDORES[FECHA DE PAGO],"")</f>
        <v>2129306.6150000002</v>
      </c>
      <c r="E701" s="146"/>
      <c r="F701" s="144" t="str">
        <f>+VLOOKUP(PROVEEDORES[[#This Row],[PROVEEDOR]],
                       Terceros!$A:$G,
                       5,
                       FALSE)</f>
        <v>2,5% con base</v>
      </c>
      <c r="G701" s="122">
        <v>45195</v>
      </c>
      <c r="H701" s="102" t="s">
        <v>234</v>
      </c>
      <c r="I701" s="122">
        <v>45132</v>
      </c>
      <c r="J701" s="103" t="s">
        <v>945</v>
      </c>
      <c r="K701" s="103" t="s">
        <v>1512</v>
      </c>
      <c r="L701" s="103"/>
      <c r="M701" s="105">
        <v>887394</v>
      </c>
      <c r="N701" s="147">
        <v>168604.86000000002</v>
      </c>
      <c r="O701" s="147">
        <v>0</v>
      </c>
      <c r="P701" s="148">
        <v>0</v>
      </c>
      <c r="Q701" s="147">
        <v>0</v>
      </c>
      <c r="R701" s="149">
        <v>1055998.8600000001</v>
      </c>
      <c r="S7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1" s="150">
        <f ca="1">+IF(PROVEEDORES[[#This Row],[FECHA DE PAGO]]=0,TODAY()-PROVEEDORES[[#This Row],[FECHA DE FACTURACIÓN]]-PROVEEDORES[[#This Row],[PLAZO Días]],0)</f>
        <v>0</v>
      </c>
      <c r="U701" s="150">
        <f>+VLOOKUP(PROVEEDORES[[#This Row],[PROVEEDOR]],Terceros!$A:$E,4,FALSE)</f>
        <v>0.19</v>
      </c>
      <c r="V701" s="150">
        <f>+YEAR(PROVEEDORES[[#This Row],[FECHA DE FACTURACIÓN]])</f>
        <v>2023</v>
      </c>
      <c r="W701" s="150">
        <f>+MATCH(PROVEEDORES[[#This Row],[año facturado]],Retenciones!$1:$1,0)</f>
        <v>6</v>
      </c>
      <c r="X701" s="151" t="e">
        <f>+VLOOKUP(PROVEEDORES[[#This Row],[ID RETENCION]],Retenciones!$A$1:$O$25,PROVEEDORES[[#This Row],[indicador de columna]],FALSE)</f>
        <v>#N/A</v>
      </c>
      <c r="Y701" s="152" t="e">
        <f>+VLOOKUP(PROVEEDORES[[#This Row],[ID RETENCION]],Retenciones!$A$1:$O$25,2,FALSE)</f>
        <v>#N/A</v>
      </c>
      <c r="Z701" s="153" t="b">
        <f>+OR(COUNTIF(PROVEEDORES[[#This Row],[PROVEEDOR]],"*"&amp;'Palabra que no opera y Listas d'!$A$2&amp;"*"))</f>
        <v>0</v>
      </c>
    </row>
    <row r="702" spans="1:26" ht="27.75" customHeight="1" x14ac:dyDescent="0.3">
      <c r="A702" s="144" t="str">
        <f>+IF(PROVEEDORES[[#This Row],[FECHA DE PAGO]]=PROVEEDORES[[#This Row],[FECHA DE FACTURACIÓN]],"DE CONTADO","CRÉDITO")</f>
        <v>CRÉDITO</v>
      </c>
      <c r="B702" s="144" t="str">
        <f>+IF((PROVEEDORES[[#This Row],[FECHA DE PAGO]]-PROVEEDORES[[#This Row],[FECHA DE FACTURACIÓN]])&gt;PROVEEDORES[[#This Row],[PLAZO Días]],"PAGO VENCIDO")</f>
        <v>PAGO VENCIDO</v>
      </c>
      <c r="C702" s="144">
        <f>+VLOOKUP(PROVEEDORES[[#This Row],[PROVEEDOR]],TERCEROS_INFO[#All],2,FALSE)</f>
        <v>0</v>
      </c>
      <c r="D702" s="145">
        <f>+SUMIFS(PROVEEDORES[Total],PROVEEDORES[PROVEEDOR],PROVEEDORES[[#This Row],[PROVEEDOR]],PROVEEDORES[FECHA DE PAGO],"")</f>
        <v>0</v>
      </c>
      <c r="E702" s="146"/>
      <c r="F702" s="144">
        <f>+VLOOKUP(PROVEEDORES[[#This Row],[PROVEEDOR]],
                       Terceros!$A:$G,
                       5,
                       FALSE)</f>
        <v>0</v>
      </c>
      <c r="G702" s="122">
        <v>45195</v>
      </c>
      <c r="H702" s="102" t="s">
        <v>375</v>
      </c>
      <c r="I702" s="122">
        <v>45134</v>
      </c>
      <c r="J702" s="103" t="s">
        <v>962</v>
      </c>
      <c r="K702" s="103" t="s">
        <v>1512</v>
      </c>
      <c r="L702" s="103"/>
      <c r="M702" s="105">
        <v>2187560</v>
      </c>
      <c r="N702" s="147">
        <v>415636.4</v>
      </c>
      <c r="O702" s="147">
        <v>0</v>
      </c>
      <c r="P702" s="148">
        <v>0</v>
      </c>
      <c r="Q702" s="147">
        <v>0</v>
      </c>
      <c r="R702" s="149">
        <v>2603196.4</v>
      </c>
      <c r="S7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2" s="150">
        <f ca="1">+IF(PROVEEDORES[[#This Row],[FECHA DE PAGO]]=0,TODAY()-PROVEEDORES[[#This Row],[FECHA DE FACTURACIÓN]]-PROVEEDORES[[#This Row],[PLAZO Días]],0)</f>
        <v>0</v>
      </c>
      <c r="U702" s="150">
        <f>+VLOOKUP(PROVEEDORES[[#This Row],[PROVEEDOR]],Terceros!$A:$E,4,FALSE)</f>
        <v>0.19</v>
      </c>
      <c r="V702" s="150">
        <f>+YEAR(PROVEEDORES[[#This Row],[FECHA DE FACTURACIÓN]])</f>
        <v>2023</v>
      </c>
      <c r="W702" s="150">
        <f>+MATCH(PROVEEDORES[[#This Row],[año facturado]],Retenciones!$1:$1,0)</f>
        <v>6</v>
      </c>
      <c r="X702" s="151" t="e">
        <f>+VLOOKUP(PROVEEDORES[[#This Row],[ID RETENCION]],Retenciones!$A$1:$O$25,PROVEEDORES[[#This Row],[indicador de columna]],FALSE)</f>
        <v>#N/A</v>
      </c>
      <c r="Y702" s="152" t="e">
        <f>+VLOOKUP(PROVEEDORES[[#This Row],[ID RETENCION]],Retenciones!$A$1:$O$25,2,FALSE)</f>
        <v>#N/A</v>
      </c>
      <c r="Z702" s="153" t="b">
        <f>+OR(COUNTIF(PROVEEDORES[[#This Row],[PROVEEDOR]],"*"&amp;'Palabra que no opera y Listas d'!$A$2&amp;"*"))</f>
        <v>1</v>
      </c>
    </row>
    <row r="703" spans="1:26" ht="27.75" customHeight="1" x14ac:dyDescent="0.3">
      <c r="A703" s="144" t="str">
        <f>+IF(PROVEEDORES[[#This Row],[FECHA DE PAGO]]=PROVEEDORES[[#This Row],[FECHA DE FACTURACIÓN]],"DE CONTADO","CRÉDITO")</f>
        <v>DE CONTADO</v>
      </c>
      <c r="B703" s="144" t="b">
        <f>+IF((PROVEEDORES[[#This Row],[FECHA DE PAGO]]-PROVEEDORES[[#This Row],[FECHA DE FACTURACIÓN]])&gt;PROVEEDORES[[#This Row],[PLAZO Días]],"PAGO VENCIDO")</f>
        <v>0</v>
      </c>
      <c r="C703" s="144">
        <f>+VLOOKUP(PROVEEDORES[[#This Row],[PROVEEDOR]],TERCEROS_INFO[#All],2,FALSE)</f>
        <v>0</v>
      </c>
      <c r="D703" s="145">
        <f>+SUMIFS(PROVEEDORES[Total],PROVEEDORES[PROVEEDOR],PROVEEDORES[[#This Row],[PROVEEDOR]],PROVEEDORES[FECHA DE PAGO],"")</f>
        <v>0</v>
      </c>
      <c r="E703" s="146"/>
      <c r="F703" s="144">
        <f>+VLOOKUP(PROVEEDORES[[#This Row],[PROVEEDOR]],
                       Terceros!$A:$G,
                       5,
                       FALSE)</f>
        <v>0</v>
      </c>
      <c r="G703" s="122">
        <v>45195</v>
      </c>
      <c r="H703" s="102" t="s">
        <v>1798</v>
      </c>
      <c r="I703" s="122">
        <v>45195</v>
      </c>
      <c r="J703" s="103" t="s">
        <v>1108</v>
      </c>
      <c r="K703" s="103" t="s">
        <v>1512</v>
      </c>
      <c r="L703" s="103"/>
      <c r="M703" s="105">
        <v>320000</v>
      </c>
      <c r="N703" s="147">
        <v>0</v>
      </c>
      <c r="O703" s="147">
        <v>0</v>
      </c>
      <c r="P703" s="148">
        <v>0</v>
      </c>
      <c r="Q703" s="147">
        <v>0</v>
      </c>
      <c r="R703" s="149">
        <v>320000</v>
      </c>
      <c r="S7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3" s="150">
        <f ca="1">+IF(PROVEEDORES[[#This Row],[FECHA DE PAGO]]=0,TODAY()-PROVEEDORES[[#This Row],[FECHA DE FACTURACIÓN]]-PROVEEDORES[[#This Row],[PLAZO Días]],0)</f>
        <v>0</v>
      </c>
      <c r="U703" s="150">
        <f>+VLOOKUP(PROVEEDORES[[#This Row],[PROVEEDOR]],Terceros!$A:$E,4,FALSE)</f>
        <v>0</v>
      </c>
      <c r="V703" s="150">
        <f>+YEAR(PROVEEDORES[[#This Row],[FECHA DE FACTURACIÓN]])</f>
        <v>2023</v>
      </c>
      <c r="W703" s="150">
        <f>+MATCH(PROVEEDORES[[#This Row],[año facturado]],Retenciones!$1:$1,0)</f>
        <v>6</v>
      </c>
      <c r="X703" s="151">
        <f>+VLOOKUP(PROVEEDORES[[#This Row],[ID RETENCION]],Retenciones!$A$1:$O$25,PROVEEDORES[[#This Row],[indicador de columna]],FALSE)</f>
        <v>0</v>
      </c>
      <c r="Y703" s="152">
        <f>+VLOOKUP(PROVEEDORES[[#This Row],[ID RETENCION]],Retenciones!$A$1:$O$25,2,FALSE)</f>
        <v>0</v>
      </c>
      <c r="Z703" s="153" t="b">
        <f>+OR(COUNTIF(PROVEEDORES[[#This Row],[PROVEEDOR]],"*"&amp;'Palabra que no opera y Listas d'!$A$2&amp;"*"))</f>
        <v>0</v>
      </c>
    </row>
    <row r="704" spans="1:26" ht="27.75" customHeight="1" x14ac:dyDescent="0.3">
      <c r="A704" s="144" t="str">
        <f>+IF(PROVEEDORES[[#This Row],[FECHA DE PAGO]]=PROVEEDORES[[#This Row],[FECHA DE FACTURACIÓN]],"DE CONTADO","CRÉDITO")</f>
        <v>DE CONTADO</v>
      </c>
      <c r="B704" s="144" t="b">
        <f>+IF((PROVEEDORES[[#This Row],[FECHA DE PAGO]]-PROVEEDORES[[#This Row],[FECHA DE FACTURACIÓN]])&gt;PROVEEDORES[[#This Row],[PLAZO Días]],"PAGO VENCIDO")</f>
        <v>0</v>
      </c>
      <c r="C704" s="144">
        <f>+VLOOKUP(PROVEEDORES[[#This Row],[PROVEEDOR]],TERCEROS_INFO[#All],2,FALSE)</f>
        <v>0</v>
      </c>
      <c r="D704" s="145">
        <f>+SUMIFS(PROVEEDORES[Total],PROVEEDORES[PROVEEDOR],PROVEEDORES[[#This Row],[PROVEEDOR]],PROVEEDORES[FECHA DE PAGO],"")</f>
        <v>0</v>
      </c>
      <c r="E704" s="146"/>
      <c r="F704" s="144">
        <f>+VLOOKUP(PROVEEDORES[[#This Row],[PROVEEDOR]],
                       Terceros!$A:$G,
                       5,
                       FALSE)</f>
        <v>0</v>
      </c>
      <c r="G704" s="122">
        <v>45195</v>
      </c>
      <c r="H704" s="102" t="s">
        <v>537</v>
      </c>
      <c r="I704" s="122">
        <v>45195</v>
      </c>
      <c r="J704" s="103" t="s">
        <v>1109</v>
      </c>
      <c r="K704" s="103" t="s">
        <v>1512</v>
      </c>
      <c r="L704" s="103"/>
      <c r="M704" s="105">
        <v>708000</v>
      </c>
      <c r="N704" s="147">
        <v>0</v>
      </c>
      <c r="O704" s="147">
        <v>0</v>
      </c>
      <c r="P704" s="148">
        <v>0</v>
      </c>
      <c r="Q704" s="147">
        <v>0</v>
      </c>
      <c r="R704" s="149">
        <v>708000</v>
      </c>
      <c r="S7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4" s="150">
        <f ca="1">+IF(PROVEEDORES[[#This Row],[FECHA DE PAGO]]=0,TODAY()-PROVEEDORES[[#This Row],[FECHA DE FACTURACIÓN]]-PROVEEDORES[[#This Row],[PLAZO Días]],0)</f>
        <v>0</v>
      </c>
      <c r="U704" s="150">
        <f>+VLOOKUP(PROVEEDORES[[#This Row],[PROVEEDOR]],Terceros!$A:$E,4,FALSE)</f>
        <v>0</v>
      </c>
      <c r="V704" s="150">
        <f>+YEAR(PROVEEDORES[[#This Row],[FECHA DE FACTURACIÓN]])</f>
        <v>2023</v>
      </c>
      <c r="W704" s="150">
        <f>+MATCH(PROVEEDORES[[#This Row],[año facturado]],Retenciones!$1:$1,0)</f>
        <v>6</v>
      </c>
      <c r="X704" s="151">
        <f>+VLOOKUP(PROVEEDORES[[#This Row],[ID RETENCION]],Retenciones!$A$1:$O$25,PROVEEDORES[[#This Row],[indicador de columna]],FALSE)</f>
        <v>0</v>
      </c>
      <c r="Y704" s="152">
        <f>+VLOOKUP(PROVEEDORES[[#This Row],[ID RETENCION]],Retenciones!$A$1:$O$25,2,FALSE)</f>
        <v>0</v>
      </c>
      <c r="Z704" s="153" t="b">
        <f>+OR(COUNTIF(PROVEEDORES[[#This Row],[PROVEEDOR]],"*"&amp;'Palabra que no opera y Listas d'!$A$2&amp;"*"))</f>
        <v>0</v>
      </c>
    </row>
    <row r="705" spans="1:26" ht="27.75" customHeight="1" x14ac:dyDescent="0.3">
      <c r="A705" s="144" t="str">
        <f>+IF(PROVEEDORES[[#This Row],[FECHA DE PAGO]]=PROVEEDORES[[#This Row],[FECHA DE FACTURACIÓN]],"DE CONTADO","CRÉDITO")</f>
        <v>CRÉDITO</v>
      </c>
      <c r="B705" s="144" t="str">
        <f>+IF((PROVEEDORES[[#This Row],[FECHA DE PAGO]]-PROVEEDORES[[#This Row],[FECHA DE FACTURACIÓN]])&gt;PROVEEDORES[[#This Row],[PLAZO Días]],"PAGO VENCIDO")</f>
        <v>PAGO VENCIDO</v>
      </c>
      <c r="C705" s="144">
        <f>+VLOOKUP(PROVEEDORES[[#This Row],[PROVEEDOR]],TERCEROS_INFO[#All],2,FALSE)</f>
        <v>0</v>
      </c>
      <c r="D705" s="145">
        <f>+SUMIFS(PROVEEDORES[Total],PROVEEDORES[PROVEEDOR],PROVEEDORES[[#This Row],[PROVEEDOR]],PROVEEDORES[FECHA DE PAGO],"")</f>
        <v>28179645.060000002</v>
      </c>
      <c r="E705" s="146"/>
      <c r="F705" s="144">
        <f>+VLOOKUP(PROVEEDORES[[#This Row],[PROVEEDOR]],
                       Terceros!$A:$G,
                       5,
                       FALSE)</f>
        <v>0</v>
      </c>
      <c r="G705" s="122">
        <v>45197</v>
      </c>
      <c r="H705" s="102" t="s">
        <v>18</v>
      </c>
      <c r="I705" s="122">
        <v>45142</v>
      </c>
      <c r="J705" s="103" t="s">
        <v>980</v>
      </c>
      <c r="K705" s="103" t="s">
        <v>1512</v>
      </c>
      <c r="L705" s="103"/>
      <c r="M705" s="105">
        <v>7543977</v>
      </c>
      <c r="N705" s="147">
        <v>1433355.6300000001</v>
      </c>
      <c r="O705" s="147">
        <v>0</v>
      </c>
      <c r="P705" s="148">
        <v>0</v>
      </c>
      <c r="Q705" s="147">
        <v>0</v>
      </c>
      <c r="R705" s="149">
        <v>8977332.6300000008</v>
      </c>
      <c r="S7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5" s="150">
        <f ca="1">+IF(PROVEEDORES[[#This Row],[FECHA DE PAGO]]=0,TODAY()-PROVEEDORES[[#This Row],[FECHA DE FACTURACIÓN]]-PROVEEDORES[[#This Row],[PLAZO Días]],0)</f>
        <v>0</v>
      </c>
      <c r="U705" s="150">
        <f>+VLOOKUP(PROVEEDORES[[#This Row],[PROVEEDOR]],Terceros!$A:$E,4,FALSE)</f>
        <v>0.19</v>
      </c>
      <c r="V705" s="150">
        <f>+YEAR(PROVEEDORES[[#This Row],[FECHA DE FACTURACIÓN]])</f>
        <v>2023</v>
      </c>
      <c r="W705" s="150">
        <f>+MATCH(PROVEEDORES[[#This Row],[año facturado]],Retenciones!$1:$1,0)</f>
        <v>6</v>
      </c>
      <c r="X705" s="151" t="e">
        <f>+VLOOKUP(PROVEEDORES[[#This Row],[ID RETENCION]],Retenciones!$A$1:$O$25,PROVEEDORES[[#This Row],[indicador de columna]],FALSE)</f>
        <v>#N/A</v>
      </c>
      <c r="Y705" s="152" t="e">
        <f>+VLOOKUP(PROVEEDORES[[#This Row],[ID RETENCION]],Retenciones!$A$1:$O$25,2,FALSE)</f>
        <v>#N/A</v>
      </c>
      <c r="Z705" s="153" t="b">
        <f>+OR(COUNTIF(PROVEEDORES[[#This Row],[PROVEEDOR]],"*"&amp;'Palabra que no opera y Listas d'!$A$2&amp;"*"))</f>
        <v>0</v>
      </c>
    </row>
    <row r="706" spans="1:26" ht="27.75" customHeight="1" x14ac:dyDescent="0.3">
      <c r="A706" s="144" t="str">
        <f>+IF(PROVEEDORES[[#This Row],[FECHA DE PAGO]]=PROVEEDORES[[#This Row],[FECHA DE FACTURACIÓN]],"DE CONTADO","CRÉDITO")</f>
        <v>CRÉDITO</v>
      </c>
      <c r="B706" s="144" t="str">
        <f>+IF((PROVEEDORES[[#This Row],[FECHA DE PAGO]]-PROVEEDORES[[#This Row],[FECHA DE FACTURACIÓN]])&gt;PROVEEDORES[[#This Row],[PLAZO Días]],"PAGO VENCIDO")</f>
        <v>PAGO VENCIDO</v>
      </c>
      <c r="C706" s="144">
        <f>+VLOOKUP(PROVEEDORES[[#This Row],[PROVEEDOR]],TERCEROS_INFO[#All],2,FALSE)</f>
        <v>0</v>
      </c>
      <c r="D706" s="145">
        <f>+SUMIFS(PROVEEDORES[Total],PROVEEDORES[PROVEEDOR],PROVEEDORES[[#This Row],[PROVEEDOR]],PROVEEDORES[FECHA DE PAGO],"")</f>
        <v>28179645.060000002</v>
      </c>
      <c r="E706" s="146"/>
      <c r="F706" s="144">
        <f>+VLOOKUP(PROVEEDORES[[#This Row],[PROVEEDOR]],
                       Terceros!$A:$G,
                       5,
                       FALSE)</f>
        <v>0</v>
      </c>
      <c r="G706" s="122">
        <v>45197</v>
      </c>
      <c r="H706" s="102" t="s">
        <v>18</v>
      </c>
      <c r="I706" s="122">
        <v>45146</v>
      </c>
      <c r="J706" s="103" t="s">
        <v>979</v>
      </c>
      <c r="K706" s="103" t="s">
        <v>1512</v>
      </c>
      <c r="L706" s="103"/>
      <c r="M706" s="105">
        <v>4162770</v>
      </c>
      <c r="N706" s="147">
        <v>790926.3</v>
      </c>
      <c r="O706" s="147">
        <v>0</v>
      </c>
      <c r="P706" s="148">
        <v>0</v>
      </c>
      <c r="Q706" s="147">
        <v>0</v>
      </c>
      <c r="R706" s="149">
        <v>4953696.3</v>
      </c>
      <c r="S7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6" s="150">
        <f ca="1">+IF(PROVEEDORES[[#This Row],[FECHA DE PAGO]]=0,TODAY()-PROVEEDORES[[#This Row],[FECHA DE FACTURACIÓN]]-PROVEEDORES[[#This Row],[PLAZO Días]],0)</f>
        <v>0</v>
      </c>
      <c r="U706" s="150">
        <f>+VLOOKUP(PROVEEDORES[[#This Row],[PROVEEDOR]],Terceros!$A:$E,4,FALSE)</f>
        <v>0.19</v>
      </c>
      <c r="V706" s="150">
        <f>+YEAR(PROVEEDORES[[#This Row],[FECHA DE FACTURACIÓN]])</f>
        <v>2023</v>
      </c>
      <c r="W706" s="150">
        <f>+MATCH(PROVEEDORES[[#This Row],[año facturado]],Retenciones!$1:$1,0)</f>
        <v>6</v>
      </c>
      <c r="X706" s="151" t="e">
        <f>+VLOOKUP(PROVEEDORES[[#This Row],[ID RETENCION]],Retenciones!$A$1:$O$25,PROVEEDORES[[#This Row],[indicador de columna]],FALSE)</f>
        <v>#N/A</v>
      </c>
      <c r="Y706" s="152" t="e">
        <f>+VLOOKUP(PROVEEDORES[[#This Row],[ID RETENCION]],Retenciones!$A$1:$O$25,2,FALSE)</f>
        <v>#N/A</v>
      </c>
      <c r="Z706" s="153" t="b">
        <f>+OR(COUNTIF(PROVEEDORES[[#This Row],[PROVEEDOR]],"*"&amp;'Palabra que no opera y Listas d'!$A$2&amp;"*"))</f>
        <v>0</v>
      </c>
    </row>
    <row r="707" spans="1:26" ht="27.75" customHeight="1" x14ac:dyDescent="0.3">
      <c r="A707" s="144" t="str">
        <f>+IF(PROVEEDORES[[#This Row],[FECHA DE PAGO]]=PROVEEDORES[[#This Row],[FECHA DE FACTURACIÓN]],"DE CONTADO","CRÉDITO")</f>
        <v>CRÉDITO</v>
      </c>
      <c r="B707" s="144" t="str">
        <f>+IF((PROVEEDORES[[#This Row],[FECHA DE PAGO]]-PROVEEDORES[[#This Row],[FECHA DE FACTURACIÓN]])&gt;PROVEEDORES[[#This Row],[PLAZO Días]],"PAGO VENCIDO")</f>
        <v>PAGO VENCIDO</v>
      </c>
      <c r="C707" s="144">
        <f>+VLOOKUP(PROVEEDORES[[#This Row],[PROVEEDOR]],TERCEROS_INFO[#All],2,FALSE)</f>
        <v>0</v>
      </c>
      <c r="D707" s="145">
        <f>+SUMIFS(PROVEEDORES[Total],PROVEEDORES[PROVEEDOR],PROVEEDORES[[#This Row],[PROVEEDOR]],PROVEEDORES[FECHA DE PAGO],"")</f>
        <v>3130000</v>
      </c>
      <c r="E707" s="146"/>
      <c r="F707" s="144">
        <f>+VLOOKUP(PROVEEDORES[[#This Row],[PROVEEDOR]],
                       Terceros!$A:$G,
                       5,
                       FALSE)</f>
        <v>0</v>
      </c>
      <c r="G707" s="122">
        <v>45198</v>
      </c>
      <c r="H707" s="102" t="s">
        <v>487</v>
      </c>
      <c r="I707" s="122">
        <v>45147</v>
      </c>
      <c r="J707" s="103">
        <v>3979</v>
      </c>
      <c r="K707" s="103" t="s">
        <v>1512</v>
      </c>
      <c r="L707" s="103"/>
      <c r="M707" s="105">
        <v>2142000</v>
      </c>
      <c r="N707" s="147">
        <v>0</v>
      </c>
      <c r="O707" s="147">
        <v>0</v>
      </c>
      <c r="P707" s="148">
        <v>0</v>
      </c>
      <c r="Q707" s="147">
        <v>0</v>
      </c>
      <c r="R707" s="149">
        <v>2142000</v>
      </c>
      <c r="S7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7" s="150">
        <f ca="1">+IF(PROVEEDORES[[#This Row],[FECHA DE PAGO]]=0,TODAY()-PROVEEDORES[[#This Row],[FECHA DE FACTURACIÓN]]-PROVEEDORES[[#This Row],[PLAZO Días]],0)</f>
        <v>0</v>
      </c>
      <c r="U707" s="150">
        <f>+VLOOKUP(PROVEEDORES[[#This Row],[PROVEEDOR]],Terceros!$A:$E,4,FALSE)</f>
        <v>0</v>
      </c>
      <c r="V707" s="150">
        <f>+YEAR(PROVEEDORES[[#This Row],[FECHA DE FACTURACIÓN]])</f>
        <v>2023</v>
      </c>
      <c r="W707" s="150">
        <f>+MATCH(PROVEEDORES[[#This Row],[año facturado]],Retenciones!$1:$1,0)</f>
        <v>6</v>
      </c>
      <c r="X707" s="151">
        <f>+VLOOKUP(PROVEEDORES[[#This Row],[ID RETENCION]],Retenciones!$A$1:$O$25,PROVEEDORES[[#This Row],[indicador de columna]],FALSE)</f>
        <v>0</v>
      </c>
      <c r="Y707" s="152">
        <f>+VLOOKUP(PROVEEDORES[[#This Row],[ID RETENCION]],Retenciones!$A$1:$O$25,2,FALSE)</f>
        <v>0</v>
      </c>
      <c r="Z707" s="153" t="b">
        <f>+OR(COUNTIF(PROVEEDORES[[#This Row],[PROVEEDOR]],"*"&amp;'Palabra que no opera y Listas d'!$A$2&amp;"*"))</f>
        <v>0</v>
      </c>
    </row>
    <row r="708" spans="1:26" ht="27.75" customHeight="1" x14ac:dyDescent="0.3">
      <c r="A708" s="144" t="str">
        <f>+IF(PROVEEDORES[[#This Row],[FECHA DE PAGO]]=PROVEEDORES[[#This Row],[FECHA DE FACTURACIÓN]],"DE CONTADO","CRÉDITO")</f>
        <v>DE CONTADO</v>
      </c>
      <c r="B708" s="144" t="b">
        <f>+IF((PROVEEDORES[[#This Row],[FECHA DE PAGO]]-PROVEEDORES[[#This Row],[FECHA DE FACTURACIÓN]])&gt;PROVEEDORES[[#This Row],[PLAZO Días]],"PAGO VENCIDO")</f>
        <v>0</v>
      </c>
      <c r="C708" s="144">
        <f>+VLOOKUP(PROVEEDORES[[#This Row],[PROVEEDOR]],TERCEROS_INFO[#All],2,FALSE)</f>
        <v>0</v>
      </c>
      <c r="D708" s="145">
        <f>+SUMIFS(PROVEEDORES[Total],PROVEEDORES[PROVEEDOR],PROVEEDORES[[#This Row],[PROVEEDOR]],PROVEEDORES[FECHA DE PAGO],"")</f>
        <v>0</v>
      </c>
      <c r="E708" s="146"/>
      <c r="F708" s="144">
        <f>+VLOOKUP(PROVEEDORES[[#This Row],[PROVEEDOR]],
                       Terceros!$A:$G,
                       5,
                       FALSE)</f>
        <v>0</v>
      </c>
      <c r="G708" s="122">
        <v>45199</v>
      </c>
      <c r="H708" s="102" t="s">
        <v>537</v>
      </c>
      <c r="I708" s="122">
        <v>45199</v>
      </c>
      <c r="J708" s="103" t="s">
        <v>1513</v>
      </c>
      <c r="K708" s="103" t="s">
        <v>1512</v>
      </c>
      <c r="L708" s="103"/>
      <c r="M708" s="105">
        <v>0</v>
      </c>
      <c r="N708" s="147">
        <v>0</v>
      </c>
      <c r="O708" s="147">
        <v>0</v>
      </c>
      <c r="P708" s="148">
        <v>0</v>
      </c>
      <c r="Q708" s="147">
        <v>0</v>
      </c>
      <c r="R708" s="149">
        <v>0</v>
      </c>
      <c r="S7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8" s="150">
        <f ca="1">+IF(PROVEEDORES[[#This Row],[FECHA DE PAGO]]=0,TODAY()-PROVEEDORES[[#This Row],[FECHA DE FACTURACIÓN]]-PROVEEDORES[[#This Row],[PLAZO Días]],0)</f>
        <v>0</v>
      </c>
      <c r="U708" s="150">
        <f>+VLOOKUP(PROVEEDORES[[#This Row],[PROVEEDOR]],Terceros!$A:$E,4,FALSE)</f>
        <v>0</v>
      </c>
      <c r="V708" s="150">
        <f>+YEAR(PROVEEDORES[[#This Row],[FECHA DE FACTURACIÓN]])</f>
        <v>2023</v>
      </c>
      <c r="W708" s="150">
        <f>+MATCH(PROVEEDORES[[#This Row],[año facturado]],Retenciones!$1:$1,0)</f>
        <v>6</v>
      </c>
      <c r="X708" s="151">
        <f>+VLOOKUP(PROVEEDORES[[#This Row],[ID RETENCION]],Retenciones!$A$1:$O$25,PROVEEDORES[[#This Row],[indicador de columna]],FALSE)</f>
        <v>0</v>
      </c>
      <c r="Y708" s="152">
        <f>+VLOOKUP(PROVEEDORES[[#This Row],[ID RETENCION]],Retenciones!$A$1:$O$25,2,FALSE)</f>
        <v>0</v>
      </c>
      <c r="Z708" s="153" t="b">
        <f>+OR(COUNTIF(PROVEEDORES[[#This Row],[PROVEEDOR]],"*"&amp;'Palabra que no opera y Listas d'!$A$2&amp;"*"))</f>
        <v>0</v>
      </c>
    </row>
    <row r="709" spans="1:26" ht="27.75" customHeight="1" x14ac:dyDescent="0.3">
      <c r="A709" s="144" t="str">
        <f>+IF(PROVEEDORES[[#This Row],[FECHA DE PAGO]]=PROVEEDORES[[#This Row],[FECHA DE FACTURACIÓN]],"DE CONTADO","CRÉDITO")</f>
        <v>DE CONTADO</v>
      </c>
      <c r="B709" s="144" t="b">
        <f>+IF((PROVEEDORES[[#This Row],[FECHA DE PAGO]]-PROVEEDORES[[#This Row],[FECHA DE FACTURACIÓN]])&gt;PROVEEDORES[[#This Row],[PLAZO Días]],"PAGO VENCIDO")</f>
        <v>0</v>
      </c>
      <c r="C709" s="144">
        <f>+VLOOKUP(PROVEEDORES[[#This Row],[PROVEEDOR]],TERCEROS_INFO[#All],2,FALSE)</f>
        <v>0</v>
      </c>
      <c r="D709" s="145">
        <f>+SUMIFS(PROVEEDORES[Total],PROVEEDORES[PROVEEDOR],PROVEEDORES[[#This Row],[PROVEEDOR]],PROVEEDORES[FECHA DE PAGO],"")</f>
        <v>0</v>
      </c>
      <c r="E709" s="146"/>
      <c r="F709" s="144">
        <f>+VLOOKUP(PROVEEDORES[[#This Row],[PROVEEDOR]],
                       Terceros!$A:$G,
                       5,
                       FALSE)</f>
        <v>0</v>
      </c>
      <c r="G709" s="122">
        <v>45199</v>
      </c>
      <c r="H709" s="102" t="s">
        <v>537</v>
      </c>
      <c r="I709" s="122">
        <v>45199</v>
      </c>
      <c r="J709" s="103" t="s">
        <v>494</v>
      </c>
      <c r="K709" s="103" t="s">
        <v>1512</v>
      </c>
      <c r="L709" s="103"/>
      <c r="M709" s="105">
        <v>19000</v>
      </c>
      <c r="N709" s="147">
        <v>0</v>
      </c>
      <c r="O709" s="147">
        <v>0</v>
      </c>
      <c r="P709" s="148">
        <v>0</v>
      </c>
      <c r="Q709" s="147">
        <v>0</v>
      </c>
      <c r="R709" s="149">
        <v>19000</v>
      </c>
      <c r="S7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9" s="150">
        <f ca="1">+IF(PROVEEDORES[[#This Row],[FECHA DE PAGO]]=0,TODAY()-PROVEEDORES[[#This Row],[FECHA DE FACTURACIÓN]]-PROVEEDORES[[#This Row],[PLAZO Días]],0)</f>
        <v>0</v>
      </c>
      <c r="U709" s="150">
        <f>+VLOOKUP(PROVEEDORES[[#This Row],[PROVEEDOR]],Terceros!$A:$E,4,FALSE)</f>
        <v>0</v>
      </c>
      <c r="V709" s="150">
        <f>+YEAR(PROVEEDORES[[#This Row],[FECHA DE FACTURACIÓN]])</f>
        <v>2023</v>
      </c>
      <c r="W709" s="150">
        <f>+MATCH(PROVEEDORES[[#This Row],[año facturado]],Retenciones!$1:$1,0)</f>
        <v>6</v>
      </c>
      <c r="X709" s="151">
        <f>+VLOOKUP(PROVEEDORES[[#This Row],[ID RETENCION]],Retenciones!$A$1:$O$25,PROVEEDORES[[#This Row],[indicador de columna]],FALSE)</f>
        <v>0</v>
      </c>
      <c r="Y709" s="152">
        <f>+VLOOKUP(PROVEEDORES[[#This Row],[ID RETENCION]],Retenciones!$A$1:$O$25,2,FALSE)</f>
        <v>0</v>
      </c>
      <c r="Z709" s="153" t="b">
        <f>+OR(COUNTIF(PROVEEDORES[[#This Row],[PROVEEDOR]],"*"&amp;'Palabra que no opera y Listas d'!$A$2&amp;"*"))</f>
        <v>0</v>
      </c>
    </row>
    <row r="710" spans="1:26" ht="27.75" customHeight="1" x14ac:dyDescent="0.3">
      <c r="A710" s="144" t="str">
        <f>+IF(PROVEEDORES[[#This Row],[FECHA DE PAGO]]=PROVEEDORES[[#This Row],[FECHA DE FACTURACIÓN]],"DE CONTADO","CRÉDITO")</f>
        <v>DE CONTADO</v>
      </c>
      <c r="B710" s="144" t="b">
        <f>+IF((PROVEEDORES[[#This Row],[FECHA DE PAGO]]-PROVEEDORES[[#This Row],[FECHA DE FACTURACIÓN]])&gt;PROVEEDORES[[#This Row],[PLAZO Días]],"PAGO VENCIDO")</f>
        <v>0</v>
      </c>
      <c r="C710" s="144">
        <f>+VLOOKUP(PROVEEDORES[[#This Row],[PROVEEDOR]],TERCEROS_INFO[#All],2,FALSE)</f>
        <v>0</v>
      </c>
      <c r="D710" s="145">
        <f>+SUMIFS(PROVEEDORES[Total],PROVEEDORES[PROVEEDOR],PROVEEDORES[[#This Row],[PROVEEDOR]],PROVEEDORES[FECHA DE PAGO],"")</f>
        <v>0</v>
      </c>
      <c r="E710" s="146"/>
      <c r="F710" s="144">
        <f>+VLOOKUP(PROVEEDORES[[#This Row],[PROVEEDOR]],
                       Terceros!$A:$G,
                       5,
                       FALSE)</f>
        <v>0</v>
      </c>
      <c r="G710" s="122">
        <v>45199</v>
      </c>
      <c r="H710" s="102" t="s">
        <v>537</v>
      </c>
      <c r="I710" s="122">
        <v>45199</v>
      </c>
      <c r="J710" s="103" t="s">
        <v>493</v>
      </c>
      <c r="K710" s="103" t="s">
        <v>1512</v>
      </c>
      <c r="L710" s="103"/>
      <c r="M710" s="105">
        <v>135500</v>
      </c>
      <c r="N710" s="147">
        <v>0</v>
      </c>
      <c r="O710" s="147">
        <v>0</v>
      </c>
      <c r="P710" s="148">
        <v>0</v>
      </c>
      <c r="Q710" s="147">
        <v>0</v>
      </c>
      <c r="R710" s="149">
        <v>135500</v>
      </c>
      <c r="S7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0" s="150">
        <f ca="1">+IF(PROVEEDORES[[#This Row],[FECHA DE PAGO]]=0,TODAY()-PROVEEDORES[[#This Row],[FECHA DE FACTURACIÓN]]-PROVEEDORES[[#This Row],[PLAZO Días]],0)</f>
        <v>0</v>
      </c>
      <c r="U710" s="150">
        <f>+VLOOKUP(PROVEEDORES[[#This Row],[PROVEEDOR]],Terceros!$A:$E,4,FALSE)</f>
        <v>0</v>
      </c>
      <c r="V710" s="150">
        <f>+YEAR(PROVEEDORES[[#This Row],[FECHA DE FACTURACIÓN]])</f>
        <v>2023</v>
      </c>
      <c r="W710" s="150">
        <f>+MATCH(PROVEEDORES[[#This Row],[año facturado]],Retenciones!$1:$1,0)</f>
        <v>6</v>
      </c>
      <c r="X710" s="151">
        <f>+VLOOKUP(PROVEEDORES[[#This Row],[ID RETENCION]],Retenciones!$A$1:$O$25,PROVEEDORES[[#This Row],[indicador de columna]],FALSE)</f>
        <v>0</v>
      </c>
      <c r="Y710" s="152">
        <f>+VLOOKUP(PROVEEDORES[[#This Row],[ID RETENCION]],Retenciones!$A$1:$O$25,2,FALSE)</f>
        <v>0</v>
      </c>
      <c r="Z710" s="153" t="b">
        <f>+OR(COUNTIF(PROVEEDORES[[#This Row],[PROVEEDOR]],"*"&amp;'Palabra que no opera y Listas d'!$A$2&amp;"*"))</f>
        <v>0</v>
      </c>
    </row>
    <row r="711" spans="1:26" ht="27.75" customHeight="1" x14ac:dyDescent="0.3">
      <c r="A711" s="144" t="str">
        <f>+IF(PROVEEDORES[[#This Row],[FECHA DE PAGO]]=PROVEEDORES[[#This Row],[FECHA DE FACTURACIÓN]],"DE CONTADO","CRÉDITO")</f>
        <v>DE CONTADO</v>
      </c>
      <c r="B711" s="144" t="b">
        <f>+IF((PROVEEDORES[[#This Row],[FECHA DE PAGO]]-PROVEEDORES[[#This Row],[FECHA DE FACTURACIÓN]])&gt;PROVEEDORES[[#This Row],[PLAZO Días]],"PAGO VENCIDO")</f>
        <v>0</v>
      </c>
      <c r="C711" s="144">
        <f>+VLOOKUP(PROVEEDORES[[#This Row],[PROVEEDOR]],TERCEROS_INFO[#All],2,FALSE)</f>
        <v>0</v>
      </c>
      <c r="D711" s="145">
        <f>+SUMIFS(PROVEEDORES[Total],PROVEEDORES[PROVEEDOR],PROVEEDORES[[#This Row],[PROVEEDOR]],PROVEEDORES[FECHA DE PAGO],"")</f>
        <v>0</v>
      </c>
      <c r="E711" s="146"/>
      <c r="F711" s="144">
        <f>+VLOOKUP(PROVEEDORES[[#This Row],[PROVEEDOR]],
                       Terceros!$A:$G,
                       5,
                       FALSE)</f>
        <v>0</v>
      </c>
      <c r="G711" s="122">
        <v>45199</v>
      </c>
      <c r="H711" s="102" t="s">
        <v>537</v>
      </c>
      <c r="I711" s="122">
        <v>45199</v>
      </c>
      <c r="J711" s="103" t="s">
        <v>495</v>
      </c>
      <c r="K711" s="103" t="s">
        <v>1512</v>
      </c>
      <c r="L711" s="103"/>
      <c r="M711" s="105">
        <v>284873</v>
      </c>
      <c r="N711" s="147">
        <v>0</v>
      </c>
      <c r="O711" s="147">
        <v>0</v>
      </c>
      <c r="P711" s="148">
        <v>0</v>
      </c>
      <c r="Q711" s="147">
        <v>0</v>
      </c>
      <c r="R711" s="149">
        <v>284873</v>
      </c>
      <c r="S7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1" s="150">
        <f ca="1">+IF(PROVEEDORES[[#This Row],[FECHA DE PAGO]]=0,TODAY()-PROVEEDORES[[#This Row],[FECHA DE FACTURACIÓN]]-PROVEEDORES[[#This Row],[PLAZO Días]],0)</f>
        <v>0</v>
      </c>
      <c r="U711" s="150">
        <f>+VLOOKUP(PROVEEDORES[[#This Row],[PROVEEDOR]],Terceros!$A:$E,4,FALSE)</f>
        <v>0</v>
      </c>
      <c r="V711" s="150">
        <f>+YEAR(PROVEEDORES[[#This Row],[FECHA DE FACTURACIÓN]])</f>
        <v>2023</v>
      </c>
      <c r="W711" s="150">
        <f>+MATCH(PROVEEDORES[[#This Row],[año facturado]],Retenciones!$1:$1,0)</f>
        <v>6</v>
      </c>
      <c r="X711" s="151">
        <f>+VLOOKUP(PROVEEDORES[[#This Row],[ID RETENCION]],Retenciones!$A$1:$O$25,PROVEEDORES[[#This Row],[indicador de columna]],FALSE)</f>
        <v>0</v>
      </c>
      <c r="Y711" s="152">
        <f>+VLOOKUP(PROVEEDORES[[#This Row],[ID RETENCION]],Retenciones!$A$1:$O$25,2,FALSE)</f>
        <v>0</v>
      </c>
      <c r="Z711" s="153" t="b">
        <f>+OR(COUNTIF(PROVEEDORES[[#This Row],[PROVEEDOR]],"*"&amp;'Palabra que no opera y Listas d'!$A$2&amp;"*"))</f>
        <v>0</v>
      </c>
    </row>
    <row r="712" spans="1:26" ht="27.75" customHeight="1" x14ac:dyDescent="0.3">
      <c r="A712" s="144" t="str">
        <f>+IF(PROVEEDORES[[#This Row],[FECHA DE PAGO]]=PROVEEDORES[[#This Row],[FECHA DE FACTURACIÓN]],"DE CONTADO","CRÉDITO")</f>
        <v>DE CONTADO</v>
      </c>
      <c r="B712" s="144" t="b">
        <f>+IF((PROVEEDORES[[#This Row],[FECHA DE PAGO]]-PROVEEDORES[[#This Row],[FECHA DE FACTURACIÓN]])&gt;PROVEEDORES[[#This Row],[PLAZO Días]],"PAGO VENCIDO")</f>
        <v>0</v>
      </c>
      <c r="C712" s="144">
        <f>+VLOOKUP(PROVEEDORES[[#This Row],[PROVEEDOR]],TERCEROS_INFO[#All],2,FALSE)</f>
        <v>0</v>
      </c>
      <c r="D712" s="145">
        <f>+SUMIFS(PROVEEDORES[Total],PROVEEDORES[PROVEEDOR],PROVEEDORES[[#This Row],[PROVEEDOR]],PROVEEDORES[FECHA DE PAGO],"")</f>
        <v>0</v>
      </c>
      <c r="E712" s="146"/>
      <c r="F712" s="144">
        <f>+VLOOKUP(PROVEEDORES[[#This Row],[PROVEEDOR]],
                       Terceros!$A:$G,
                       5,
                       FALSE)</f>
        <v>0</v>
      </c>
      <c r="G712" s="122">
        <v>45199</v>
      </c>
      <c r="H712" s="102" t="s">
        <v>537</v>
      </c>
      <c r="I712" s="122">
        <v>45199</v>
      </c>
      <c r="J712" s="103" t="s">
        <v>491</v>
      </c>
      <c r="K712" s="103" t="s">
        <v>1512</v>
      </c>
      <c r="L712" s="103"/>
      <c r="M712" s="105">
        <v>512100</v>
      </c>
      <c r="N712" s="147">
        <v>0</v>
      </c>
      <c r="O712" s="147">
        <v>0</v>
      </c>
      <c r="P712" s="148">
        <v>0</v>
      </c>
      <c r="Q712" s="147">
        <v>0</v>
      </c>
      <c r="R712" s="149">
        <v>512100</v>
      </c>
      <c r="S7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2" s="150">
        <f ca="1">+IF(PROVEEDORES[[#This Row],[FECHA DE PAGO]]=0,TODAY()-PROVEEDORES[[#This Row],[FECHA DE FACTURACIÓN]]-PROVEEDORES[[#This Row],[PLAZO Días]],0)</f>
        <v>0</v>
      </c>
      <c r="U712" s="150">
        <f>+VLOOKUP(PROVEEDORES[[#This Row],[PROVEEDOR]],Terceros!$A:$E,4,FALSE)</f>
        <v>0</v>
      </c>
      <c r="V712" s="150">
        <f>+YEAR(PROVEEDORES[[#This Row],[FECHA DE FACTURACIÓN]])</f>
        <v>2023</v>
      </c>
      <c r="W712" s="150">
        <f>+MATCH(PROVEEDORES[[#This Row],[año facturado]],Retenciones!$1:$1,0)</f>
        <v>6</v>
      </c>
      <c r="X712" s="151">
        <f>+VLOOKUP(PROVEEDORES[[#This Row],[ID RETENCION]],Retenciones!$A$1:$O$25,PROVEEDORES[[#This Row],[indicador de columna]],FALSE)</f>
        <v>0</v>
      </c>
      <c r="Y712" s="152">
        <f>+VLOOKUP(PROVEEDORES[[#This Row],[ID RETENCION]],Retenciones!$A$1:$O$25,2,FALSE)</f>
        <v>0</v>
      </c>
      <c r="Z712" s="153" t="b">
        <f>+OR(COUNTIF(PROVEEDORES[[#This Row],[PROVEEDOR]],"*"&amp;'Palabra que no opera y Listas d'!$A$2&amp;"*"))</f>
        <v>0</v>
      </c>
    </row>
    <row r="713" spans="1:26" ht="27.75" customHeight="1" x14ac:dyDescent="0.3">
      <c r="A713" s="144" t="str">
        <f>+IF(PROVEEDORES[[#This Row],[FECHA DE PAGO]]=PROVEEDORES[[#This Row],[FECHA DE FACTURACIÓN]],"DE CONTADO","CRÉDITO")</f>
        <v>DE CONTADO</v>
      </c>
      <c r="B713" s="144" t="b">
        <f>+IF((PROVEEDORES[[#This Row],[FECHA DE PAGO]]-PROVEEDORES[[#This Row],[FECHA DE FACTURACIÓN]])&gt;PROVEEDORES[[#This Row],[PLAZO Días]],"PAGO VENCIDO")</f>
        <v>0</v>
      </c>
      <c r="C713" s="144">
        <f>+VLOOKUP(PROVEEDORES[[#This Row],[PROVEEDOR]],TERCEROS_INFO[#All],2,FALSE)</f>
        <v>0</v>
      </c>
      <c r="D713" s="145">
        <f>+SUMIFS(PROVEEDORES[Total],PROVEEDORES[PROVEEDOR],PROVEEDORES[[#This Row],[PROVEEDOR]],PROVEEDORES[FECHA DE PAGO],"")</f>
        <v>0</v>
      </c>
      <c r="E713" s="146"/>
      <c r="F713" s="144">
        <f>+VLOOKUP(PROVEEDORES[[#This Row],[PROVEEDOR]],
                       Terceros!$A:$G,
                       5,
                       FALSE)</f>
        <v>0</v>
      </c>
      <c r="G713" s="122">
        <v>45199</v>
      </c>
      <c r="H713" s="102" t="s">
        <v>537</v>
      </c>
      <c r="I713" s="122">
        <v>45199</v>
      </c>
      <c r="J713" s="103" t="s">
        <v>492</v>
      </c>
      <c r="K713" s="103" t="s">
        <v>1512</v>
      </c>
      <c r="L713" s="103"/>
      <c r="M713" s="105">
        <v>2566850</v>
      </c>
      <c r="N713" s="147">
        <v>0</v>
      </c>
      <c r="O713" s="147">
        <v>0</v>
      </c>
      <c r="P713" s="148">
        <v>0</v>
      </c>
      <c r="Q713" s="147">
        <v>0</v>
      </c>
      <c r="R713" s="149">
        <v>2566850</v>
      </c>
      <c r="S7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3" s="150">
        <f ca="1">+IF(PROVEEDORES[[#This Row],[FECHA DE PAGO]]=0,TODAY()-PROVEEDORES[[#This Row],[FECHA DE FACTURACIÓN]]-PROVEEDORES[[#This Row],[PLAZO Días]],0)</f>
        <v>0</v>
      </c>
      <c r="U713" s="150">
        <f>+VLOOKUP(PROVEEDORES[[#This Row],[PROVEEDOR]],Terceros!$A:$E,4,FALSE)</f>
        <v>0</v>
      </c>
      <c r="V713" s="150">
        <f>+YEAR(PROVEEDORES[[#This Row],[FECHA DE FACTURACIÓN]])</f>
        <v>2023</v>
      </c>
      <c r="W713" s="150">
        <f>+MATCH(PROVEEDORES[[#This Row],[año facturado]],Retenciones!$1:$1,0)</f>
        <v>6</v>
      </c>
      <c r="X713" s="151">
        <f>+VLOOKUP(PROVEEDORES[[#This Row],[ID RETENCION]],Retenciones!$A$1:$O$25,PROVEEDORES[[#This Row],[indicador de columna]],FALSE)</f>
        <v>0</v>
      </c>
      <c r="Y713" s="152">
        <f>+VLOOKUP(PROVEEDORES[[#This Row],[ID RETENCION]],Retenciones!$A$1:$O$25,2,FALSE)</f>
        <v>0</v>
      </c>
      <c r="Z713" s="153" t="b">
        <f>+OR(COUNTIF(PROVEEDORES[[#This Row],[PROVEEDOR]],"*"&amp;'Palabra que no opera y Listas d'!$A$2&amp;"*"))</f>
        <v>0</v>
      </c>
    </row>
    <row r="714" spans="1:26" ht="27.75" customHeight="1" x14ac:dyDescent="0.3">
      <c r="A714" s="144" t="str">
        <f>+IF(PROVEEDORES[[#This Row],[FECHA DE PAGO]]=PROVEEDORES[[#This Row],[FECHA DE FACTURACIÓN]],"DE CONTADO","CRÉDITO")</f>
        <v>CRÉDITO</v>
      </c>
      <c r="B714" s="144" t="str">
        <f>+IF((PROVEEDORES[[#This Row],[FECHA DE PAGO]]-PROVEEDORES[[#This Row],[FECHA DE FACTURACIÓN]])&gt;PROVEEDORES[[#This Row],[PLAZO Días]],"PAGO VENCIDO")</f>
        <v>PAGO VENCIDO</v>
      </c>
      <c r="C714" s="144">
        <f>+VLOOKUP(PROVEEDORES[[#This Row],[PROVEEDOR]],TERCEROS_INFO[#All],2,FALSE)</f>
        <v>0</v>
      </c>
      <c r="D714" s="145">
        <f>+SUMIFS(PROVEEDORES[Total],PROVEEDORES[PROVEEDOR],PROVEEDORES[[#This Row],[PROVEEDOR]],PROVEEDORES[FECHA DE PAGO],"")</f>
        <v>0</v>
      </c>
      <c r="E714" s="146"/>
      <c r="F714" s="144" t="str">
        <f>+VLOOKUP(PROVEEDORES[[#This Row],[PROVEEDOR]],
                       Terceros!$A:$G,
                       5,
                       FALSE)</f>
        <v>2,5% con base</v>
      </c>
      <c r="G714" s="122">
        <v>45201</v>
      </c>
      <c r="H714" s="102" t="s">
        <v>594</v>
      </c>
      <c r="I714" s="122">
        <v>45114</v>
      </c>
      <c r="J714" s="103" t="s">
        <v>917</v>
      </c>
      <c r="K714" s="103" t="s">
        <v>1512</v>
      </c>
      <c r="L714" s="103"/>
      <c r="M714" s="105">
        <v>1519000</v>
      </c>
      <c r="N714" s="147">
        <v>288610</v>
      </c>
      <c r="O714" s="147">
        <v>0</v>
      </c>
      <c r="P714" s="148">
        <v>2.5000000000000001E-2</v>
      </c>
      <c r="Q714" s="147">
        <v>37975</v>
      </c>
      <c r="R714" s="149">
        <v>1769635</v>
      </c>
      <c r="S7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4" s="150">
        <f ca="1">+IF(PROVEEDORES[[#This Row],[FECHA DE PAGO]]=0,TODAY()-PROVEEDORES[[#This Row],[FECHA DE FACTURACIÓN]]-PROVEEDORES[[#This Row],[PLAZO Días]],0)</f>
        <v>0</v>
      </c>
      <c r="U714" s="150">
        <f>+VLOOKUP(PROVEEDORES[[#This Row],[PROVEEDOR]],Terceros!$A:$E,4,FALSE)</f>
        <v>0.19</v>
      </c>
      <c r="V714" s="150">
        <f>+YEAR(PROVEEDORES[[#This Row],[FECHA DE FACTURACIÓN]])</f>
        <v>2023</v>
      </c>
      <c r="W714" s="150">
        <f>+MATCH(PROVEEDORES[[#This Row],[año facturado]],Retenciones!$1:$1,0)</f>
        <v>6</v>
      </c>
      <c r="X714" s="151" t="e">
        <f>+VLOOKUP(PROVEEDORES[[#This Row],[ID RETENCION]],Retenciones!$A$1:$O$25,PROVEEDORES[[#This Row],[indicador de columna]],FALSE)</f>
        <v>#N/A</v>
      </c>
      <c r="Y714" s="152" t="e">
        <f>+VLOOKUP(PROVEEDORES[[#This Row],[ID RETENCION]],Retenciones!$A$1:$O$25,2,FALSE)</f>
        <v>#N/A</v>
      </c>
      <c r="Z714" s="153" t="b">
        <f>+OR(COUNTIF(PROVEEDORES[[#This Row],[PROVEEDOR]],"*"&amp;'Palabra que no opera y Listas d'!$A$2&amp;"*"))</f>
        <v>0</v>
      </c>
    </row>
    <row r="715" spans="1:26" ht="27.75" customHeight="1" x14ac:dyDescent="0.3">
      <c r="A715" s="144" t="str">
        <f>+IF(PROVEEDORES[[#This Row],[FECHA DE PAGO]]=PROVEEDORES[[#This Row],[FECHA DE FACTURACIÓN]],"DE CONTADO","CRÉDITO")</f>
        <v>CRÉDITO</v>
      </c>
      <c r="B715" s="144" t="str">
        <f>+IF((PROVEEDORES[[#This Row],[FECHA DE PAGO]]-PROVEEDORES[[#This Row],[FECHA DE FACTURACIÓN]])&gt;PROVEEDORES[[#This Row],[PLAZO Días]],"PAGO VENCIDO")</f>
        <v>PAGO VENCIDO</v>
      </c>
      <c r="C715" s="144">
        <f>+VLOOKUP(PROVEEDORES[[#This Row],[PROVEEDOR]],TERCEROS_INFO[#All],2,FALSE)</f>
        <v>0</v>
      </c>
      <c r="D715" s="145">
        <f>+SUMIFS(PROVEEDORES[Total],PROVEEDORES[PROVEEDOR],PROVEEDORES[[#This Row],[PROVEEDOR]],PROVEEDORES[FECHA DE PAGO],"")</f>
        <v>0</v>
      </c>
      <c r="E715" s="146"/>
      <c r="F715" s="144">
        <f>+VLOOKUP(PROVEEDORES[[#This Row],[PROVEEDOR]],
                       Terceros!$A:$G,
                       5,
                       FALSE)</f>
        <v>0</v>
      </c>
      <c r="G715" s="122">
        <v>45201</v>
      </c>
      <c r="H715" s="102" t="s">
        <v>537</v>
      </c>
      <c r="I715" s="122">
        <v>45117</v>
      </c>
      <c r="J715" s="103" t="s">
        <v>899</v>
      </c>
      <c r="K715" s="103" t="s">
        <v>1512</v>
      </c>
      <c r="L715" s="103"/>
      <c r="M715" s="105">
        <v>1117000</v>
      </c>
      <c r="N715" s="147">
        <v>0</v>
      </c>
      <c r="O715" s="147">
        <v>0</v>
      </c>
      <c r="P715" s="148">
        <v>0</v>
      </c>
      <c r="Q715" s="147">
        <v>0</v>
      </c>
      <c r="R715" s="149">
        <v>1117000</v>
      </c>
      <c r="S7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5" s="150">
        <f ca="1">+IF(PROVEEDORES[[#This Row],[FECHA DE PAGO]]=0,TODAY()-PROVEEDORES[[#This Row],[FECHA DE FACTURACIÓN]]-PROVEEDORES[[#This Row],[PLAZO Días]],0)</f>
        <v>0</v>
      </c>
      <c r="U715" s="150">
        <f>+VLOOKUP(PROVEEDORES[[#This Row],[PROVEEDOR]],Terceros!$A:$E,4,FALSE)</f>
        <v>0</v>
      </c>
      <c r="V715" s="150">
        <f>+YEAR(PROVEEDORES[[#This Row],[FECHA DE FACTURACIÓN]])</f>
        <v>2023</v>
      </c>
      <c r="W715" s="150">
        <f>+MATCH(PROVEEDORES[[#This Row],[año facturado]],Retenciones!$1:$1,0)</f>
        <v>6</v>
      </c>
      <c r="X715" s="151">
        <f>+VLOOKUP(PROVEEDORES[[#This Row],[ID RETENCION]],Retenciones!$A$1:$O$25,PROVEEDORES[[#This Row],[indicador de columna]],FALSE)</f>
        <v>0</v>
      </c>
      <c r="Y715" s="152">
        <f>+VLOOKUP(PROVEEDORES[[#This Row],[ID RETENCION]],Retenciones!$A$1:$O$25,2,FALSE)</f>
        <v>0</v>
      </c>
      <c r="Z715" s="153" t="b">
        <f>+OR(COUNTIF(PROVEEDORES[[#This Row],[PROVEEDOR]],"*"&amp;'Palabra que no opera y Listas d'!$A$2&amp;"*"))</f>
        <v>0</v>
      </c>
    </row>
    <row r="716" spans="1:26" ht="27.75" customHeight="1" x14ac:dyDescent="0.3">
      <c r="A716" s="144" t="str">
        <f>+IF(PROVEEDORES[[#This Row],[FECHA DE PAGO]]=PROVEEDORES[[#This Row],[FECHA DE FACTURACIÓN]],"DE CONTADO","CRÉDITO")</f>
        <v>CRÉDITO</v>
      </c>
      <c r="B716" s="144" t="str">
        <f>+IF((PROVEEDORES[[#This Row],[FECHA DE PAGO]]-PROVEEDORES[[#This Row],[FECHA DE FACTURACIÓN]])&gt;PROVEEDORES[[#This Row],[PLAZO Días]],"PAGO VENCIDO")</f>
        <v>PAGO VENCIDO</v>
      </c>
      <c r="C716" s="144">
        <f>+VLOOKUP(PROVEEDORES[[#This Row],[PROVEEDOR]],TERCEROS_INFO[#All],2,FALSE)</f>
        <v>0</v>
      </c>
      <c r="D716" s="145">
        <f>+SUMIFS(PROVEEDORES[Total],PROVEEDORES[PROVEEDOR],PROVEEDORES[[#This Row],[PROVEEDOR]],PROVEEDORES[FECHA DE PAGO],"")</f>
        <v>0</v>
      </c>
      <c r="E716" s="146"/>
      <c r="F716" s="144">
        <f>+VLOOKUP(PROVEEDORES[[#This Row],[PROVEEDOR]],
                       Terceros!$A:$G,
                       5,
                       FALSE)</f>
        <v>0</v>
      </c>
      <c r="G716" s="122">
        <v>45201</v>
      </c>
      <c r="H716" s="102" t="s">
        <v>1155</v>
      </c>
      <c r="I716" s="122">
        <v>45117</v>
      </c>
      <c r="J716" s="103">
        <v>8943</v>
      </c>
      <c r="K716" s="103" t="s">
        <v>1512</v>
      </c>
      <c r="L716" s="103"/>
      <c r="M716" s="105">
        <v>3668500</v>
      </c>
      <c r="N716" s="147">
        <v>0</v>
      </c>
      <c r="O716" s="147">
        <v>0</v>
      </c>
      <c r="P716" s="148">
        <v>0</v>
      </c>
      <c r="Q716" s="147">
        <v>0</v>
      </c>
      <c r="R716" s="149">
        <v>3668500</v>
      </c>
      <c r="S7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6" s="150">
        <f ca="1">+IF(PROVEEDORES[[#This Row],[FECHA DE PAGO]]=0,TODAY()-PROVEEDORES[[#This Row],[FECHA DE FACTURACIÓN]]-PROVEEDORES[[#This Row],[PLAZO Días]],0)</f>
        <v>0</v>
      </c>
      <c r="U716" s="150">
        <f>+VLOOKUP(PROVEEDORES[[#This Row],[PROVEEDOR]],Terceros!$A:$E,4,FALSE)</f>
        <v>0</v>
      </c>
      <c r="V716" s="150">
        <f>+YEAR(PROVEEDORES[[#This Row],[FECHA DE FACTURACIÓN]])</f>
        <v>2023</v>
      </c>
      <c r="W716" s="150">
        <f>+MATCH(PROVEEDORES[[#This Row],[año facturado]],Retenciones!$1:$1,0)</f>
        <v>6</v>
      </c>
      <c r="X716" s="151">
        <f>+VLOOKUP(PROVEEDORES[[#This Row],[ID RETENCION]],Retenciones!$A$1:$O$25,PROVEEDORES[[#This Row],[indicador de columna]],FALSE)</f>
        <v>0</v>
      </c>
      <c r="Y716" s="152">
        <f>+VLOOKUP(PROVEEDORES[[#This Row],[ID RETENCION]],Retenciones!$A$1:$O$25,2,FALSE)</f>
        <v>0</v>
      </c>
      <c r="Z716" s="153" t="b">
        <f>+OR(COUNTIF(PROVEEDORES[[#This Row],[PROVEEDOR]],"*"&amp;'Palabra que no opera y Listas d'!$A$2&amp;"*"))</f>
        <v>0</v>
      </c>
    </row>
    <row r="717" spans="1:26" ht="27.75" customHeight="1" x14ac:dyDescent="0.3">
      <c r="A717" s="144" t="str">
        <f>+IF(PROVEEDORES[[#This Row],[FECHA DE PAGO]]=PROVEEDORES[[#This Row],[FECHA DE FACTURACIÓN]],"DE CONTADO","CRÉDITO")</f>
        <v>CRÉDITO</v>
      </c>
      <c r="B717" s="144" t="str">
        <f>+IF((PROVEEDORES[[#This Row],[FECHA DE PAGO]]-PROVEEDORES[[#This Row],[FECHA DE FACTURACIÓN]])&gt;PROVEEDORES[[#This Row],[PLAZO Días]],"PAGO VENCIDO")</f>
        <v>PAGO VENCIDO</v>
      </c>
      <c r="C717" s="144">
        <f>+VLOOKUP(PROVEEDORES[[#This Row],[PROVEEDOR]],TERCEROS_INFO[#All],2,FALSE)</f>
        <v>0</v>
      </c>
      <c r="D717" s="145">
        <f>+SUMIFS(PROVEEDORES[Total],PROVEEDORES[PROVEEDOR],PROVEEDORES[[#This Row],[PROVEEDOR]],PROVEEDORES[FECHA DE PAGO],"")</f>
        <v>3461120</v>
      </c>
      <c r="E717" s="146"/>
      <c r="F717" s="144" t="str">
        <f>+VLOOKUP(PROVEEDORES[[#This Row],[PROVEEDOR]],
                       Terceros!$A:$G,
                       5,
                       FALSE)</f>
        <v>2,5% con base</v>
      </c>
      <c r="G717" s="122">
        <v>45201</v>
      </c>
      <c r="H717" s="102" t="s">
        <v>9</v>
      </c>
      <c r="I717" s="122">
        <v>45135</v>
      </c>
      <c r="J717" s="103" t="s">
        <v>950</v>
      </c>
      <c r="K717" s="103" t="s">
        <v>1512</v>
      </c>
      <c r="L717" s="103"/>
      <c r="M717" s="105">
        <v>4200000</v>
      </c>
      <c r="N717" s="147">
        <v>798000</v>
      </c>
      <c r="O717" s="147">
        <v>0</v>
      </c>
      <c r="P717" s="148">
        <v>2.5000000000000001E-2</v>
      </c>
      <c r="Q717" s="147">
        <v>105000</v>
      </c>
      <c r="R717" s="149">
        <v>4893000</v>
      </c>
      <c r="S7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7" s="150">
        <f ca="1">+IF(PROVEEDORES[[#This Row],[FECHA DE PAGO]]=0,TODAY()-PROVEEDORES[[#This Row],[FECHA DE FACTURACIÓN]]-PROVEEDORES[[#This Row],[PLAZO Días]],0)</f>
        <v>0</v>
      </c>
      <c r="U717" s="150">
        <f>+VLOOKUP(PROVEEDORES[[#This Row],[PROVEEDOR]],Terceros!$A:$E,4,FALSE)</f>
        <v>0.19</v>
      </c>
      <c r="V717" s="150">
        <f>+YEAR(PROVEEDORES[[#This Row],[FECHA DE FACTURACIÓN]])</f>
        <v>2023</v>
      </c>
      <c r="W717" s="150">
        <f>+MATCH(PROVEEDORES[[#This Row],[año facturado]],Retenciones!$1:$1,0)</f>
        <v>6</v>
      </c>
      <c r="X717" s="151" t="e">
        <f>+VLOOKUP(PROVEEDORES[[#This Row],[ID RETENCION]],Retenciones!$A$1:$O$25,PROVEEDORES[[#This Row],[indicador de columna]],FALSE)</f>
        <v>#N/A</v>
      </c>
      <c r="Y717" s="152" t="e">
        <f>+VLOOKUP(PROVEEDORES[[#This Row],[ID RETENCION]],Retenciones!$A$1:$O$25,2,FALSE)</f>
        <v>#N/A</v>
      </c>
      <c r="Z717" s="153" t="b">
        <f>+OR(COUNTIF(PROVEEDORES[[#This Row],[PROVEEDOR]],"*"&amp;'Palabra que no opera y Listas d'!$A$2&amp;"*"))</f>
        <v>0</v>
      </c>
    </row>
    <row r="718" spans="1:26" ht="27.75" customHeight="1" x14ac:dyDescent="0.3">
      <c r="A718" s="144" t="str">
        <f>+IF(PROVEEDORES[[#This Row],[FECHA DE PAGO]]=PROVEEDORES[[#This Row],[FECHA DE FACTURACIÓN]],"DE CONTADO","CRÉDITO")</f>
        <v>CRÉDITO</v>
      </c>
      <c r="B718" s="144" t="str">
        <f>+IF((PROVEEDORES[[#This Row],[FECHA DE PAGO]]-PROVEEDORES[[#This Row],[FECHA DE FACTURACIÓN]])&gt;PROVEEDORES[[#This Row],[PLAZO Días]],"PAGO VENCIDO")</f>
        <v>PAGO VENCIDO</v>
      </c>
      <c r="C718" s="144">
        <f>+VLOOKUP(PROVEEDORES[[#This Row],[PROVEEDOR]],TERCEROS_INFO[#All],2,FALSE)</f>
        <v>0</v>
      </c>
      <c r="D718" s="145">
        <f>+SUMIFS(PROVEEDORES[Total],PROVEEDORES[PROVEEDOR],PROVEEDORES[[#This Row],[PROVEEDOR]],PROVEEDORES[FECHA DE PAGO],"")</f>
        <v>1000043.22</v>
      </c>
      <c r="E718" s="146"/>
      <c r="F718" s="144" t="str">
        <f>+VLOOKUP(PROVEEDORES[[#This Row],[PROVEEDOR]],
                       Terceros!$A:$G,
                       5,
                       FALSE)</f>
        <v>2,5% con base</v>
      </c>
      <c r="G718" s="122">
        <v>45201</v>
      </c>
      <c r="H718" s="102" t="s">
        <v>237</v>
      </c>
      <c r="I718" s="122">
        <v>45139</v>
      </c>
      <c r="J718" s="103" t="s">
        <v>978</v>
      </c>
      <c r="K718" s="103" t="s">
        <v>1512</v>
      </c>
      <c r="L718" s="103"/>
      <c r="M718" s="105">
        <v>779495</v>
      </c>
      <c r="N718" s="147">
        <v>148104.04999999999</v>
      </c>
      <c r="O718" s="147">
        <v>0</v>
      </c>
      <c r="P718" s="148">
        <v>0</v>
      </c>
      <c r="Q718" s="147">
        <v>0</v>
      </c>
      <c r="R718" s="149">
        <v>927599.05</v>
      </c>
      <c r="S7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8" s="150">
        <f ca="1">+IF(PROVEEDORES[[#This Row],[FECHA DE PAGO]]=0,TODAY()-PROVEEDORES[[#This Row],[FECHA DE FACTURACIÓN]]-PROVEEDORES[[#This Row],[PLAZO Días]],0)</f>
        <v>0</v>
      </c>
      <c r="U718" s="150">
        <f>+VLOOKUP(PROVEEDORES[[#This Row],[PROVEEDOR]],Terceros!$A:$E,4,FALSE)</f>
        <v>0.19</v>
      </c>
      <c r="V718" s="150">
        <f>+YEAR(PROVEEDORES[[#This Row],[FECHA DE FACTURACIÓN]])</f>
        <v>2023</v>
      </c>
      <c r="W718" s="150">
        <f>+MATCH(PROVEEDORES[[#This Row],[año facturado]],Retenciones!$1:$1,0)</f>
        <v>6</v>
      </c>
      <c r="X718" s="151" t="e">
        <f>+VLOOKUP(PROVEEDORES[[#This Row],[ID RETENCION]],Retenciones!$A$1:$O$25,PROVEEDORES[[#This Row],[indicador de columna]],FALSE)</f>
        <v>#N/A</v>
      </c>
      <c r="Y718" s="152" t="e">
        <f>+VLOOKUP(PROVEEDORES[[#This Row],[ID RETENCION]],Retenciones!$A$1:$O$25,2,FALSE)</f>
        <v>#N/A</v>
      </c>
      <c r="Z718" s="153" t="b">
        <f>+OR(COUNTIF(PROVEEDORES[[#This Row],[PROVEEDOR]],"*"&amp;'Palabra que no opera y Listas d'!$A$2&amp;"*"))</f>
        <v>0</v>
      </c>
    </row>
    <row r="719" spans="1:26" ht="27.75" customHeight="1" x14ac:dyDescent="0.3">
      <c r="A719" s="144" t="str">
        <f>+IF(PROVEEDORES[[#This Row],[FECHA DE PAGO]]=PROVEEDORES[[#This Row],[FECHA DE FACTURACIÓN]],"DE CONTADO","CRÉDITO")</f>
        <v>CRÉDITO</v>
      </c>
      <c r="B719" s="144" t="str">
        <f>+IF((PROVEEDORES[[#This Row],[FECHA DE PAGO]]-PROVEEDORES[[#This Row],[FECHA DE FACTURACIÓN]])&gt;PROVEEDORES[[#This Row],[PLAZO Días]],"PAGO VENCIDO")</f>
        <v>PAGO VENCIDO</v>
      </c>
      <c r="C719" s="144">
        <f>+VLOOKUP(PROVEEDORES[[#This Row],[PROVEEDOR]],TERCEROS_INFO[#All],2,FALSE)</f>
        <v>0</v>
      </c>
      <c r="D719" s="145">
        <f>+SUMIFS(PROVEEDORES[Total],PROVEEDORES[PROVEEDOR],PROVEEDORES[[#This Row],[PROVEEDOR]],PROVEEDORES[FECHA DE PAGO],"")</f>
        <v>0</v>
      </c>
      <c r="E719" s="146"/>
      <c r="F719" s="144" t="str">
        <f>+VLOOKUP(PROVEEDORES[[#This Row],[PROVEEDOR]],
                       Terceros!$A:$G,
                       5,
                       FALSE)</f>
        <v>2,5% con base</v>
      </c>
      <c r="G719" s="122">
        <v>45201</v>
      </c>
      <c r="H719" s="102" t="s">
        <v>1562</v>
      </c>
      <c r="I719" s="122">
        <v>45160</v>
      </c>
      <c r="J719" s="103" t="s">
        <v>1017</v>
      </c>
      <c r="K719" s="103" t="s">
        <v>1512</v>
      </c>
      <c r="L719" s="103"/>
      <c r="M719" s="105">
        <v>376000</v>
      </c>
      <c r="N719" s="147">
        <v>71440</v>
      </c>
      <c r="O719" s="147">
        <v>0</v>
      </c>
      <c r="P719" s="148">
        <v>0</v>
      </c>
      <c r="Q719" s="147">
        <v>0</v>
      </c>
      <c r="R719" s="149">
        <v>447440</v>
      </c>
      <c r="S7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9" s="150">
        <f ca="1">+IF(PROVEEDORES[[#This Row],[FECHA DE PAGO]]=0,TODAY()-PROVEEDORES[[#This Row],[FECHA DE FACTURACIÓN]]-PROVEEDORES[[#This Row],[PLAZO Días]],0)</f>
        <v>0</v>
      </c>
      <c r="U719" s="150">
        <f>+VLOOKUP(PROVEEDORES[[#This Row],[PROVEEDOR]],Terceros!$A:$E,4,FALSE)</f>
        <v>0.19</v>
      </c>
      <c r="V719" s="150">
        <f>+YEAR(PROVEEDORES[[#This Row],[FECHA DE FACTURACIÓN]])</f>
        <v>2023</v>
      </c>
      <c r="W719" s="150">
        <f>+MATCH(PROVEEDORES[[#This Row],[año facturado]],Retenciones!$1:$1,0)</f>
        <v>6</v>
      </c>
      <c r="X719" s="151" t="e">
        <f>+VLOOKUP(PROVEEDORES[[#This Row],[ID RETENCION]],Retenciones!$A$1:$O$25,PROVEEDORES[[#This Row],[indicador de columna]],FALSE)</f>
        <v>#N/A</v>
      </c>
      <c r="Y719" s="152" t="e">
        <f>+VLOOKUP(PROVEEDORES[[#This Row],[ID RETENCION]],Retenciones!$A$1:$O$25,2,FALSE)</f>
        <v>#N/A</v>
      </c>
      <c r="Z719" s="153" t="b">
        <f>+OR(COUNTIF(PROVEEDORES[[#This Row],[PROVEEDOR]],"*"&amp;'Palabra que no opera y Listas d'!$A$2&amp;"*"))</f>
        <v>0</v>
      </c>
    </row>
    <row r="720" spans="1:26" ht="27.75" customHeight="1" x14ac:dyDescent="0.3">
      <c r="A720" s="144" t="str">
        <f>+IF(PROVEEDORES[[#This Row],[FECHA DE PAGO]]=PROVEEDORES[[#This Row],[FECHA DE FACTURACIÓN]],"DE CONTADO","CRÉDITO")</f>
        <v>CRÉDITO</v>
      </c>
      <c r="B720" s="144" t="str">
        <f>+IF((PROVEEDORES[[#This Row],[FECHA DE PAGO]]-PROVEEDORES[[#This Row],[FECHA DE FACTURACIÓN]])&gt;PROVEEDORES[[#This Row],[PLAZO Días]],"PAGO VENCIDO")</f>
        <v>PAGO VENCIDO</v>
      </c>
      <c r="C720" s="144">
        <f>+VLOOKUP(PROVEEDORES[[#This Row],[PROVEEDOR]],TERCEROS_INFO[#All],2,FALSE)</f>
        <v>0</v>
      </c>
      <c r="D720" s="145">
        <f>+SUMIFS(PROVEEDORES[Total],PROVEEDORES[PROVEEDOR],PROVEEDORES[[#This Row],[PROVEEDOR]],PROVEEDORES[FECHA DE PAGO],"")</f>
        <v>0</v>
      </c>
      <c r="E720" s="146"/>
      <c r="F720" s="144" t="str">
        <f>+VLOOKUP(PROVEEDORES[[#This Row],[PROVEEDOR]],
                       Terceros!$A:$G,
                       5,
                       FALSE)</f>
        <v>2,5% con base</v>
      </c>
      <c r="G720" s="122">
        <v>45201</v>
      </c>
      <c r="H720" s="102" t="s">
        <v>1562</v>
      </c>
      <c r="I720" s="122">
        <v>45162</v>
      </c>
      <c r="J720" s="103" t="s">
        <v>1016</v>
      </c>
      <c r="K720" s="103" t="s">
        <v>1512</v>
      </c>
      <c r="L720" s="103"/>
      <c r="M720" s="105">
        <v>8000000</v>
      </c>
      <c r="N720" s="147">
        <v>1520000</v>
      </c>
      <c r="O720" s="147">
        <v>0</v>
      </c>
      <c r="P720" s="148">
        <v>2.5000000000000001E-2</v>
      </c>
      <c r="Q720" s="147">
        <v>200000</v>
      </c>
      <c r="R720" s="149">
        <v>9320000</v>
      </c>
      <c r="S7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0" s="150">
        <f ca="1">+IF(PROVEEDORES[[#This Row],[FECHA DE PAGO]]=0,TODAY()-PROVEEDORES[[#This Row],[FECHA DE FACTURACIÓN]]-PROVEEDORES[[#This Row],[PLAZO Días]],0)</f>
        <v>0</v>
      </c>
      <c r="U720" s="150">
        <f>+VLOOKUP(PROVEEDORES[[#This Row],[PROVEEDOR]],Terceros!$A:$E,4,FALSE)</f>
        <v>0.19</v>
      </c>
      <c r="V720" s="150">
        <f>+YEAR(PROVEEDORES[[#This Row],[FECHA DE FACTURACIÓN]])</f>
        <v>2023</v>
      </c>
      <c r="W720" s="150">
        <f>+MATCH(PROVEEDORES[[#This Row],[año facturado]],Retenciones!$1:$1,0)</f>
        <v>6</v>
      </c>
      <c r="X720" s="151" t="e">
        <f>+VLOOKUP(PROVEEDORES[[#This Row],[ID RETENCION]],Retenciones!$A$1:$O$25,PROVEEDORES[[#This Row],[indicador de columna]],FALSE)</f>
        <v>#N/A</v>
      </c>
      <c r="Y720" s="152" t="e">
        <f>+VLOOKUP(PROVEEDORES[[#This Row],[ID RETENCION]],Retenciones!$A$1:$O$25,2,FALSE)</f>
        <v>#N/A</v>
      </c>
      <c r="Z720" s="153" t="b">
        <f>+OR(COUNTIF(PROVEEDORES[[#This Row],[PROVEEDOR]],"*"&amp;'Palabra que no opera y Listas d'!$A$2&amp;"*"))</f>
        <v>0</v>
      </c>
    </row>
    <row r="721" spans="1:26" ht="27.75" customHeight="1" x14ac:dyDescent="0.3">
      <c r="A721" s="144" t="str">
        <f>+IF(PROVEEDORES[[#This Row],[FECHA DE PAGO]]=PROVEEDORES[[#This Row],[FECHA DE FACTURACIÓN]],"DE CONTADO","CRÉDITO")</f>
        <v>CRÉDITO</v>
      </c>
      <c r="B721" s="144" t="str">
        <f>+IF((PROVEEDORES[[#This Row],[FECHA DE PAGO]]-PROVEEDORES[[#This Row],[FECHA DE FACTURACIÓN]])&gt;PROVEEDORES[[#This Row],[PLAZO Días]],"PAGO VENCIDO")</f>
        <v>PAGO VENCIDO</v>
      </c>
      <c r="C721" s="144">
        <f>+VLOOKUP(PROVEEDORES[[#This Row],[PROVEEDOR]],TERCEROS_INFO[#All],2,FALSE)</f>
        <v>0</v>
      </c>
      <c r="D721" s="145">
        <f>+SUMIFS(PROVEEDORES[Total],PROVEEDORES[PROVEEDOR],PROVEEDORES[[#This Row],[PROVEEDOR]],PROVEEDORES[FECHA DE PAGO],"")</f>
        <v>856185.96</v>
      </c>
      <c r="E721" s="146"/>
      <c r="F721" s="144">
        <f>+VLOOKUP(PROVEEDORES[[#This Row],[PROVEEDOR]],
                       Terceros!$A:$G,
                       5,
                       FALSE)</f>
        <v>0</v>
      </c>
      <c r="G721" s="122">
        <v>45201</v>
      </c>
      <c r="H721" s="102" t="s">
        <v>209</v>
      </c>
      <c r="I721" s="122">
        <v>45164</v>
      </c>
      <c r="J721" s="103" t="s">
        <v>1013</v>
      </c>
      <c r="K721" s="103" t="s">
        <v>1512</v>
      </c>
      <c r="L721" s="103"/>
      <c r="M721" s="105">
        <v>6502674</v>
      </c>
      <c r="N721" s="147">
        <v>1235508.06</v>
      </c>
      <c r="O721" s="147">
        <v>0</v>
      </c>
      <c r="P721" s="148">
        <v>0</v>
      </c>
      <c r="Q721" s="147">
        <v>0</v>
      </c>
      <c r="R721" s="149">
        <v>7738182.0600000005</v>
      </c>
      <c r="S7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1" s="150">
        <f ca="1">+IF(PROVEEDORES[[#This Row],[FECHA DE PAGO]]=0,TODAY()-PROVEEDORES[[#This Row],[FECHA DE FACTURACIÓN]]-PROVEEDORES[[#This Row],[PLAZO Días]],0)</f>
        <v>0</v>
      </c>
      <c r="U721" s="150">
        <f>+VLOOKUP(PROVEEDORES[[#This Row],[PROVEEDOR]],Terceros!$A:$E,4,FALSE)</f>
        <v>0.19</v>
      </c>
      <c r="V721" s="150">
        <f>+YEAR(PROVEEDORES[[#This Row],[FECHA DE FACTURACIÓN]])</f>
        <v>2023</v>
      </c>
      <c r="W721" s="150">
        <f>+MATCH(PROVEEDORES[[#This Row],[año facturado]],Retenciones!$1:$1,0)</f>
        <v>6</v>
      </c>
      <c r="X721" s="151" t="e">
        <f>+VLOOKUP(PROVEEDORES[[#This Row],[ID RETENCION]],Retenciones!$A$1:$O$25,PROVEEDORES[[#This Row],[indicador de columna]],FALSE)</f>
        <v>#N/A</v>
      </c>
      <c r="Y721" s="152" t="e">
        <f>+VLOOKUP(PROVEEDORES[[#This Row],[ID RETENCION]],Retenciones!$A$1:$O$25,2,FALSE)</f>
        <v>#N/A</v>
      </c>
      <c r="Z721" s="153" t="b">
        <f>+OR(COUNTIF(PROVEEDORES[[#This Row],[PROVEEDOR]],"*"&amp;'Palabra que no opera y Listas d'!$A$2&amp;"*"))</f>
        <v>0</v>
      </c>
    </row>
    <row r="722" spans="1:26" ht="27.75" customHeight="1" x14ac:dyDescent="0.3">
      <c r="A722" s="144" t="str">
        <f>+IF(PROVEEDORES[[#This Row],[FECHA DE PAGO]]=PROVEEDORES[[#This Row],[FECHA DE FACTURACIÓN]],"DE CONTADO","CRÉDITO")</f>
        <v>CRÉDITO</v>
      </c>
      <c r="B722" s="144" t="str">
        <f>+IF((PROVEEDORES[[#This Row],[FECHA DE PAGO]]-PROVEEDORES[[#This Row],[FECHA DE FACTURACIÓN]])&gt;PROVEEDORES[[#This Row],[PLAZO Días]],"PAGO VENCIDO")</f>
        <v>PAGO VENCIDO</v>
      </c>
      <c r="C722" s="144">
        <f>+VLOOKUP(PROVEEDORES[[#This Row],[PROVEEDOR]],TERCEROS_INFO[#All],2,FALSE)</f>
        <v>0</v>
      </c>
      <c r="D722" s="145">
        <f>+SUMIFS(PROVEEDORES[Total],PROVEEDORES[PROVEEDOR],PROVEEDORES[[#This Row],[PROVEEDOR]],PROVEEDORES[FECHA DE PAGO],"")</f>
        <v>856185.96</v>
      </c>
      <c r="E722" s="146"/>
      <c r="F722" s="144">
        <f>+VLOOKUP(PROVEEDORES[[#This Row],[PROVEEDOR]],
                       Terceros!$A:$G,
                       5,
                       FALSE)</f>
        <v>0</v>
      </c>
      <c r="G722" s="122">
        <v>45201</v>
      </c>
      <c r="H722" s="102" t="s">
        <v>209</v>
      </c>
      <c r="I722" s="122">
        <v>45169</v>
      </c>
      <c r="J722" s="103" t="s">
        <v>1064</v>
      </c>
      <c r="K722" s="103" t="s">
        <v>1512</v>
      </c>
      <c r="L722" s="103"/>
      <c r="M722" s="105">
        <v>-1748011</v>
      </c>
      <c r="N722" s="147">
        <v>-332122.09000000003</v>
      </c>
      <c r="O722" s="147">
        <v>0</v>
      </c>
      <c r="P722" s="148">
        <v>0</v>
      </c>
      <c r="Q722" s="147">
        <v>0</v>
      </c>
      <c r="R722" s="149">
        <v>-2080133.09</v>
      </c>
      <c r="S7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2" s="150">
        <f ca="1">+IF(PROVEEDORES[[#This Row],[FECHA DE PAGO]]=0,TODAY()-PROVEEDORES[[#This Row],[FECHA DE FACTURACIÓN]]-PROVEEDORES[[#This Row],[PLAZO Días]],0)</f>
        <v>0</v>
      </c>
      <c r="U722" s="150">
        <f>+VLOOKUP(PROVEEDORES[[#This Row],[PROVEEDOR]],Terceros!$A:$E,4,FALSE)</f>
        <v>0.19</v>
      </c>
      <c r="V722" s="150">
        <f>+YEAR(PROVEEDORES[[#This Row],[FECHA DE FACTURACIÓN]])</f>
        <v>2023</v>
      </c>
      <c r="W722" s="150">
        <f>+MATCH(PROVEEDORES[[#This Row],[año facturado]],Retenciones!$1:$1,0)</f>
        <v>6</v>
      </c>
      <c r="X722" s="151" t="e">
        <f>+VLOOKUP(PROVEEDORES[[#This Row],[ID RETENCION]],Retenciones!$A$1:$O$25,PROVEEDORES[[#This Row],[indicador de columna]],FALSE)</f>
        <v>#N/A</v>
      </c>
      <c r="Y722" s="152" t="e">
        <f>+VLOOKUP(PROVEEDORES[[#This Row],[ID RETENCION]],Retenciones!$A$1:$O$25,2,FALSE)</f>
        <v>#N/A</v>
      </c>
      <c r="Z722" s="153" t="b">
        <f>+OR(COUNTIF(PROVEEDORES[[#This Row],[PROVEEDOR]],"*"&amp;'Palabra que no opera y Listas d'!$A$2&amp;"*"))</f>
        <v>0</v>
      </c>
    </row>
    <row r="723" spans="1:26" ht="27.75" customHeight="1" x14ac:dyDescent="0.3">
      <c r="A723" s="144" t="str">
        <f>+IF(PROVEEDORES[[#This Row],[FECHA DE PAGO]]=PROVEEDORES[[#This Row],[FECHA DE FACTURACIÓN]],"DE CONTADO","CRÉDITO")</f>
        <v>CRÉDITO</v>
      </c>
      <c r="B723" s="144" t="str">
        <f>+IF((PROVEEDORES[[#This Row],[FECHA DE PAGO]]-PROVEEDORES[[#This Row],[FECHA DE FACTURACIÓN]])&gt;PROVEEDORES[[#This Row],[PLAZO Días]],"PAGO VENCIDO")</f>
        <v>PAGO VENCIDO</v>
      </c>
      <c r="C723" s="144">
        <f>+VLOOKUP(PROVEEDORES[[#This Row],[PROVEEDOR]],TERCEROS_INFO[#All],2,FALSE)</f>
        <v>0</v>
      </c>
      <c r="D723" s="145">
        <f>+SUMIFS(PROVEEDORES[Total],PROVEEDORES[PROVEEDOR],PROVEEDORES[[#This Row],[PROVEEDOR]],PROVEEDORES[FECHA DE PAGO],"")</f>
        <v>4198834.75</v>
      </c>
      <c r="E723" s="146"/>
      <c r="F723" s="144" t="str">
        <f>+VLOOKUP(PROVEEDORES[[#This Row],[PROVEEDOR]],
                       Terceros!$A:$G,
                       5,
                       FALSE)</f>
        <v>2,5% con base</v>
      </c>
      <c r="G723" s="122">
        <v>45201</v>
      </c>
      <c r="H723" s="102" t="s">
        <v>437</v>
      </c>
      <c r="I723" s="122">
        <v>45170</v>
      </c>
      <c r="J723" s="103" t="s">
        <v>1073</v>
      </c>
      <c r="K723" s="103" t="s">
        <v>1512</v>
      </c>
      <c r="L723" s="103"/>
      <c r="M723" s="105">
        <v>1796000</v>
      </c>
      <c r="N723" s="147">
        <v>341240</v>
      </c>
      <c r="O723" s="147">
        <v>0</v>
      </c>
      <c r="P723" s="148">
        <v>2.5000000000000001E-2</v>
      </c>
      <c r="Q723" s="147">
        <v>44900</v>
      </c>
      <c r="R723" s="149">
        <v>2092340</v>
      </c>
      <c r="S7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3" s="150">
        <f ca="1">+IF(PROVEEDORES[[#This Row],[FECHA DE PAGO]]=0,TODAY()-PROVEEDORES[[#This Row],[FECHA DE FACTURACIÓN]]-PROVEEDORES[[#This Row],[PLAZO Días]],0)</f>
        <v>0</v>
      </c>
      <c r="U723" s="150">
        <f>+VLOOKUP(PROVEEDORES[[#This Row],[PROVEEDOR]],Terceros!$A:$E,4,FALSE)</f>
        <v>0.19</v>
      </c>
      <c r="V723" s="150">
        <f>+YEAR(PROVEEDORES[[#This Row],[FECHA DE FACTURACIÓN]])</f>
        <v>2023</v>
      </c>
      <c r="W723" s="150">
        <f>+MATCH(PROVEEDORES[[#This Row],[año facturado]],Retenciones!$1:$1,0)</f>
        <v>6</v>
      </c>
      <c r="X723" s="151" t="e">
        <f>+VLOOKUP(PROVEEDORES[[#This Row],[ID RETENCION]],Retenciones!$A$1:$O$25,PROVEEDORES[[#This Row],[indicador de columna]],FALSE)</f>
        <v>#N/A</v>
      </c>
      <c r="Y723" s="152" t="e">
        <f>+VLOOKUP(PROVEEDORES[[#This Row],[ID RETENCION]],Retenciones!$A$1:$O$25,2,FALSE)</f>
        <v>#N/A</v>
      </c>
      <c r="Z723" s="153" t="b">
        <f>+OR(COUNTIF(PROVEEDORES[[#This Row],[PROVEEDOR]],"*"&amp;'Palabra que no opera y Listas d'!$A$2&amp;"*"))</f>
        <v>0</v>
      </c>
    </row>
    <row r="724" spans="1:26" ht="27.75" customHeight="1" x14ac:dyDescent="0.3">
      <c r="A724" s="144" t="str">
        <f>+IF(PROVEEDORES[[#This Row],[FECHA DE PAGO]]=PROVEEDORES[[#This Row],[FECHA DE FACTURACIÓN]],"DE CONTADO","CRÉDITO")</f>
        <v>DE CONTADO</v>
      </c>
      <c r="B724" s="144" t="b">
        <f>+IF((PROVEEDORES[[#This Row],[FECHA DE PAGO]]-PROVEEDORES[[#This Row],[FECHA DE FACTURACIÓN]])&gt;PROVEEDORES[[#This Row],[PLAZO Días]],"PAGO VENCIDO")</f>
        <v>0</v>
      </c>
      <c r="C724" s="144">
        <f>+VLOOKUP(PROVEEDORES[[#This Row],[PROVEEDOR]],TERCEROS_INFO[#All],2,FALSE)</f>
        <v>0</v>
      </c>
      <c r="D724" s="145">
        <f>+SUMIFS(PROVEEDORES[Total],PROVEEDORES[PROVEEDOR],PROVEEDORES[[#This Row],[PROVEEDOR]],PROVEEDORES[FECHA DE PAGO],"")</f>
        <v>0</v>
      </c>
      <c r="E724" s="146"/>
      <c r="F724" s="144">
        <f>+VLOOKUP(PROVEEDORES[[#This Row],[PROVEEDOR]],
                       Terceros!$A:$G,
                       5,
                       FALSE)</f>
        <v>0</v>
      </c>
      <c r="G724" s="122">
        <v>45201</v>
      </c>
      <c r="H724" s="102" t="s">
        <v>537</v>
      </c>
      <c r="I724" s="122">
        <v>45201</v>
      </c>
      <c r="J724" s="103" t="s">
        <v>1125</v>
      </c>
      <c r="K724" s="103" t="s">
        <v>1512</v>
      </c>
      <c r="L724" s="103"/>
      <c r="M724" s="105">
        <v>150000</v>
      </c>
      <c r="N724" s="147">
        <v>0</v>
      </c>
      <c r="O724" s="147">
        <v>0</v>
      </c>
      <c r="P724" s="148">
        <v>0</v>
      </c>
      <c r="Q724" s="147">
        <v>0</v>
      </c>
      <c r="R724" s="149">
        <v>150000</v>
      </c>
      <c r="S7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4" s="150">
        <f ca="1">+IF(PROVEEDORES[[#This Row],[FECHA DE PAGO]]=0,TODAY()-PROVEEDORES[[#This Row],[FECHA DE FACTURACIÓN]]-PROVEEDORES[[#This Row],[PLAZO Días]],0)</f>
        <v>0</v>
      </c>
      <c r="U724" s="150">
        <f>+VLOOKUP(PROVEEDORES[[#This Row],[PROVEEDOR]],Terceros!$A:$E,4,FALSE)</f>
        <v>0</v>
      </c>
      <c r="V724" s="150">
        <f>+YEAR(PROVEEDORES[[#This Row],[FECHA DE FACTURACIÓN]])</f>
        <v>2023</v>
      </c>
      <c r="W724" s="150">
        <f>+MATCH(PROVEEDORES[[#This Row],[año facturado]],Retenciones!$1:$1,0)</f>
        <v>6</v>
      </c>
      <c r="X724" s="151">
        <f>+VLOOKUP(PROVEEDORES[[#This Row],[ID RETENCION]],Retenciones!$A$1:$O$25,PROVEEDORES[[#This Row],[indicador de columna]],FALSE)</f>
        <v>0</v>
      </c>
      <c r="Y724" s="152">
        <f>+VLOOKUP(PROVEEDORES[[#This Row],[ID RETENCION]],Retenciones!$A$1:$O$25,2,FALSE)</f>
        <v>0</v>
      </c>
      <c r="Z724" s="153" t="b">
        <f>+OR(COUNTIF(PROVEEDORES[[#This Row],[PROVEEDOR]],"*"&amp;'Palabra que no opera y Listas d'!$A$2&amp;"*"))</f>
        <v>0</v>
      </c>
    </row>
    <row r="725" spans="1:26" ht="27.75" customHeight="1" x14ac:dyDescent="0.3">
      <c r="A725" s="144" t="str">
        <f>+IF(PROVEEDORES[[#This Row],[FECHA DE PAGO]]=PROVEEDORES[[#This Row],[FECHA DE FACTURACIÓN]],"DE CONTADO","CRÉDITO")</f>
        <v>DE CONTADO</v>
      </c>
      <c r="B725" s="144" t="b">
        <f>+IF((PROVEEDORES[[#This Row],[FECHA DE PAGO]]-PROVEEDORES[[#This Row],[FECHA DE FACTURACIÓN]])&gt;PROVEEDORES[[#This Row],[PLAZO Días]],"PAGO VENCIDO")</f>
        <v>0</v>
      </c>
      <c r="C725" s="144">
        <f>+VLOOKUP(PROVEEDORES[[#This Row],[PROVEEDOR]],TERCEROS_INFO[#All],2,FALSE)</f>
        <v>0</v>
      </c>
      <c r="D725" s="145">
        <f>+SUMIFS(PROVEEDORES[Total],PROVEEDORES[PROVEEDOR],PROVEEDORES[[#This Row],[PROVEEDOR]],PROVEEDORES[FECHA DE PAGO],"")</f>
        <v>0</v>
      </c>
      <c r="E725" s="146"/>
      <c r="F725" s="144">
        <f>+VLOOKUP(PROVEEDORES[[#This Row],[PROVEEDOR]],
                       Terceros!$A:$G,
                       5,
                       FALSE)</f>
        <v>0</v>
      </c>
      <c r="G725" s="122">
        <v>45201</v>
      </c>
      <c r="H725" s="102" t="s">
        <v>537</v>
      </c>
      <c r="I725" s="122">
        <v>45201</v>
      </c>
      <c r="J725" s="103" t="s">
        <v>1126</v>
      </c>
      <c r="K725" s="103" t="s">
        <v>1512</v>
      </c>
      <c r="L725" s="103"/>
      <c r="M725" s="105">
        <v>588000</v>
      </c>
      <c r="N725" s="147">
        <v>0</v>
      </c>
      <c r="O725" s="147">
        <v>0</v>
      </c>
      <c r="P725" s="148">
        <v>0</v>
      </c>
      <c r="Q725" s="147">
        <v>0</v>
      </c>
      <c r="R725" s="149">
        <v>588000</v>
      </c>
      <c r="S7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5" s="150">
        <f ca="1">+IF(PROVEEDORES[[#This Row],[FECHA DE PAGO]]=0,TODAY()-PROVEEDORES[[#This Row],[FECHA DE FACTURACIÓN]]-PROVEEDORES[[#This Row],[PLAZO Días]],0)</f>
        <v>0</v>
      </c>
      <c r="U725" s="150">
        <f>+VLOOKUP(PROVEEDORES[[#This Row],[PROVEEDOR]],Terceros!$A:$E,4,FALSE)</f>
        <v>0</v>
      </c>
      <c r="V725" s="150">
        <f>+YEAR(PROVEEDORES[[#This Row],[FECHA DE FACTURACIÓN]])</f>
        <v>2023</v>
      </c>
      <c r="W725" s="150">
        <f>+MATCH(PROVEEDORES[[#This Row],[año facturado]],Retenciones!$1:$1,0)</f>
        <v>6</v>
      </c>
      <c r="X725" s="151">
        <f>+VLOOKUP(PROVEEDORES[[#This Row],[ID RETENCION]],Retenciones!$A$1:$O$25,PROVEEDORES[[#This Row],[indicador de columna]],FALSE)</f>
        <v>0</v>
      </c>
      <c r="Y725" s="152">
        <f>+VLOOKUP(PROVEEDORES[[#This Row],[ID RETENCION]],Retenciones!$A$1:$O$25,2,FALSE)</f>
        <v>0</v>
      </c>
      <c r="Z725" s="153" t="b">
        <f>+OR(COUNTIF(PROVEEDORES[[#This Row],[PROVEEDOR]],"*"&amp;'Palabra que no opera y Listas d'!$A$2&amp;"*"))</f>
        <v>0</v>
      </c>
    </row>
    <row r="726" spans="1:26" ht="27.75" customHeight="1" x14ac:dyDescent="0.3">
      <c r="A726" s="144" t="str">
        <f>+IF(PROVEEDORES[[#This Row],[FECHA DE PAGO]]=PROVEEDORES[[#This Row],[FECHA DE FACTURACIÓN]],"DE CONTADO","CRÉDITO")</f>
        <v>DE CONTADO</v>
      </c>
      <c r="B726" s="144" t="b">
        <f>+IF((PROVEEDORES[[#This Row],[FECHA DE PAGO]]-PROVEEDORES[[#This Row],[FECHA DE FACTURACIÓN]])&gt;PROVEEDORES[[#This Row],[PLAZO Días]],"PAGO VENCIDO")</f>
        <v>0</v>
      </c>
      <c r="C726" s="144">
        <f>+VLOOKUP(PROVEEDORES[[#This Row],[PROVEEDOR]],TERCEROS_INFO[#All],2,FALSE)</f>
        <v>0</v>
      </c>
      <c r="D726" s="145">
        <f>+SUMIFS(PROVEEDORES[Total],PROVEEDORES[PROVEEDOR],PROVEEDORES[[#This Row],[PROVEEDOR]],PROVEEDORES[FECHA DE PAGO],"")</f>
        <v>0</v>
      </c>
      <c r="E726" s="146"/>
      <c r="F726" s="144">
        <f>+VLOOKUP(PROVEEDORES[[#This Row],[PROVEEDOR]],
                       Terceros!$A:$G,
                       5,
                       FALSE)</f>
        <v>0</v>
      </c>
      <c r="G726" s="122">
        <v>45201</v>
      </c>
      <c r="H726" s="102" t="s">
        <v>1801</v>
      </c>
      <c r="I726" s="122">
        <v>45201</v>
      </c>
      <c r="J726" s="103"/>
      <c r="K726" s="103" t="s">
        <v>1512</v>
      </c>
      <c r="L726" s="103"/>
      <c r="M726" s="105">
        <v>1031000</v>
      </c>
      <c r="N726" s="147">
        <v>0</v>
      </c>
      <c r="O726" s="147">
        <v>0</v>
      </c>
      <c r="P726" s="148">
        <v>0</v>
      </c>
      <c r="Q726" s="147">
        <v>0</v>
      </c>
      <c r="R726" s="149">
        <v>1031000</v>
      </c>
      <c r="S7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6" s="150">
        <f ca="1">+IF(PROVEEDORES[[#This Row],[FECHA DE PAGO]]=0,TODAY()-PROVEEDORES[[#This Row],[FECHA DE FACTURACIÓN]]-PROVEEDORES[[#This Row],[PLAZO Días]],0)</f>
        <v>0</v>
      </c>
      <c r="U726" s="150">
        <f>+VLOOKUP(PROVEEDORES[[#This Row],[PROVEEDOR]],Terceros!$A:$E,4,FALSE)</f>
        <v>0</v>
      </c>
      <c r="V726" s="150">
        <f>+YEAR(PROVEEDORES[[#This Row],[FECHA DE FACTURACIÓN]])</f>
        <v>2023</v>
      </c>
      <c r="W726" s="150">
        <f>+MATCH(PROVEEDORES[[#This Row],[año facturado]],Retenciones!$1:$1,0)</f>
        <v>6</v>
      </c>
      <c r="X726" s="151">
        <f>+VLOOKUP(PROVEEDORES[[#This Row],[ID RETENCION]],Retenciones!$A$1:$O$25,PROVEEDORES[[#This Row],[indicador de columna]],FALSE)</f>
        <v>0</v>
      </c>
      <c r="Y726" s="152">
        <f>+VLOOKUP(PROVEEDORES[[#This Row],[ID RETENCION]],Retenciones!$A$1:$O$25,2,FALSE)</f>
        <v>0</v>
      </c>
      <c r="Z726" s="153" t="b">
        <f>+OR(COUNTIF(PROVEEDORES[[#This Row],[PROVEEDOR]],"*"&amp;'Palabra que no opera y Listas d'!$A$2&amp;"*"))</f>
        <v>0</v>
      </c>
    </row>
    <row r="727" spans="1:26" ht="27.75" customHeight="1" x14ac:dyDescent="0.3">
      <c r="A727" s="144" t="str">
        <f>+IF(PROVEEDORES[[#This Row],[FECHA DE PAGO]]=PROVEEDORES[[#This Row],[FECHA DE FACTURACIÓN]],"DE CONTADO","CRÉDITO")</f>
        <v>CRÉDITO</v>
      </c>
      <c r="B727" s="144" t="str">
        <f>+IF((PROVEEDORES[[#This Row],[FECHA DE PAGO]]-PROVEEDORES[[#This Row],[FECHA DE FACTURACIÓN]])&gt;PROVEEDORES[[#This Row],[PLAZO Días]],"PAGO VENCIDO")</f>
        <v>PAGO VENCIDO</v>
      </c>
      <c r="C727" s="144">
        <f>+VLOOKUP(PROVEEDORES[[#This Row],[PROVEEDOR]],TERCEROS_INFO[#All],2,FALSE)</f>
        <v>0</v>
      </c>
      <c r="D727" s="145">
        <f>+SUMIFS(PROVEEDORES[Total],PROVEEDORES[PROVEEDOR],PROVEEDORES[[#This Row],[PROVEEDOR]],PROVEEDORES[FECHA DE PAGO],"")</f>
        <v>1503120</v>
      </c>
      <c r="E727" s="146"/>
      <c r="F727" s="144">
        <f>+VLOOKUP(PROVEEDORES[[#This Row],[PROVEEDOR]],
                       Terceros!$A:$G,
                       5,
                       FALSE)</f>
        <v>0</v>
      </c>
      <c r="G727" s="122">
        <v>45202</v>
      </c>
      <c r="H727" s="102" t="s">
        <v>1780</v>
      </c>
      <c r="I727" s="122">
        <v>45201</v>
      </c>
      <c r="J727" s="103" t="s">
        <v>1163</v>
      </c>
      <c r="K727" s="103" t="s">
        <v>1512</v>
      </c>
      <c r="L727" s="103"/>
      <c r="M727" s="105">
        <v>1921000</v>
      </c>
      <c r="N727" s="147">
        <v>0</v>
      </c>
      <c r="O727" s="147">
        <v>0</v>
      </c>
      <c r="P727" s="148">
        <v>0</v>
      </c>
      <c r="Q727" s="147">
        <v>0</v>
      </c>
      <c r="R727" s="149">
        <v>1921000</v>
      </c>
      <c r="S7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7" s="150">
        <f ca="1">+IF(PROVEEDORES[[#This Row],[FECHA DE PAGO]]=0,TODAY()-PROVEEDORES[[#This Row],[FECHA DE FACTURACIÓN]]-PROVEEDORES[[#This Row],[PLAZO Días]],0)</f>
        <v>0</v>
      </c>
      <c r="U727" s="150">
        <f>+VLOOKUP(PROVEEDORES[[#This Row],[PROVEEDOR]],Terceros!$A:$E,4,FALSE)</f>
        <v>0</v>
      </c>
      <c r="V727" s="150">
        <f>+YEAR(PROVEEDORES[[#This Row],[FECHA DE FACTURACIÓN]])</f>
        <v>2023</v>
      </c>
      <c r="W727" s="150">
        <f>+MATCH(PROVEEDORES[[#This Row],[año facturado]],Retenciones!$1:$1,0)</f>
        <v>6</v>
      </c>
      <c r="X727" s="151">
        <f>+VLOOKUP(PROVEEDORES[[#This Row],[ID RETENCION]],Retenciones!$A$1:$O$25,PROVEEDORES[[#This Row],[indicador de columna]],FALSE)</f>
        <v>0</v>
      </c>
      <c r="Y727" s="152">
        <f>+VLOOKUP(PROVEEDORES[[#This Row],[ID RETENCION]],Retenciones!$A$1:$O$25,2,FALSE)</f>
        <v>0</v>
      </c>
      <c r="Z727" s="153" t="b">
        <f>+OR(COUNTIF(PROVEEDORES[[#This Row],[PROVEEDOR]],"*"&amp;'Palabra que no opera y Listas d'!$A$2&amp;"*"))</f>
        <v>0</v>
      </c>
    </row>
    <row r="728" spans="1:26" ht="27.75" customHeight="1" x14ac:dyDescent="0.3">
      <c r="A728" s="144" t="str">
        <f>+IF(PROVEEDORES[[#This Row],[FECHA DE PAGO]]=PROVEEDORES[[#This Row],[FECHA DE FACTURACIÓN]],"DE CONTADO","CRÉDITO")</f>
        <v>DE CONTADO</v>
      </c>
      <c r="B728" s="144" t="b">
        <f>+IF((PROVEEDORES[[#This Row],[FECHA DE PAGO]]-PROVEEDORES[[#This Row],[FECHA DE FACTURACIÓN]])&gt;PROVEEDORES[[#This Row],[PLAZO Días]],"PAGO VENCIDO")</f>
        <v>0</v>
      </c>
      <c r="C728" s="144">
        <f>+VLOOKUP(PROVEEDORES[[#This Row],[PROVEEDOR]],TERCEROS_INFO[#All],2,FALSE)</f>
        <v>0</v>
      </c>
      <c r="D728" s="145">
        <f>+SUMIFS(PROVEEDORES[Total],PROVEEDORES[PROVEEDOR],PROVEEDORES[[#This Row],[PROVEEDOR]],PROVEEDORES[FECHA DE PAGO],"")</f>
        <v>0</v>
      </c>
      <c r="E728" s="146"/>
      <c r="F728" s="144">
        <f>+VLOOKUP(PROVEEDORES[[#This Row],[PROVEEDOR]],
                       Terceros!$A:$G,
                       5,
                       FALSE)</f>
        <v>0</v>
      </c>
      <c r="G728" s="122">
        <v>45202</v>
      </c>
      <c r="H728" s="102" t="s">
        <v>537</v>
      </c>
      <c r="I728" s="122">
        <v>45202</v>
      </c>
      <c r="J728" s="103" t="s">
        <v>1107</v>
      </c>
      <c r="K728" s="103" t="s">
        <v>1512</v>
      </c>
      <c r="L728" s="103"/>
      <c r="M728" s="105">
        <v>150000</v>
      </c>
      <c r="N728" s="147">
        <v>0</v>
      </c>
      <c r="O728" s="147">
        <v>0</v>
      </c>
      <c r="P728" s="148">
        <v>0</v>
      </c>
      <c r="Q728" s="147">
        <v>0</v>
      </c>
      <c r="R728" s="149">
        <v>150000</v>
      </c>
      <c r="S7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8" s="150">
        <f ca="1">+IF(PROVEEDORES[[#This Row],[FECHA DE PAGO]]=0,TODAY()-PROVEEDORES[[#This Row],[FECHA DE FACTURACIÓN]]-PROVEEDORES[[#This Row],[PLAZO Días]],0)</f>
        <v>0</v>
      </c>
      <c r="U728" s="150">
        <f>+VLOOKUP(PROVEEDORES[[#This Row],[PROVEEDOR]],Terceros!$A:$E,4,FALSE)</f>
        <v>0</v>
      </c>
      <c r="V728" s="150">
        <f>+YEAR(PROVEEDORES[[#This Row],[FECHA DE FACTURACIÓN]])</f>
        <v>2023</v>
      </c>
      <c r="W728" s="150">
        <f>+MATCH(PROVEEDORES[[#This Row],[año facturado]],Retenciones!$1:$1,0)</f>
        <v>6</v>
      </c>
      <c r="X728" s="151">
        <f>+VLOOKUP(PROVEEDORES[[#This Row],[ID RETENCION]],Retenciones!$A$1:$O$25,PROVEEDORES[[#This Row],[indicador de columna]],FALSE)</f>
        <v>0</v>
      </c>
      <c r="Y728" s="152">
        <f>+VLOOKUP(PROVEEDORES[[#This Row],[ID RETENCION]],Retenciones!$A$1:$O$25,2,FALSE)</f>
        <v>0</v>
      </c>
      <c r="Z728" s="153" t="b">
        <f>+OR(COUNTIF(PROVEEDORES[[#This Row],[PROVEEDOR]],"*"&amp;'Palabra que no opera y Listas d'!$A$2&amp;"*"))</f>
        <v>0</v>
      </c>
    </row>
    <row r="729" spans="1:26" ht="27.75" customHeight="1" x14ac:dyDescent="0.3">
      <c r="A729" s="144" t="str">
        <f>+IF(PROVEEDORES[[#This Row],[FECHA DE PAGO]]=PROVEEDORES[[#This Row],[FECHA DE FACTURACIÓN]],"DE CONTADO","CRÉDITO")</f>
        <v>DE CONTADO</v>
      </c>
      <c r="B729" s="144" t="b">
        <f>+IF((PROVEEDORES[[#This Row],[FECHA DE PAGO]]-PROVEEDORES[[#This Row],[FECHA DE FACTURACIÓN]])&gt;PROVEEDORES[[#This Row],[PLAZO Días]],"PAGO VENCIDO")</f>
        <v>0</v>
      </c>
      <c r="C729" s="144">
        <f>+VLOOKUP(PROVEEDORES[[#This Row],[PROVEEDOR]],TERCEROS_INFO[#All],2,FALSE)</f>
        <v>0</v>
      </c>
      <c r="D729" s="145">
        <f>+SUMIFS(PROVEEDORES[Total],PROVEEDORES[PROVEEDOR],PROVEEDORES[[#This Row],[PROVEEDOR]],PROVEEDORES[FECHA DE PAGO],"")</f>
        <v>0</v>
      </c>
      <c r="E729" s="146"/>
      <c r="F729" s="144">
        <f>+VLOOKUP(PROVEEDORES[[#This Row],[PROVEEDOR]],
                       Terceros!$A:$G,
                       5,
                       FALSE)</f>
        <v>0</v>
      </c>
      <c r="G729" s="122">
        <v>45202</v>
      </c>
      <c r="H729" s="102" t="s">
        <v>537</v>
      </c>
      <c r="I729" s="122">
        <v>45202</v>
      </c>
      <c r="J729" s="103" t="s">
        <v>1127</v>
      </c>
      <c r="K729" s="103" t="s">
        <v>1512</v>
      </c>
      <c r="L729" s="103"/>
      <c r="M729" s="105">
        <v>210000</v>
      </c>
      <c r="N729" s="147">
        <v>0</v>
      </c>
      <c r="O729" s="147">
        <v>0</v>
      </c>
      <c r="P729" s="148">
        <v>0</v>
      </c>
      <c r="Q729" s="147">
        <v>0</v>
      </c>
      <c r="R729" s="149">
        <v>210000</v>
      </c>
      <c r="S7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9" s="150">
        <f ca="1">+IF(PROVEEDORES[[#This Row],[FECHA DE PAGO]]=0,TODAY()-PROVEEDORES[[#This Row],[FECHA DE FACTURACIÓN]]-PROVEEDORES[[#This Row],[PLAZO Días]],0)</f>
        <v>0</v>
      </c>
      <c r="U729" s="150">
        <f>+VLOOKUP(PROVEEDORES[[#This Row],[PROVEEDOR]],Terceros!$A:$E,4,FALSE)</f>
        <v>0</v>
      </c>
      <c r="V729" s="150">
        <f>+YEAR(PROVEEDORES[[#This Row],[FECHA DE FACTURACIÓN]])</f>
        <v>2023</v>
      </c>
      <c r="W729" s="150">
        <f>+MATCH(PROVEEDORES[[#This Row],[año facturado]],Retenciones!$1:$1,0)</f>
        <v>6</v>
      </c>
      <c r="X729" s="151">
        <f>+VLOOKUP(PROVEEDORES[[#This Row],[ID RETENCION]],Retenciones!$A$1:$O$25,PROVEEDORES[[#This Row],[indicador de columna]],FALSE)</f>
        <v>0</v>
      </c>
      <c r="Y729" s="152">
        <f>+VLOOKUP(PROVEEDORES[[#This Row],[ID RETENCION]],Retenciones!$A$1:$O$25,2,FALSE)</f>
        <v>0</v>
      </c>
      <c r="Z729" s="153" t="b">
        <f>+OR(COUNTIF(PROVEEDORES[[#This Row],[PROVEEDOR]],"*"&amp;'Palabra que no opera y Listas d'!$A$2&amp;"*"))</f>
        <v>0</v>
      </c>
    </row>
    <row r="730" spans="1:26" ht="27.75" customHeight="1" x14ac:dyDescent="0.3">
      <c r="A730" s="144" t="str">
        <f>+IF(PROVEEDORES[[#This Row],[FECHA DE PAGO]]=PROVEEDORES[[#This Row],[FECHA DE FACTURACIÓN]],"DE CONTADO","CRÉDITO")</f>
        <v>DE CONTADO</v>
      </c>
      <c r="B730" s="144" t="b">
        <f>+IF((PROVEEDORES[[#This Row],[FECHA DE PAGO]]-PROVEEDORES[[#This Row],[FECHA DE FACTURACIÓN]])&gt;PROVEEDORES[[#This Row],[PLAZO Días]],"PAGO VENCIDO")</f>
        <v>0</v>
      </c>
      <c r="C730" s="144">
        <f>+VLOOKUP(PROVEEDORES[[#This Row],[PROVEEDOR]],TERCEROS_INFO[#All],2,FALSE)</f>
        <v>0</v>
      </c>
      <c r="D730" s="145">
        <f>+SUMIFS(PROVEEDORES[Total],PROVEEDORES[PROVEEDOR],PROVEEDORES[[#This Row],[PROVEEDOR]],PROVEEDORES[FECHA DE PAGO],"")</f>
        <v>0</v>
      </c>
      <c r="E730" s="146"/>
      <c r="F730" s="144">
        <f>+VLOOKUP(PROVEEDORES[[#This Row],[PROVEEDOR]],
                       Terceros!$A:$G,
                       5,
                       FALSE)</f>
        <v>0</v>
      </c>
      <c r="G730" s="122">
        <v>45202</v>
      </c>
      <c r="H730" s="102" t="s">
        <v>845</v>
      </c>
      <c r="I730" s="122">
        <v>45202</v>
      </c>
      <c r="J730" s="103"/>
      <c r="K730" s="103" t="s">
        <v>1512</v>
      </c>
      <c r="L730" s="103"/>
      <c r="M730" s="105">
        <v>392000</v>
      </c>
      <c r="N730" s="147">
        <v>0</v>
      </c>
      <c r="O730" s="147">
        <v>0</v>
      </c>
      <c r="P730" s="148">
        <v>0</v>
      </c>
      <c r="Q730" s="147">
        <v>0</v>
      </c>
      <c r="R730" s="149">
        <v>392000</v>
      </c>
      <c r="S7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0" s="150">
        <f ca="1">+IF(PROVEEDORES[[#This Row],[FECHA DE PAGO]]=0,TODAY()-PROVEEDORES[[#This Row],[FECHA DE FACTURACIÓN]]-PROVEEDORES[[#This Row],[PLAZO Días]],0)</f>
        <v>0</v>
      </c>
      <c r="U730" s="150">
        <f>+VLOOKUP(PROVEEDORES[[#This Row],[PROVEEDOR]],Terceros!$A:$E,4,FALSE)</f>
        <v>0</v>
      </c>
      <c r="V730" s="150">
        <f>+YEAR(PROVEEDORES[[#This Row],[FECHA DE FACTURACIÓN]])</f>
        <v>2023</v>
      </c>
      <c r="W730" s="150">
        <f>+MATCH(PROVEEDORES[[#This Row],[año facturado]],Retenciones!$1:$1,0)</f>
        <v>6</v>
      </c>
      <c r="X730" s="151">
        <f>+VLOOKUP(PROVEEDORES[[#This Row],[ID RETENCION]],Retenciones!$A$1:$O$25,PROVEEDORES[[#This Row],[indicador de columna]],FALSE)</f>
        <v>0</v>
      </c>
      <c r="Y730" s="152">
        <f>+VLOOKUP(PROVEEDORES[[#This Row],[ID RETENCION]],Retenciones!$A$1:$O$25,2,FALSE)</f>
        <v>0</v>
      </c>
      <c r="Z730" s="153" t="b">
        <f>+OR(COUNTIF(PROVEEDORES[[#This Row],[PROVEEDOR]],"*"&amp;'Palabra que no opera y Listas d'!$A$2&amp;"*"))</f>
        <v>0</v>
      </c>
    </row>
    <row r="731" spans="1:26" ht="27.75" customHeight="1" x14ac:dyDescent="0.3">
      <c r="A731" s="144" t="str">
        <f>+IF(PROVEEDORES[[#This Row],[FECHA DE PAGO]]=PROVEEDORES[[#This Row],[FECHA DE FACTURACIÓN]],"DE CONTADO","CRÉDITO")</f>
        <v>CRÉDITO</v>
      </c>
      <c r="B731" s="144" t="str">
        <f>+IF((PROVEEDORES[[#This Row],[FECHA DE PAGO]]-PROVEEDORES[[#This Row],[FECHA DE FACTURACIÓN]])&gt;PROVEEDORES[[#This Row],[PLAZO Días]],"PAGO VENCIDO")</f>
        <v>PAGO VENCIDO</v>
      </c>
      <c r="C731" s="144">
        <f>+VLOOKUP(PROVEEDORES[[#This Row],[PROVEEDOR]],TERCEROS_INFO[#All],2,FALSE)</f>
        <v>0</v>
      </c>
      <c r="D731" s="145">
        <f>+SUMIFS(PROVEEDORES[Total],PROVEEDORES[PROVEEDOR],PROVEEDORES[[#This Row],[PROVEEDOR]],PROVEEDORES[FECHA DE PAGO],"")</f>
        <v>0</v>
      </c>
      <c r="E731" s="146"/>
      <c r="F731" s="144">
        <f>+VLOOKUP(PROVEEDORES[[#This Row],[PROVEEDOR]],
                       Terceros!$A:$G,
                       5,
                       FALSE)</f>
        <v>0</v>
      </c>
      <c r="G731" s="122">
        <v>45203</v>
      </c>
      <c r="H731" s="102" t="s">
        <v>375</v>
      </c>
      <c r="I731" s="122">
        <v>45126</v>
      </c>
      <c r="J731" s="103" t="s">
        <v>944</v>
      </c>
      <c r="K731" s="103" t="s">
        <v>1512</v>
      </c>
      <c r="L731" s="103"/>
      <c r="M731" s="105">
        <v>4343040</v>
      </c>
      <c r="N731" s="147">
        <v>825177.59999999998</v>
      </c>
      <c r="O731" s="147">
        <v>0</v>
      </c>
      <c r="P731" s="148">
        <v>0</v>
      </c>
      <c r="Q731" s="147">
        <v>0</v>
      </c>
      <c r="R731" s="149">
        <v>5168217.5999999996</v>
      </c>
      <c r="S7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1" s="150">
        <f ca="1">+IF(PROVEEDORES[[#This Row],[FECHA DE PAGO]]=0,TODAY()-PROVEEDORES[[#This Row],[FECHA DE FACTURACIÓN]]-PROVEEDORES[[#This Row],[PLAZO Días]],0)</f>
        <v>0</v>
      </c>
      <c r="U731" s="150">
        <f>+VLOOKUP(PROVEEDORES[[#This Row],[PROVEEDOR]],Terceros!$A:$E,4,FALSE)</f>
        <v>0.19</v>
      </c>
      <c r="V731" s="150">
        <f>+YEAR(PROVEEDORES[[#This Row],[FECHA DE FACTURACIÓN]])</f>
        <v>2023</v>
      </c>
      <c r="W731" s="150">
        <f>+MATCH(PROVEEDORES[[#This Row],[año facturado]],Retenciones!$1:$1,0)</f>
        <v>6</v>
      </c>
      <c r="X731" s="151" t="e">
        <f>+VLOOKUP(PROVEEDORES[[#This Row],[ID RETENCION]],Retenciones!$A$1:$O$25,PROVEEDORES[[#This Row],[indicador de columna]],FALSE)</f>
        <v>#N/A</v>
      </c>
      <c r="Y731" s="152" t="e">
        <f>+VLOOKUP(PROVEEDORES[[#This Row],[ID RETENCION]],Retenciones!$A$1:$O$25,2,FALSE)</f>
        <v>#N/A</v>
      </c>
      <c r="Z731" s="153" t="b">
        <f>+OR(COUNTIF(PROVEEDORES[[#This Row],[PROVEEDOR]],"*"&amp;'Palabra que no opera y Listas d'!$A$2&amp;"*"))</f>
        <v>1</v>
      </c>
    </row>
    <row r="732" spans="1:26" ht="27.75" customHeight="1" x14ac:dyDescent="0.3">
      <c r="A732" s="144" t="str">
        <f>+IF(PROVEEDORES[[#This Row],[FECHA DE PAGO]]=PROVEEDORES[[#This Row],[FECHA DE FACTURACIÓN]],"DE CONTADO","CRÉDITO")</f>
        <v>CRÉDITO</v>
      </c>
      <c r="B732" s="144" t="str">
        <f>+IF((PROVEEDORES[[#This Row],[FECHA DE PAGO]]-PROVEEDORES[[#This Row],[FECHA DE FACTURACIÓN]])&gt;PROVEEDORES[[#This Row],[PLAZO Días]],"PAGO VENCIDO")</f>
        <v>PAGO VENCIDO</v>
      </c>
      <c r="C732" s="144">
        <f>+VLOOKUP(PROVEEDORES[[#This Row],[PROVEEDOR]],TERCEROS_INFO[#All],2,FALSE)</f>
        <v>0</v>
      </c>
      <c r="D732" s="145">
        <f>+SUMIFS(PROVEEDORES[Total],PROVEEDORES[PROVEEDOR],PROVEEDORES[[#This Row],[PROVEEDOR]],PROVEEDORES[FECHA DE PAGO],"")</f>
        <v>0</v>
      </c>
      <c r="E732" s="146"/>
      <c r="F732" s="144">
        <f>+VLOOKUP(PROVEEDORES[[#This Row],[PROVEEDOR]],
                       Terceros!$A:$G,
                       5,
                       FALSE)</f>
        <v>0</v>
      </c>
      <c r="G732" s="122">
        <v>45203</v>
      </c>
      <c r="H732" s="102" t="s">
        <v>375</v>
      </c>
      <c r="I732" s="122">
        <v>45134</v>
      </c>
      <c r="J732" s="103" t="s">
        <v>961</v>
      </c>
      <c r="K732" s="103" t="s">
        <v>1512</v>
      </c>
      <c r="L732" s="103"/>
      <c r="M732" s="105">
        <v>2187560</v>
      </c>
      <c r="N732" s="147">
        <v>415636.4</v>
      </c>
      <c r="O732" s="147">
        <v>0</v>
      </c>
      <c r="P732" s="148">
        <v>0</v>
      </c>
      <c r="Q732" s="147">
        <v>0</v>
      </c>
      <c r="R732" s="149">
        <v>2603196.4</v>
      </c>
      <c r="S7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2" s="150">
        <f ca="1">+IF(PROVEEDORES[[#This Row],[FECHA DE PAGO]]=0,TODAY()-PROVEEDORES[[#This Row],[FECHA DE FACTURACIÓN]]-PROVEEDORES[[#This Row],[PLAZO Días]],0)</f>
        <v>0</v>
      </c>
      <c r="U732" s="150">
        <f>+VLOOKUP(PROVEEDORES[[#This Row],[PROVEEDOR]],Terceros!$A:$E,4,FALSE)</f>
        <v>0.19</v>
      </c>
      <c r="V732" s="150">
        <f>+YEAR(PROVEEDORES[[#This Row],[FECHA DE FACTURACIÓN]])</f>
        <v>2023</v>
      </c>
      <c r="W732" s="150">
        <f>+MATCH(PROVEEDORES[[#This Row],[año facturado]],Retenciones!$1:$1,0)</f>
        <v>6</v>
      </c>
      <c r="X732" s="151" t="e">
        <f>+VLOOKUP(PROVEEDORES[[#This Row],[ID RETENCION]],Retenciones!$A$1:$O$25,PROVEEDORES[[#This Row],[indicador de columna]],FALSE)</f>
        <v>#N/A</v>
      </c>
      <c r="Y732" s="152" t="e">
        <f>+VLOOKUP(PROVEEDORES[[#This Row],[ID RETENCION]],Retenciones!$A$1:$O$25,2,FALSE)</f>
        <v>#N/A</v>
      </c>
      <c r="Z732" s="153" t="b">
        <f>+OR(COUNTIF(PROVEEDORES[[#This Row],[PROVEEDOR]],"*"&amp;'Palabra que no opera y Listas d'!$A$2&amp;"*"))</f>
        <v>1</v>
      </c>
    </row>
    <row r="733" spans="1:26" ht="27.75" customHeight="1" x14ac:dyDescent="0.3">
      <c r="A733" s="144" t="str">
        <f>+IF(PROVEEDORES[[#This Row],[FECHA DE PAGO]]=PROVEEDORES[[#This Row],[FECHA DE FACTURACIÓN]],"DE CONTADO","CRÉDITO")</f>
        <v>CRÉDITO</v>
      </c>
      <c r="B733" s="144" t="str">
        <f>+IF((PROVEEDORES[[#This Row],[FECHA DE PAGO]]-PROVEEDORES[[#This Row],[FECHA DE FACTURACIÓN]])&gt;PROVEEDORES[[#This Row],[PLAZO Días]],"PAGO VENCIDO")</f>
        <v>PAGO VENCIDO</v>
      </c>
      <c r="C733" s="144">
        <f>+VLOOKUP(PROVEEDORES[[#This Row],[PROVEEDOR]],TERCEROS_INFO[#All],2,FALSE)</f>
        <v>0</v>
      </c>
      <c r="D733" s="145">
        <f>+SUMIFS(PROVEEDORES[Total],PROVEEDORES[PROVEEDOR],PROVEEDORES[[#This Row],[PROVEEDOR]],PROVEEDORES[FECHA DE PAGO],"")</f>
        <v>0</v>
      </c>
      <c r="E733" s="146"/>
      <c r="F733" s="144">
        <f>+VLOOKUP(PROVEEDORES[[#This Row],[PROVEEDOR]],
                       Terceros!$A:$G,
                       5,
                       FALSE)</f>
        <v>0</v>
      </c>
      <c r="G733" s="122">
        <v>45203</v>
      </c>
      <c r="H733" s="102" t="s">
        <v>1705</v>
      </c>
      <c r="I733" s="122">
        <v>45145</v>
      </c>
      <c r="J733" s="103">
        <v>90105</v>
      </c>
      <c r="K733" s="103" t="s">
        <v>1512</v>
      </c>
      <c r="L733" s="103"/>
      <c r="M733" s="105">
        <v>2208124.6799999997</v>
      </c>
      <c r="N733" s="147">
        <v>0</v>
      </c>
      <c r="O733" s="147">
        <v>0</v>
      </c>
      <c r="P733" s="148">
        <v>0</v>
      </c>
      <c r="Q733" s="147">
        <v>0</v>
      </c>
      <c r="R733" s="149">
        <v>2208124.6799999997</v>
      </c>
      <c r="S7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3" s="150">
        <f ca="1">+IF(PROVEEDORES[[#This Row],[FECHA DE PAGO]]=0,TODAY()-PROVEEDORES[[#This Row],[FECHA DE FACTURACIÓN]]-PROVEEDORES[[#This Row],[PLAZO Días]],0)</f>
        <v>0</v>
      </c>
      <c r="U733" s="150">
        <f>+VLOOKUP(PROVEEDORES[[#This Row],[PROVEEDOR]],Terceros!$A:$E,4,FALSE)</f>
        <v>0</v>
      </c>
      <c r="V733" s="150">
        <f>+YEAR(PROVEEDORES[[#This Row],[FECHA DE FACTURACIÓN]])</f>
        <v>2023</v>
      </c>
      <c r="W733" s="150">
        <f>+MATCH(PROVEEDORES[[#This Row],[año facturado]],Retenciones!$1:$1,0)</f>
        <v>6</v>
      </c>
      <c r="X733" s="151">
        <f>+VLOOKUP(PROVEEDORES[[#This Row],[ID RETENCION]],Retenciones!$A$1:$O$25,PROVEEDORES[[#This Row],[indicador de columna]],FALSE)</f>
        <v>0</v>
      </c>
      <c r="Y733" s="152">
        <f>+VLOOKUP(PROVEEDORES[[#This Row],[ID RETENCION]],Retenciones!$A$1:$O$25,2,FALSE)</f>
        <v>0</v>
      </c>
      <c r="Z733" s="153" t="b">
        <f>+OR(COUNTIF(PROVEEDORES[[#This Row],[PROVEEDOR]],"*"&amp;'Palabra que no opera y Listas d'!$A$2&amp;"*"))</f>
        <v>0</v>
      </c>
    </row>
    <row r="734" spans="1:26" ht="27.75" customHeight="1" x14ac:dyDescent="0.3">
      <c r="A734" s="144" t="str">
        <f>+IF(PROVEEDORES[[#This Row],[FECHA DE PAGO]]=PROVEEDORES[[#This Row],[FECHA DE FACTURACIÓN]],"DE CONTADO","CRÉDITO")</f>
        <v>CRÉDITO</v>
      </c>
      <c r="B734" s="144" t="str">
        <f>+IF((PROVEEDORES[[#This Row],[FECHA DE PAGO]]-PROVEEDORES[[#This Row],[FECHA DE FACTURACIÓN]])&gt;PROVEEDORES[[#This Row],[PLAZO Días]],"PAGO VENCIDO")</f>
        <v>PAGO VENCIDO</v>
      </c>
      <c r="C734" s="144">
        <f>+VLOOKUP(PROVEEDORES[[#This Row],[PROVEEDOR]],TERCEROS_INFO[#All],2,FALSE)</f>
        <v>0</v>
      </c>
      <c r="D734" s="145">
        <f>+SUMIFS(PROVEEDORES[Total],PROVEEDORES[PROVEEDOR],PROVEEDORES[[#This Row],[PROVEEDOR]],PROVEEDORES[FECHA DE PAGO],"")</f>
        <v>0</v>
      </c>
      <c r="E734" s="146"/>
      <c r="F734" s="144">
        <f>+VLOOKUP(PROVEEDORES[[#This Row],[PROVEEDOR]],
                       Terceros!$A:$G,
                       5,
                       FALSE)</f>
        <v>0</v>
      </c>
      <c r="G734" s="122">
        <v>45203</v>
      </c>
      <c r="H734" s="102" t="s">
        <v>1705</v>
      </c>
      <c r="I734" s="122">
        <v>45147</v>
      </c>
      <c r="J734" s="103">
        <v>90276</v>
      </c>
      <c r="K734" s="103" t="s">
        <v>1512</v>
      </c>
      <c r="L734" s="103"/>
      <c r="M734" s="105">
        <v>3715930</v>
      </c>
      <c r="N734" s="147">
        <v>0</v>
      </c>
      <c r="O734" s="147">
        <v>0</v>
      </c>
      <c r="P734" s="148">
        <v>0</v>
      </c>
      <c r="Q734" s="147">
        <v>0</v>
      </c>
      <c r="R734" s="149">
        <v>3715930</v>
      </c>
      <c r="S7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4" s="150">
        <f ca="1">+IF(PROVEEDORES[[#This Row],[FECHA DE PAGO]]=0,TODAY()-PROVEEDORES[[#This Row],[FECHA DE FACTURACIÓN]]-PROVEEDORES[[#This Row],[PLAZO Días]],0)</f>
        <v>0</v>
      </c>
      <c r="U734" s="150">
        <f>+VLOOKUP(PROVEEDORES[[#This Row],[PROVEEDOR]],Terceros!$A:$E,4,FALSE)</f>
        <v>0</v>
      </c>
      <c r="V734" s="150">
        <f>+YEAR(PROVEEDORES[[#This Row],[FECHA DE FACTURACIÓN]])</f>
        <v>2023</v>
      </c>
      <c r="W734" s="150">
        <f>+MATCH(PROVEEDORES[[#This Row],[año facturado]],Retenciones!$1:$1,0)</f>
        <v>6</v>
      </c>
      <c r="X734" s="151">
        <f>+VLOOKUP(PROVEEDORES[[#This Row],[ID RETENCION]],Retenciones!$A$1:$O$25,PROVEEDORES[[#This Row],[indicador de columna]],FALSE)</f>
        <v>0</v>
      </c>
      <c r="Y734" s="152">
        <f>+VLOOKUP(PROVEEDORES[[#This Row],[ID RETENCION]],Retenciones!$A$1:$O$25,2,FALSE)</f>
        <v>0</v>
      </c>
      <c r="Z734" s="153" t="b">
        <f>+OR(COUNTIF(PROVEEDORES[[#This Row],[PROVEEDOR]],"*"&amp;'Palabra que no opera y Listas d'!$A$2&amp;"*"))</f>
        <v>0</v>
      </c>
    </row>
    <row r="735" spans="1:26" ht="27.75" customHeight="1" x14ac:dyDescent="0.3">
      <c r="A735" s="144" t="str">
        <f>+IF(PROVEEDORES[[#This Row],[FECHA DE PAGO]]=PROVEEDORES[[#This Row],[FECHA DE FACTURACIÓN]],"DE CONTADO","CRÉDITO")</f>
        <v>CRÉDITO</v>
      </c>
      <c r="B735" s="144" t="str">
        <f>+IF((PROVEEDORES[[#This Row],[FECHA DE PAGO]]-PROVEEDORES[[#This Row],[FECHA DE FACTURACIÓN]])&gt;PROVEEDORES[[#This Row],[PLAZO Días]],"PAGO VENCIDO")</f>
        <v>PAGO VENCIDO</v>
      </c>
      <c r="C735" s="144">
        <f>+VLOOKUP(PROVEEDORES[[#This Row],[PROVEEDOR]],TERCEROS_INFO[#All],2,FALSE)</f>
        <v>0</v>
      </c>
      <c r="D735" s="145">
        <f>+SUMIFS(PROVEEDORES[Total],PROVEEDORES[PROVEEDOR],PROVEEDORES[[#This Row],[PROVEEDOR]],PROVEEDORES[FECHA DE PAGO],"")</f>
        <v>0</v>
      </c>
      <c r="E735" s="146"/>
      <c r="F735" s="144">
        <f>+VLOOKUP(PROVEEDORES[[#This Row],[PROVEEDOR]],
                       Terceros!$A:$G,
                       5,
                       FALSE)</f>
        <v>0</v>
      </c>
      <c r="G735" s="122">
        <v>45203</v>
      </c>
      <c r="H735" s="102" t="s">
        <v>1705</v>
      </c>
      <c r="I735" s="122">
        <v>45147</v>
      </c>
      <c r="J735" s="103">
        <v>90700</v>
      </c>
      <c r="K735" s="103" t="s">
        <v>1512</v>
      </c>
      <c r="L735" s="103"/>
      <c r="M735" s="105">
        <v>3433190.84</v>
      </c>
      <c r="N735" s="147">
        <v>0</v>
      </c>
      <c r="O735" s="147">
        <v>0</v>
      </c>
      <c r="P735" s="148">
        <v>0</v>
      </c>
      <c r="Q735" s="147">
        <v>0</v>
      </c>
      <c r="R735" s="149">
        <v>3433190.84</v>
      </c>
      <c r="S7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5" s="150">
        <f ca="1">+IF(PROVEEDORES[[#This Row],[FECHA DE PAGO]]=0,TODAY()-PROVEEDORES[[#This Row],[FECHA DE FACTURACIÓN]]-PROVEEDORES[[#This Row],[PLAZO Días]],0)</f>
        <v>0</v>
      </c>
      <c r="U735" s="150">
        <f>+VLOOKUP(PROVEEDORES[[#This Row],[PROVEEDOR]],Terceros!$A:$E,4,FALSE)</f>
        <v>0</v>
      </c>
      <c r="V735" s="150">
        <f>+YEAR(PROVEEDORES[[#This Row],[FECHA DE FACTURACIÓN]])</f>
        <v>2023</v>
      </c>
      <c r="W735" s="150">
        <f>+MATCH(PROVEEDORES[[#This Row],[año facturado]],Retenciones!$1:$1,0)</f>
        <v>6</v>
      </c>
      <c r="X735" s="151">
        <f>+VLOOKUP(PROVEEDORES[[#This Row],[ID RETENCION]],Retenciones!$A$1:$O$25,PROVEEDORES[[#This Row],[indicador de columna]],FALSE)</f>
        <v>0</v>
      </c>
      <c r="Y735" s="152">
        <f>+VLOOKUP(PROVEEDORES[[#This Row],[ID RETENCION]],Retenciones!$A$1:$O$25,2,FALSE)</f>
        <v>0</v>
      </c>
      <c r="Z735" s="153" t="b">
        <f>+OR(COUNTIF(PROVEEDORES[[#This Row],[PROVEEDOR]],"*"&amp;'Palabra que no opera y Listas d'!$A$2&amp;"*"))</f>
        <v>0</v>
      </c>
    </row>
    <row r="736" spans="1:26" ht="27.75" customHeight="1" x14ac:dyDescent="0.3">
      <c r="A736" s="144" t="str">
        <f>+IF(PROVEEDORES[[#This Row],[FECHA DE PAGO]]=PROVEEDORES[[#This Row],[FECHA DE FACTURACIÓN]],"DE CONTADO","CRÉDITO")</f>
        <v>CRÉDITO</v>
      </c>
      <c r="B736" s="144" t="str">
        <f>+IF((PROVEEDORES[[#This Row],[FECHA DE PAGO]]-PROVEEDORES[[#This Row],[FECHA DE FACTURACIÓN]])&gt;PROVEEDORES[[#This Row],[PLAZO Días]],"PAGO VENCIDO")</f>
        <v>PAGO VENCIDO</v>
      </c>
      <c r="C736" s="144">
        <f>+VLOOKUP(PROVEEDORES[[#This Row],[PROVEEDOR]],TERCEROS_INFO[#All],2,FALSE)</f>
        <v>0</v>
      </c>
      <c r="D736" s="145">
        <f>+SUMIFS(PROVEEDORES[Total],PROVEEDORES[PROVEEDOR],PROVEEDORES[[#This Row],[PROVEEDOR]],PROVEEDORES[FECHA DE PAGO],"")</f>
        <v>0</v>
      </c>
      <c r="E736" s="146"/>
      <c r="F736" s="144">
        <f>+VLOOKUP(PROVEEDORES[[#This Row],[PROVEEDOR]],
                       Terceros!$A:$G,
                       5,
                       FALSE)</f>
        <v>0</v>
      </c>
      <c r="G736" s="122">
        <v>45203</v>
      </c>
      <c r="H736" s="102" t="s">
        <v>402</v>
      </c>
      <c r="I736" s="122">
        <v>45200</v>
      </c>
      <c r="J736" s="103" t="s">
        <v>456</v>
      </c>
      <c r="K736" s="103" t="s">
        <v>1512</v>
      </c>
      <c r="L736" s="103"/>
      <c r="M736" s="105">
        <v>129083</v>
      </c>
      <c r="N736" s="147">
        <v>0</v>
      </c>
      <c r="O736" s="147">
        <v>0</v>
      </c>
      <c r="P736" s="148">
        <v>0</v>
      </c>
      <c r="Q736" s="147">
        <v>0</v>
      </c>
      <c r="R736" s="149">
        <v>129083</v>
      </c>
      <c r="S7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6" s="150">
        <f ca="1">+IF(PROVEEDORES[[#This Row],[FECHA DE PAGO]]=0,TODAY()-PROVEEDORES[[#This Row],[FECHA DE FACTURACIÓN]]-PROVEEDORES[[#This Row],[PLAZO Días]],0)</f>
        <v>0</v>
      </c>
      <c r="U736" s="150">
        <f>+VLOOKUP(PROVEEDORES[[#This Row],[PROVEEDOR]],Terceros!$A:$E,4,FALSE)</f>
        <v>0</v>
      </c>
      <c r="V736" s="150">
        <f>+YEAR(PROVEEDORES[[#This Row],[FECHA DE FACTURACIÓN]])</f>
        <v>2023</v>
      </c>
      <c r="W736" s="150">
        <f>+MATCH(PROVEEDORES[[#This Row],[año facturado]],Retenciones!$1:$1,0)</f>
        <v>6</v>
      </c>
      <c r="X736" s="151">
        <f>+VLOOKUP(PROVEEDORES[[#This Row],[ID RETENCION]],Retenciones!$A$1:$O$25,PROVEEDORES[[#This Row],[indicador de columna]],FALSE)</f>
        <v>0</v>
      </c>
      <c r="Y736" s="152">
        <f>+VLOOKUP(PROVEEDORES[[#This Row],[ID RETENCION]],Retenciones!$A$1:$O$25,2,FALSE)</f>
        <v>0</v>
      </c>
      <c r="Z736" s="153" t="b">
        <f>+OR(COUNTIF(PROVEEDORES[[#This Row],[PROVEEDOR]],"*"&amp;'Palabra que no opera y Listas d'!$A$2&amp;"*"))</f>
        <v>1</v>
      </c>
    </row>
    <row r="737" spans="1:26" ht="27.75" customHeight="1" x14ac:dyDescent="0.3">
      <c r="A737" s="144" t="str">
        <f>+IF(PROVEEDORES[[#This Row],[FECHA DE PAGO]]=PROVEEDORES[[#This Row],[FECHA DE FACTURACIÓN]],"DE CONTADO","CRÉDITO")</f>
        <v>DE CONTADO</v>
      </c>
      <c r="B737" s="144" t="b">
        <f>+IF((PROVEEDORES[[#This Row],[FECHA DE PAGO]]-PROVEEDORES[[#This Row],[FECHA DE FACTURACIÓN]])&gt;PROVEEDORES[[#This Row],[PLAZO Días]],"PAGO VENCIDO")</f>
        <v>0</v>
      </c>
      <c r="C737" s="144">
        <f>+VLOOKUP(PROVEEDORES[[#This Row],[PROVEEDOR]],TERCEROS_INFO[#All],2,FALSE)</f>
        <v>0</v>
      </c>
      <c r="D737" s="145">
        <f>+SUMIFS(PROVEEDORES[Total],PROVEEDORES[PROVEEDOR],PROVEEDORES[[#This Row],[PROVEEDOR]],PROVEEDORES[FECHA DE PAGO],"")</f>
        <v>0</v>
      </c>
      <c r="E737" s="146"/>
      <c r="F737" s="144">
        <f>+VLOOKUP(PROVEEDORES[[#This Row],[PROVEEDOR]],
                       Terceros!$A:$G,
                       5,
                       FALSE)</f>
        <v>0</v>
      </c>
      <c r="G737" s="122">
        <v>45203</v>
      </c>
      <c r="H737" s="102" t="s">
        <v>1128</v>
      </c>
      <c r="I737" s="122">
        <v>45203</v>
      </c>
      <c r="J737" s="103" t="s">
        <v>1129</v>
      </c>
      <c r="K737" s="103" t="s">
        <v>1512</v>
      </c>
      <c r="L737" s="103"/>
      <c r="M737" s="105">
        <v>833450</v>
      </c>
      <c r="N737" s="147">
        <v>0</v>
      </c>
      <c r="O737" s="147">
        <v>0</v>
      </c>
      <c r="P737" s="148">
        <v>0</v>
      </c>
      <c r="Q737" s="147">
        <v>0</v>
      </c>
      <c r="R737" s="149">
        <v>833450</v>
      </c>
      <c r="S7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7" s="150">
        <f ca="1">+IF(PROVEEDORES[[#This Row],[FECHA DE PAGO]]=0,TODAY()-PROVEEDORES[[#This Row],[FECHA DE FACTURACIÓN]]-PROVEEDORES[[#This Row],[PLAZO Días]],0)</f>
        <v>0</v>
      </c>
      <c r="U737" s="150">
        <f>+VLOOKUP(PROVEEDORES[[#This Row],[PROVEEDOR]],Terceros!$A:$E,4,FALSE)</f>
        <v>0</v>
      </c>
      <c r="V737" s="150">
        <f>+YEAR(PROVEEDORES[[#This Row],[FECHA DE FACTURACIÓN]])</f>
        <v>2023</v>
      </c>
      <c r="W737" s="150">
        <f>+MATCH(PROVEEDORES[[#This Row],[año facturado]],Retenciones!$1:$1,0)</f>
        <v>6</v>
      </c>
      <c r="X737" s="151">
        <f>+VLOOKUP(PROVEEDORES[[#This Row],[ID RETENCION]],Retenciones!$A$1:$O$25,PROVEEDORES[[#This Row],[indicador de columna]],FALSE)</f>
        <v>0</v>
      </c>
      <c r="Y737" s="152">
        <f>+VLOOKUP(PROVEEDORES[[#This Row],[ID RETENCION]],Retenciones!$A$1:$O$25,2,FALSE)</f>
        <v>0</v>
      </c>
      <c r="Z737" s="153" t="b">
        <f>+OR(COUNTIF(PROVEEDORES[[#This Row],[PROVEEDOR]],"*"&amp;'Palabra que no opera y Listas d'!$A$2&amp;"*"))</f>
        <v>0</v>
      </c>
    </row>
    <row r="738" spans="1:26" ht="27.75" customHeight="1" x14ac:dyDescent="0.3">
      <c r="A738" s="144" t="str">
        <f>+IF(PROVEEDORES[[#This Row],[FECHA DE PAGO]]=PROVEEDORES[[#This Row],[FECHA DE FACTURACIÓN]],"DE CONTADO","CRÉDITO")</f>
        <v>CRÉDITO</v>
      </c>
      <c r="B738" s="144" t="str">
        <f>+IF((PROVEEDORES[[#This Row],[FECHA DE PAGO]]-PROVEEDORES[[#This Row],[FECHA DE FACTURACIÓN]])&gt;PROVEEDORES[[#This Row],[PLAZO Días]],"PAGO VENCIDO")</f>
        <v>PAGO VENCIDO</v>
      </c>
      <c r="C738" s="144">
        <f>+VLOOKUP(PROVEEDORES[[#This Row],[PROVEEDOR]],TERCEROS_INFO[#All],2,FALSE)</f>
        <v>0</v>
      </c>
      <c r="D738" s="145">
        <f>+SUMIFS(PROVEEDORES[Total],PROVEEDORES[PROVEEDOR],PROVEEDORES[[#This Row],[PROVEEDOR]],PROVEEDORES[FECHA DE PAGO],"")</f>
        <v>0</v>
      </c>
      <c r="E738" s="146"/>
      <c r="F738" s="144">
        <f>+VLOOKUP(PROVEEDORES[[#This Row],[PROVEEDOR]],
                       Terceros!$A:$G,
                       5,
                       FALSE)</f>
        <v>0</v>
      </c>
      <c r="G738" s="122">
        <v>45205</v>
      </c>
      <c r="H738" s="102" t="s">
        <v>1789</v>
      </c>
      <c r="I738" s="122">
        <v>45169</v>
      </c>
      <c r="J738" s="103" t="s">
        <v>1037</v>
      </c>
      <c r="K738" s="103" t="s">
        <v>1512</v>
      </c>
      <c r="L738" s="103"/>
      <c r="M738" s="105">
        <v>447500</v>
      </c>
      <c r="N738" s="147">
        <v>0</v>
      </c>
      <c r="O738" s="147">
        <v>0</v>
      </c>
      <c r="P738" s="148">
        <v>0</v>
      </c>
      <c r="Q738" s="147">
        <v>0</v>
      </c>
      <c r="R738" s="149">
        <v>447500</v>
      </c>
      <c r="S7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8" s="150">
        <f ca="1">+IF(PROVEEDORES[[#This Row],[FECHA DE PAGO]]=0,TODAY()-PROVEEDORES[[#This Row],[FECHA DE FACTURACIÓN]]-PROVEEDORES[[#This Row],[PLAZO Días]],0)</f>
        <v>0</v>
      </c>
      <c r="U738" s="150">
        <f>+VLOOKUP(PROVEEDORES[[#This Row],[PROVEEDOR]],Terceros!$A:$E,4,FALSE)</f>
        <v>0</v>
      </c>
      <c r="V738" s="150">
        <f>+YEAR(PROVEEDORES[[#This Row],[FECHA DE FACTURACIÓN]])</f>
        <v>2023</v>
      </c>
      <c r="W738" s="150">
        <f>+MATCH(PROVEEDORES[[#This Row],[año facturado]],Retenciones!$1:$1,0)</f>
        <v>6</v>
      </c>
      <c r="X738" s="151">
        <f>+VLOOKUP(PROVEEDORES[[#This Row],[ID RETENCION]],Retenciones!$A$1:$O$25,PROVEEDORES[[#This Row],[indicador de columna]],FALSE)</f>
        <v>0</v>
      </c>
      <c r="Y738" s="152">
        <f>+VLOOKUP(PROVEEDORES[[#This Row],[ID RETENCION]],Retenciones!$A$1:$O$25,2,FALSE)</f>
        <v>0</v>
      </c>
      <c r="Z738" s="153" t="b">
        <f>+OR(COUNTIF(PROVEEDORES[[#This Row],[PROVEEDOR]],"*"&amp;'Palabra que no opera y Listas d'!$A$2&amp;"*"))</f>
        <v>0</v>
      </c>
    </row>
    <row r="739" spans="1:26" ht="27.75" customHeight="1" x14ac:dyDescent="0.3">
      <c r="A739" s="144" t="str">
        <f>+IF(PROVEEDORES[[#This Row],[FECHA DE PAGO]]=PROVEEDORES[[#This Row],[FECHA DE FACTURACIÓN]],"DE CONTADO","CRÉDITO")</f>
        <v>CRÉDITO</v>
      </c>
      <c r="B739" s="144" t="str">
        <f>+IF((PROVEEDORES[[#This Row],[FECHA DE PAGO]]-PROVEEDORES[[#This Row],[FECHA DE FACTURACIÓN]])&gt;PROVEEDORES[[#This Row],[PLAZO Días]],"PAGO VENCIDO")</f>
        <v>PAGO VENCIDO</v>
      </c>
      <c r="C739" s="144">
        <f>+VLOOKUP(PROVEEDORES[[#This Row],[PROVEEDOR]],TERCEROS_INFO[#All],2,FALSE)</f>
        <v>0</v>
      </c>
      <c r="D739" s="145">
        <f>+SUMIFS(PROVEEDORES[Total],PROVEEDORES[PROVEEDOR],PROVEEDORES[[#This Row],[PROVEEDOR]],PROVEEDORES[FECHA DE PAGO],"")</f>
        <v>26134091.5</v>
      </c>
      <c r="E739" s="146"/>
      <c r="F739" s="144">
        <f>+VLOOKUP(PROVEEDORES[[#This Row],[PROVEEDOR]],
                       Terceros!$A:$G,
                       5,
                       FALSE)</f>
        <v>0</v>
      </c>
      <c r="G739" s="122">
        <v>45205</v>
      </c>
      <c r="H739" s="102" t="s">
        <v>238</v>
      </c>
      <c r="I739" s="122">
        <v>45169</v>
      </c>
      <c r="J739" s="103">
        <v>1770</v>
      </c>
      <c r="K739" s="103" t="s">
        <v>1512</v>
      </c>
      <c r="L739" s="103"/>
      <c r="M739" s="105">
        <v>1024800</v>
      </c>
      <c r="N739" s="147">
        <v>0</v>
      </c>
      <c r="O739" s="147">
        <v>0</v>
      </c>
      <c r="P739" s="148">
        <v>0</v>
      </c>
      <c r="Q739" s="147">
        <v>0</v>
      </c>
      <c r="R739" s="149">
        <v>1024800</v>
      </c>
      <c r="S7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9" s="150">
        <f ca="1">+IF(PROVEEDORES[[#This Row],[FECHA DE PAGO]]=0,TODAY()-PROVEEDORES[[#This Row],[FECHA DE FACTURACIÓN]]-PROVEEDORES[[#This Row],[PLAZO Días]],0)</f>
        <v>0</v>
      </c>
      <c r="U739" s="150">
        <f>+VLOOKUP(PROVEEDORES[[#This Row],[PROVEEDOR]],Terceros!$A:$E,4,FALSE)</f>
        <v>0</v>
      </c>
      <c r="V739" s="150">
        <f>+YEAR(PROVEEDORES[[#This Row],[FECHA DE FACTURACIÓN]])</f>
        <v>2023</v>
      </c>
      <c r="W739" s="150">
        <f>+MATCH(PROVEEDORES[[#This Row],[año facturado]],Retenciones!$1:$1,0)</f>
        <v>6</v>
      </c>
      <c r="X739" s="151">
        <f>+VLOOKUP(PROVEEDORES[[#This Row],[ID RETENCION]],Retenciones!$A$1:$O$25,PROVEEDORES[[#This Row],[indicador de columna]],FALSE)</f>
        <v>0</v>
      </c>
      <c r="Y739" s="152">
        <f>+VLOOKUP(PROVEEDORES[[#This Row],[ID RETENCION]],Retenciones!$A$1:$O$25,2,FALSE)</f>
        <v>0</v>
      </c>
      <c r="Z739" s="153" t="b">
        <f>+OR(COUNTIF(PROVEEDORES[[#This Row],[PROVEEDOR]],"*"&amp;'Palabra que no opera y Listas d'!$A$2&amp;"*"))</f>
        <v>0</v>
      </c>
    </row>
    <row r="740" spans="1:26" ht="27.75" customHeight="1" x14ac:dyDescent="0.3">
      <c r="A740" s="144" t="str">
        <f>+IF(PROVEEDORES[[#This Row],[FECHA DE PAGO]]=PROVEEDORES[[#This Row],[FECHA DE FACTURACIÓN]],"DE CONTADO","CRÉDITO")</f>
        <v>CRÉDITO</v>
      </c>
      <c r="B740" s="144" t="str">
        <f>+IF((PROVEEDORES[[#This Row],[FECHA DE PAGO]]-PROVEEDORES[[#This Row],[FECHA DE FACTURACIÓN]])&gt;PROVEEDORES[[#This Row],[PLAZO Días]],"PAGO VENCIDO")</f>
        <v>PAGO VENCIDO</v>
      </c>
      <c r="C740" s="144">
        <f>+VLOOKUP(PROVEEDORES[[#This Row],[PROVEEDOR]],TERCEROS_INFO[#All],2,FALSE)</f>
        <v>0</v>
      </c>
      <c r="D740" s="145">
        <f>+SUMIFS(PROVEEDORES[Total],PROVEEDORES[PROVEEDOR],PROVEEDORES[[#This Row],[PROVEEDOR]],PROVEEDORES[FECHA DE PAGO],"")</f>
        <v>0</v>
      </c>
      <c r="E740" s="146"/>
      <c r="F740" s="144">
        <f>+VLOOKUP(PROVEEDORES[[#This Row],[PROVEEDOR]],
                       Terceros!$A:$G,
                       5,
                       FALSE)</f>
        <v>0</v>
      </c>
      <c r="G740" s="122">
        <v>45205</v>
      </c>
      <c r="H740" s="102" t="s">
        <v>1701</v>
      </c>
      <c r="I740" s="122">
        <v>45169</v>
      </c>
      <c r="J740" s="103">
        <v>1772</v>
      </c>
      <c r="K740" s="103" t="s">
        <v>1512</v>
      </c>
      <c r="L740" s="103"/>
      <c r="M740" s="105">
        <v>5107410</v>
      </c>
      <c r="N740" s="147">
        <v>0</v>
      </c>
      <c r="O740" s="147">
        <v>0</v>
      </c>
      <c r="P740" s="148">
        <v>0</v>
      </c>
      <c r="Q740" s="147">
        <v>0</v>
      </c>
      <c r="R740" s="149">
        <v>5107410</v>
      </c>
      <c r="S7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0" s="150">
        <f ca="1">+IF(PROVEEDORES[[#This Row],[FECHA DE PAGO]]=0,TODAY()-PROVEEDORES[[#This Row],[FECHA DE FACTURACIÓN]]-PROVEEDORES[[#This Row],[PLAZO Días]],0)</f>
        <v>0</v>
      </c>
      <c r="U740" s="150">
        <f>+VLOOKUP(PROVEEDORES[[#This Row],[PROVEEDOR]],Terceros!$A:$E,4,FALSE)</f>
        <v>0</v>
      </c>
      <c r="V740" s="150">
        <f>+YEAR(PROVEEDORES[[#This Row],[FECHA DE FACTURACIÓN]])</f>
        <v>2023</v>
      </c>
      <c r="W740" s="150">
        <f>+MATCH(PROVEEDORES[[#This Row],[año facturado]],Retenciones!$1:$1,0)</f>
        <v>6</v>
      </c>
      <c r="X740" s="151">
        <f>+VLOOKUP(PROVEEDORES[[#This Row],[ID RETENCION]],Retenciones!$A$1:$O$25,PROVEEDORES[[#This Row],[indicador de columna]],FALSE)</f>
        <v>0</v>
      </c>
      <c r="Y740" s="152">
        <f>+VLOOKUP(PROVEEDORES[[#This Row],[ID RETENCION]],Retenciones!$A$1:$O$25,2,FALSE)</f>
        <v>0</v>
      </c>
      <c r="Z740" s="153" t="b">
        <f>+OR(COUNTIF(PROVEEDORES[[#This Row],[PROVEEDOR]],"*"&amp;'Palabra que no opera y Listas d'!$A$2&amp;"*"))</f>
        <v>0</v>
      </c>
    </row>
    <row r="741" spans="1:26" ht="27.75" customHeight="1" x14ac:dyDescent="0.3">
      <c r="A741" s="144" t="str">
        <f>+IF(PROVEEDORES[[#This Row],[FECHA DE PAGO]]=PROVEEDORES[[#This Row],[FECHA DE FACTURACIÓN]],"DE CONTADO","CRÉDITO")</f>
        <v>CRÉDITO</v>
      </c>
      <c r="B741" s="144" t="str">
        <f>+IF((PROVEEDORES[[#This Row],[FECHA DE PAGO]]-PROVEEDORES[[#This Row],[FECHA DE FACTURACIÓN]])&gt;PROVEEDORES[[#This Row],[PLAZO Días]],"PAGO VENCIDO")</f>
        <v>PAGO VENCIDO</v>
      </c>
      <c r="C741" s="144">
        <f>+VLOOKUP(PROVEEDORES[[#This Row],[PROVEEDOR]],TERCEROS_INFO[#All],2,FALSE)</f>
        <v>0</v>
      </c>
      <c r="D741" s="145">
        <f>+SUMIFS(PROVEEDORES[Total],PROVEEDORES[PROVEEDOR],PROVEEDORES[[#This Row],[PROVEEDOR]],PROVEEDORES[FECHA DE PAGO],"")</f>
        <v>0</v>
      </c>
      <c r="E741" s="146"/>
      <c r="F741" s="144">
        <f>+VLOOKUP(PROVEEDORES[[#This Row],[PROVEEDOR]],
                       Terceros!$A:$G,
                       5,
                       FALSE)</f>
        <v>0</v>
      </c>
      <c r="G741" s="122">
        <v>45205</v>
      </c>
      <c r="H741" s="102" t="s">
        <v>240</v>
      </c>
      <c r="I741" s="122">
        <v>45169</v>
      </c>
      <c r="J741" s="103">
        <v>1771</v>
      </c>
      <c r="K741" s="103" t="s">
        <v>1512</v>
      </c>
      <c r="L741" s="103"/>
      <c r="M741" s="105">
        <v>2793000</v>
      </c>
      <c r="N741" s="147">
        <v>0</v>
      </c>
      <c r="O741" s="147">
        <v>0</v>
      </c>
      <c r="P741" s="148">
        <v>0</v>
      </c>
      <c r="Q741" s="147">
        <v>0</v>
      </c>
      <c r="R741" s="149">
        <v>2793000</v>
      </c>
      <c r="S7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1" s="150">
        <f ca="1">+IF(PROVEEDORES[[#This Row],[FECHA DE PAGO]]=0,TODAY()-PROVEEDORES[[#This Row],[FECHA DE FACTURACIÓN]]-PROVEEDORES[[#This Row],[PLAZO Días]],0)</f>
        <v>0</v>
      </c>
      <c r="U741" s="150">
        <f>+VLOOKUP(PROVEEDORES[[#This Row],[PROVEEDOR]],Terceros!$A:$E,4,FALSE)</f>
        <v>0</v>
      </c>
      <c r="V741" s="150">
        <f>+YEAR(PROVEEDORES[[#This Row],[FECHA DE FACTURACIÓN]])</f>
        <v>2023</v>
      </c>
      <c r="W741" s="150">
        <f>+MATCH(PROVEEDORES[[#This Row],[año facturado]],Retenciones!$1:$1,0)</f>
        <v>6</v>
      </c>
      <c r="X741" s="151">
        <f>+VLOOKUP(PROVEEDORES[[#This Row],[ID RETENCION]],Retenciones!$A$1:$O$25,PROVEEDORES[[#This Row],[indicador de columna]],FALSE)</f>
        <v>0</v>
      </c>
      <c r="Y741" s="152">
        <f>+VLOOKUP(PROVEEDORES[[#This Row],[ID RETENCION]],Retenciones!$A$1:$O$25,2,FALSE)</f>
        <v>0</v>
      </c>
      <c r="Z741" s="153" t="b">
        <f>+OR(COUNTIF(PROVEEDORES[[#This Row],[PROVEEDOR]],"*"&amp;'Palabra que no opera y Listas d'!$A$2&amp;"*"))</f>
        <v>0</v>
      </c>
    </row>
    <row r="742" spans="1:26" ht="27.75" customHeight="1" x14ac:dyDescent="0.3">
      <c r="A742" s="144" t="str">
        <f>+IF(PROVEEDORES[[#This Row],[FECHA DE PAGO]]=PROVEEDORES[[#This Row],[FECHA DE FACTURACIÓN]],"DE CONTADO","CRÉDITO")</f>
        <v>CRÉDITO</v>
      </c>
      <c r="B742" s="144" t="str">
        <f>+IF((PROVEEDORES[[#This Row],[FECHA DE PAGO]]-PROVEEDORES[[#This Row],[FECHA DE FACTURACIÓN]])&gt;PROVEEDORES[[#This Row],[PLAZO Días]],"PAGO VENCIDO")</f>
        <v>PAGO VENCIDO</v>
      </c>
      <c r="C742" s="144">
        <f>+VLOOKUP(PROVEEDORES[[#This Row],[PROVEEDOR]],TERCEROS_INFO[#All],2,FALSE)</f>
        <v>0</v>
      </c>
      <c r="D742" s="145">
        <f>+SUMIFS(PROVEEDORES[Total],PROVEEDORES[PROVEEDOR],PROVEEDORES[[#This Row],[PROVEEDOR]],PROVEEDORES[FECHA DE PAGO],"")</f>
        <v>0</v>
      </c>
      <c r="E742" s="146"/>
      <c r="F742" s="144">
        <f>+VLOOKUP(PROVEEDORES[[#This Row],[PROVEEDOR]],
                       Terceros!$A:$G,
                       5,
                       FALSE)</f>
        <v>0</v>
      </c>
      <c r="G742" s="122">
        <v>45205</v>
      </c>
      <c r="H742" s="102" t="s">
        <v>240</v>
      </c>
      <c r="I742" s="122">
        <v>45169</v>
      </c>
      <c r="J742" s="103">
        <v>1773</v>
      </c>
      <c r="K742" s="103" t="s">
        <v>1512</v>
      </c>
      <c r="L742" s="103"/>
      <c r="M742" s="105">
        <v>1512420</v>
      </c>
      <c r="N742" s="147">
        <v>0</v>
      </c>
      <c r="O742" s="147">
        <v>0</v>
      </c>
      <c r="P742" s="148">
        <v>0</v>
      </c>
      <c r="Q742" s="147">
        <v>0</v>
      </c>
      <c r="R742" s="149">
        <v>1512420</v>
      </c>
      <c r="S7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2" s="150">
        <f ca="1">+IF(PROVEEDORES[[#This Row],[FECHA DE PAGO]]=0,TODAY()-PROVEEDORES[[#This Row],[FECHA DE FACTURACIÓN]]-PROVEEDORES[[#This Row],[PLAZO Días]],0)</f>
        <v>0</v>
      </c>
      <c r="U742" s="150">
        <f>+VLOOKUP(PROVEEDORES[[#This Row],[PROVEEDOR]],Terceros!$A:$E,4,FALSE)</f>
        <v>0</v>
      </c>
      <c r="V742" s="150">
        <f>+YEAR(PROVEEDORES[[#This Row],[FECHA DE FACTURACIÓN]])</f>
        <v>2023</v>
      </c>
      <c r="W742" s="150">
        <f>+MATCH(PROVEEDORES[[#This Row],[año facturado]],Retenciones!$1:$1,0)</f>
        <v>6</v>
      </c>
      <c r="X742" s="151">
        <f>+VLOOKUP(PROVEEDORES[[#This Row],[ID RETENCION]],Retenciones!$A$1:$O$25,PROVEEDORES[[#This Row],[indicador de columna]],FALSE)</f>
        <v>0</v>
      </c>
      <c r="Y742" s="152">
        <f>+VLOOKUP(PROVEEDORES[[#This Row],[ID RETENCION]],Retenciones!$A$1:$O$25,2,FALSE)</f>
        <v>0</v>
      </c>
      <c r="Z742" s="153" t="b">
        <f>+OR(COUNTIF(PROVEEDORES[[#This Row],[PROVEEDOR]],"*"&amp;'Palabra que no opera y Listas d'!$A$2&amp;"*"))</f>
        <v>0</v>
      </c>
    </row>
    <row r="743" spans="1:26" ht="27.75" customHeight="1" x14ac:dyDescent="0.3">
      <c r="A743" s="144" t="str">
        <f>+IF(PROVEEDORES[[#This Row],[FECHA DE PAGO]]=PROVEEDORES[[#This Row],[FECHA DE FACTURACIÓN]],"DE CONTADO","CRÉDITO")</f>
        <v>CRÉDITO</v>
      </c>
      <c r="B743" s="144" t="str">
        <f>+IF((PROVEEDORES[[#This Row],[FECHA DE PAGO]]-PROVEEDORES[[#This Row],[FECHA DE FACTURACIÓN]])&gt;PROVEEDORES[[#This Row],[PLAZO Días]],"PAGO VENCIDO")</f>
        <v>PAGO VENCIDO</v>
      </c>
      <c r="C743" s="144">
        <f>+VLOOKUP(PROVEEDORES[[#This Row],[PROVEEDOR]],TERCEROS_INFO[#All],2,FALSE)</f>
        <v>0</v>
      </c>
      <c r="D743" s="145">
        <f>+SUMIFS(PROVEEDORES[Total],PROVEEDORES[PROVEEDOR],PROVEEDORES[[#This Row],[PROVEEDOR]],PROVEEDORES[FECHA DE PAGO],"")</f>
        <v>0</v>
      </c>
      <c r="E743" s="146"/>
      <c r="F743" s="144">
        <f>+VLOOKUP(PROVEEDORES[[#This Row],[PROVEEDOR]],
                       Terceros!$A:$G,
                       5,
                       FALSE)</f>
        <v>0</v>
      </c>
      <c r="G743" s="122">
        <v>45205</v>
      </c>
      <c r="H743" s="102" t="s">
        <v>1789</v>
      </c>
      <c r="I743" s="122">
        <v>45174</v>
      </c>
      <c r="J743" s="103" t="s">
        <v>1036</v>
      </c>
      <c r="K743" s="103" t="s">
        <v>1512</v>
      </c>
      <c r="L743" s="103"/>
      <c r="M743" s="105">
        <v>452000</v>
      </c>
      <c r="N743" s="147">
        <v>0</v>
      </c>
      <c r="O743" s="147">
        <v>0</v>
      </c>
      <c r="P743" s="148">
        <v>0</v>
      </c>
      <c r="Q743" s="147">
        <v>0</v>
      </c>
      <c r="R743" s="149">
        <v>452000</v>
      </c>
      <c r="S7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3" s="150">
        <f ca="1">+IF(PROVEEDORES[[#This Row],[FECHA DE PAGO]]=0,TODAY()-PROVEEDORES[[#This Row],[FECHA DE FACTURACIÓN]]-PROVEEDORES[[#This Row],[PLAZO Días]],0)</f>
        <v>0</v>
      </c>
      <c r="U743" s="150">
        <f>+VLOOKUP(PROVEEDORES[[#This Row],[PROVEEDOR]],Terceros!$A:$E,4,FALSE)</f>
        <v>0</v>
      </c>
      <c r="V743" s="150">
        <f>+YEAR(PROVEEDORES[[#This Row],[FECHA DE FACTURACIÓN]])</f>
        <v>2023</v>
      </c>
      <c r="W743" s="150">
        <f>+MATCH(PROVEEDORES[[#This Row],[año facturado]],Retenciones!$1:$1,0)</f>
        <v>6</v>
      </c>
      <c r="X743" s="151">
        <f>+VLOOKUP(PROVEEDORES[[#This Row],[ID RETENCION]],Retenciones!$A$1:$O$25,PROVEEDORES[[#This Row],[indicador de columna]],FALSE)</f>
        <v>0</v>
      </c>
      <c r="Y743" s="152">
        <f>+VLOOKUP(PROVEEDORES[[#This Row],[ID RETENCION]],Retenciones!$A$1:$O$25,2,FALSE)</f>
        <v>0</v>
      </c>
      <c r="Z743" s="153" t="b">
        <f>+OR(COUNTIF(PROVEEDORES[[#This Row],[PROVEEDOR]],"*"&amp;'Palabra que no opera y Listas d'!$A$2&amp;"*"))</f>
        <v>0</v>
      </c>
    </row>
    <row r="744" spans="1:26" ht="27.75" customHeight="1" x14ac:dyDescent="0.3">
      <c r="A744" s="144" t="str">
        <f>+IF(PROVEEDORES[[#This Row],[FECHA DE PAGO]]=PROVEEDORES[[#This Row],[FECHA DE FACTURACIÓN]],"DE CONTADO","CRÉDITO")</f>
        <v>CRÉDITO</v>
      </c>
      <c r="B744" s="144" t="str">
        <f>+IF((PROVEEDORES[[#This Row],[FECHA DE PAGO]]-PROVEEDORES[[#This Row],[FECHA DE FACTURACIÓN]])&gt;PROVEEDORES[[#This Row],[PLAZO Días]],"PAGO VENCIDO")</f>
        <v>PAGO VENCIDO</v>
      </c>
      <c r="C744" s="144">
        <f>+VLOOKUP(PROVEEDORES[[#This Row],[PROVEEDOR]],TERCEROS_INFO[#All],2,FALSE)</f>
        <v>0</v>
      </c>
      <c r="D744" s="145">
        <f>+SUMIFS(PROVEEDORES[Total],PROVEEDORES[PROVEEDOR],PROVEEDORES[[#This Row],[PROVEEDOR]],PROVEEDORES[FECHA DE PAGO],"")</f>
        <v>0</v>
      </c>
      <c r="E744" s="146"/>
      <c r="F744" s="144">
        <f>+VLOOKUP(PROVEEDORES[[#This Row],[PROVEEDOR]],
                       Terceros!$A:$G,
                       5,
                       FALSE)</f>
        <v>0</v>
      </c>
      <c r="G744" s="122">
        <v>45205</v>
      </c>
      <c r="H744" s="102" t="s">
        <v>240</v>
      </c>
      <c r="I744" s="122">
        <v>45176</v>
      </c>
      <c r="J744" s="103">
        <v>1776</v>
      </c>
      <c r="K744" s="103" t="s">
        <v>1512</v>
      </c>
      <c r="L744" s="103"/>
      <c r="M744" s="105">
        <v>1501080</v>
      </c>
      <c r="N744" s="147">
        <v>0</v>
      </c>
      <c r="O744" s="147">
        <v>0</v>
      </c>
      <c r="P744" s="148">
        <v>0</v>
      </c>
      <c r="Q744" s="147">
        <v>0</v>
      </c>
      <c r="R744" s="149">
        <v>1501080</v>
      </c>
      <c r="S7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4" s="150">
        <f ca="1">+IF(PROVEEDORES[[#This Row],[FECHA DE PAGO]]=0,TODAY()-PROVEEDORES[[#This Row],[FECHA DE FACTURACIÓN]]-PROVEEDORES[[#This Row],[PLAZO Días]],0)</f>
        <v>0</v>
      </c>
      <c r="U744" s="150">
        <f>+VLOOKUP(PROVEEDORES[[#This Row],[PROVEEDOR]],Terceros!$A:$E,4,FALSE)</f>
        <v>0</v>
      </c>
      <c r="V744" s="150">
        <f>+YEAR(PROVEEDORES[[#This Row],[FECHA DE FACTURACIÓN]])</f>
        <v>2023</v>
      </c>
      <c r="W744" s="150">
        <f>+MATCH(PROVEEDORES[[#This Row],[año facturado]],Retenciones!$1:$1,0)</f>
        <v>6</v>
      </c>
      <c r="X744" s="151">
        <f>+VLOOKUP(PROVEEDORES[[#This Row],[ID RETENCION]],Retenciones!$A$1:$O$25,PROVEEDORES[[#This Row],[indicador de columna]],FALSE)</f>
        <v>0</v>
      </c>
      <c r="Y744" s="152">
        <f>+VLOOKUP(PROVEEDORES[[#This Row],[ID RETENCION]],Retenciones!$A$1:$O$25,2,FALSE)</f>
        <v>0</v>
      </c>
      <c r="Z744" s="153" t="b">
        <f>+OR(COUNTIF(PROVEEDORES[[#This Row],[PROVEEDOR]],"*"&amp;'Palabra que no opera y Listas d'!$A$2&amp;"*"))</f>
        <v>0</v>
      </c>
    </row>
    <row r="745" spans="1:26" ht="27.75" customHeight="1" x14ac:dyDescent="0.3">
      <c r="A745" s="144" t="str">
        <f>+IF(PROVEEDORES[[#This Row],[FECHA DE PAGO]]=PROVEEDORES[[#This Row],[FECHA DE FACTURACIÓN]],"DE CONTADO","CRÉDITO")</f>
        <v>CRÉDITO</v>
      </c>
      <c r="B745" s="144" t="str">
        <f>+IF((PROVEEDORES[[#This Row],[FECHA DE PAGO]]-PROVEEDORES[[#This Row],[FECHA DE FACTURACIÓN]])&gt;PROVEEDORES[[#This Row],[PLAZO Días]],"PAGO VENCIDO")</f>
        <v>PAGO VENCIDO</v>
      </c>
      <c r="C745" s="144">
        <f>+VLOOKUP(PROVEEDORES[[#This Row],[PROVEEDOR]],TERCEROS_INFO[#All],2,FALSE)</f>
        <v>0</v>
      </c>
      <c r="D745" s="145">
        <f>+SUMIFS(PROVEEDORES[Total],PROVEEDORES[PROVEEDOR],PROVEEDORES[[#This Row],[PROVEEDOR]],PROVEEDORES[FECHA DE PAGO],"")</f>
        <v>0</v>
      </c>
      <c r="E745" s="146"/>
      <c r="F745" s="144">
        <f>+VLOOKUP(PROVEEDORES[[#This Row],[PROVEEDOR]],
                       Terceros!$A:$G,
                       5,
                       FALSE)</f>
        <v>0</v>
      </c>
      <c r="G745" s="122">
        <v>45205</v>
      </c>
      <c r="H745" s="102" t="s">
        <v>240</v>
      </c>
      <c r="I745" s="122">
        <v>45188</v>
      </c>
      <c r="J745" s="103">
        <v>1795</v>
      </c>
      <c r="K745" s="103" t="s">
        <v>1512</v>
      </c>
      <c r="L745" s="103"/>
      <c r="M745" s="105">
        <v>1407000</v>
      </c>
      <c r="N745" s="147">
        <v>0</v>
      </c>
      <c r="O745" s="147">
        <v>0</v>
      </c>
      <c r="P745" s="148">
        <v>0</v>
      </c>
      <c r="Q745" s="147">
        <v>0</v>
      </c>
      <c r="R745" s="149">
        <v>1407000</v>
      </c>
      <c r="S7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5" s="150">
        <f ca="1">+IF(PROVEEDORES[[#This Row],[FECHA DE PAGO]]=0,TODAY()-PROVEEDORES[[#This Row],[FECHA DE FACTURACIÓN]]-PROVEEDORES[[#This Row],[PLAZO Días]],0)</f>
        <v>0</v>
      </c>
      <c r="U745" s="150">
        <f>+VLOOKUP(PROVEEDORES[[#This Row],[PROVEEDOR]],Terceros!$A:$E,4,FALSE)</f>
        <v>0</v>
      </c>
      <c r="V745" s="150">
        <f>+YEAR(PROVEEDORES[[#This Row],[FECHA DE FACTURACIÓN]])</f>
        <v>2023</v>
      </c>
      <c r="W745" s="150">
        <f>+MATCH(PROVEEDORES[[#This Row],[año facturado]],Retenciones!$1:$1,0)</f>
        <v>6</v>
      </c>
      <c r="X745" s="151">
        <f>+VLOOKUP(PROVEEDORES[[#This Row],[ID RETENCION]],Retenciones!$A$1:$O$25,PROVEEDORES[[#This Row],[indicador de columna]],FALSE)</f>
        <v>0</v>
      </c>
      <c r="Y745" s="152">
        <f>+VLOOKUP(PROVEEDORES[[#This Row],[ID RETENCION]],Retenciones!$A$1:$O$25,2,FALSE)</f>
        <v>0</v>
      </c>
      <c r="Z745" s="153" t="b">
        <f>+OR(COUNTIF(PROVEEDORES[[#This Row],[PROVEEDOR]],"*"&amp;'Palabra que no opera y Listas d'!$A$2&amp;"*"))</f>
        <v>0</v>
      </c>
    </row>
    <row r="746" spans="1:26" ht="27.75" customHeight="1" x14ac:dyDescent="0.3">
      <c r="A746" s="144" t="str">
        <f>+IF(PROVEEDORES[[#This Row],[FECHA DE PAGO]]=PROVEEDORES[[#This Row],[FECHA DE FACTURACIÓN]],"DE CONTADO","CRÉDITO")</f>
        <v>CRÉDITO</v>
      </c>
      <c r="B746" s="144" t="str">
        <f>+IF((PROVEEDORES[[#This Row],[FECHA DE PAGO]]-PROVEEDORES[[#This Row],[FECHA DE FACTURACIÓN]])&gt;PROVEEDORES[[#This Row],[PLAZO Días]],"PAGO VENCIDO")</f>
        <v>PAGO VENCIDO</v>
      </c>
      <c r="C746" s="144">
        <f>+VLOOKUP(PROVEEDORES[[#This Row],[PROVEEDOR]],TERCEROS_INFO[#All],2,FALSE)</f>
        <v>0</v>
      </c>
      <c r="D746" s="145">
        <f>+SUMIFS(PROVEEDORES[Total],PROVEEDORES[PROVEEDOR],PROVEEDORES[[#This Row],[PROVEEDOR]],PROVEEDORES[FECHA DE PAGO],"")</f>
        <v>0</v>
      </c>
      <c r="E746" s="146"/>
      <c r="F746" s="144">
        <f>+VLOOKUP(PROVEEDORES[[#This Row],[PROVEEDOR]],
                       Terceros!$A:$G,
                       5,
                       FALSE)</f>
        <v>0</v>
      </c>
      <c r="G746" s="122">
        <v>45205</v>
      </c>
      <c r="H746" s="102" t="s">
        <v>240</v>
      </c>
      <c r="I746" s="122">
        <v>45189</v>
      </c>
      <c r="J746" s="103">
        <v>1793</v>
      </c>
      <c r="K746" s="103" t="s">
        <v>1512</v>
      </c>
      <c r="L746" s="103"/>
      <c r="M746" s="105">
        <v>2793000</v>
      </c>
      <c r="N746" s="147">
        <v>0</v>
      </c>
      <c r="O746" s="147">
        <v>0</v>
      </c>
      <c r="P746" s="148">
        <v>0</v>
      </c>
      <c r="Q746" s="147">
        <v>0</v>
      </c>
      <c r="R746" s="149">
        <v>2793000</v>
      </c>
      <c r="S7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6" s="150">
        <f ca="1">+IF(PROVEEDORES[[#This Row],[FECHA DE PAGO]]=0,TODAY()-PROVEEDORES[[#This Row],[FECHA DE FACTURACIÓN]]-PROVEEDORES[[#This Row],[PLAZO Días]],0)</f>
        <v>0</v>
      </c>
      <c r="U746" s="150">
        <f>+VLOOKUP(PROVEEDORES[[#This Row],[PROVEEDOR]],Terceros!$A:$E,4,FALSE)</f>
        <v>0</v>
      </c>
      <c r="V746" s="150">
        <f>+YEAR(PROVEEDORES[[#This Row],[FECHA DE FACTURACIÓN]])</f>
        <v>2023</v>
      </c>
      <c r="W746" s="150">
        <f>+MATCH(PROVEEDORES[[#This Row],[año facturado]],Retenciones!$1:$1,0)</f>
        <v>6</v>
      </c>
      <c r="X746" s="151">
        <f>+VLOOKUP(PROVEEDORES[[#This Row],[ID RETENCION]],Retenciones!$A$1:$O$25,PROVEEDORES[[#This Row],[indicador de columna]],FALSE)</f>
        <v>0</v>
      </c>
      <c r="Y746" s="152">
        <f>+VLOOKUP(PROVEEDORES[[#This Row],[ID RETENCION]],Retenciones!$A$1:$O$25,2,FALSE)</f>
        <v>0</v>
      </c>
      <c r="Z746" s="153" t="b">
        <f>+OR(COUNTIF(PROVEEDORES[[#This Row],[PROVEEDOR]],"*"&amp;'Palabra que no opera y Listas d'!$A$2&amp;"*"))</f>
        <v>0</v>
      </c>
    </row>
    <row r="747" spans="1:26" ht="27.75" customHeight="1" x14ac:dyDescent="0.3">
      <c r="A747" s="144" t="str">
        <f>+IF(PROVEEDORES[[#This Row],[FECHA DE PAGO]]=PROVEEDORES[[#This Row],[FECHA DE FACTURACIÓN]],"DE CONTADO","CRÉDITO")</f>
        <v>CRÉDITO</v>
      </c>
      <c r="B747" s="144" t="str">
        <f>+IF((PROVEEDORES[[#This Row],[FECHA DE PAGO]]-PROVEEDORES[[#This Row],[FECHA DE FACTURACIÓN]])&gt;PROVEEDORES[[#This Row],[PLAZO Días]],"PAGO VENCIDO")</f>
        <v>PAGO VENCIDO</v>
      </c>
      <c r="C747" s="144">
        <f>+VLOOKUP(PROVEEDORES[[#This Row],[PROVEEDOR]],TERCEROS_INFO[#All],2,FALSE)</f>
        <v>0</v>
      </c>
      <c r="D747" s="145">
        <f>+SUMIFS(PROVEEDORES[Total],PROVEEDORES[PROVEEDOR],PROVEEDORES[[#This Row],[PROVEEDOR]],PROVEEDORES[FECHA DE PAGO],"")</f>
        <v>26134091.5</v>
      </c>
      <c r="E747" s="146"/>
      <c r="F747" s="144">
        <f>+VLOOKUP(PROVEEDORES[[#This Row],[PROVEEDOR]],
                       Terceros!$A:$G,
                       5,
                       FALSE)</f>
        <v>0</v>
      </c>
      <c r="G747" s="122">
        <v>45205</v>
      </c>
      <c r="H747" s="102" t="s">
        <v>238</v>
      </c>
      <c r="I747" s="122">
        <v>45190</v>
      </c>
      <c r="J747" s="103">
        <v>1794</v>
      </c>
      <c r="K747" s="103" t="s">
        <v>1512</v>
      </c>
      <c r="L747" s="103"/>
      <c r="M747" s="105">
        <v>252000</v>
      </c>
      <c r="N747" s="147">
        <v>0</v>
      </c>
      <c r="O747" s="147">
        <v>0</v>
      </c>
      <c r="P747" s="148">
        <v>0</v>
      </c>
      <c r="Q747" s="147">
        <v>0</v>
      </c>
      <c r="R747" s="149">
        <v>252000</v>
      </c>
      <c r="S7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7" s="150">
        <f ca="1">+IF(PROVEEDORES[[#This Row],[FECHA DE PAGO]]=0,TODAY()-PROVEEDORES[[#This Row],[FECHA DE FACTURACIÓN]]-PROVEEDORES[[#This Row],[PLAZO Días]],0)</f>
        <v>0</v>
      </c>
      <c r="U747" s="150">
        <f>+VLOOKUP(PROVEEDORES[[#This Row],[PROVEEDOR]],Terceros!$A:$E,4,FALSE)</f>
        <v>0</v>
      </c>
      <c r="V747" s="150">
        <f>+YEAR(PROVEEDORES[[#This Row],[FECHA DE FACTURACIÓN]])</f>
        <v>2023</v>
      </c>
      <c r="W747" s="150">
        <f>+MATCH(PROVEEDORES[[#This Row],[año facturado]],Retenciones!$1:$1,0)</f>
        <v>6</v>
      </c>
      <c r="X747" s="151">
        <f>+VLOOKUP(PROVEEDORES[[#This Row],[ID RETENCION]],Retenciones!$A$1:$O$25,PROVEEDORES[[#This Row],[indicador de columna]],FALSE)</f>
        <v>0</v>
      </c>
      <c r="Y747" s="152">
        <f>+VLOOKUP(PROVEEDORES[[#This Row],[ID RETENCION]],Retenciones!$A$1:$O$25,2,FALSE)</f>
        <v>0</v>
      </c>
      <c r="Z747" s="153" t="b">
        <f>+OR(COUNTIF(PROVEEDORES[[#This Row],[PROVEEDOR]],"*"&amp;'Palabra que no opera y Listas d'!$A$2&amp;"*"))</f>
        <v>0</v>
      </c>
    </row>
    <row r="748" spans="1:26" ht="27.75" customHeight="1" x14ac:dyDescent="0.3">
      <c r="A748" s="144" t="str">
        <f>+IF(PROVEEDORES[[#This Row],[FECHA DE PAGO]]=PROVEEDORES[[#This Row],[FECHA DE FACTURACIÓN]],"DE CONTADO","CRÉDITO")</f>
        <v>CRÉDITO</v>
      </c>
      <c r="B748" s="144" t="str">
        <f>+IF((PROVEEDORES[[#This Row],[FECHA DE PAGO]]-PROVEEDORES[[#This Row],[FECHA DE FACTURACIÓN]])&gt;PROVEEDORES[[#This Row],[PLAZO Días]],"PAGO VENCIDO")</f>
        <v>PAGO VENCIDO</v>
      </c>
      <c r="C748" s="144">
        <f>+VLOOKUP(PROVEEDORES[[#This Row],[PROVEEDOR]],TERCEROS_INFO[#All],2,FALSE)</f>
        <v>0</v>
      </c>
      <c r="D748" s="145">
        <f>+SUMIFS(PROVEEDORES[Total],PROVEEDORES[PROVEEDOR],PROVEEDORES[[#This Row],[PROVEEDOR]],PROVEEDORES[FECHA DE PAGO],"")</f>
        <v>0</v>
      </c>
      <c r="E748" s="146"/>
      <c r="F748" s="144">
        <f>+VLOOKUP(PROVEEDORES[[#This Row],[PROVEEDOR]],
                       Terceros!$A:$G,
                       5,
                       FALSE)</f>
        <v>0</v>
      </c>
      <c r="G748" s="122">
        <v>45205</v>
      </c>
      <c r="H748" s="102" t="s">
        <v>402</v>
      </c>
      <c r="I748" s="122">
        <v>45200</v>
      </c>
      <c r="J748" s="103" t="s">
        <v>184</v>
      </c>
      <c r="K748" s="103" t="s">
        <v>1512</v>
      </c>
      <c r="L748" s="103"/>
      <c r="M748" s="105">
        <v>411454</v>
      </c>
      <c r="N748" s="147">
        <v>0</v>
      </c>
      <c r="O748" s="147">
        <v>0</v>
      </c>
      <c r="P748" s="148">
        <v>0</v>
      </c>
      <c r="Q748" s="147">
        <v>0</v>
      </c>
      <c r="R748" s="149">
        <v>411454</v>
      </c>
      <c r="S7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8" s="150">
        <f ca="1">+IF(PROVEEDORES[[#This Row],[FECHA DE PAGO]]=0,TODAY()-PROVEEDORES[[#This Row],[FECHA DE FACTURACIÓN]]-PROVEEDORES[[#This Row],[PLAZO Días]],0)</f>
        <v>0</v>
      </c>
      <c r="U748" s="150">
        <f>+VLOOKUP(PROVEEDORES[[#This Row],[PROVEEDOR]],Terceros!$A:$E,4,FALSE)</f>
        <v>0</v>
      </c>
      <c r="V748" s="150">
        <f>+YEAR(PROVEEDORES[[#This Row],[FECHA DE FACTURACIÓN]])</f>
        <v>2023</v>
      </c>
      <c r="W748" s="150">
        <f>+MATCH(PROVEEDORES[[#This Row],[año facturado]],Retenciones!$1:$1,0)</f>
        <v>6</v>
      </c>
      <c r="X748" s="151">
        <f>+VLOOKUP(PROVEEDORES[[#This Row],[ID RETENCION]],Retenciones!$A$1:$O$25,PROVEEDORES[[#This Row],[indicador de columna]],FALSE)</f>
        <v>0</v>
      </c>
      <c r="Y748" s="152">
        <f>+VLOOKUP(PROVEEDORES[[#This Row],[ID RETENCION]],Retenciones!$A$1:$O$25,2,FALSE)</f>
        <v>0</v>
      </c>
      <c r="Z748" s="153" t="b">
        <f>+OR(COUNTIF(PROVEEDORES[[#This Row],[PROVEEDOR]],"*"&amp;'Palabra que no opera y Listas d'!$A$2&amp;"*"))</f>
        <v>1</v>
      </c>
    </row>
    <row r="749" spans="1:26" ht="27.75" customHeight="1" x14ac:dyDescent="0.3">
      <c r="A749" s="144" t="str">
        <f>+IF(PROVEEDORES[[#This Row],[FECHA DE PAGO]]=PROVEEDORES[[#This Row],[FECHA DE FACTURACIÓN]],"DE CONTADO","CRÉDITO")</f>
        <v>CRÉDITO</v>
      </c>
      <c r="B749" s="144" t="str">
        <f>+IF((PROVEEDORES[[#This Row],[FECHA DE PAGO]]-PROVEEDORES[[#This Row],[FECHA DE FACTURACIÓN]])&gt;PROVEEDORES[[#This Row],[PLAZO Días]],"PAGO VENCIDO")</f>
        <v>PAGO VENCIDO</v>
      </c>
      <c r="C749" s="144">
        <f>+VLOOKUP(PROVEEDORES[[#This Row],[PROVEEDOR]],TERCEROS_INFO[#All],2,FALSE)</f>
        <v>0</v>
      </c>
      <c r="D749" s="145">
        <f>+SUMIFS(PROVEEDORES[Total],PROVEEDORES[PROVEEDOR],PROVEEDORES[[#This Row],[PROVEEDOR]],PROVEEDORES[FECHA DE PAGO],"")</f>
        <v>2095000</v>
      </c>
      <c r="E749" s="146"/>
      <c r="F749" s="144">
        <f>+VLOOKUP(PROVEEDORES[[#This Row],[PROVEEDOR]],
                       Terceros!$A:$G,
                       5,
                       FALSE)</f>
        <v>0</v>
      </c>
      <c r="G749" s="122">
        <v>45206</v>
      </c>
      <c r="H749" s="102" t="s">
        <v>1781</v>
      </c>
      <c r="I749" s="122">
        <v>45149</v>
      </c>
      <c r="J749" s="103">
        <v>1863</v>
      </c>
      <c r="K749" s="103" t="s">
        <v>1512</v>
      </c>
      <c r="L749" s="103"/>
      <c r="M749" s="105">
        <v>1515000</v>
      </c>
      <c r="N749" s="147">
        <v>0</v>
      </c>
      <c r="O749" s="147">
        <v>0</v>
      </c>
      <c r="P749" s="148">
        <v>0</v>
      </c>
      <c r="Q749" s="147">
        <v>0</v>
      </c>
      <c r="R749" s="149">
        <v>1515000</v>
      </c>
      <c r="S7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9" s="150">
        <f ca="1">+IF(PROVEEDORES[[#This Row],[FECHA DE PAGO]]=0,TODAY()-PROVEEDORES[[#This Row],[FECHA DE FACTURACIÓN]]-PROVEEDORES[[#This Row],[PLAZO Días]],0)</f>
        <v>0</v>
      </c>
      <c r="U749" s="150">
        <f>+VLOOKUP(PROVEEDORES[[#This Row],[PROVEEDOR]],Terceros!$A:$E,4,FALSE)</f>
        <v>0</v>
      </c>
      <c r="V749" s="150">
        <f>+YEAR(PROVEEDORES[[#This Row],[FECHA DE FACTURACIÓN]])</f>
        <v>2023</v>
      </c>
      <c r="W749" s="150">
        <f>+MATCH(PROVEEDORES[[#This Row],[año facturado]],Retenciones!$1:$1,0)</f>
        <v>6</v>
      </c>
      <c r="X749" s="151">
        <f>+VLOOKUP(PROVEEDORES[[#This Row],[ID RETENCION]],Retenciones!$A$1:$O$25,PROVEEDORES[[#This Row],[indicador de columna]],FALSE)</f>
        <v>0</v>
      </c>
      <c r="Y749" s="152">
        <f>+VLOOKUP(PROVEEDORES[[#This Row],[ID RETENCION]],Retenciones!$A$1:$O$25,2,FALSE)</f>
        <v>0</v>
      </c>
      <c r="Z749" s="153" t="b">
        <f>+OR(COUNTIF(PROVEEDORES[[#This Row],[PROVEEDOR]],"*"&amp;'Palabra que no opera y Listas d'!$A$2&amp;"*"))</f>
        <v>0</v>
      </c>
    </row>
    <row r="750" spans="1:26" ht="27.75" customHeight="1" x14ac:dyDescent="0.3">
      <c r="A750" s="144" t="str">
        <f>+IF(PROVEEDORES[[#This Row],[FECHA DE PAGO]]=PROVEEDORES[[#This Row],[FECHA DE FACTURACIÓN]],"DE CONTADO","CRÉDITO")</f>
        <v>CRÉDITO</v>
      </c>
      <c r="B750" s="144" t="str">
        <f>+IF((PROVEEDORES[[#This Row],[FECHA DE PAGO]]-PROVEEDORES[[#This Row],[FECHA DE FACTURACIÓN]])&gt;PROVEEDORES[[#This Row],[PLAZO Días]],"PAGO VENCIDO")</f>
        <v>PAGO VENCIDO</v>
      </c>
      <c r="C750" s="144">
        <f>+VLOOKUP(PROVEEDORES[[#This Row],[PROVEEDOR]],TERCEROS_INFO[#All],2,FALSE)</f>
        <v>0</v>
      </c>
      <c r="D750" s="145">
        <f>+SUMIFS(PROVEEDORES[Total],PROVEEDORES[PROVEEDOR],PROVEEDORES[[#This Row],[PROVEEDOR]],PROVEEDORES[FECHA DE PAGO],"")</f>
        <v>0</v>
      </c>
      <c r="E750" s="146"/>
      <c r="F750" s="144">
        <f>+VLOOKUP(PROVEEDORES[[#This Row],[PROVEEDOR]],
                       Terceros!$A:$G,
                       5,
                       FALSE)</f>
        <v>0</v>
      </c>
      <c r="G750" s="122">
        <v>45207</v>
      </c>
      <c r="H750" s="102" t="s">
        <v>1782</v>
      </c>
      <c r="I750" s="122">
        <v>45191</v>
      </c>
      <c r="J750" s="103" t="s">
        <v>1115</v>
      </c>
      <c r="K750" s="103" t="s">
        <v>1512</v>
      </c>
      <c r="L750" s="103"/>
      <c r="M750" s="105">
        <v>546000</v>
      </c>
      <c r="N750" s="147">
        <v>0</v>
      </c>
      <c r="O750" s="147">
        <v>0</v>
      </c>
      <c r="P750" s="148">
        <v>0</v>
      </c>
      <c r="Q750" s="147">
        <v>0</v>
      </c>
      <c r="R750" s="149">
        <v>546000</v>
      </c>
      <c r="S7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0" s="150">
        <f ca="1">+IF(PROVEEDORES[[#This Row],[FECHA DE PAGO]]=0,TODAY()-PROVEEDORES[[#This Row],[FECHA DE FACTURACIÓN]]-PROVEEDORES[[#This Row],[PLAZO Días]],0)</f>
        <v>0</v>
      </c>
      <c r="U750" s="150">
        <f>+VLOOKUP(PROVEEDORES[[#This Row],[PROVEEDOR]],Terceros!$A:$E,4,FALSE)</f>
        <v>0</v>
      </c>
      <c r="V750" s="150">
        <f>+YEAR(PROVEEDORES[[#This Row],[FECHA DE FACTURACIÓN]])</f>
        <v>2023</v>
      </c>
      <c r="W750" s="150">
        <f>+MATCH(PROVEEDORES[[#This Row],[año facturado]],Retenciones!$1:$1,0)</f>
        <v>6</v>
      </c>
      <c r="X750" s="151">
        <f>+VLOOKUP(PROVEEDORES[[#This Row],[ID RETENCION]],Retenciones!$A$1:$O$25,PROVEEDORES[[#This Row],[indicador de columna]],FALSE)</f>
        <v>0</v>
      </c>
      <c r="Y750" s="152">
        <f>+VLOOKUP(PROVEEDORES[[#This Row],[ID RETENCION]],Retenciones!$A$1:$O$25,2,FALSE)</f>
        <v>0</v>
      </c>
      <c r="Z750" s="153" t="b">
        <f>+OR(COUNTIF(PROVEEDORES[[#This Row],[PROVEEDOR]],"*"&amp;'Palabra que no opera y Listas d'!$A$2&amp;"*"))</f>
        <v>0</v>
      </c>
    </row>
    <row r="751" spans="1:26" ht="27.75" customHeight="1" x14ac:dyDescent="0.3">
      <c r="A751" s="144" t="str">
        <f>+IF(PROVEEDORES[[#This Row],[FECHA DE PAGO]]=PROVEEDORES[[#This Row],[FECHA DE FACTURACIÓN]],"DE CONTADO","CRÉDITO")</f>
        <v>CRÉDITO</v>
      </c>
      <c r="B751" s="144" t="str">
        <f>+IF((PROVEEDORES[[#This Row],[FECHA DE PAGO]]-PROVEEDORES[[#This Row],[FECHA DE FACTURACIÓN]])&gt;PROVEEDORES[[#This Row],[PLAZO Días]],"PAGO VENCIDO")</f>
        <v>PAGO VENCIDO</v>
      </c>
      <c r="C751" s="144">
        <f>+VLOOKUP(PROVEEDORES[[#This Row],[PROVEEDOR]],TERCEROS_INFO[#All],2,FALSE)</f>
        <v>0</v>
      </c>
      <c r="D751" s="145">
        <f>+SUMIFS(PROVEEDORES[Total],PROVEEDORES[PROVEEDOR],PROVEEDORES[[#This Row],[PROVEEDOR]],PROVEEDORES[FECHA DE PAGO],"")</f>
        <v>11973060.324999999</v>
      </c>
      <c r="E751" s="146"/>
      <c r="F751" s="144" t="str">
        <f>+VLOOKUP(PROVEEDORES[[#This Row],[PROVEEDOR]],
                       Terceros!$A:$G,
                       5,
                       FALSE)</f>
        <v>2,5% con base</v>
      </c>
      <c r="G751" s="122">
        <v>45208</v>
      </c>
      <c r="H751" s="102" t="s">
        <v>70</v>
      </c>
      <c r="I751" s="122">
        <v>45135</v>
      </c>
      <c r="J751" s="103" t="s">
        <v>959</v>
      </c>
      <c r="K751" s="103" t="s">
        <v>1512</v>
      </c>
      <c r="L751" s="103"/>
      <c r="M751" s="105">
        <v>5771424</v>
      </c>
      <c r="N751" s="147">
        <v>1096570.56</v>
      </c>
      <c r="O751" s="147">
        <v>0</v>
      </c>
      <c r="P751" s="148">
        <v>2.5000000000000001E-2</v>
      </c>
      <c r="Q751" s="147">
        <v>144285.6</v>
      </c>
      <c r="R751" s="149">
        <v>6723708.9600000009</v>
      </c>
      <c r="S7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1" s="150">
        <f ca="1">+IF(PROVEEDORES[[#This Row],[FECHA DE PAGO]]=0,TODAY()-PROVEEDORES[[#This Row],[FECHA DE FACTURACIÓN]]-PROVEEDORES[[#This Row],[PLAZO Días]],0)</f>
        <v>0</v>
      </c>
      <c r="U751" s="150">
        <f>+VLOOKUP(PROVEEDORES[[#This Row],[PROVEEDOR]],Terceros!$A:$E,4,FALSE)</f>
        <v>0.19</v>
      </c>
      <c r="V751" s="150">
        <f>+YEAR(PROVEEDORES[[#This Row],[FECHA DE FACTURACIÓN]])</f>
        <v>2023</v>
      </c>
      <c r="W751" s="150">
        <f>+MATCH(PROVEEDORES[[#This Row],[año facturado]],Retenciones!$1:$1,0)</f>
        <v>6</v>
      </c>
      <c r="X751" s="151" t="e">
        <f>+VLOOKUP(PROVEEDORES[[#This Row],[ID RETENCION]],Retenciones!$A$1:$O$25,PROVEEDORES[[#This Row],[indicador de columna]],FALSE)</f>
        <v>#N/A</v>
      </c>
      <c r="Y751" s="152" t="e">
        <f>+VLOOKUP(PROVEEDORES[[#This Row],[ID RETENCION]],Retenciones!$A$1:$O$25,2,FALSE)</f>
        <v>#N/A</v>
      </c>
      <c r="Z751" s="153" t="b">
        <f>+OR(COUNTIF(PROVEEDORES[[#This Row],[PROVEEDOR]],"*"&amp;'Palabra que no opera y Listas d'!$A$2&amp;"*"))</f>
        <v>0</v>
      </c>
    </row>
    <row r="752" spans="1:26" ht="27.75" customHeight="1" x14ac:dyDescent="0.3">
      <c r="A752" s="144" t="str">
        <f>+IF(PROVEEDORES[[#This Row],[FECHA DE PAGO]]=PROVEEDORES[[#This Row],[FECHA DE FACTURACIÓN]],"DE CONTADO","CRÉDITO")</f>
        <v>CRÉDITO</v>
      </c>
      <c r="B752" s="144" t="str">
        <f>+IF((PROVEEDORES[[#This Row],[FECHA DE PAGO]]-PROVEEDORES[[#This Row],[FECHA DE FACTURACIÓN]])&gt;PROVEEDORES[[#This Row],[PLAZO Días]],"PAGO VENCIDO")</f>
        <v>PAGO VENCIDO</v>
      </c>
      <c r="C752" s="144">
        <f>+VLOOKUP(PROVEEDORES[[#This Row],[PROVEEDOR]],TERCEROS_INFO[#All],2,FALSE)</f>
        <v>0</v>
      </c>
      <c r="D752" s="145">
        <f>+SUMIFS(PROVEEDORES[Total],PROVEEDORES[PROVEEDOR],PROVEEDORES[[#This Row],[PROVEEDOR]],PROVEEDORES[FECHA DE PAGO],"")</f>
        <v>0</v>
      </c>
      <c r="E752" s="146"/>
      <c r="F752" s="144">
        <f>+VLOOKUP(PROVEEDORES[[#This Row],[PROVEEDOR]],
                       Terceros!$A:$G,
                       5,
                       FALSE)</f>
        <v>0</v>
      </c>
      <c r="G752" s="122">
        <v>45208</v>
      </c>
      <c r="H752" s="102" t="s">
        <v>1794</v>
      </c>
      <c r="I752" s="122">
        <v>45139</v>
      </c>
      <c r="J752" s="103" t="s">
        <v>952</v>
      </c>
      <c r="K752" s="103" t="s">
        <v>1512</v>
      </c>
      <c r="L752" s="103"/>
      <c r="M752" s="105">
        <v>4057000</v>
      </c>
      <c r="N752" s="147">
        <v>0</v>
      </c>
      <c r="O752" s="147">
        <v>0</v>
      </c>
      <c r="P752" s="148">
        <v>0</v>
      </c>
      <c r="Q752" s="147">
        <v>0</v>
      </c>
      <c r="R752" s="149">
        <v>4057000</v>
      </c>
      <c r="S7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2" s="150">
        <f ca="1">+IF(PROVEEDORES[[#This Row],[FECHA DE PAGO]]=0,TODAY()-PROVEEDORES[[#This Row],[FECHA DE FACTURACIÓN]]-PROVEEDORES[[#This Row],[PLAZO Días]],0)</f>
        <v>0</v>
      </c>
      <c r="U752" s="150">
        <f>+VLOOKUP(PROVEEDORES[[#This Row],[PROVEEDOR]],Terceros!$A:$E,4,FALSE)</f>
        <v>0</v>
      </c>
      <c r="V752" s="150">
        <f>+YEAR(PROVEEDORES[[#This Row],[FECHA DE FACTURACIÓN]])</f>
        <v>2023</v>
      </c>
      <c r="W752" s="150">
        <f>+MATCH(PROVEEDORES[[#This Row],[año facturado]],Retenciones!$1:$1,0)</f>
        <v>6</v>
      </c>
      <c r="X752" s="151">
        <f>+VLOOKUP(PROVEEDORES[[#This Row],[ID RETENCION]],Retenciones!$A$1:$O$25,PROVEEDORES[[#This Row],[indicador de columna]],FALSE)</f>
        <v>0</v>
      </c>
      <c r="Y752" s="152">
        <f>+VLOOKUP(PROVEEDORES[[#This Row],[ID RETENCION]],Retenciones!$A$1:$O$25,2,FALSE)</f>
        <v>0</v>
      </c>
      <c r="Z752" s="153" t="b">
        <f>+OR(COUNTIF(PROVEEDORES[[#This Row],[PROVEEDOR]],"*"&amp;'Palabra que no opera y Listas d'!$A$2&amp;"*"))</f>
        <v>0</v>
      </c>
    </row>
    <row r="753" spans="1:26" ht="27.75" customHeight="1" x14ac:dyDescent="0.3">
      <c r="A753" s="144" t="str">
        <f>+IF(PROVEEDORES[[#This Row],[FECHA DE PAGO]]=PROVEEDORES[[#This Row],[FECHA DE FACTURACIÓN]],"DE CONTADO","CRÉDITO")</f>
        <v>CRÉDITO</v>
      </c>
      <c r="B753" s="144" t="str">
        <f>+IF((PROVEEDORES[[#This Row],[FECHA DE PAGO]]-PROVEEDORES[[#This Row],[FECHA DE FACTURACIÓN]])&gt;PROVEEDORES[[#This Row],[PLAZO Días]],"PAGO VENCIDO")</f>
        <v>PAGO VENCIDO</v>
      </c>
      <c r="C753" s="144">
        <f>+VLOOKUP(PROVEEDORES[[#This Row],[PROVEEDOR]],TERCEROS_INFO[#All],2,FALSE)</f>
        <v>0</v>
      </c>
      <c r="D753" s="145">
        <f>+SUMIFS(PROVEEDORES[Total],PROVEEDORES[PROVEEDOR],PROVEEDORES[[#This Row],[PROVEEDOR]],PROVEEDORES[FECHA DE PAGO],"")</f>
        <v>0</v>
      </c>
      <c r="E753" s="146"/>
      <c r="F753" s="144" t="str">
        <f>+VLOOKUP(PROVEEDORES[[#This Row],[PROVEEDOR]],
                       Terceros!$A:$G,
                       5,
                       FALSE)</f>
        <v>2,5% con base</v>
      </c>
      <c r="G753" s="122">
        <v>45208</v>
      </c>
      <c r="H753" s="102" t="s">
        <v>956</v>
      </c>
      <c r="I753" s="122">
        <v>45140</v>
      </c>
      <c r="J753" s="103" t="s">
        <v>958</v>
      </c>
      <c r="K753" s="103" t="s">
        <v>1512</v>
      </c>
      <c r="L753" s="103"/>
      <c r="M753" s="105">
        <v>3115967</v>
      </c>
      <c r="N753" s="147">
        <v>592033.73</v>
      </c>
      <c r="O753" s="147">
        <v>0</v>
      </c>
      <c r="P753" s="148">
        <v>2.5000000000000001E-2</v>
      </c>
      <c r="Q753" s="147">
        <v>77899.175000000003</v>
      </c>
      <c r="R753" s="149">
        <v>3630101.5550000002</v>
      </c>
      <c r="S7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3" s="150">
        <f ca="1">+IF(PROVEEDORES[[#This Row],[FECHA DE PAGO]]=0,TODAY()-PROVEEDORES[[#This Row],[FECHA DE FACTURACIÓN]]-PROVEEDORES[[#This Row],[PLAZO Días]],0)</f>
        <v>0</v>
      </c>
      <c r="U753" s="150">
        <f>+VLOOKUP(PROVEEDORES[[#This Row],[PROVEEDOR]],Terceros!$A:$E,4,FALSE)</f>
        <v>0.19</v>
      </c>
      <c r="V753" s="150">
        <f>+YEAR(PROVEEDORES[[#This Row],[FECHA DE FACTURACIÓN]])</f>
        <v>2023</v>
      </c>
      <c r="W753" s="150">
        <f>+MATCH(PROVEEDORES[[#This Row],[año facturado]],Retenciones!$1:$1,0)</f>
        <v>6</v>
      </c>
      <c r="X753" s="151" t="e">
        <f>+VLOOKUP(PROVEEDORES[[#This Row],[ID RETENCION]],Retenciones!$A$1:$O$25,PROVEEDORES[[#This Row],[indicador de columna]],FALSE)</f>
        <v>#N/A</v>
      </c>
      <c r="Y753" s="152" t="e">
        <f>+VLOOKUP(PROVEEDORES[[#This Row],[ID RETENCION]],Retenciones!$A$1:$O$25,2,FALSE)</f>
        <v>#N/A</v>
      </c>
      <c r="Z753" s="153" t="b">
        <f>+OR(COUNTIF(PROVEEDORES[[#This Row],[PROVEEDOR]],"*"&amp;'Palabra que no opera y Listas d'!$A$2&amp;"*"))</f>
        <v>0</v>
      </c>
    </row>
    <row r="754" spans="1:26" ht="27.75" customHeight="1" x14ac:dyDescent="0.3">
      <c r="A754" s="144" t="str">
        <f>+IF(PROVEEDORES[[#This Row],[FECHA DE PAGO]]=PROVEEDORES[[#This Row],[FECHA DE FACTURACIÓN]],"DE CONTADO","CRÉDITO")</f>
        <v>CRÉDITO</v>
      </c>
      <c r="B754" s="144" t="str">
        <f>+IF((PROVEEDORES[[#This Row],[FECHA DE PAGO]]-PROVEEDORES[[#This Row],[FECHA DE FACTURACIÓN]])&gt;PROVEEDORES[[#This Row],[PLAZO Días]],"PAGO VENCIDO")</f>
        <v>PAGO VENCIDO</v>
      </c>
      <c r="C754" s="144">
        <f>+VLOOKUP(PROVEEDORES[[#This Row],[PROVEEDOR]],TERCEROS_INFO[#All],2,FALSE)</f>
        <v>0</v>
      </c>
      <c r="D754" s="145">
        <f>+SUMIFS(PROVEEDORES[Total],PROVEEDORES[PROVEEDOR],PROVEEDORES[[#This Row],[PROVEEDOR]],PROVEEDORES[FECHA DE PAGO],"")</f>
        <v>8493745.8849999998</v>
      </c>
      <c r="E754" s="146"/>
      <c r="F754" s="144" t="str">
        <f>+VLOOKUP(PROVEEDORES[[#This Row],[PROVEEDOR]],
                       Terceros!$A:$G,
                       5,
                       FALSE)</f>
        <v>2,5% con base</v>
      </c>
      <c r="G754" s="122">
        <v>45208</v>
      </c>
      <c r="H754" s="102" t="s">
        <v>10</v>
      </c>
      <c r="I754" s="122">
        <v>45141</v>
      </c>
      <c r="J754" s="103" t="s">
        <v>964</v>
      </c>
      <c r="K754" s="103" t="s">
        <v>1512</v>
      </c>
      <c r="L754" s="103"/>
      <c r="M754" s="105">
        <v>2420172</v>
      </c>
      <c r="N754" s="147">
        <v>459832.68</v>
      </c>
      <c r="O754" s="147">
        <v>0</v>
      </c>
      <c r="P754" s="148">
        <v>2.5000000000000001E-2</v>
      </c>
      <c r="Q754" s="147">
        <v>60504.3</v>
      </c>
      <c r="R754" s="149">
        <v>2819500.3800000004</v>
      </c>
      <c r="S7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4" s="150">
        <f ca="1">+IF(PROVEEDORES[[#This Row],[FECHA DE PAGO]]=0,TODAY()-PROVEEDORES[[#This Row],[FECHA DE FACTURACIÓN]]-PROVEEDORES[[#This Row],[PLAZO Días]],0)</f>
        <v>0</v>
      </c>
      <c r="U754" s="150">
        <f>+VLOOKUP(PROVEEDORES[[#This Row],[PROVEEDOR]],Terceros!$A:$E,4,FALSE)</f>
        <v>0.19</v>
      </c>
      <c r="V754" s="150">
        <f>+YEAR(PROVEEDORES[[#This Row],[FECHA DE FACTURACIÓN]])</f>
        <v>2023</v>
      </c>
      <c r="W754" s="150">
        <f>+MATCH(PROVEEDORES[[#This Row],[año facturado]],Retenciones!$1:$1,0)</f>
        <v>6</v>
      </c>
      <c r="X754" s="151" t="e">
        <f>+VLOOKUP(PROVEEDORES[[#This Row],[ID RETENCION]],Retenciones!$A$1:$O$25,PROVEEDORES[[#This Row],[indicador de columna]],FALSE)</f>
        <v>#N/A</v>
      </c>
      <c r="Y754" s="152" t="e">
        <f>+VLOOKUP(PROVEEDORES[[#This Row],[ID RETENCION]],Retenciones!$A$1:$O$25,2,FALSE)</f>
        <v>#N/A</v>
      </c>
      <c r="Z754" s="153" t="b">
        <f>+OR(COUNTIF(PROVEEDORES[[#This Row],[PROVEEDOR]],"*"&amp;'Palabra que no opera y Listas d'!$A$2&amp;"*"))</f>
        <v>0</v>
      </c>
    </row>
    <row r="755" spans="1:26" ht="27.75" customHeight="1" x14ac:dyDescent="0.3">
      <c r="A755" s="144" t="str">
        <f>+IF(PROVEEDORES[[#This Row],[FECHA DE PAGO]]=PROVEEDORES[[#This Row],[FECHA DE FACTURACIÓN]],"DE CONTADO","CRÉDITO")</f>
        <v>CRÉDITO</v>
      </c>
      <c r="B755" s="144" t="str">
        <f>+IF((PROVEEDORES[[#This Row],[FECHA DE PAGO]]-PROVEEDORES[[#This Row],[FECHA DE FACTURACIÓN]])&gt;PROVEEDORES[[#This Row],[PLAZO Días]],"PAGO VENCIDO")</f>
        <v>PAGO VENCIDO</v>
      </c>
      <c r="C755" s="144">
        <f>+VLOOKUP(PROVEEDORES[[#This Row],[PROVEEDOR]],TERCEROS_INFO[#All],2,FALSE)</f>
        <v>0</v>
      </c>
      <c r="D755" s="145">
        <f>+SUMIFS(PROVEEDORES[Total],PROVEEDORES[PROVEEDOR],PROVEEDORES[[#This Row],[PROVEEDOR]],PROVEEDORES[FECHA DE PAGO],"")</f>
        <v>3461120</v>
      </c>
      <c r="E755" s="146"/>
      <c r="F755" s="144" t="str">
        <f>+VLOOKUP(PROVEEDORES[[#This Row],[PROVEEDOR]],
                       Terceros!$A:$G,
                       5,
                       FALSE)</f>
        <v>2,5% con base</v>
      </c>
      <c r="G755" s="122">
        <v>45208</v>
      </c>
      <c r="H755" s="102" t="s">
        <v>9</v>
      </c>
      <c r="I755" s="122">
        <v>45142</v>
      </c>
      <c r="J755" s="103" t="s">
        <v>965</v>
      </c>
      <c r="K755" s="103" t="s">
        <v>1512</v>
      </c>
      <c r="L755" s="103"/>
      <c r="M755" s="105">
        <v>1250000</v>
      </c>
      <c r="N755" s="147">
        <v>237500</v>
      </c>
      <c r="O755" s="147">
        <v>0</v>
      </c>
      <c r="P755" s="148">
        <v>2.5000000000000001E-2</v>
      </c>
      <c r="Q755" s="147">
        <v>31250</v>
      </c>
      <c r="R755" s="149">
        <v>1456250</v>
      </c>
      <c r="S7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5" s="150">
        <f ca="1">+IF(PROVEEDORES[[#This Row],[FECHA DE PAGO]]=0,TODAY()-PROVEEDORES[[#This Row],[FECHA DE FACTURACIÓN]]-PROVEEDORES[[#This Row],[PLAZO Días]],0)</f>
        <v>0</v>
      </c>
      <c r="U755" s="150">
        <f>+VLOOKUP(PROVEEDORES[[#This Row],[PROVEEDOR]],Terceros!$A:$E,4,FALSE)</f>
        <v>0.19</v>
      </c>
      <c r="V755" s="150">
        <f>+YEAR(PROVEEDORES[[#This Row],[FECHA DE FACTURACIÓN]])</f>
        <v>2023</v>
      </c>
      <c r="W755" s="150">
        <f>+MATCH(PROVEEDORES[[#This Row],[año facturado]],Retenciones!$1:$1,0)</f>
        <v>6</v>
      </c>
      <c r="X755" s="151" t="e">
        <f>+VLOOKUP(PROVEEDORES[[#This Row],[ID RETENCION]],Retenciones!$A$1:$O$25,PROVEEDORES[[#This Row],[indicador de columna]],FALSE)</f>
        <v>#N/A</v>
      </c>
      <c r="Y755" s="152" t="e">
        <f>+VLOOKUP(PROVEEDORES[[#This Row],[ID RETENCION]],Retenciones!$A$1:$O$25,2,FALSE)</f>
        <v>#N/A</v>
      </c>
      <c r="Z755" s="153" t="b">
        <f>+OR(COUNTIF(PROVEEDORES[[#This Row],[PROVEEDOR]],"*"&amp;'Palabra que no opera y Listas d'!$A$2&amp;"*"))</f>
        <v>0</v>
      </c>
    </row>
    <row r="756" spans="1:26" ht="27.75" customHeight="1" x14ac:dyDescent="0.3">
      <c r="A756" s="144" t="str">
        <f>+IF(PROVEEDORES[[#This Row],[FECHA DE PAGO]]=PROVEEDORES[[#This Row],[FECHA DE FACTURACIÓN]],"DE CONTADO","CRÉDITO")</f>
        <v>CRÉDITO</v>
      </c>
      <c r="B756" s="144" t="str">
        <f>+IF((PROVEEDORES[[#This Row],[FECHA DE PAGO]]-PROVEEDORES[[#This Row],[FECHA DE FACTURACIÓN]])&gt;PROVEEDORES[[#This Row],[PLAZO Días]],"PAGO VENCIDO")</f>
        <v>PAGO VENCIDO</v>
      </c>
      <c r="C756" s="144">
        <f>+VLOOKUP(PROVEEDORES[[#This Row],[PROVEEDOR]],TERCEROS_INFO[#All],2,FALSE)</f>
        <v>0</v>
      </c>
      <c r="D756" s="145">
        <f>+SUMIFS(PROVEEDORES[Total],PROVEEDORES[PROVEEDOR],PROVEEDORES[[#This Row],[PROVEEDOR]],PROVEEDORES[FECHA DE PAGO],"")</f>
        <v>31839627.134999998</v>
      </c>
      <c r="E756" s="146"/>
      <c r="F756" s="144" t="str">
        <f>+VLOOKUP(PROVEEDORES[[#This Row],[PROVEEDOR]],
                       Terceros!$A:$G,
                       5,
                       FALSE)</f>
        <v>2,5% con base</v>
      </c>
      <c r="G756" s="122">
        <v>45208</v>
      </c>
      <c r="H756" s="102" t="s">
        <v>17</v>
      </c>
      <c r="I756" s="122">
        <v>45146</v>
      </c>
      <c r="J756" s="103" t="s">
        <v>977</v>
      </c>
      <c r="K756" s="103" t="s">
        <v>1512</v>
      </c>
      <c r="L756" s="103"/>
      <c r="M756" s="105">
        <v>2539374</v>
      </c>
      <c r="N756" s="147">
        <v>482481.06</v>
      </c>
      <c r="O756" s="147">
        <v>0</v>
      </c>
      <c r="P756" s="148">
        <v>2.5000000000000001E-2</v>
      </c>
      <c r="Q756" s="147">
        <v>63484.350000000006</v>
      </c>
      <c r="R756" s="149">
        <v>2958370.71</v>
      </c>
      <c r="S7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6" s="150">
        <f ca="1">+IF(PROVEEDORES[[#This Row],[FECHA DE PAGO]]=0,TODAY()-PROVEEDORES[[#This Row],[FECHA DE FACTURACIÓN]]-PROVEEDORES[[#This Row],[PLAZO Días]],0)</f>
        <v>0</v>
      </c>
      <c r="U756" s="150">
        <f>+VLOOKUP(PROVEEDORES[[#This Row],[PROVEEDOR]],Terceros!$A:$E,4,FALSE)</f>
        <v>0.19</v>
      </c>
      <c r="V756" s="150">
        <f>+YEAR(PROVEEDORES[[#This Row],[FECHA DE FACTURACIÓN]])</f>
        <v>2023</v>
      </c>
      <c r="W756" s="150">
        <f>+MATCH(PROVEEDORES[[#This Row],[año facturado]],Retenciones!$1:$1,0)</f>
        <v>6</v>
      </c>
      <c r="X756" s="151" t="e">
        <f>+VLOOKUP(PROVEEDORES[[#This Row],[ID RETENCION]],Retenciones!$A$1:$O$25,PROVEEDORES[[#This Row],[indicador de columna]],FALSE)</f>
        <v>#N/A</v>
      </c>
      <c r="Y756" s="152" t="e">
        <f>+VLOOKUP(PROVEEDORES[[#This Row],[ID RETENCION]],Retenciones!$A$1:$O$25,2,FALSE)</f>
        <v>#N/A</v>
      </c>
      <c r="Z756" s="153" t="b">
        <f>+OR(COUNTIF(PROVEEDORES[[#This Row],[PROVEEDOR]],"*"&amp;'Palabra que no opera y Listas d'!$A$2&amp;"*"))</f>
        <v>0</v>
      </c>
    </row>
    <row r="757" spans="1:26" ht="27.75" customHeight="1" x14ac:dyDescent="0.3">
      <c r="A757" s="144" t="str">
        <f>+IF(PROVEEDORES[[#This Row],[FECHA DE PAGO]]=PROVEEDORES[[#This Row],[FECHA DE FACTURACIÓN]],"DE CONTADO","CRÉDITO")</f>
        <v>CRÉDITO</v>
      </c>
      <c r="B757" s="144" t="str">
        <f>+IF((PROVEEDORES[[#This Row],[FECHA DE PAGO]]-PROVEEDORES[[#This Row],[FECHA DE FACTURACIÓN]])&gt;PROVEEDORES[[#This Row],[PLAZO Días]],"PAGO VENCIDO")</f>
        <v>PAGO VENCIDO</v>
      </c>
      <c r="C757" s="144">
        <f>+VLOOKUP(PROVEEDORES[[#This Row],[PROVEEDOR]],TERCEROS_INFO[#All],2,FALSE)</f>
        <v>0</v>
      </c>
      <c r="D757" s="145">
        <f>+SUMIFS(PROVEEDORES[Total],PROVEEDORES[PROVEEDOR],PROVEEDORES[[#This Row],[PROVEEDOR]],PROVEEDORES[FECHA DE PAGO],"")</f>
        <v>31839627.134999998</v>
      </c>
      <c r="E757" s="146"/>
      <c r="F757" s="144" t="str">
        <f>+VLOOKUP(PROVEEDORES[[#This Row],[PROVEEDOR]],
                       Terceros!$A:$G,
                       5,
                       FALSE)</f>
        <v>2,5% con base</v>
      </c>
      <c r="G757" s="122">
        <v>45208</v>
      </c>
      <c r="H757" s="102" t="s">
        <v>17</v>
      </c>
      <c r="I757" s="122">
        <v>45153</v>
      </c>
      <c r="J757" s="103" t="s">
        <v>1011</v>
      </c>
      <c r="K757" s="103" t="s">
        <v>1512</v>
      </c>
      <c r="L757" s="103"/>
      <c r="M757" s="105">
        <v>3257262</v>
      </c>
      <c r="N757" s="147">
        <v>618879.78</v>
      </c>
      <c r="O757" s="147">
        <v>0</v>
      </c>
      <c r="P757" s="148">
        <v>2.5000000000000001E-2</v>
      </c>
      <c r="Q757" s="147">
        <v>81431.55</v>
      </c>
      <c r="R757" s="149">
        <v>3794710.2300000004</v>
      </c>
      <c r="S7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7" s="150">
        <f ca="1">+IF(PROVEEDORES[[#This Row],[FECHA DE PAGO]]=0,TODAY()-PROVEEDORES[[#This Row],[FECHA DE FACTURACIÓN]]-PROVEEDORES[[#This Row],[PLAZO Días]],0)</f>
        <v>0</v>
      </c>
      <c r="U757" s="150">
        <f>+VLOOKUP(PROVEEDORES[[#This Row],[PROVEEDOR]],Terceros!$A:$E,4,FALSE)</f>
        <v>0.19</v>
      </c>
      <c r="V757" s="150">
        <f>+YEAR(PROVEEDORES[[#This Row],[FECHA DE FACTURACIÓN]])</f>
        <v>2023</v>
      </c>
      <c r="W757" s="150">
        <f>+MATCH(PROVEEDORES[[#This Row],[año facturado]],Retenciones!$1:$1,0)</f>
        <v>6</v>
      </c>
      <c r="X757" s="151" t="e">
        <f>+VLOOKUP(PROVEEDORES[[#This Row],[ID RETENCION]],Retenciones!$A$1:$O$25,PROVEEDORES[[#This Row],[indicador de columna]],FALSE)</f>
        <v>#N/A</v>
      </c>
      <c r="Y757" s="152" t="e">
        <f>+VLOOKUP(PROVEEDORES[[#This Row],[ID RETENCION]],Retenciones!$A$1:$O$25,2,FALSE)</f>
        <v>#N/A</v>
      </c>
      <c r="Z757" s="153" t="b">
        <f>+OR(COUNTIF(PROVEEDORES[[#This Row],[PROVEEDOR]],"*"&amp;'Palabra que no opera y Listas d'!$A$2&amp;"*"))</f>
        <v>0</v>
      </c>
    </row>
    <row r="758" spans="1:26" ht="27.75" customHeight="1" x14ac:dyDescent="0.3">
      <c r="A758" s="144" t="str">
        <f>+IF(PROVEEDORES[[#This Row],[FECHA DE PAGO]]=PROVEEDORES[[#This Row],[FECHA DE FACTURACIÓN]],"DE CONTADO","CRÉDITO")</f>
        <v>CRÉDITO</v>
      </c>
      <c r="B758" s="144" t="str">
        <f>+IF((PROVEEDORES[[#This Row],[FECHA DE PAGO]]-PROVEEDORES[[#This Row],[FECHA DE FACTURACIÓN]])&gt;PROVEEDORES[[#This Row],[PLAZO Días]],"PAGO VENCIDO")</f>
        <v>PAGO VENCIDO</v>
      </c>
      <c r="C758" s="144">
        <f>+VLOOKUP(PROVEEDORES[[#This Row],[PROVEEDOR]],TERCEROS_INFO[#All],2,FALSE)</f>
        <v>0</v>
      </c>
      <c r="D758" s="145">
        <f>+SUMIFS(PROVEEDORES[Total],PROVEEDORES[PROVEEDOR],PROVEEDORES[[#This Row],[PROVEEDOR]],PROVEEDORES[FECHA DE PAGO],"")</f>
        <v>0</v>
      </c>
      <c r="E758" s="146"/>
      <c r="F758" s="144" t="str">
        <f>+VLOOKUP(PROVEEDORES[[#This Row],[PROVEEDOR]],
                       Terceros!$A:$G,
                       5,
                       FALSE)</f>
        <v>2,5% con base</v>
      </c>
      <c r="G758" s="122">
        <v>45208</v>
      </c>
      <c r="H758" s="102" t="s">
        <v>956</v>
      </c>
      <c r="I758" s="122">
        <v>45153</v>
      </c>
      <c r="J758" s="103" t="s">
        <v>1010</v>
      </c>
      <c r="K758" s="103" t="s">
        <v>1512</v>
      </c>
      <c r="L758" s="103"/>
      <c r="M758" s="105">
        <v>327731</v>
      </c>
      <c r="N758" s="147">
        <v>62268.89</v>
      </c>
      <c r="O758" s="147">
        <v>0</v>
      </c>
      <c r="P758" s="148">
        <v>0</v>
      </c>
      <c r="Q758" s="147">
        <v>0</v>
      </c>
      <c r="R758" s="149">
        <v>389999.89</v>
      </c>
      <c r="S7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8" s="150">
        <f ca="1">+IF(PROVEEDORES[[#This Row],[FECHA DE PAGO]]=0,TODAY()-PROVEEDORES[[#This Row],[FECHA DE FACTURACIÓN]]-PROVEEDORES[[#This Row],[PLAZO Días]],0)</f>
        <v>0</v>
      </c>
      <c r="U758" s="150">
        <f>+VLOOKUP(PROVEEDORES[[#This Row],[PROVEEDOR]],Terceros!$A:$E,4,FALSE)</f>
        <v>0.19</v>
      </c>
      <c r="V758" s="150">
        <f>+YEAR(PROVEEDORES[[#This Row],[FECHA DE FACTURACIÓN]])</f>
        <v>2023</v>
      </c>
      <c r="W758" s="150">
        <f>+MATCH(PROVEEDORES[[#This Row],[año facturado]],Retenciones!$1:$1,0)</f>
        <v>6</v>
      </c>
      <c r="X758" s="151" t="e">
        <f>+VLOOKUP(PROVEEDORES[[#This Row],[ID RETENCION]],Retenciones!$A$1:$O$25,PROVEEDORES[[#This Row],[indicador de columna]],FALSE)</f>
        <v>#N/A</v>
      </c>
      <c r="Y758" s="152" t="e">
        <f>+VLOOKUP(PROVEEDORES[[#This Row],[ID RETENCION]],Retenciones!$A$1:$O$25,2,FALSE)</f>
        <v>#N/A</v>
      </c>
      <c r="Z758" s="153" t="b">
        <f>+OR(COUNTIF(PROVEEDORES[[#This Row],[PROVEEDOR]],"*"&amp;'Palabra que no opera y Listas d'!$A$2&amp;"*"))</f>
        <v>0</v>
      </c>
    </row>
    <row r="759" spans="1:26" ht="27.75" customHeight="1" x14ac:dyDescent="0.3">
      <c r="A759" s="144" t="str">
        <f>+IF(PROVEEDORES[[#This Row],[FECHA DE PAGO]]=PROVEEDORES[[#This Row],[FECHA DE FACTURACIÓN]],"DE CONTADO","CRÉDITO")</f>
        <v>CRÉDITO</v>
      </c>
      <c r="B759" s="144" t="str">
        <f>+IF((PROVEEDORES[[#This Row],[FECHA DE PAGO]]-PROVEEDORES[[#This Row],[FECHA DE FACTURACIÓN]])&gt;PROVEEDORES[[#This Row],[PLAZO Días]],"PAGO VENCIDO")</f>
        <v>PAGO VENCIDO</v>
      </c>
      <c r="C759" s="144">
        <f>+VLOOKUP(PROVEEDORES[[#This Row],[PROVEEDOR]],TERCEROS_INFO[#All],2,FALSE)</f>
        <v>0</v>
      </c>
      <c r="D759" s="145">
        <f>+SUMIFS(PROVEEDORES[Total],PROVEEDORES[PROVEEDOR],PROVEEDORES[[#This Row],[PROVEEDOR]],PROVEEDORES[FECHA DE PAGO],"")</f>
        <v>3461120</v>
      </c>
      <c r="E759" s="146"/>
      <c r="F759" s="144" t="str">
        <f>+VLOOKUP(PROVEEDORES[[#This Row],[PROVEEDOR]],
                       Terceros!$A:$G,
                       5,
                       FALSE)</f>
        <v>2,5% con base</v>
      </c>
      <c r="G759" s="122">
        <v>45208</v>
      </c>
      <c r="H759" s="102" t="s">
        <v>9</v>
      </c>
      <c r="I759" s="122">
        <v>45153</v>
      </c>
      <c r="J759" s="103" t="s">
        <v>1019</v>
      </c>
      <c r="K759" s="103" t="s">
        <v>1512</v>
      </c>
      <c r="L759" s="103"/>
      <c r="M759" s="105">
        <v>768000</v>
      </c>
      <c r="N759" s="147">
        <v>145920</v>
      </c>
      <c r="O759" s="147">
        <v>0</v>
      </c>
      <c r="P759" s="148">
        <v>0</v>
      </c>
      <c r="Q759" s="147">
        <v>0</v>
      </c>
      <c r="R759" s="149">
        <v>913920</v>
      </c>
      <c r="S7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9" s="150">
        <f ca="1">+IF(PROVEEDORES[[#This Row],[FECHA DE PAGO]]=0,TODAY()-PROVEEDORES[[#This Row],[FECHA DE FACTURACIÓN]]-PROVEEDORES[[#This Row],[PLAZO Días]],0)</f>
        <v>0</v>
      </c>
      <c r="U759" s="150">
        <f>+VLOOKUP(PROVEEDORES[[#This Row],[PROVEEDOR]],Terceros!$A:$E,4,FALSE)</f>
        <v>0.19</v>
      </c>
      <c r="V759" s="150">
        <f>+YEAR(PROVEEDORES[[#This Row],[FECHA DE FACTURACIÓN]])</f>
        <v>2023</v>
      </c>
      <c r="W759" s="150">
        <f>+MATCH(PROVEEDORES[[#This Row],[año facturado]],Retenciones!$1:$1,0)</f>
        <v>6</v>
      </c>
      <c r="X759" s="151" t="e">
        <f>+VLOOKUP(PROVEEDORES[[#This Row],[ID RETENCION]],Retenciones!$A$1:$O$25,PROVEEDORES[[#This Row],[indicador de columna]],FALSE)</f>
        <v>#N/A</v>
      </c>
      <c r="Y759" s="152" t="e">
        <f>+VLOOKUP(PROVEEDORES[[#This Row],[ID RETENCION]],Retenciones!$A$1:$O$25,2,FALSE)</f>
        <v>#N/A</v>
      </c>
      <c r="Z759" s="153" t="b">
        <f>+OR(COUNTIF(PROVEEDORES[[#This Row],[PROVEEDOR]],"*"&amp;'Palabra que no opera y Listas d'!$A$2&amp;"*"))</f>
        <v>0</v>
      </c>
    </row>
    <row r="760" spans="1:26" ht="27.75" customHeight="1" x14ac:dyDescent="0.3">
      <c r="A760" s="144" t="str">
        <f>+IF(PROVEEDORES[[#This Row],[FECHA DE PAGO]]=PROVEEDORES[[#This Row],[FECHA DE FACTURACIÓN]],"DE CONTADO","CRÉDITO")</f>
        <v>CRÉDITO</v>
      </c>
      <c r="B760" s="144" t="str">
        <f>+IF((PROVEEDORES[[#This Row],[FECHA DE PAGO]]-PROVEEDORES[[#This Row],[FECHA DE FACTURACIÓN]])&gt;PROVEEDORES[[#This Row],[PLAZO Días]],"PAGO VENCIDO")</f>
        <v>PAGO VENCIDO</v>
      </c>
      <c r="C760" s="144">
        <f>+VLOOKUP(PROVEEDORES[[#This Row],[PROVEEDOR]],TERCEROS_INFO[#All],2,FALSE)</f>
        <v>0</v>
      </c>
      <c r="D760" s="145">
        <f>+SUMIFS(PROVEEDORES[Total],PROVEEDORES[PROVEEDOR],PROVEEDORES[[#This Row],[PROVEEDOR]],PROVEEDORES[FECHA DE PAGO],"")</f>
        <v>3461120</v>
      </c>
      <c r="E760" s="146"/>
      <c r="F760" s="144" t="str">
        <f>+VLOOKUP(PROVEEDORES[[#This Row],[PROVEEDOR]],
                       Terceros!$A:$G,
                       5,
                       FALSE)</f>
        <v>2,5% con base</v>
      </c>
      <c r="G760" s="122">
        <v>45208</v>
      </c>
      <c r="H760" s="102" t="s">
        <v>9</v>
      </c>
      <c r="I760" s="122">
        <v>45154</v>
      </c>
      <c r="J760" s="103" t="s">
        <v>1018</v>
      </c>
      <c r="K760" s="103" t="s">
        <v>1512</v>
      </c>
      <c r="L760" s="103"/>
      <c r="M760" s="105">
        <v>3900000</v>
      </c>
      <c r="N760" s="147">
        <v>741000</v>
      </c>
      <c r="O760" s="147">
        <v>0</v>
      </c>
      <c r="P760" s="148">
        <v>2.5000000000000001E-2</v>
      </c>
      <c r="Q760" s="147">
        <v>97500</v>
      </c>
      <c r="R760" s="149">
        <v>4543500</v>
      </c>
      <c r="S7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0" s="150">
        <f ca="1">+IF(PROVEEDORES[[#This Row],[FECHA DE PAGO]]=0,TODAY()-PROVEEDORES[[#This Row],[FECHA DE FACTURACIÓN]]-PROVEEDORES[[#This Row],[PLAZO Días]],0)</f>
        <v>0</v>
      </c>
      <c r="U760" s="150">
        <f>+VLOOKUP(PROVEEDORES[[#This Row],[PROVEEDOR]],Terceros!$A:$E,4,FALSE)</f>
        <v>0.19</v>
      </c>
      <c r="V760" s="150">
        <f>+YEAR(PROVEEDORES[[#This Row],[FECHA DE FACTURACIÓN]])</f>
        <v>2023</v>
      </c>
      <c r="W760" s="150">
        <f>+MATCH(PROVEEDORES[[#This Row],[año facturado]],Retenciones!$1:$1,0)</f>
        <v>6</v>
      </c>
      <c r="X760" s="151" t="e">
        <f>+VLOOKUP(PROVEEDORES[[#This Row],[ID RETENCION]],Retenciones!$A$1:$O$25,PROVEEDORES[[#This Row],[indicador de columna]],FALSE)</f>
        <v>#N/A</v>
      </c>
      <c r="Y760" s="152" t="e">
        <f>+VLOOKUP(PROVEEDORES[[#This Row],[ID RETENCION]],Retenciones!$A$1:$O$25,2,FALSE)</f>
        <v>#N/A</v>
      </c>
      <c r="Z760" s="153" t="b">
        <f>+OR(COUNTIF(PROVEEDORES[[#This Row],[PROVEEDOR]],"*"&amp;'Palabra que no opera y Listas d'!$A$2&amp;"*"))</f>
        <v>0</v>
      </c>
    </row>
    <row r="761" spans="1:26" ht="27.75" customHeight="1" x14ac:dyDescent="0.3">
      <c r="A761" s="144" t="str">
        <f>+IF(PROVEEDORES[[#This Row],[FECHA DE PAGO]]=PROVEEDORES[[#This Row],[FECHA DE FACTURACIÓN]],"DE CONTADO","CRÉDITO")</f>
        <v>CRÉDITO</v>
      </c>
      <c r="B761" s="144" t="str">
        <f>+IF((PROVEEDORES[[#This Row],[FECHA DE PAGO]]-PROVEEDORES[[#This Row],[FECHA DE FACTURACIÓN]])&gt;PROVEEDORES[[#This Row],[PLAZO Días]],"PAGO VENCIDO")</f>
        <v>PAGO VENCIDO</v>
      </c>
      <c r="C761" s="144">
        <f>+VLOOKUP(PROVEEDORES[[#This Row],[PROVEEDOR]],TERCEROS_INFO[#All],2,FALSE)</f>
        <v>0</v>
      </c>
      <c r="D761" s="145">
        <f>+SUMIFS(PROVEEDORES[Total],PROVEEDORES[PROVEEDOR],PROVEEDORES[[#This Row],[PROVEEDOR]],PROVEEDORES[FECHA DE PAGO],"")</f>
        <v>8493745.8849999998</v>
      </c>
      <c r="E761" s="146"/>
      <c r="F761" s="144" t="str">
        <f>+VLOOKUP(PROVEEDORES[[#This Row],[PROVEEDOR]],
                       Terceros!$A:$G,
                       5,
                       FALSE)</f>
        <v>2,5% con base</v>
      </c>
      <c r="G761" s="122">
        <v>45208</v>
      </c>
      <c r="H761" s="102" t="s">
        <v>10</v>
      </c>
      <c r="I761" s="122">
        <v>45155</v>
      </c>
      <c r="J761" s="103" t="s">
        <v>1021</v>
      </c>
      <c r="K761" s="103" t="s">
        <v>1512</v>
      </c>
      <c r="L761" s="103"/>
      <c r="M761" s="105">
        <v>4658832</v>
      </c>
      <c r="N761" s="147">
        <v>885178.08</v>
      </c>
      <c r="O761" s="147">
        <v>0</v>
      </c>
      <c r="P761" s="148">
        <v>2.5000000000000001E-2</v>
      </c>
      <c r="Q761" s="147">
        <v>116470.8</v>
      </c>
      <c r="R761" s="149">
        <v>5427539.2800000003</v>
      </c>
      <c r="S7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1" s="150">
        <f ca="1">+IF(PROVEEDORES[[#This Row],[FECHA DE PAGO]]=0,TODAY()-PROVEEDORES[[#This Row],[FECHA DE FACTURACIÓN]]-PROVEEDORES[[#This Row],[PLAZO Días]],0)</f>
        <v>0</v>
      </c>
      <c r="U761" s="150">
        <f>+VLOOKUP(PROVEEDORES[[#This Row],[PROVEEDOR]],Terceros!$A:$E,4,FALSE)</f>
        <v>0.19</v>
      </c>
      <c r="V761" s="150">
        <f>+YEAR(PROVEEDORES[[#This Row],[FECHA DE FACTURACIÓN]])</f>
        <v>2023</v>
      </c>
      <c r="W761" s="150">
        <f>+MATCH(PROVEEDORES[[#This Row],[año facturado]],Retenciones!$1:$1,0)</f>
        <v>6</v>
      </c>
      <c r="X761" s="151" t="e">
        <f>+VLOOKUP(PROVEEDORES[[#This Row],[ID RETENCION]],Retenciones!$A$1:$O$25,PROVEEDORES[[#This Row],[indicador de columna]],FALSE)</f>
        <v>#N/A</v>
      </c>
      <c r="Y761" s="152" t="e">
        <f>+VLOOKUP(PROVEEDORES[[#This Row],[ID RETENCION]],Retenciones!$A$1:$O$25,2,FALSE)</f>
        <v>#N/A</v>
      </c>
      <c r="Z761" s="153" t="b">
        <f>+OR(COUNTIF(PROVEEDORES[[#This Row],[PROVEEDOR]],"*"&amp;'Palabra que no opera y Listas d'!$A$2&amp;"*"))</f>
        <v>0</v>
      </c>
    </row>
    <row r="762" spans="1:26" ht="27.75" customHeight="1" x14ac:dyDescent="0.3">
      <c r="A762" s="144" t="str">
        <f>+IF(PROVEEDORES[[#This Row],[FECHA DE PAGO]]=PROVEEDORES[[#This Row],[FECHA DE FACTURACIÓN]],"DE CONTADO","CRÉDITO")</f>
        <v>CRÉDITO</v>
      </c>
      <c r="B762" s="144" t="str">
        <f>+IF((PROVEEDORES[[#This Row],[FECHA DE PAGO]]-PROVEEDORES[[#This Row],[FECHA DE FACTURACIÓN]])&gt;PROVEEDORES[[#This Row],[PLAZO Días]],"PAGO VENCIDO")</f>
        <v>PAGO VENCIDO</v>
      </c>
      <c r="C762" s="144">
        <f>+VLOOKUP(PROVEEDORES[[#This Row],[PROVEEDOR]],TERCEROS_INFO[#All],2,FALSE)</f>
        <v>0</v>
      </c>
      <c r="D762" s="145">
        <f>+SUMIFS(PROVEEDORES[Total],PROVEEDORES[PROVEEDOR],PROVEEDORES[[#This Row],[PROVEEDOR]],PROVEEDORES[FECHA DE PAGO],"")</f>
        <v>8493745.8849999998</v>
      </c>
      <c r="E762" s="146"/>
      <c r="F762" s="144" t="str">
        <f>+VLOOKUP(PROVEEDORES[[#This Row],[PROVEEDOR]],
                       Terceros!$A:$G,
                       5,
                       FALSE)</f>
        <v>2,5% con base</v>
      </c>
      <c r="G762" s="122">
        <v>45208</v>
      </c>
      <c r="H762" s="102" t="s">
        <v>10</v>
      </c>
      <c r="I762" s="122">
        <v>45160</v>
      </c>
      <c r="J762" s="103" t="s">
        <v>1020</v>
      </c>
      <c r="K762" s="103" t="s">
        <v>1512</v>
      </c>
      <c r="L762" s="103"/>
      <c r="M762" s="105">
        <v>776472</v>
      </c>
      <c r="N762" s="147">
        <v>147529.68</v>
      </c>
      <c r="O762" s="147">
        <v>0</v>
      </c>
      <c r="P762" s="148">
        <v>0</v>
      </c>
      <c r="Q762" s="147">
        <v>0</v>
      </c>
      <c r="R762" s="149">
        <v>924001.67999999993</v>
      </c>
      <c r="S7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2" s="150">
        <f ca="1">+IF(PROVEEDORES[[#This Row],[FECHA DE PAGO]]=0,TODAY()-PROVEEDORES[[#This Row],[FECHA DE FACTURACIÓN]]-PROVEEDORES[[#This Row],[PLAZO Días]],0)</f>
        <v>0</v>
      </c>
      <c r="U762" s="150">
        <f>+VLOOKUP(PROVEEDORES[[#This Row],[PROVEEDOR]],Terceros!$A:$E,4,FALSE)</f>
        <v>0.19</v>
      </c>
      <c r="V762" s="150">
        <f>+YEAR(PROVEEDORES[[#This Row],[FECHA DE FACTURACIÓN]])</f>
        <v>2023</v>
      </c>
      <c r="W762" s="150">
        <f>+MATCH(PROVEEDORES[[#This Row],[año facturado]],Retenciones!$1:$1,0)</f>
        <v>6</v>
      </c>
      <c r="X762" s="151" t="e">
        <f>+VLOOKUP(PROVEEDORES[[#This Row],[ID RETENCION]],Retenciones!$A$1:$O$25,PROVEEDORES[[#This Row],[indicador de columna]],FALSE)</f>
        <v>#N/A</v>
      </c>
      <c r="Y762" s="152" t="e">
        <f>+VLOOKUP(PROVEEDORES[[#This Row],[ID RETENCION]],Retenciones!$A$1:$O$25,2,FALSE)</f>
        <v>#N/A</v>
      </c>
      <c r="Z762" s="153" t="b">
        <f>+OR(COUNTIF(PROVEEDORES[[#This Row],[PROVEEDOR]],"*"&amp;'Palabra que no opera y Listas d'!$A$2&amp;"*"))</f>
        <v>0</v>
      </c>
    </row>
    <row r="763" spans="1:26" ht="27.75" customHeight="1" x14ac:dyDescent="0.3">
      <c r="A763" s="144" t="str">
        <f>+IF(PROVEEDORES[[#This Row],[FECHA DE PAGO]]=PROVEEDORES[[#This Row],[FECHA DE FACTURACIÓN]],"DE CONTADO","CRÉDITO")</f>
        <v>CRÉDITO</v>
      </c>
      <c r="B763" s="144" t="str">
        <f>+IF((PROVEEDORES[[#This Row],[FECHA DE PAGO]]-PROVEEDORES[[#This Row],[FECHA DE FACTURACIÓN]])&gt;PROVEEDORES[[#This Row],[PLAZO Días]],"PAGO VENCIDO")</f>
        <v>PAGO VENCIDO</v>
      </c>
      <c r="C763" s="144">
        <f>+VLOOKUP(PROVEEDORES[[#This Row],[PROVEEDOR]],TERCEROS_INFO[#All],2,FALSE)</f>
        <v>0</v>
      </c>
      <c r="D763" s="145">
        <f>+SUMIFS(PROVEEDORES[Total],PROVEEDORES[PROVEEDOR],PROVEEDORES[[#This Row],[PROVEEDOR]],PROVEEDORES[FECHA DE PAGO],"")</f>
        <v>31839627.134999998</v>
      </c>
      <c r="E763" s="146"/>
      <c r="F763" s="144" t="str">
        <f>+VLOOKUP(PROVEEDORES[[#This Row],[PROVEEDOR]],
                       Terceros!$A:$G,
                       5,
                       FALSE)</f>
        <v>2,5% con base</v>
      </c>
      <c r="G763" s="122">
        <v>45208</v>
      </c>
      <c r="H763" s="102" t="s">
        <v>17</v>
      </c>
      <c r="I763" s="122">
        <v>45161</v>
      </c>
      <c r="J763" s="103" t="s">
        <v>1012</v>
      </c>
      <c r="K763" s="103" t="s">
        <v>1512</v>
      </c>
      <c r="L763" s="103"/>
      <c r="M763" s="105">
        <v>1809303</v>
      </c>
      <c r="N763" s="147">
        <v>343767.57</v>
      </c>
      <c r="O763" s="147">
        <v>0</v>
      </c>
      <c r="P763" s="148">
        <v>2.5000000000000001E-2</v>
      </c>
      <c r="Q763" s="147">
        <v>45232.575000000004</v>
      </c>
      <c r="R763" s="149">
        <v>2107837.9949999996</v>
      </c>
      <c r="S7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3" s="150">
        <f ca="1">+IF(PROVEEDORES[[#This Row],[FECHA DE PAGO]]=0,TODAY()-PROVEEDORES[[#This Row],[FECHA DE FACTURACIÓN]]-PROVEEDORES[[#This Row],[PLAZO Días]],0)</f>
        <v>0</v>
      </c>
      <c r="U763" s="150">
        <f>+VLOOKUP(PROVEEDORES[[#This Row],[PROVEEDOR]],Terceros!$A:$E,4,FALSE)</f>
        <v>0.19</v>
      </c>
      <c r="V763" s="150">
        <f>+YEAR(PROVEEDORES[[#This Row],[FECHA DE FACTURACIÓN]])</f>
        <v>2023</v>
      </c>
      <c r="W763" s="150">
        <f>+MATCH(PROVEEDORES[[#This Row],[año facturado]],Retenciones!$1:$1,0)</f>
        <v>6</v>
      </c>
      <c r="X763" s="151" t="e">
        <f>+VLOOKUP(PROVEEDORES[[#This Row],[ID RETENCION]],Retenciones!$A$1:$O$25,PROVEEDORES[[#This Row],[indicador de columna]],FALSE)</f>
        <v>#N/A</v>
      </c>
      <c r="Y763" s="152" t="e">
        <f>+VLOOKUP(PROVEEDORES[[#This Row],[ID RETENCION]],Retenciones!$A$1:$O$25,2,FALSE)</f>
        <v>#N/A</v>
      </c>
      <c r="Z763" s="153" t="b">
        <f>+OR(COUNTIF(PROVEEDORES[[#This Row],[PROVEEDOR]],"*"&amp;'Palabra que no opera y Listas d'!$A$2&amp;"*"))</f>
        <v>0</v>
      </c>
    </row>
    <row r="764" spans="1:26" ht="27.75" customHeight="1" x14ac:dyDescent="0.3">
      <c r="A764" s="144" t="str">
        <f>+IF(PROVEEDORES[[#This Row],[FECHA DE PAGO]]=PROVEEDORES[[#This Row],[FECHA DE FACTURACIÓN]],"DE CONTADO","CRÉDITO")</f>
        <v>CRÉDITO</v>
      </c>
      <c r="B764" s="144" t="str">
        <f>+IF((PROVEEDORES[[#This Row],[FECHA DE PAGO]]-PROVEEDORES[[#This Row],[FECHA DE FACTURACIÓN]])&gt;PROVEEDORES[[#This Row],[PLAZO Días]],"PAGO VENCIDO")</f>
        <v>PAGO VENCIDO</v>
      </c>
      <c r="C764" s="144">
        <f>+VLOOKUP(PROVEEDORES[[#This Row],[PROVEEDOR]],TERCEROS_INFO[#All],2,FALSE)</f>
        <v>0</v>
      </c>
      <c r="D764" s="145">
        <f>+SUMIFS(PROVEEDORES[Total],PROVEEDORES[PROVEEDOR],PROVEEDORES[[#This Row],[PROVEEDOR]],PROVEEDORES[FECHA DE PAGO],"")</f>
        <v>0</v>
      </c>
      <c r="E764" s="146"/>
      <c r="F764" s="144" t="str">
        <f>+VLOOKUP(PROVEEDORES[[#This Row],[PROVEEDOR]],
                       Terceros!$A:$G,
                       5,
                       FALSE)</f>
        <v>2,5% con base</v>
      </c>
      <c r="G764" s="122">
        <v>45208</v>
      </c>
      <c r="H764" s="102" t="s">
        <v>1574</v>
      </c>
      <c r="I764" s="122">
        <v>45166</v>
      </c>
      <c r="J764" s="103" t="s">
        <v>1024</v>
      </c>
      <c r="K764" s="103" t="s">
        <v>1512</v>
      </c>
      <c r="L764" s="103"/>
      <c r="M764" s="105">
        <v>1230000</v>
      </c>
      <c r="N764" s="147">
        <v>233700</v>
      </c>
      <c r="O764" s="147">
        <v>0</v>
      </c>
      <c r="P764" s="148">
        <v>2.5000000000000001E-2</v>
      </c>
      <c r="Q764" s="147">
        <v>30750</v>
      </c>
      <c r="R764" s="149">
        <v>1432950</v>
      </c>
      <c r="S7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4" s="150">
        <f ca="1">+IF(PROVEEDORES[[#This Row],[FECHA DE PAGO]]=0,TODAY()-PROVEEDORES[[#This Row],[FECHA DE FACTURACIÓN]]-PROVEEDORES[[#This Row],[PLAZO Días]],0)</f>
        <v>0</v>
      </c>
      <c r="U764" s="150">
        <f>+VLOOKUP(PROVEEDORES[[#This Row],[PROVEEDOR]],Terceros!$A:$E,4,FALSE)</f>
        <v>0.19</v>
      </c>
      <c r="V764" s="150">
        <f>+YEAR(PROVEEDORES[[#This Row],[FECHA DE FACTURACIÓN]])</f>
        <v>2023</v>
      </c>
      <c r="W764" s="150">
        <f>+MATCH(PROVEEDORES[[#This Row],[año facturado]],Retenciones!$1:$1,0)</f>
        <v>6</v>
      </c>
      <c r="X764" s="151" t="e">
        <f>+VLOOKUP(PROVEEDORES[[#This Row],[ID RETENCION]],Retenciones!$A$1:$O$25,PROVEEDORES[[#This Row],[indicador de columna]],FALSE)</f>
        <v>#N/A</v>
      </c>
      <c r="Y764" s="152" t="e">
        <f>+VLOOKUP(PROVEEDORES[[#This Row],[ID RETENCION]],Retenciones!$A$1:$O$25,2,FALSE)</f>
        <v>#N/A</v>
      </c>
      <c r="Z764" s="153" t="b">
        <f>+OR(COUNTIF(PROVEEDORES[[#This Row],[PROVEEDOR]],"*"&amp;'Palabra que no opera y Listas d'!$A$2&amp;"*"))</f>
        <v>0</v>
      </c>
    </row>
    <row r="765" spans="1:26" ht="27.75" customHeight="1" x14ac:dyDescent="0.3">
      <c r="A765" s="144" t="str">
        <f>+IF(PROVEEDORES[[#This Row],[FECHA DE PAGO]]=PROVEEDORES[[#This Row],[FECHA DE FACTURACIÓN]],"DE CONTADO","CRÉDITO")</f>
        <v>CRÉDITO</v>
      </c>
      <c r="B765" s="144" t="str">
        <f>+IF((PROVEEDORES[[#This Row],[FECHA DE PAGO]]-PROVEEDORES[[#This Row],[FECHA DE FACTURACIÓN]])&gt;PROVEEDORES[[#This Row],[PLAZO Días]],"PAGO VENCIDO")</f>
        <v>PAGO VENCIDO</v>
      </c>
      <c r="C765" s="144">
        <f>+VLOOKUP(PROVEEDORES[[#This Row],[PROVEEDOR]],TERCEROS_INFO[#All],2,FALSE)</f>
        <v>0</v>
      </c>
      <c r="D765" s="145">
        <f>+SUMIFS(PROVEEDORES[Total],PROVEEDORES[PROVEEDOR],PROVEEDORES[[#This Row],[PROVEEDOR]],PROVEEDORES[FECHA DE PAGO],"")</f>
        <v>31839627.134999998</v>
      </c>
      <c r="E765" s="146"/>
      <c r="F765" s="144" t="str">
        <f>+VLOOKUP(PROVEEDORES[[#This Row],[PROVEEDOR]],
                       Terceros!$A:$G,
                       5,
                       FALSE)</f>
        <v>2,5% con base</v>
      </c>
      <c r="G765" s="122">
        <v>45208</v>
      </c>
      <c r="H765" s="102" t="s">
        <v>17</v>
      </c>
      <c r="I765" s="122">
        <v>45168</v>
      </c>
      <c r="J765" s="103" t="s">
        <v>1033</v>
      </c>
      <c r="K765" s="103" t="s">
        <v>1512</v>
      </c>
      <c r="L765" s="103"/>
      <c r="M765" s="105">
        <v>1507927</v>
      </c>
      <c r="N765" s="147">
        <v>286506.13</v>
      </c>
      <c r="O765" s="147">
        <v>0</v>
      </c>
      <c r="P765" s="148">
        <v>2.5000000000000001E-2</v>
      </c>
      <c r="Q765" s="147">
        <v>37698.175000000003</v>
      </c>
      <c r="R765" s="149">
        <v>1756734.9549999998</v>
      </c>
      <c r="S7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5" s="150">
        <f ca="1">+IF(PROVEEDORES[[#This Row],[FECHA DE PAGO]]=0,TODAY()-PROVEEDORES[[#This Row],[FECHA DE FACTURACIÓN]]-PROVEEDORES[[#This Row],[PLAZO Días]],0)</f>
        <v>0</v>
      </c>
      <c r="U765" s="150">
        <f>+VLOOKUP(PROVEEDORES[[#This Row],[PROVEEDOR]],Terceros!$A:$E,4,FALSE)</f>
        <v>0.19</v>
      </c>
      <c r="V765" s="150">
        <f>+YEAR(PROVEEDORES[[#This Row],[FECHA DE FACTURACIÓN]])</f>
        <v>2023</v>
      </c>
      <c r="W765" s="150">
        <f>+MATCH(PROVEEDORES[[#This Row],[año facturado]],Retenciones!$1:$1,0)</f>
        <v>6</v>
      </c>
      <c r="X765" s="151" t="e">
        <f>+VLOOKUP(PROVEEDORES[[#This Row],[ID RETENCION]],Retenciones!$A$1:$O$25,PROVEEDORES[[#This Row],[indicador de columna]],FALSE)</f>
        <v>#N/A</v>
      </c>
      <c r="Y765" s="152" t="e">
        <f>+VLOOKUP(PROVEEDORES[[#This Row],[ID RETENCION]],Retenciones!$A$1:$O$25,2,FALSE)</f>
        <v>#N/A</v>
      </c>
      <c r="Z765" s="153" t="b">
        <f>+OR(COUNTIF(PROVEEDORES[[#This Row],[PROVEEDOR]],"*"&amp;'Palabra que no opera y Listas d'!$A$2&amp;"*"))</f>
        <v>0</v>
      </c>
    </row>
    <row r="766" spans="1:26" ht="27.75" customHeight="1" x14ac:dyDescent="0.3">
      <c r="A766" s="144" t="str">
        <f>+IF(PROVEEDORES[[#This Row],[FECHA DE PAGO]]=PROVEEDORES[[#This Row],[FECHA DE FACTURACIÓN]],"DE CONTADO","CRÉDITO")</f>
        <v>CRÉDITO</v>
      </c>
      <c r="B766" s="144" t="str">
        <f>+IF((PROVEEDORES[[#This Row],[FECHA DE PAGO]]-PROVEEDORES[[#This Row],[FECHA DE FACTURACIÓN]])&gt;PROVEEDORES[[#This Row],[PLAZO Días]],"PAGO VENCIDO")</f>
        <v>PAGO VENCIDO</v>
      </c>
      <c r="C766" s="144">
        <f>+VLOOKUP(PROVEEDORES[[#This Row],[PROVEEDOR]],TERCEROS_INFO[#All],2,FALSE)</f>
        <v>0</v>
      </c>
      <c r="D766" s="145">
        <f>+SUMIFS(PROVEEDORES[Total],PROVEEDORES[PROVEEDOR],PROVEEDORES[[#This Row],[PROVEEDOR]],PROVEEDORES[FECHA DE PAGO],"")</f>
        <v>31839627.134999998</v>
      </c>
      <c r="E766" s="146"/>
      <c r="F766" s="144" t="str">
        <f>+VLOOKUP(PROVEEDORES[[#This Row],[PROVEEDOR]],
                       Terceros!$A:$G,
                       5,
                       FALSE)</f>
        <v>2,5% con base</v>
      </c>
      <c r="G766" s="122">
        <v>45208</v>
      </c>
      <c r="H766" s="102" t="s">
        <v>17</v>
      </c>
      <c r="I766" s="122">
        <v>45169</v>
      </c>
      <c r="J766" s="103" t="s">
        <v>1032</v>
      </c>
      <c r="K766" s="103" t="s">
        <v>1512</v>
      </c>
      <c r="L766" s="103"/>
      <c r="M766" s="105">
        <v>825295</v>
      </c>
      <c r="N766" s="147">
        <v>156806.04999999999</v>
      </c>
      <c r="O766" s="147">
        <v>0</v>
      </c>
      <c r="P766" s="148">
        <v>0</v>
      </c>
      <c r="Q766" s="147">
        <v>0</v>
      </c>
      <c r="R766" s="149">
        <v>982101.05</v>
      </c>
      <c r="S7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6" s="150">
        <f ca="1">+IF(PROVEEDORES[[#This Row],[FECHA DE PAGO]]=0,TODAY()-PROVEEDORES[[#This Row],[FECHA DE FACTURACIÓN]]-PROVEEDORES[[#This Row],[PLAZO Días]],0)</f>
        <v>0</v>
      </c>
      <c r="U766" s="150">
        <f>+VLOOKUP(PROVEEDORES[[#This Row],[PROVEEDOR]],Terceros!$A:$E,4,FALSE)</f>
        <v>0.19</v>
      </c>
      <c r="V766" s="150">
        <f>+YEAR(PROVEEDORES[[#This Row],[FECHA DE FACTURACIÓN]])</f>
        <v>2023</v>
      </c>
      <c r="W766" s="150">
        <f>+MATCH(PROVEEDORES[[#This Row],[año facturado]],Retenciones!$1:$1,0)</f>
        <v>6</v>
      </c>
      <c r="X766" s="151" t="e">
        <f>+VLOOKUP(PROVEEDORES[[#This Row],[ID RETENCION]],Retenciones!$A$1:$O$25,PROVEEDORES[[#This Row],[indicador de columna]],FALSE)</f>
        <v>#N/A</v>
      </c>
      <c r="Y766" s="152" t="e">
        <f>+VLOOKUP(PROVEEDORES[[#This Row],[ID RETENCION]],Retenciones!$A$1:$O$25,2,FALSE)</f>
        <v>#N/A</v>
      </c>
      <c r="Z766" s="153" t="b">
        <f>+OR(COUNTIF(PROVEEDORES[[#This Row],[PROVEEDOR]],"*"&amp;'Palabra que no opera y Listas d'!$A$2&amp;"*"))</f>
        <v>0</v>
      </c>
    </row>
    <row r="767" spans="1:26" ht="27.75" customHeight="1" x14ac:dyDescent="0.3">
      <c r="A767" s="144" t="str">
        <f>+IF(PROVEEDORES[[#This Row],[FECHA DE PAGO]]=PROVEEDORES[[#This Row],[FECHA DE FACTURACIÓN]],"DE CONTADO","CRÉDITO")</f>
        <v>CRÉDITO</v>
      </c>
      <c r="B767" s="144" t="str">
        <f>+IF((PROVEEDORES[[#This Row],[FECHA DE PAGO]]-PROVEEDORES[[#This Row],[FECHA DE FACTURACIÓN]])&gt;PROVEEDORES[[#This Row],[PLAZO Días]],"PAGO VENCIDO")</f>
        <v>PAGO VENCIDO</v>
      </c>
      <c r="C767" s="144">
        <f>+VLOOKUP(PROVEEDORES[[#This Row],[PROVEEDOR]],TERCEROS_INFO[#All],2,FALSE)</f>
        <v>0</v>
      </c>
      <c r="D767" s="145" t="e">
        <f>+SUMIFS(PROVEEDORES[Total],PROVEEDORES[PROVEEDOR],PROVEEDORES[[#This Row],[PROVEEDOR]],PROVEEDORES[FECHA DE PAGO],"")</f>
        <v>#N/A</v>
      </c>
      <c r="E767" s="146"/>
      <c r="F767" s="144">
        <f>+VLOOKUP(PROVEEDORES[[#This Row],[PROVEEDOR]],
                       Terceros!$A:$G,
                       5,
                       FALSE)</f>
        <v>0</v>
      </c>
      <c r="G767" s="122">
        <v>45208</v>
      </c>
      <c r="H767" s="102" t="s">
        <v>16</v>
      </c>
      <c r="I767" s="122">
        <v>45173</v>
      </c>
      <c r="J767" s="103" t="s">
        <v>1082</v>
      </c>
      <c r="K767" s="103" t="s">
        <v>1512</v>
      </c>
      <c r="L767" s="103"/>
      <c r="M767" s="105">
        <v>787465</v>
      </c>
      <c r="N767" s="147">
        <v>149618.35</v>
      </c>
      <c r="O767" s="147">
        <v>0</v>
      </c>
      <c r="P767" s="148">
        <v>0</v>
      </c>
      <c r="Q767" s="147">
        <v>0</v>
      </c>
      <c r="R767" s="149">
        <v>937083.35</v>
      </c>
      <c r="S7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7" s="150">
        <f ca="1">+IF(PROVEEDORES[[#This Row],[FECHA DE PAGO]]=0,TODAY()-PROVEEDORES[[#This Row],[FECHA DE FACTURACIÓN]]-PROVEEDORES[[#This Row],[PLAZO Días]],0)</f>
        <v>0</v>
      </c>
      <c r="U767" s="150">
        <f>+VLOOKUP(PROVEEDORES[[#This Row],[PROVEEDOR]],Terceros!$A:$E,4,FALSE)</f>
        <v>0.19</v>
      </c>
      <c r="V767" s="150">
        <f>+YEAR(PROVEEDORES[[#This Row],[FECHA DE FACTURACIÓN]])</f>
        <v>2023</v>
      </c>
      <c r="W767" s="150">
        <f>+MATCH(PROVEEDORES[[#This Row],[año facturado]],Retenciones!$1:$1,0)</f>
        <v>6</v>
      </c>
      <c r="X767" s="151" t="e">
        <f>+VLOOKUP(PROVEEDORES[[#This Row],[ID RETENCION]],Retenciones!$A$1:$O$25,PROVEEDORES[[#This Row],[indicador de columna]],FALSE)</f>
        <v>#N/A</v>
      </c>
      <c r="Y767" s="152" t="e">
        <f>+VLOOKUP(PROVEEDORES[[#This Row],[ID RETENCION]],Retenciones!$A$1:$O$25,2,FALSE)</f>
        <v>#N/A</v>
      </c>
      <c r="Z767" s="153" t="b">
        <f>+OR(COUNTIF(PROVEEDORES[[#This Row],[PROVEEDOR]],"*"&amp;'Palabra que no opera y Listas d'!$A$2&amp;"*"))</f>
        <v>0</v>
      </c>
    </row>
    <row r="768" spans="1:26" ht="27.75" customHeight="1" x14ac:dyDescent="0.3">
      <c r="A768" s="144" t="str">
        <f>+IF(PROVEEDORES[[#This Row],[FECHA DE PAGO]]=PROVEEDORES[[#This Row],[FECHA DE FACTURACIÓN]],"DE CONTADO","CRÉDITO")</f>
        <v>CRÉDITO</v>
      </c>
      <c r="B768" s="144" t="str">
        <f>+IF((PROVEEDORES[[#This Row],[FECHA DE PAGO]]-PROVEEDORES[[#This Row],[FECHA DE FACTURACIÓN]])&gt;PROVEEDORES[[#This Row],[PLAZO Días]],"PAGO VENCIDO")</f>
        <v>PAGO VENCIDO</v>
      </c>
      <c r="C768" s="144">
        <f>+VLOOKUP(PROVEEDORES[[#This Row],[PROVEEDOR]],TERCEROS_INFO[#All],2,FALSE)</f>
        <v>0</v>
      </c>
      <c r="D768" s="145">
        <f>+SUMIFS(PROVEEDORES[Total],PROVEEDORES[PROVEEDOR],PROVEEDORES[[#This Row],[PROVEEDOR]],PROVEEDORES[FECHA DE PAGO],"")</f>
        <v>0</v>
      </c>
      <c r="E768" s="146"/>
      <c r="F768" s="144" t="str">
        <f>+VLOOKUP(PROVEEDORES[[#This Row],[PROVEEDOR]],
                       Terceros!$A:$G,
                       5,
                       FALSE)</f>
        <v>2,5% con base</v>
      </c>
      <c r="G768" s="122">
        <v>45208</v>
      </c>
      <c r="H768" s="102" t="s">
        <v>467</v>
      </c>
      <c r="I768" s="122">
        <v>45174</v>
      </c>
      <c r="J768" s="103" t="s">
        <v>1069</v>
      </c>
      <c r="K768" s="103" t="s">
        <v>1512</v>
      </c>
      <c r="L768" s="103"/>
      <c r="M768" s="105">
        <v>1928576</v>
      </c>
      <c r="N768" s="147">
        <v>366429.44</v>
      </c>
      <c r="O768" s="147">
        <v>0</v>
      </c>
      <c r="P768" s="148">
        <v>2.5000000000000001E-2</v>
      </c>
      <c r="Q768" s="147">
        <v>48214.400000000001</v>
      </c>
      <c r="R768" s="149">
        <v>2246791.04</v>
      </c>
      <c r="S7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8" s="150">
        <f ca="1">+IF(PROVEEDORES[[#This Row],[FECHA DE PAGO]]=0,TODAY()-PROVEEDORES[[#This Row],[FECHA DE FACTURACIÓN]]-PROVEEDORES[[#This Row],[PLAZO Días]],0)</f>
        <v>0</v>
      </c>
      <c r="U768" s="150">
        <f>+VLOOKUP(PROVEEDORES[[#This Row],[PROVEEDOR]],Terceros!$A:$E,4,FALSE)</f>
        <v>0.19</v>
      </c>
      <c r="V768" s="150">
        <f>+YEAR(PROVEEDORES[[#This Row],[FECHA DE FACTURACIÓN]])</f>
        <v>2023</v>
      </c>
      <c r="W768" s="150">
        <f>+MATCH(PROVEEDORES[[#This Row],[año facturado]],Retenciones!$1:$1,0)</f>
        <v>6</v>
      </c>
      <c r="X768" s="151" t="e">
        <f>+VLOOKUP(PROVEEDORES[[#This Row],[ID RETENCION]],Retenciones!$A$1:$O$25,PROVEEDORES[[#This Row],[indicador de columna]],FALSE)</f>
        <v>#N/A</v>
      </c>
      <c r="Y768" s="152" t="e">
        <f>+VLOOKUP(PROVEEDORES[[#This Row],[ID RETENCION]],Retenciones!$A$1:$O$25,2,FALSE)</f>
        <v>#N/A</v>
      </c>
      <c r="Z768" s="153" t="b">
        <f>+OR(COUNTIF(PROVEEDORES[[#This Row],[PROVEEDOR]],"*"&amp;'Palabra que no opera y Listas d'!$A$2&amp;"*"))</f>
        <v>0</v>
      </c>
    </row>
    <row r="769" spans="1:26" ht="27.75" customHeight="1" x14ac:dyDescent="0.3">
      <c r="A769" s="144" t="str">
        <f>+IF(PROVEEDORES[[#This Row],[FECHA DE PAGO]]=PROVEEDORES[[#This Row],[FECHA DE FACTURACIÓN]],"DE CONTADO","CRÉDITO")</f>
        <v>CRÉDITO</v>
      </c>
      <c r="B769" s="144" t="str">
        <f>+IF((PROVEEDORES[[#This Row],[FECHA DE PAGO]]-PROVEEDORES[[#This Row],[FECHA DE FACTURACIÓN]])&gt;PROVEEDORES[[#This Row],[PLAZO Días]],"PAGO VENCIDO")</f>
        <v>PAGO VENCIDO</v>
      </c>
      <c r="C769" s="144">
        <f>+VLOOKUP(PROVEEDORES[[#This Row],[PROVEEDOR]],TERCEROS_INFO[#All],2,FALSE)</f>
        <v>0</v>
      </c>
      <c r="D769" s="145" t="e">
        <f>+SUMIFS(PROVEEDORES[Total],PROVEEDORES[PROVEEDOR],PROVEEDORES[[#This Row],[PROVEEDOR]],PROVEEDORES[FECHA DE PAGO],"")</f>
        <v>#N/A</v>
      </c>
      <c r="E769" s="146"/>
      <c r="F769" s="144">
        <f>+VLOOKUP(PROVEEDORES[[#This Row],[PROVEEDOR]],
                       Terceros!$A:$G,
                       5,
                       FALSE)</f>
        <v>0</v>
      </c>
      <c r="G769" s="122">
        <v>45208</v>
      </c>
      <c r="H769" s="102" t="s">
        <v>16</v>
      </c>
      <c r="I769" s="122">
        <v>45174</v>
      </c>
      <c r="J769" s="103" t="s">
        <v>1152</v>
      </c>
      <c r="K769" s="103" t="s">
        <v>1512</v>
      </c>
      <c r="L769" s="103"/>
      <c r="M769" s="105">
        <v>1053062</v>
      </c>
      <c r="N769" s="147">
        <v>200081.78</v>
      </c>
      <c r="O769" s="147">
        <v>0</v>
      </c>
      <c r="P769" s="148">
        <v>0</v>
      </c>
      <c r="Q769" s="147">
        <v>0</v>
      </c>
      <c r="R769" s="149">
        <v>1253143.78</v>
      </c>
      <c r="S7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9" s="150">
        <f ca="1">+IF(PROVEEDORES[[#This Row],[FECHA DE PAGO]]=0,TODAY()-PROVEEDORES[[#This Row],[FECHA DE FACTURACIÓN]]-PROVEEDORES[[#This Row],[PLAZO Días]],0)</f>
        <v>0</v>
      </c>
      <c r="U769" s="150">
        <f>+VLOOKUP(PROVEEDORES[[#This Row],[PROVEEDOR]],Terceros!$A:$E,4,FALSE)</f>
        <v>0.19</v>
      </c>
      <c r="V769" s="150">
        <f>+YEAR(PROVEEDORES[[#This Row],[FECHA DE FACTURACIÓN]])</f>
        <v>2023</v>
      </c>
      <c r="W769" s="150">
        <f>+MATCH(PROVEEDORES[[#This Row],[año facturado]],Retenciones!$1:$1,0)</f>
        <v>6</v>
      </c>
      <c r="X769" s="151" t="e">
        <f>+VLOOKUP(PROVEEDORES[[#This Row],[ID RETENCION]],Retenciones!$A$1:$O$25,PROVEEDORES[[#This Row],[indicador de columna]],FALSE)</f>
        <v>#N/A</v>
      </c>
      <c r="Y769" s="152" t="e">
        <f>+VLOOKUP(PROVEEDORES[[#This Row],[ID RETENCION]],Retenciones!$A$1:$O$25,2,FALSE)</f>
        <v>#N/A</v>
      </c>
      <c r="Z769" s="153" t="b">
        <f>+OR(COUNTIF(PROVEEDORES[[#This Row],[PROVEEDOR]],"*"&amp;'Palabra que no opera y Listas d'!$A$2&amp;"*"))</f>
        <v>0</v>
      </c>
    </row>
    <row r="770" spans="1:26" ht="27.75" customHeight="1" x14ac:dyDescent="0.3">
      <c r="A770" s="144" t="str">
        <f>+IF(PROVEEDORES[[#This Row],[FECHA DE PAGO]]=PROVEEDORES[[#This Row],[FECHA DE FACTURACIÓN]],"DE CONTADO","CRÉDITO")</f>
        <v>CRÉDITO</v>
      </c>
      <c r="B770" s="144" t="str">
        <f>+IF((PROVEEDORES[[#This Row],[FECHA DE PAGO]]-PROVEEDORES[[#This Row],[FECHA DE FACTURACIÓN]])&gt;PROVEEDORES[[#This Row],[PLAZO Días]],"PAGO VENCIDO")</f>
        <v>PAGO VENCIDO</v>
      </c>
      <c r="C770" s="144">
        <f>+VLOOKUP(PROVEEDORES[[#This Row],[PROVEEDOR]],TERCEROS_INFO[#All],2,FALSE)</f>
        <v>0</v>
      </c>
      <c r="D770" s="145">
        <f>+SUMIFS(PROVEEDORES[Total],PROVEEDORES[PROVEEDOR],PROVEEDORES[[#This Row],[PROVEEDOR]],PROVEEDORES[FECHA DE PAGO],"")</f>
        <v>31839627.134999998</v>
      </c>
      <c r="E770" s="146"/>
      <c r="F770" s="144" t="str">
        <f>+VLOOKUP(PROVEEDORES[[#This Row],[PROVEEDOR]],
                       Terceros!$A:$G,
                       5,
                       FALSE)</f>
        <v>2,5% con base</v>
      </c>
      <c r="G770" s="122">
        <v>45208</v>
      </c>
      <c r="H770" s="102" t="s">
        <v>17</v>
      </c>
      <c r="I770" s="122">
        <v>45175</v>
      </c>
      <c r="J770" s="103" t="s">
        <v>1075</v>
      </c>
      <c r="K770" s="103" t="s">
        <v>1512</v>
      </c>
      <c r="L770" s="103"/>
      <c r="M770" s="105">
        <v>884468</v>
      </c>
      <c r="N770" s="147">
        <v>168048.92</v>
      </c>
      <c r="O770" s="147">
        <v>0</v>
      </c>
      <c r="P770" s="148">
        <v>0</v>
      </c>
      <c r="Q770" s="147">
        <v>0</v>
      </c>
      <c r="R770" s="149">
        <v>1052516.92</v>
      </c>
      <c r="S7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0" s="150">
        <f ca="1">+IF(PROVEEDORES[[#This Row],[FECHA DE PAGO]]=0,TODAY()-PROVEEDORES[[#This Row],[FECHA DE FACTURACIÓN]]-PROVEEDORES[[#This Row],[PLAZO Días]],0)</f>
        <v>0</v>
      </c>
      <c r="U770" s="150">
        <f>+VLOOKUP(PROVEEDORES[[#This Row],[PROVEEDOR]],Terceros!$A:$E,4,FALSE)</f>
        <v>0.19</v>
      </c>
      <c r="V770" s="150">
        <f>+YEAR(PROVEEDORES[[#This Row],[FECHA DE FACTURACIÓN]])</f>
        <v>2023</v>
      </c>
      <c r="W770" s="150">
        <f>+MATCH(PROVEEDORES[[#This Row],[año facturado]],Retenciones!$1:$1,0)</f>
        <v>6</v>
      </c>
      <c r="X770" s="151" t="e">
        <f>+VLOOKUP(PROVEEDORES[[#This Row],[ID RETENCION]],Retenciones!$A$1:$O$25,PROVEEDORES[[#This Row],[indicador de columna]],FALSE)</f>
        <v>#N/A</v>
      </c>
      <c r="Y770" s="152" t="e">
        <f>+VLOOKUP(PROVEEDORES[[#This Row],[ID RETENCION]],Retenciones!$A$1:$O$25,2,FALSE)</f>
        <v>#N/A</v>
      </c>
      <c r="Z770" s="153" t="b">
        <f>+OR(COUNTIF(PROVEEDORES[[#This Row],[PROVEEDOR]],"*"&amp;'Palabra que no opera y Listas d'!$A$2&amp;"*"))</f>
        <v>0</v>
      </c>
    </row>
    <row r="771" spans="1:26" ht="27.75" customHeight="1" x14ac:dyDescent="0.3">
      <c r="A771" s="144" t="str">
        <f>+IF(PROVEEDORES[[#This Row],[FECHA DE PAGO]]=PROVEEDORES[[#This Row],[FECHA DE FACTURACIÓN]],"DE CONTADO","CRÉDITO")</f>
        <v>DE CONTADO</v>
      </c>
      <c r="B771" s="144" t="b">
        <f>+IF((PROVEEDORES[[#This Row],[FECHA DE PAGO]]-PROVEEDORES[[#This Row],[FECHA DE FACTURACIÓN]])&gt;PROVEEDORES[[#This Row],[PLAZO Días]],"PAGO VENCIDO")</f>
        <v>0</v>
      </c>
      <c r="C771" s="144">
        <f>+VLOOKUP(PROVEEDORES[[#This Row],[PROVEEDOR]],TERCEROS_INFO[#All],2,FALSE)</f>
        <v>0</v>
      </c>
      <c r="D771" s="145">
        <f>+SUMIFS(PROVEEDORES[Total],PROVEEDORES[PROVEEDOR],PROVEEDORES[[#This Row],[PROVEEDOR]],PROVEEDORES[FECHA DE PAGO],"")</f>
        <v>0</v>
      </c>
      <c r="E771" s="146"/>
      <c r="F771" s="144">
        <f>+VLOOKUP(PROVEEDORES[[#This Row],[PROVEEDOR]],
                       Terceros!$A:$G,
                       5,
                       FALSE)</f>
        <v>0</v>
      </c>
      <c r="G771" s="122">
        <v>45208</v>
      </c>
      <c r="H771" s="102" t="s">
        <v>1801</v>
      </c>
      <c r="I771" s="122">
        <v>45208</v>
      </c>
      <c r="J771" s="103"/>
      <c r="K771" s="103" t="s">
        <v>1512</v>
      </c>
      <c r="L771" s="103"/>
      <c r="M771" s="105">
        <v>1000000</v>
      </c>
      <c r="N771" s="147">
        <v>0</v>
      </c>
      <c r="O771" s="147">
        <v>0</v>
      </c>
      <c r="P771" s="148">
        <v>0</v>
      </c>
      <c r="Q771" s="147">
        <v>0</v>
      </c>
      <c r="R771" s="149">
        <v>1000000</v>
      </c>
      <c r="S7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1" s="150">
        <f ca="1">+IF(PROVEEDORES[[#This Row],[FECHA DE PAGO]]=0,TODAY()-PROVEEDORES[[#This Row],[FECHA DE FACTURACIÓN]]-PROVEEDORES[[#This Row],[PLAZO Días]],0)</f>
        <v>0</v>
      </c>
      <c r="U771" s="150">
        <f>+VLOOKUP(PROVEEDORES[[#This Row],[PROVEEDOR]],Terceros!$A:$E,4,FALSE)</f>
        <v>0</v>
      </c>
      <c r="V771" s="150">
        <f>+YEAR(PROVEEDORES[[#This Row],[FECHA DE FACTURACIÓN]])</f>
        <v>2023</v>
      </c>
      <c r="W771" s="150">
        <f>+MATCH(PROVEEDORES[[#This Row],[año facturado]],Retenciones!$1:$1,0)</f>
        <v>6</v>
      </c>
      <c r="X771" s="151">
        <f>+VLOOKUP(PROVEEDORES[[#This Row],[ID RETENCION]],Retenciones!$A$1:$O$25,PROVEEDORES[[#This Row],[indicador de columna]],FALSE)</f>
        <v>0</v>
      </c>
      <c r="Y771" s="152">
        <f>+VLOOKUP(PROVEEDORES[[#This Row],[ID RETENCION]],Retenciones!$A$1:$O$25,2,FALSE)</f>
        <v>0</v>
      </c>
      <c r="Z771" s="153" t="b">
        <f>+OR(COUNTIF(PROVEEDORES[[#This Row],[PROVEEDOR]],"*"&amp;'Palabra que no opera y Listas d'!$A$2&amp;"*"))</f>
        <v>0</v>
      </c>
    </row>
    <row r="772" spans="1:26" ht="27.75" customHeight="1" x14ac:dyDescent="0.3">
      <c r="A772" s="144" t="str">
        <f>+IF(PROVEEDORES[[#This Row],[FECHA DE PAGO]]=PROVEEDORES[[#This Row],[FECHA DE FACTURACIÓN]],"DE CONTADO","CRÉDITO")</f>
        <v>DE CONTADO</v>
      </c>
      <c r="B772" s="144" t="b">
        <f>+IF((PROVEEDORES[[#This Row],[FECHA DE PAGO]]-PROVEEDORES[[#This Row],[FECHA DE FACTURACIÓN]])&gt;PROVEEDORES[[#This Row],[PLAZO Días]],"PAGO VENCIDO")</f>
        <v>0</v>
      </c>
      <c r="C772" s="144">
        <f>+VLOOKUP(PROVEEDORES[[#This Row],[PROVEEDOR]],TERCEROS_INFO[#All],2,FALSE)</f>
        <v>0</v>
      </c>
      <c r="D772" s="145">
        <f>+SUMIFS(PROVEEDORES[Total],PROVEEDORES[PROVEEDOR],PROVEEDORES[[#This Row],[PROVEEDOR]],PROVEEDORES[FECHA DE PAGO],"")</f>
        <v>0</v>
      </c>
      <c r="E772" s="146"/>
      <c r="F772" s="144" t="str">
        <f>+VLOOKUP(PROVEEDORES[[#This Row],[PROVEEDOR]],
                       Terceros!$A:$G,
                       5,
                       FALSE)</f>
        <v>2,5% con base</v>
      </c>
      <c r="G772" s="122">
        <v>45208</v>
      </c>
      <c r="H772" s="102" t="s">
        <v>559</v>
      </c>
      <c r="I772" s="122">
        <v>45208</v>
      </c>
      <c r="J772" s="103" t="s">
        <v>1189</v>
      </c>
      <c r="K772" s="103" t="s">
        <v>1512</v>
      </c>
      <c r="L772" s="103"/>
      <c r="M772" s="105">
        <v>416500</v>
      </c>
      <c r="N772" s="147">
        <v>79135</v>
      </c>
      <c r="O772" s="147">
        <v>0</v>
      </c>
      <c r="P772" s="148">
        <v>0</v>
      </c>
      <c r="Q772" s="147">
        <v>0</v>
      </c>
      <c r="R772" s="149">
        <v>495635</v>
      </c>
      <c r="S7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2" s="150">
        <f ca="1">+IF(PROVEEDORES[[#This Row],[FECHA DE PAGO]]=0,TODAY()-PROVEEDORES[[#This Row],[FECHA DE FACTURACIÓN]]-PROVEEDORES[[#This Row],[PLAZO Días]],0)</f>
        <v>0</v>
      </c>
      <c r="U772" s="150">
        <f>+VLOOKUP(PROVEEDORES[[#This Row],[PROVEEDOR]],Terceros!$A:$E,4,FALSE)</f>
        <v>0.19</v>
      </c>
      <c r="V772" s="150">
        <f>+YEAR(PROVEEDORES[[#This Row],[FECHA DE FACTURACIÓN]])</f>
        <v>2023</v>
      </c>
      <c r="W772" s="150">
        <f>+MATCH(PROVEEDORES[[#This Row],[año facturado]],Retenciones!$1:$1,0)</f>
        <v>6</v>
      </c>
      <c r="X772" s="151" t="e">
        <f>+VLOOKUP(PROVEEDORES[[#This Row],[ID RETENCION]],Retenciones!$A$1:$O$25,PROVEEDORES[[#This Row],[indicador de columna]],FALSE)</f>
        <v>#N/A</v>
      </c>
      <c r="Y772" s="152" t="e">
        <f>+VLOOKUP(PROVEEDORES[[#This Row],[ID RETENCION]],Retenciones!$A$1:$O$25,2,FALSE)</f>
        <v>#N/A</v>
      </c>
      <c r="Z772" s="153" t="b">
        <f>+OR(COUNTIF(PROVEEDORES[[#This Row],[PROVEEDOR]],"*"&amp;'Palabra que no opera y Listas d'!$A$2&amp;"*"))</f>
        <v>0</v>
      </c>
    </row>
    <row r="773" spans="1:26" ht="27.75" customHeight="1" x14ac:dyDescent="0.3">
      <c r="A773" s="144" t="str">
        <f>+IF(PROVEEDORES[[#This Row],[FECHA DE PAGO]]=PROVEEDORES[[#This Row],[FECHA DE FACTURACIÓN]],"DE CONTADO","CRÉDITO")</f>
        <v>CRÉDITO</v>
      </c>
      <c r="B773" s="144" t="str">
        <f>+IF((PROVEEDORES[[#This Row],[FECHA DE PAGO]]-PROVEEDORES[[#This Row],[FECHA DE FACTURACIÓN]])&gt;PROVEEDORES[[#This Row],[PLAZO Días]],"PAGO VENCIDO")</f>
        <v>PAGO VENCIDO</v>
      </c>
      <c r="C773" s="144">
        <f>+VLOOKUP(PROVEEDORES[[#This Row],[PROVEEDOR]],TERCEROS_INFO[#All],2,FALSE)</f>
        <v>0</v>
      </c>
      <c r="D773" s="145">
        <f>+SUMIFS(PROVEEDORES[Total],PROVEEDORES[PROVEEDOR],PROVEEDORES[[#This Row],[PROVEEDOR]],PROVEEDORES[FECHA DE PAGO],"")</f>
        <v>0</v>
      </c>
      <c r="E773" s="146"/>
      <c r="F773" s="144">
        <f>+VLOOKUP(PROVEEDORES[[#This Row],[PROVEEDOR]],
                       Terceros!$A:$G,
                       5,
                       FALSE)</f>
        <v>0</v>
      </c>
      <c r="G773" s="122">
        <v>45209</v>
      </c>
      <c r="H773" s="102" t="s">
        <v>1789</v>
      </c>
      <c r="I773" s="122">
        <v>45181</v>
      </c>
      <c r="J773" s="103" t="s">
        <v>1112</v>
      </c>
      <c r="K773" s="103" t="s">
        <v>1512</v>
      </c>
      <c r="L773" s="103"/>
      <c r="M773" s="105">
        <v>1068000</v>
      </c>
      <c r="N773" s="147">
        <v>0</v>
      </c>
      <c r="O773" s="147">
        <v>0</v>
      </c>
      <c r="P773" s="148">
        <v>0</v>
      </c>
      <c r="Q773" s="147">
        <v>0</v>
      </c>
      <c r="R773" s="149">
        <v>1068000</v>
      </c>
      <c r="S7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3" s="150">
        <f ca="1">+IF(PROVEEDORES[[#This Row],[FECHA DE PAGO]]=0,TODAY()-PROVEEDORES[[#This Row],[FECHA DE FACTURACIÓN]]-PROVEEDORES[[#This Row],[PLAZO Días]],0)</f>
        <v>0</v>
      </c>
      <c r="U773" s="150">
        <f>+VLOOKUP(PROVEEDORES[[#This Row],[PROVEEDOR]],Terceros!$A:$E,4,FALSE)</f>
        <v>0</v>
      </c>
      <c r="V773" s="150">
        <f>+YEAR(PROVEEDORES[[#This Row],[FECHA DE FACTURACIÓN]])</f>
        <v>2023</v>
      </c>
      <c r="W773" s="150">
        <f>+MATCH(PROVEEDORES[[#This Row],[año facturado]],Retenciones!$1:$1,0)</f>
        <v>6</v>
      </c>
      <c r="X773" s="151">
        <f>+VLOOKUP(PROVEEDORES[[#This Row],[ID RETENCION]],Retenciones!$A$1:$O$25,PROVEEDORES[[#This Row],[indicador de columna]],FALSE)</f>
        <v>0</v>
      </c>
      <c r="Y773" s="152">
        <f>+VLOOKUP(PROVEEDORES[[#This Row],[ID RETENCION]],Retenciones!$A$1:$O$25,2,FALSE)</f>
        <v>0</v>
      </c>
      <c r="Z773" s="153" t="b">
        <f>+OR(COUNTIF(PROVEEDORES[[#This Row],[PROVEEDOR]],"*"&amp;'Palabra que no opera y Listas d'!$A$2&amp;"*"))</f>
        <v>0</v>
      </c>
    </row>
    <row r="774" spans="1:26" ht="27.75" customHeight="1" x14ac:dyDescent="0.3">
      <c r="A774" s="144" t="str">
        <f>+IF(PROVEEDORES[[#This Row],[FECHA DE PAGO]]=PROVEEDORES[[#This Row],[FECHA DE FACTURACIÓN]],"DE CONTADO","CRÉDITO")</f>
        <v>CRÉDITO</v>
      </c>
      <c r="B774" s="144" t="str">
        <f>+IF((PROVEEDORES[[#This Row],[FECHA DE PAGO]]-PROVEEDORES[[#This Row],[FECHA DE FACTURACIÓN]])&gt;PROVEEDORES[[#This Row],[PLAZO Días]],"PAGO VENCIDO")</f>
        <v>PAGO VENCIDO</v>
      </c>
      <c r="C774" s="144">
        <f>+VLOOKUP(PROVEEDORES[[#This Row],[PROVEEDOR]],TERCEROS_INFO[#All],2,FALSE)</f>
        <v>0</v>
      </c>
      <c r="D774" s="145">
        <f>+SUMIFS(PROVEEDORES[Total],PROVEEDORES[PROVEEDOR],PROVEEDORES[[#This Row],[PROVEEDOR]],PROVEEDORES[FECHA DE PAGO],"")</f>
        <v>181631</v>
      </c>
      <c r="E774" s="146"/>
      <c r="F774" s="144">
        <f>+VLOOKUP(PROVEEDORES[[#This Row],[PROVEEDOR]],
                       Terceros!$A:$G,
                       5,
                       FALSE)</f>
        <v>0</v>
      </c>
      <c r="G774" s="122">
        <v>45209</v>
      </c>
      <c r="H774" s="102" t="s">
        <v>383</v>
      </c>
      <c r="I774" s="122">
        <v>45200</v>
      </c>
      <c r="J774" s="103" t="s">
        <v>1091</v>
      </c>
      <c r="K774" s="103" t="s">
        <v>1512</v>
      </c>
      <c r="L774" s="103"/>
      <c r="M774" s="105">
        <v>20226</v>
      </c>
      <c r="N774" s="147">
        <v>3842.94</v>
      </c>
      <c r="O774" s="147">
        <v>0</v>
      </c>
      <c r="P774" s="148">
        <v>0</v>
      </c>
      <c r="Q774" s="147">
        <v>0</v>
      </c>
      <c r="R774" s="149">
        <v>24068.94</v>
      </c>
      <c r="S7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4" s="150">
        <f ca="1">+IF(PROVEEDORES[[#This Row],[FECHA DE PAGO]]=0,TODAY()-PROVEEDORES[[#This Row],[FECHA DE FACTURACIÓN]]-PROVEEDORES[[#This Row],[PLAZO Días]],0)</f>
        <v>0</v>
      </c>
      <c r="U774" s="150">
        <f>+VLOOKUP(PROVEEDORES[[#This Row],[PROVEEDOR]],Terceros!$A:$E,4,FALSE)</f>
        <v>0.19</v>
      </c>
      <c r="V774" s="150">
        <f>+YEAR(PROVEEDORES[[#This Row],[FECHA DE FACTURACIÓN]])</f>
        <v>2023</v>
      </c>
      <c r="W774" s="150">
        <f>+MATCH(PROVEEDORES[[#This Row],[año facturado]],Retenciones!$1:$1,0)</f>
        <v>6</v>
      </c>
      <c r="X774" s="151" t="e">
        <f>+VLOOKUP(PROVEEDORES[[#This Row],[ID RETENCION]],Retenciones!$A$1:$O$25,PROVEEDORES[[#This Row],[indicador de columna]],FALSE)</f>
        <v>#N/A</v>
      </c>
      <c r="Y774" s="152" t="e">
        <f>+VLOOKUP(PROVEEDORES[[#This Row],[ID RETENCION]],Retenciones!$A$1:$O$25,2,FALSE)</f>
        <v>#N/A</v>
      </c>
      <c r="Z774" s="153" t="b">
        <f>+OR(COUNTIF(PROVEEDORES[[#This Row],[PROVEEDOR]],"*"&amp;'Palabra que no opera y Listas d'!$A$2&amp;"*"))</f>
        <v>1</v>
      </c>
    </row>
    <row r="775" spans="1:26" ht="27.75" customHeight="1" x14ac:dyDescent="0.3">
      <c r="A775" s="144" t="str">
        <f>+IF(PROVEEDORES[[#This Row],[FECHA DE PAGO]]=PROVEEDORES[[#This Row],[FECHA DE FACTURACIÓN]],"DE CONTADO","CRÉDITO")</f>
        <v>CRÉDITO</v>
      </c>
      <c r="B775" s="144" t="str">
        <f>+IF((PROVEEDORES[[#This Row],[FECHA DE PAGO]]-PROVEEDORES[[#This Row],[FECHA DE FACTURACIÓN]])&gt;PROVEEDORES[[#This Row],[PLAZO Días]],"PAGO VENCIDO")</f>
        <v>PAGO VENCIDO</v>
      </c>
      <c r="C775" s="144">
        <f>+VLOOKUP(PROVEEDORES[[#This Row],[PROVEEDOR]],TERCEROS_INFO[#All],2,FALSE)</f>
        <v>0</v>
      </c>
      <c r="D775" s="145">
        <f>+SUMIFS(PROVEEDORES[Total],PROVEEDORES[PROVEEDOR],PROVEEDORES[[#This Row],[PROVEEDOR]],PROVEEDORES[FECHA DE PAGO],"")</f>
        <v>181631</v>
      </c>
      <c r="E775" s="146"/>
      <c r="F775" s="144">
        <f>+VLOOKUP(PROVEEDORES[[#This Row],[PROVEEDOR]],
                       Terceros!$A:$G,
                       5,
                       FALSE)</f>
        <v>0</v>
      </c>
      <c r="G775" s="122">
        <v>45209</v>
      </c>
      <c r="H775" s="102" t="s">
        <v>383</v>
      </c>
      <c r="I775" s="122">
        <v>45200</v>
      </c>
      <c r="J775" s="103" t="s">
        <v>1090</v>
      </c>
      <c r="K775" s="103" t="s">
        <v>1512</v>
      </c>
      <c r="L775" s="103"/>
      <c r="M775" s="105">
        <v>908172</v>
      </c>
      <c r="N775" s="147">
        <v>172552.68</v>
      </c>
      <c r="O775" s="147">
        <v>0</v>
      </c>
      <c r="P775" s="148">
        <v>0</v>
      </c>
      <c r="Q775" s="147">
        <v>0</v>
      </c>
      <c r="R775" s="149">
        <v>1080724.68</v>
      </c>
      <c r="S7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5" s="150">
        <f ca="1">+IF(PROVEEDORES[[#This Row],[FECHA DE PAGO]]=0,TODAY()-PROVEEDORES[[#This Row],[FECHA DE FACTURACIÓN]]-PROVEEDORES[[#This Row],[PLAZO Días]],0)</f>
        <v>0</v>
      </c>
      <c r="U775" s="150">
        <f>+VLOOKUP(PROVEEDORES[[#This Row],[PROVEEDOR]],Terceros!$A:$E,4,FALSE)</f>
        <v>0.19</v>
      </c>
      <c r="V775" s="150">
        <f>+YEAR(PROVEEDORES[[#This Row],[FECHA DE FACTURACIÓN]])</f>
        <v>2023</v>
      </c>
      <c r="W775" s="150">
        <f>+MATCH(PROVEEDORES[[#This Row],[año facturado]],Retenciones!$1:$1,0)</f>
        <v>6</v>
      </c>
      <c r="X775" s="151" t="e">
        <f>+VLOOKUP(PROVEEDORES[[#This Row],[ID RETENCION]],Retenciones!$A$1:$O$25,PROVEEDORES[[#This Row],[indicador de columna]],FALSE)</f>
        <v>#N/A</v>
      </c>
      <c r="Y775" s="152" t="e">
        <f>+VLOOKUP(PROVEEDORES[[#This Row],[ID RETENCION]],Retenciones!$A$1:$O$25,2,FALSE)</f>
        <v>#N/A</v>
      </c>
      <c r="Z775" s="153" t="b">
        <f>+OR(COUNTIF(PROVEEDORES[[#This Row],[PROVEEDOR]],"*"&amp;'Palabra que no opera y Listas d'!$A$2&amp;"*"))</f>
        <v>1</v>
      </c>
    </row>
    <row r="776" spans="1:26" ht="27.75" customHeight="1" x14ac:dyDescent="0.3">
      <c r="A776" s="144" t="str">
        <f>+IF(PROVEEDORES[[#This Row],[FECHA DE PAGO]]=PROVEEDORES[[#This Row],[FECHA DE FACTURACIÓN]],"DE CONTADO","CRÉDITO")</f>
        <v>CRÉDITO</v>
      </c>
      <c r="B776" s="144" t="str">
        <f>+IF((PROVEEDORES[[#This Row],[FECHA DE PAGO]]-PROVEEDORES[[#This Row],[FECHA DE FACTURACIÓN]])&gt;PROVEEDORES[[#This Row],[PLAZO Días]],"PAGO VENCIDO")</f>
        <v>PAGO VENCIDO</v>
      </c>
      <c r="C776" s="144">
        <f>+VLOOKUP(PROVEEDORES[[#This Row],[PROVEEDOR]],TERCEROS_INFO[#All],2,FALSE)</f>
        <v>0</v>
      </c>
      <c r="D776" s="145">
        <f>+SUMIFS(PROVEEDORES[Total],PROVEEDORES[PROVEEDOR],PROVEEDORES[[#This Row],[PROVEEDOR]],PROVEEDORES[FECHA DE PAGO],"")</f>
        <v>181631</v>
      </c>
      <c r="E776" s="146"/>
      <c r="F776" s="144">
        <f>+VLOOKUP(PROVEEDORES[[#This Row],[PROVEEDOR]],
                       Terceros!$A:$G,
                       5,
                       FALSE)</f>
        <v>0</v>
      </c>
      <c r="G776" s="122">
        <v>45209</v>
      </c>
      <c r="H776" s="102" t="s">
        <v>383</v>
      </c>
      <c r="I776" s="122">
        <v>45200</v>
      </c>
      <c r="J776" s="103" t="s">
        <v>1087</v>
      </c>
      <c r="K776" s="103" t="s">
        <v>1512</v>
      </c>
      <c r="L776" s="103"/>
      <c r="M776" s="105">
        <v>3792544</v>
      </c>
      <c r="N776" s="147">
        <v>720583.36</v>
      </c>
      <c r="O776" s="147">
        <v>0</v>
      </c>
      <c r="P776" s="148">
        <v>0</v>
      </c>
      <c r="Q776" s="147">
        <v>0</v>
      </c>
      <c r="R776" s="149">
        <v>4513127.3600000003</v>
      </c>
      <c r="S7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6" s="150">
        <f ca="1">+IF(PROVEEDORES[[#This Row],[FECHA DE PAGO]]=0,TODAY()-PROVEEDORES[[#This Row],[FECHA DE FACTURACIÓN]]-PROVEEDORES[[#This Row],[PLAZO Días]],0)</f>
        <v>0</v>
      </c>
      <c r="U776" s="150">
        <f>+VLOOKUP(PROVEEDORES[[#This Row],[PROVEEDOR]],Terceros!$A:$E,4,FALSE)</f>
        <v>0.19</v>
      </c>
      <c r="V776" s="150">
        <f>+YEAR(PROVEEDORES[[#This Row],[FECHA DE FACTURACIÓN]])</f>
        <v>2023</v>
      </c>
      <c r="W776" s="150">
        <f>+MATCH(PROVEEDORES[[#This Row],[año facturado]],Retenciones!$1:$1,0)</f>
        <v>6</v>
      </c>
      <c r="X776" s="151" t="e">
        <f>+VLOOKUP(PROVEEDORES[[#This Row],[ID RETENCION]],Retenciones!$A$1:$O$25,PROVEEDORES[[#This Row],[indicador de columna]],FALSE)</f>
        <v>#N/A</v>
      </c>
      <c r="Y776" s="152" t="e">
        <f>+VLOOKUP(PROVEEDORES[[#This Row],[ID RETENCION]],Retenciones!$A$1:$O$25,2,FALSE)</f>
        <v>#N/A</v>
      </c>
      <c r="Z776" s="153" t="b">
        <f>+OR(COUNTIF(PROVEEDORES[[#This Row],[PROVEEDOR]],"*"&amp;'Palabra que no opera y Listas d'!$A$2&amp;"*"))</f>
        <v>1</v>
      </c>
    </row>
    <row r="777" spans="1:26" ht="27.75" customHeight="1" x14ac:dyDescent="0.3">
      <c r="A777" s="144" t="str">
        <f>+IF(PROVEEDORES[[#This Row],[FECHA DE PAGO]]=PROVEEDORES[[#This Row],[FECHA DE FACTURACIÓN]],"DE CONTADO","CRÉDITO")</f>
        <v>DE CONTADO</v>
      </c>
      <c r="B777" s="144" t="b">
        <f>+IF((PROVEEDORES[[#This Row],[FECHA DE PAGO]]-PROVEEDORES[[#This Row],[FECHA DE FACTURACIÓN]])&gt;PROVEEDORES[[#This Row],[PLAZO Días]],"PAGO VENCIDO")</f>
        <v>0</v>
      </c>
      <c r="C777" s="144">
        <f>+VLOOKUP(PROVEEDORES[[#This Row],[PROVEEDOR]],TERCEROS_INFO[#All],2,FALSE)</f>
        <v>0</v>
      </c>
      <c r="D777" s="145">
        <f>+SUMIFS(PROVEEDORES[Total],PROVEEDORES[PROVEEDOR],PROVEEDORES[[#This Row],[PROVEEDOR]],PROVEEDORES[FECHA DE PAGO],"")</f>
        <v>550000</v>
      </c>
      <c r="E777" s="146"/>
      <c r="F777" s="144">
        <f>+VLOOKUP(PROVEEDORES[[#This Row],[PROVEEDOR]],
                       Terceros!$A:$G,
                       5,
                       FALSE)</f>
        <v>0</v>
      </c>
      <c r="G777" s="122">
        <v>45209</v>
      </c>
      <c r="H777" s="102" t="s">
        <v>1784</v>
      </c>
      <c r="I777" s="122">
        <v>45209</v>
      </c>
      <c r="J777" s="103" t="s">
        <v>1158</v>
      </c>
      <c r="K777" s="103" t="s">
        <v>1512</v>
      </c>
      <c r="L777" s="103"/>
      <c r="M777" s="105">
        <v>1380000</v>
      </c>
      <c r="N777" s="147">
        <v>0</v>
      </c>
      <c r="O777" s="147">
        <v>0</v>
      </c>
      <c r="P777" s="148">
        <v>0</v>
      </c>
      <c r="Q777" s="147">
        <v>0</v>
      </c>
      <c r="R777" s="149">
        <v>1380000</v>
      </c>
      <c r="S7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7" s="150">
        <f ca="1">+IF(PROVEEDORES[[#This Row],[FECHA DE PAGO]]=0,TODAY()-PROVEEDORES[[#This Row],[FECHA DE FACTURACIÓN]]-PROVEEDORES[[#This Row],[PLAZO Días]],0)</f>
        <v>0</v>
      </c>
      <c r="U777" s="150">
        <f>+VLOOKUP(PROVEEDORES[[#This Row],[PROVEEDOR]],Terceros!$A:$E,4,FALSE)</f>
        <v>0</v>
      </c>
      <c r="V777" s="150">
        <f>+YEAR(PROVEEDORES[[#This Row],[FECHA DE FACTURACIÓN]])</f>
        <v>2023</v>
      </c>
      <c r="W777" s="150">
        <f>+MATCH(PROVEEDORES[[#This Row],[año facturado]],Retenciones!$1:$1,0)</f>
        <v>6</v>
      </c>
      <c r="X777" s="151">
        <f>+VLOOKUP(PROVEEDORES[[#This Row],[ID RETENCION]],Retenciones!$A$1:$O$25,PROVEEDORES[[#This Row],[indicador de columna]],FALSE)</f>
        <v>0</v>
      </c>
      <c r="Y777" s="152">
        <f>+VLOOKUP(PROVEEDORES[[#This Row],[ID RETENCION]],Retenciones!$A$1:$O$25,2,FALSE)</f>
        <v>0</v>
      </c>
      <c r="Z777" s="153" t="b">
        <f>+OR(COUNTIF(PROVEEDORES[[#This Row],[PROVEEDOR]],"*"&amp;'Palabra que no opera y Listas d'!$A$2&amp;"*"))</f>
        <v>0</v>
      </c>
    </row>
    <row r="778" spans="1:26" ht="27.75" customHeight="1" x14ac:dyDescent="0.3">
      <c r="A778" s="144" t="str">
        <f>+IF(PROVEEDORES[[#This Row],[FECHA DE PAGO]]=PROVEEDORES[[#This Row],[FECHA DE FACTURACIÓN]],"DE CONTADO","CRÉDITO")</f>
        <v>DE CONTADO</v>
      </c>
      <c r="B778" s="144" t="b">
        <f>+IF((PROVEEDORES[[#This Row],[FECHA DE PAGO]]-PROVEEDORES[[#This Row],[FECHA DE FACTURACIÓN]])&gt;PROVEEDORES[[#This Row],[PLAZO Días]],"PAGO VENCIDO")</f>
        <v>0</v>
      </c>
      <c r="C778" s="144">
        <f>+VLOOKUP(PROVEEDORES[[#This Row],[PROVEEDOR]],TERCEROS_INFO[#All],2,FALSE)</f>
        <v>0</v>
      </c>
      <c r="D778" s="145">
        <f>+SUMIFS(PROVEEDORES[Total],PROVEEDORES[PROVEEDOR],PROVEEDORES[[#This Row],[PROVEEDOR]],PROVEEDORES[FECHA DE PAGO],"")</f>
        <v>0</v>
      </c>
      <c r="E778" s="146"/>
      <c r="F778" s="144">
        <f>+VLOOKUP(PROVEEDORES[[#This Row],[PROVEEDOR]],
                       Terceros!$A:$G,
                       5,
                       FALSE)</f>
        <v>0</v>
      </c>
      <c r="G778" s="122">
        <v>45210</v>
      </c>
      <c r="H778" s="102" t="s">
        <v>537</v>
      </c>
      <c r="I778" s="122">
        <v>45210</v>
      </c>
      <c r="J778" s="103" t="s">
        <v>1154</v>
      </c>
      <c r="K778" s="103" t="s">
        <v>1512</v>
      </c>
      <c r="L778" s="103"/>
      <c r="M778" s="105">
        <v>180000</v>
      </c>
      <c r="N778" s="147">
        <v>0</v>
      </c>
      <c r="O778" s="147">
        <v>0</v>
      </c>
      <c r="P778" s="148">
        <v>0</v>
      </c>
      <c r="Q778" s="147">
        <v>0</v>
      </c>
      <c r="R778" s="149">
        <v>180000</v>
      </c>
      <c r="S7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8" s="150">
        <f ca="1">+IF(PROVEEDORES[[#This Row],[FECHA DE PAGO]]=0,TODAY()-PROVEEDORES[[#This Row],[FECHA DE FACTURACIÓN]]-PROVEEDORES[[#This Row],[PLAZO Días]],0)</f>
        <v>0</v>
      </c>
      <c r="U778" s="150">
        <f>+VLOOKUP(PROVEEDORES[[#This Row],[PROVEEDOR]],Terceros!$A:$E,4,FALSE)</f>
        <v>0</v>
      </c>
      <c r="V778" s="150">
        <f>+YEAR(PROVEEDORES[[#This Row],[FECHA DE FACTURACIÓN]])</f>
        <v>2023</v>
      </c>
      <c r="W778" s="150">
        <f>+MATCH(PROVEEDORES[[#This Row],[año facturado]],Retenciones!$1:$1,0)</f>
        <v>6</v>
      </c>
      <c r="X778" s="151">
        <f>+VLOOKUP(PROVEEDORES[[#This Row],[ID RETENCION]],Retenciones!$A$1:$O$25,PROVEEDORES[[#This Row],[indicador de columna]],FALSE)</f>
        <v>0</v>
      </c>
      <c r="Y778" s="152">
        <f>+VLOOKUP(PROVEEDORES[[#This Row],[ID RETENCION]],Retenciones!$A$1:$O$25,2,FALSE)</f>
        <v>0</v>
      </c>
      <c r="Z778" s="153" t="b">
        <f>+OR(COUNTIF(PROVEEDORES[[#This Row],[PROVEEDOR]],"*"&amp;'Palabra que no opera y Listas d'!$A$2&amp;"*"))</f>
        <v>0</v>
      </c>
    </row>
    <row r="779" spans="1:26" ht="27.75" customHeight="1" x14ac:dyDescent="0.3">
      <c r="A779" s="144" t="str">
        <f>+IF(PROVEEDORES[[#This Row],[FECHA DE PAGO]]=PROVEEDORES[[#This Row],[FECHA DE FACTURACIÓN]],"DE CONTADO","CRÉDITO")</f>
        <v>DE CONTADO</v>
      </c>
      <c r="B779" s="144" t="b">
        <f>+IF((PROVEEDORES[[#This Row],[FECHA DE PAGO]]-PROVEEDORES[[#This Row],[FECHA DE FACTURACIÓN]])&gt;PROVEEDORES[[#This Row],[PLAZO Días]],"PAGO VENCIDO")</f>
        <v>0</v>
      </c>
      <c r="C779" s="144">
        <f>+VLOOKUP(PROVEEDORES[[#This Row],[PROVEEDOR]],TERCEROS_INFO[#All],2,FALSE)</f>
        <v>0</v>
      </c>
      <c r="D779" s="145">
        <f>+SUMIFS(PROVEEDORES[Total],PROVEEDORES[PROVEEDOR],PROVEEDORES[[#This Row],[PROVEEDOR]],PROVEEDORES[FECHA DE PAGO],"")</f>
        <v>0</v>
      </c>
      <c r="E779" s="146"/>
      <c r="F779" s="144">
        <f>+VLOOKUP(PROVEEDORES[[#This Row],[PROVEEDOR]],
                       Terceros!$A:$G,
                       5,
                       FALSE)</f>
        <v>0</v>
      </c>
      <c r="G779" s="122">
        <v>45211</v>
      </c>
      <c r="H779" s="102" t="s">
        <v>537</v>
      </c>
      <c r="I779" s="122">
        <v>45211</v>
      </c>
      <c r="J779" s="103" t="s">
        <v>1132</v>
      </c>
      <c r="K779" s="103" t="s">
        <v>1512</v>
      </c>
      <c r="L779" s="103"/>
      <c r="M779" s="105">
        <v>280331</v>
      </c>
      <c r="N779" s="147">
        <v>0</v>
      </c>
      <c r="O779" s="147">
        <v>0</v>
      </c>
      <c r="P779" s="148">
        <v>0</v>
      </c>
      <c r="Q779" s="147">
        <v>0</v>
      </c>
      <c r="R779" s="149">
        <v>280331</v>
      </c>
      <c r="S7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9" s="150">
        <f ca="1">+IF(PROVEEDORES[[#This Row],[FECHA DE PAGO]]=0,TODAY()-PROVEEDORES[[#This Row],[FECHA DE FACTURACIÓN]]-PROVEEDORES[[#This Row],[PLAZO Días]],0)</f>
        <v>0</v>
      </c>
      <c r="U779" s="150">
        <f>+VLOOKUP(PROVEEDORES[[#This Row],[PROVEEDOR]],Terceros!$A:$E,4,FALSE)</f>
        <v>0</v>
      </c>
      <c r="V779" s="150">
        <f>+YEAR(PROVEEDORES[[#This Row],[FECHA DE FACTURACIÓN]])</f>
        <v>2023</v>
      </c>
      <c r="W779" s="150">
        <f>+MATCH(PROVEEDORES[[#This Row],[año facturado]],Retenciones!$1:$1,0)</f>
        <v>6</v>
      </c>
      <c r="X779" s="151">
        <f>+VLOOKUP(PROVEEDORES[[#This Row],[ID RETENCION]],Retenciones!$A$1:$O$25,PROVEEDORES[[#This Row],[indicador de columna]],FALSE)</f>
        <v>0</v>
      </c>
      <c r="Y779" s="152">
        <f>+VLOOKUP(PROVEEDORES[[#This Row],[ID RETENCION]],Retenciones!$A$1:$O$25,2,FALSE)</f>
        <v>0</v>
      </c>
      <c r="Z779" s="153" t="b">
        <f>+OR(COUNTIF(PROVEEDORES[[#This Row],[PROVEEDOR]],"*"&amp;'Palabra que no opera y Listas d'!$A$2&amp;"*"))</f>
        <v>0</v>
      </c>
    </row>
    <row r="780" spans="1:26" ht="27.75" customHeight="1" x14ac:dyDescent="0.3">
      <c r="A780" s="144" t="str">
        <f>+IF(PROVEEDORES[[#This Row],[FECHA DE PAGO]]=PROVEEDORES[[#This Row],[FECHA DE FACTURACIÓN]],"DE CONTADO","CRÉDITO")</f>
        <v>DE CONTADO</v>
      </c>
      <c r="B780" s="144" t="b">
        <f>+IF((PROVEEDORES[[#This Row],[FECHA DE PAGO]]-PROVEEDORES[[#This Row],[FECHA DE FACTURACIÓN]])&gt;PROVEEDORES[[#This Row],[PLAZO Días]],"PAGO VENCIDO")</f>
        <v>0</v>
      </c>
      <c r="C780" s="144">
        <f>+VLOOKUP(PROVEEDORES[[#This Row],[PROVEEDOR]],TERCEROS_INFO[#All],2,FALSE)</f>
        <v>0</v>
      </c>
      <c r="D780" s="145">
        <f>+SUMIFS(PROVEEDORES[Total],PROVEEDORES[PROVEEDOR],PROVEEDORES[[#This Row],[PROVEEDOR]],PROVEEDORES[FECHA DE PAGO],"")</f>
        <v>0</v>
      </c>
      <c r="E780" s="146"/>
      <c r="F780" s="144">
        <f>+VLOOKUP(PROVEEDORES[[#This Row],[PROVEEDOR]],
                       Terceros!$A:$G,
                       5,
                       FALSE)</f>
        <v>0</v>
      </c>
      <c r="G780" s="122">
        <v>45211</v>
      </c>
      <c r="H780" s="102" t="s">
        <v>1792</v>
      </c>
      <c r="I780" s="122">
        <v>45211</v>
      </c>
      <c r="J780" s="103" t="s">
        <v>1145</v>
      </c>
      <c r="K780" s="103" t="s">
        <v>1512</v>
      </c>
      <c r="L780" s="103"/>
      <c r="M780" s="105">
        <v>550000</v>
      </c>
      <c r="N780" s="147">
        <v>0</v>
      </c>
      <c r="O780" s="147">
        <v>0</v>
      </c>
      <c r="P780" s="148">
        <v>0</v>
      </c>
      <c r="Q780" s="147">
        <v>0</v>
      </c>
      <c r="R780" s="149">
        <v>550000</v>
      </c>
      <c r="S7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0" s="150">
        <f ca="1">+IF(PROVEEDORES[[#This Row],[FECHA DE PAGO]]=0,TODAY()-PROVEEDORES[[#This Row],[FECHA DE FACTURACIÓN]]-PROVEEDORES[[#This Row],[PLAZO Días]],0)</f>
        <v>0</v>
      </c>
      <c r="U780" s="150">
        <f>+VLOOKUP(PROVEEDORES[[#This Row],[PROVEEDOR]],Terceros!$A:$E,4,FALSE)</f>
        <v>0</v>
      </c>
      <c r="V780" s="150">
        <f>+YEAR(PROVEEDORES[[#This Row],[FECHA DE FACTURACIÓN]])</f>
        <v>2023</v>
      </c>
      <c r="W780" s="150">
        <f>+MATCH(PROVEEDORES[[#This Row],[año facturado]],Retenciones!$1:$1,0)</f>
        <v>6</v>
      </c>
      <c r="X780" s="151">
        <f>+VLOOKUP(PROVEEDORES[[#This Row],[ID RETENCION]],Retenciones!$A$1:$O$25,PROVEEDORES[[#This Row],[indicador de columna]],FALSE)</f>
        <v>0</v>
      </c>
      <c r="Y780" s="152">
        <f>+VLOOKUP(PROVEEDORES[[#This Row],[ID RETENCION]],Retenciones!$A$1:$O$25,2,FALSE)</f>
        <v>0</v>
      </c>
      <c r="Z780" s="153" t="b">
        <f>+OR(COUNTIF(PROVEEDORES[[#This Row],[PROVEEDOR]],"*"&amp;'Palabra que no opera y Listas d'!$A$2&amp;"*"))</f>
        <v>0</v>
      </c>
    </row>
    <row r="781" spans="1:26" ht="27.75" customHeight="1" x14ac:dyDescent="0.3">
      <c r="A781" s="144" t="str">
        <f>+IF(PROVEEDORES[[#This Row],[FECHA DE PAGO]]=PROVEEDORES[[#This Row],[FECHA DE FACTURACIÓN]],"DE CONTADO","CRÉDITO")</f>
        <v>CRÉDITO</v>
      </c>
      <c r="B781" s="144" t="str">
        <f>+IF((PROVEEDORES[[#This Row],[FECHA DE PAGO]]-PROVEEDORES[[#This Row],[FECHA DE FACTURACIÓN]])&gt;PROVEEDORES[[#This Row],[PLAZO Días]],"PAGO VENCIDO")</f>
        <v>PAGO VENCIDO</v>
      </c>
      <c r="C781" s="144">
        <f>+VLOOKUP(PROVEEDORES[[#This Row],[PROVEEDOR]],TERCEROS_INFO[#All],2,FALSE)</f>
        <v>0</v>
      </c>
      <c r="D781" s="145">
        <f>+SUMIFS(PROVEEDORES[Total],PROVEEDORES[PROVEEDOR],PROVEEDORES[[#This Row],[PROVEEDOR]],PROVEEDORES[FECHA DE PAGO],"")</f>
        <v>0</v>
      </c>
      <c r="E781" s="146"/>
      <c r="F781" s="144">
        <f>+VLOOKUP(PROVEEDORES[[#This Row],[PROVEEDOR]],
                       Terceros!$A:$G,
                       5,
                       FALSE)</f>
        <v>0</v>
      </c>
      <c r="G781" s="122">
        <v>45213</v>
      </c>
      <c r="H781" s="102" t="s">
        <v>496</v>
      </c>
      <c r="I781" s="122">
        <v>45212</v>
      </c>
      <c r="J781" s="103" t="s">
        <v>1151</v>
      </c>
      <c r="K781" s="103" t="s">
        <v>1512</v>
      </c>
      <c r="L781" s="103"/>
      <c r="M781" s="105">
        <v>2740000</v>
      </c>
      <c r="N781" s="147">
        <v>0</v>
      </c>
      <c r="O781" s="147">
        <v>0</v>
      </c>
      <c r="P781" s="148">
        <v>0</v>
      </c>
      <c r="Q781" s="147">
        <v>0</v>
      </c>
      <c r="R781" s="149">
        <v>2740000</v>
      </c>
      <c r="S7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1" s="150">
        <f ca="1">+IF(PROVEEDORES[[#This Row],[FECHA DE PAGO]]=0,TODAY()-PROVEEDORES[[#This Row],[FECHA DE FACTURACIÓN]]-PROVEEDORES[[#This Row],[PLAZO Días]],0)</f>
        <v>0</v>
      </c>
      <c r="U781" s="150">
        <f>+VLOOKUP(PROVEEDORES[[#This Row],[PROVEEDOR]],Terceros!$A:$E,4,FALSE)</f>
        <v>0</v>
      </c>
      <c r="V781" s="150">
        <f>+YEAR(PROVEEDORES[[#This Row],[FECHA DE FACTURACIÓN]])</f>
        <v>2023</v>
      </c>
      <c r="W781" s="150">
        <f>+MATCH(PROVEEDORES[[#This Row],[año facturado]],Retenciones!$1:$1,0)</f>
        <v>6</v>
      </c>
      <c r="X781" s="151">
        <f>+VLOOKUP(PROVEEDORES[[#This Row],[ID RETENCION]],Retenciones!$A$1:$O$25,PROVEEDORES[[#This Row],[indicador de columna]],FALSE)</f>
        <v>0</v>
      </c>
      <c r="Y781" s="152">
        <f>+VLOOKUP(PROVEEDORES[[#This Row],[ID RETENCION]],Retenciones!$A$1:$O$25,2,FALSE)</f>
        <v>0</v>
      </c>
      <c r="Z781" s="153" t="b">
        <f>+OR(COUNTIF(PROVEEDORES[[#This Row],[PROVEEDOR]],"*"&amp;'Palabra que no opera y Listas d'!$A$2&amp;"*"))</f>
        <v>0</v>
      </c>
    </row>
    <row r="782" spans="1:26" ht="27.75" customHeight="1" x14ac:dyDescent="0.3">
      <c r="A782" s="144" t="str">
        <f>+IF(PROVEEDORES[[#This Row],[FECHA DE PAGO]]=PROVEEDORES[[#This Row],[FECHA DE FACTURACIÓN]],"DE CONTADO","CRÉDITO")</f>
        <v>CRÉDITO</v>
      </c>
      <c r="B782" s="144" t="str">
        <f>+IF((PROVEEDORES[[#This Row],[FECHA DE PAGO]]-PROVEEDORES[[#This Row],[FECHA DE FACTURACIÓN]])&gt;PROVEEDORES[[#This Row],[PLAZO Días]],"PAGO VENCIDO")</f>
        <v>PAGO VENCIDO</v>
      </c>
      <c r="C782" s="144">
        <f>+VLOOKUP(PROVEEDORES[[#This Row],[PROVEEDOR]],TERCEROS_INFO[#All],2,FALSE)</f>
        <v>0</v>
      </c>
      <c r="D782" s="145">
        <f>+SUMIFS(PROVEEDORES[Total],PROVEEDORES[PROVEEDOR],PROVEEDORES[[#This Row],[PROVEEDOR]],PROVEEDORES[FECHA DE PAGO],"")</f>
        <v>0</v>
      </c>
      <c r="E782" s="146"/>
      <c r="F782" s="144">
        <f>+VLOOKUP(PROVEEDORES[[#This Row],[PROVEEDOR]],
                       Terceros!$A:$G,
                       5,
                       FALSE)</f>
        <v>0</v>
      </c>
      <c r="G782" s="122">
        <v>45217</v>
      </c>
      <c r="H782" s="102" t="s">
        <v>1788</v>
      </c>
      <c r="I782" s="122">
        <v>45140</v>
      </c>
      <c r="J782" s="103" t="s">
        <v>953</v>
      </c>
      <c r="K782" s="103" t="s">
        <v>1512</v>
      </c>
      <c r="L782" s="103"/>
      <c r="M782" s="105">
        <v>3496000</v>
      </c>
      <c r="N782" s="147">
        <v>0</v>
      </c>
      <c r="O782" s="147">
        <v>0</v>
      </c>
      <c r="P782" s="148">
        <v>0</v>
      </c>
      <c r="Q782" s="147">
        <v>0</v>
      </c>
      <c r="R782" s="149">
        <v>3496000</v>
      </c>
      <c r="S7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2" s="150">
        <f ca="1">+IF(PROVEEDORES[[#This Row],[FECHA DE PAGO]]=0,TODAY()-PROVEEDORES[[#This Row],[FECHA DE FACTURACIÓN]]-PROVEEDORES[[#This Row],[PLAZO Días]],0)</f>
        <v>0</v>
      </c>
      <c r="U782" s="150">
        <f>+VLOOKUP(PROVEEDORES[[#This Row],[PROVEEDOR]],Terceros!$A:$E,4,FALSE)</f>
        <v>0</v>
      </c>
      <c r="V782" s="150">
        <f>+YEAR(PROVEEDORES[[#This Row],[FECHA DE FACTURACIÓN]])</f>
        <v>2023</v>
      </c>
      <c r="W782" s="150">
        <f>+MATCH(PROVEEDORES[[#This Row],[año facturado]],Retenciones!$1:$1,0)</f>
        <v>6</v>
      </c>
      <c r="X782" s="151">
        <f>+VLOOKUP(PROVEEDORES[[#This Row],[ID RETENCION]],Retenciones!$A$1:$O$25,PROVEEDORES[[#This Row],[indicador de columna]],FALSE)</f>
        <v>0</v>
      </c>
      <c r="Y782" s="152">
        <f>+VLOOKUP(PROVEEDORES[[#This Row],[ID RETENCION]],Retenciones!$A$1:$O$25,2,FALSE)</f>
        <v>0</v>
      </c>
      <c r="Z782" s="153" t="b">
        <f>+OR(COUNTIF(PROVEEDORES[[#This Row],[PROVEEDOR]],"*"&amp;'Palabra que no opera y Listas d'!$A$2&amp;"*"))</f>
        <v>0</v>
      </c>
    </row>
    <row r="783" spans="1:26" ht="27.75" customHeight="1" x14ac:dyDescent="0.3">
      <c r="A783" s="144" t="str">
        <f>+IF(PROVEEDORES[[#This Row],[FECHA DE PAGO]]=PROVEEDORES[[#This Row],[FECHA DE FACTURACIÓN]],"DE CONTADO","CRÉDITO")</f>
        <v>CRÉDITO</v>
      </c>
      <c r="B783" s="144" t="str">
        <f>+IF((PROVEEDORES[[#This Row],[FECHA DE PAGO]]-PROVEEDORES[[#This Row],[FECHA DE FACTURACIÓN]])&gt;PROVEEDORES[[#This Row],[PLAZO Días]],"PAGO VENCIDO")</f>
        <v>PAGO VENCIDO</v>
      </c>
      <c r="C783" s="144">
        <f>+VLOOKUP(PROVEEDORES[[#This Row],[PROVEEDOR]],TERCEROS_INFO[#All],2,FALSE)</f>
        <v>0</v>
      </c>
      <c r="D783" s="145">
        <f>+SUMIFS(PROVEEDORES[Total],PROVEEDORES[PROVEEDOR],PROVEEDORES[[#This Row],[PROVEEDOR]],PROVEEDORES[FECHA DE PAGO],"")</f>
        <v>0</v>
      </c>
      <c r="E783" s="146"/>
      <c r="F783" s="144">
        <f>+VLOOKUP(PROVEEDORES[[#This Row],[PROVEEDOR]],
                       Terceros!$A:$G,
                       5,
                       FALSE)</f>
        <v>0</v>
      </c>
      <c r="G783" s="122">
        <v>45218</v>
      </c>
      <c r="H783" s="102" t="s">
        <v>1795</v>
      </c>
      <c r="I783" s="122">
        <v>45153</v>
      </c>
      <c r="J783" s="103">
        <v>31505</v>
      </c>
      <c r="K783" s="103" t="s">
        <v>1512</v>
      </c>
      <c r="L783" s="103"/>
      <c r="M783" s="105">
        <v>116000</v>
      </c>
      <c r="N783" s="147">
        <v>0</v>
      </c>
      <c r="O783" s="147">
        <v>0</v>
      </c>
      <c r="P783" s="148">
        <v>0</v>
      </c>
      <c r="Q783" s="147">
        <v>0</v>
      </c>
      <c r="R783" s="149">
        <v>116000</v>
      </c>
      <c r="S7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3" s="150">
        <f ca="1">+IF(PROVEEDORES[[#This Row],[FECHA DE PAGO]]=0,TODAY()-PROVEEDORES[[#This Row],[FECHA DE FACTURACIÓN]]-PROVEEDORES[[#This Row],[PLAZO Días]],0)</f>
        <v>0</v>
      </c>
      <c r="U783" s="150">
        <f>+VLOOKUP(PROVEEDORES[[#This Row],[PROVEEDOR]],Terceros!$A:$E,4,FALSE)</f>
        <v>0</v>
      </c>
      <c r="V783" s="150">
        <f>+YEAR(PROVEEDORES[[#This Row],[FECHA DE FACTURACIÓN]])</f>
        <v>2023</v>
      </c>
      <c r="W783" s="150">
        <f>+MATCH(PROVEEDORES[[#This Row],[año facturado]],Retenciones!$1:$1,0)</f>
        <v>6</v>
      </c>
      <c r="X783" s="151">
        <f>+VLOOKUP(PROVEEDORES[[#This Row],[ID RETENCION]],Retenciones!$A$1:$O$25,PROVEEDORES[[#This Row],[indicador de columna]],FALSE)</f>
        <v>0</v>
      </c>
      <c r="Y783" s="152">
        <f>+VLOOKUP(PROVEEDORES[[#This Row],[ID RETENCION]],Retenciones!$A$1:$O$25,2,FALSE)</f>
        <v>0</v>
      </c>
      <c r="Z783" s="153" t="b">
        <f>+OR(COUNTIF(PROVEEDORES[[#This Row],[PROVEEDOR]],"*"&amp;'Palabra que no opera y Listas d'!$A$2&amp;"*"))</f>
        <v>0</v>
      </c>
    </row>
    <row r="784" spans="1:26" ht="27.75" customHeight="1" x14ac:dyDescent="0.3">
      <c r="A784" s="144" t="str">
        <f>+IF(PROVEEDORES[[#This Row],[FECHA DE PAGO]]=PROVEEDORES[[#This Row],[FECHA DE FACTURACIÓN]],"DE CONTADO","CRÉDITO")</f>
        <v>CRÉDITO</v>
      </c>
      <c r="B784" s="144" t="str">
        <f>+IF((PROVEEDORES[[#This Row],[FECHA DE PAGO]]-PROVEEDORES[[#This Row],[FECHA DE FACTURACIÓN]])&gt;PROVEEDORES[[#This Row],[PLAZO Días]],"PAGO VENCIDO")</f>
        <v>PAGO VENCIDO</v>
      </c>
      <c r="C784" s="144">
        <f>+VLOOKUP(PROVEEDORES[[#This Row],[PROVEEDOR]],TERCEROS_INFO[#All],2,FALSE)</f>
        <v>0</v>
      </c>
      <c r="D784" s="145">
        <f>+SUMIFS(PROVEEDORES[Total],PROVEEDORES[PROVEEDOR],PROVEEDORES[[#This Row],[PROVEEDOR]],PROVEEDORES[FECHA DE PAGO],"")</f>
        <v>0</v>
      </c>
      <c r="E784" s="146"/>
      <c r="F784" s="144">
        <f>+VLOOKUP(PROVEEDORES[[#This Row],[PROVEEDOR]],
                       Terceros!$A:$G,
                       5,
                       FALSE)</f>
        <v>0</v>
      </c>
      <c r="G784" s="122">
        <v>45218</v>
      </c>
      <c r="H784" s="102" t="s">
        <v>720</v>
      </c>
      <c r="I784" s="122">
        <v>45154</v>
      </c>
      <c r="J784" s="103" t="s">
        <v>1014</v>
      </c>
      <c r="K784" s="103" t="s">
        <v>1512</v>
      </c>
      <c r="L784" s="103"/>
      <c r="M784" s="105">
        <v>6870000</v>
      </c>
      <c r="N784" s="147">
        <v>1305300</v>
      </c>
      <c r="O784" s="147">
        <v>0</v>
      </c>
      <c r="P784" s="148">
        <v>0</v>
      </c>
      <c r="Q784" s="147">
        <v>0</v>
      </c>
      <c r="R784" s="149">
        <v>8175300</v>
      </c>
      <c r="S7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4" s="150">
        <f ca="1">+IF(PROVEEDORES[[#This Row],[FECHA DE PAGO]]=0,TODAY()-PROVEEDORES[[#This Row],[FECHA DE FACTURACIÓN]]-PROVEEDORES[[#This Row],[PLAZO Días]],0)</f>
        <v>0</v>
      </c>
      <c r="U784" s="150">
        <f>+VLOOKUP(PROVEEDORES[[#This Row],[PROVEEDOR]],Terceros!$A:$E,4,FALSE)</f>
        <v>0.19</v>
      </c>
      <c r="V784" s="150">
        <f>+YEAR(PROVEEDORES[[#This Row],[FECHA DE FACTURACIÓN]])</f>
        <v>2023</v>
      </c>
      <c r="W784" s="150">
        <f>+MATCH(PROVEEDORES[[#This Row],[año facturado]],Retenciones!$1:$1,0)</f>
        <v>6</v>
      </c>
      <c r="X784" s="151" t="e">
        <f>+VLOOKUP(PROVEEDORES[[#This Row],[ID RETENCION]],Retenciones!$A$1:$O$25,PROVEEDORES[[#This Row],[indicador de columna]],FALSE)</f>
        <v>#N/A</v>
      </c>
      <c r="Y784" s="152" t="e">
        <f>+VLOOKUP(PROVEEDORES[[#This Row],[ID RETENCION]],Retenciones!$A$1:$O$25,2,FALSE)</f>
        <v>#N/A</v>
      </c>
      <c r="Z784" s="153" t="b">
        <f>+OR(COUNTIF(PROVEEDORES[[#This Row],[PROVEEDOR]],"*"&amp;'Palabra que no opera y Listas d'!$A$2&amp;"*"))</f>
        <v>0</v>
      </c>
    </row>
    <row r="785" spans="1:26" ht="27.75" customHeight="1" x14ac:dyDescent="0.3">
      <c r="A785" s="144" t="str">
        <f>+IF(PROVEEDORES[[#This Row],[FECHA DE PAGO]]=PROVEEDORES[[#This Row],[FECHA DE FACTURACIÓN]],"DE CONTADO","CRÉDITO")</f>
        <v>CRÉDITO</v>
      </c>
      <c r="B785" s="144" t="str">
        <f>+IF((PROVEEDORES[[#This Row],[FECHA DE PAGO]]-PROVEEDORES[[#This Row],[FECHA DE FACTURACIÓN]])&gt;PROVEEDORES[[#This Row],[PLAZO Días]],"PAGO VENCIDO")</f>
        <v>PAGO VENCIDO</v>
      </c>
      <c r="C785" s="144">
        <f>+VLOOKUP(PROVEEDORES[[#This Row],[PROVEEDOR]],TERCEROS_INFO[#All],2,FALSE)</f>
        <v>0</v>
      </c>
      <c r="D785" s="145">
        <f>+SUMIFS(PROVEEDORES[Total],PROVEEDORES[PROVEEDOR],PROVEEDORES[[#This Row],[PROVEEDOR]],PROVEEDORES[FECHA DE PAGO],"")</f>
        <v>2129306.6150000002</v>
      </c>
      <c r="E785" s="146"/>
      <c r="F785" s="144" t="str">
        <f>+VLOOKUP(PROVEEDORES[[#This Row],[PROVEEDOR]],
                       Terceros!$A:$G,
                       5,
                       FALSE)</f>
        <v>2,5% con base</v>
      </c>
      <c r="G785" s="122">
        <v>45218</v>
      </c>
      <c r="H785" s="102" t="s">
        <v>234</v>
      </c>
      <c r="I785" s="122">
        <v>45169</v>
      </c>
      <c r="J785" s="103" t="s">
        <v>1034</v>
      </c>
      <c r="K785" s="103" t="s">
        <v>1512</v>
      </c>
      <c r="L785" s="103"/>
      <c r="M785" s="105">
        <v>1181915</v>
      </c>
      <c r="N785" s="147">
        <v>224563.85</v>
      </c>
      <c r="O785" s="147">
        <v>0</v>
      </c>
      <c r="P785" s="148">
        <v>2.5000000000000001E-2</v>
      </c>
      <c r="Q785" s="147">
        <v>29547.875</v>
      </c>
      <c r="R785" s="149">
        <v>1376930.9750000001</v>
      </c>
      <c r="S7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5" s="150">
        <f ca="1">+IF(PROVEEDORES[[#This Row],[FECHA DE PAGO]]=0,TODAY()-PROVEEDORES[[#This Row],[FECHA DE FACTURACIÓN]]-PROVEEDORES[[#This Row],[PLAZO Días]],0)</f>
        <v>0</v>
      </c>
      <c r="U785" s="150">
        <f>+VLOOKUP(PROVEEDORES[[#This Row],[PROVEEDOR]],Terceros!$A:$E,4,FALSE)</f>
        <v>0.19</v>
      </c>
      <c r="V785" s="150">
        <f>+YEAR(PROVEEDORES[[#This Row],[FECHA DE FACTURACIÓN]])</f>
        <v>2023</v>
      </c>
      <c r="W785" s="150">
        <f>+MATCH(PROVEEDORES[[#This Row],[año facturado]],Retenciones!$1:$1,0)</f>
        <v>6</v>
      </c>
      <c r="X785" s="151" t="e">
        <f>+VLOOKUP(PROVEEDORES[[#This Row],[ID RETENCION]],Retenciones!$A$1:$O$25,PROVEEDORES[[#This Row],[indicador de columna]],FALSE)</f>
        <v>#N/A</v>
      </c>
      <c r="Y785" s="152" t="e">
        <f>+VLOOKUP(PROVEEDORES[[#This Row],[ID RETENCION]],Retenciones!$A$1:$O$25,2,FALSE)</f>
        <v>#N/A</v>
      </c>
      <c r="Z785" s="153" t="b">
        <f>+OR(COUNTIF(PROVEEDORES[[#This Row],[PROVEEDOR]],"*"&amp;'Palabra que no opera y Listas d'!$A$2&amp;"*"))</f>
        <v>0</v>
      </c>
    </row>
    <row r="786" spans="1:26" ht="27.75" customHeight="1" x14ac:dyDescent="0.3">
      <c r="A786" s="144" t="str">
        <f>+IF(PROVEEDORES[[#This Row],[FECHA DE PAGO]]=PROVEEDORES[[#This Row],[FECHA DE FACTURACIÓN]],"DE CONTADO","CRÉDITO")</f>
        <v>CRÉDITO</v>
      </c>
      <c r="B786" s="144" t="str">
        <f>+IF((PROVEEDORES[[#This Row],[FECHA DE PAGO]]-PROVEEDORES[[#This Row],[FECHA DE FACTURACIÓN]])&gt;PROVEEDORES[[#This Row],[PLAZO Días]],"PAGO VENCIDO")</f>
        <v>PAGO VENCIDO</v>
      </c>
      <c r="C786" s="144">
        <f>+VLOOKUP(PROVEEDORES[[#This Row],[PROVEEDOR]],TERCEROS_INFO[#All],2,FALSE)</f>
        <v>0</v>
      </c>
      <c r="D786" s="145">
        <f>+SUMIFS(PROVEEDORES[Total],PROVEEDORES[PROVEEDOR],PROVEEDORES[[#This Row],[PROVEEDOR]],PROVEEDORES[FECHA DE PAGO],"")</f>
        <v>0</v>
      </c>
      <c r="E786" s="146"/>
      <c r="F786" s="144" t="str">
        <f>+VLOOKUP(PROVEEDORES[[#This Row],[PROVEEDOR]],
                       Terceros!$A:$G,
                       5,
                       FALSE)</f>
        <v>3,5% sin base</v>
      </c>
      <c r="G786" s="122">
        <v>45218</v>
      </c>
      <c r="H786" s="102" t="s">
        <v>398</v>
      </c>
      <c r="I786" s="122">
        <v>45200</v>
      </c>
      <c r="J786" s="103" t="s">
        <v>1133</v>
      </c>
      <c r="K786" s="103" t="s">
        <v>1512</v>
      </c>
      <c r="L786" s="103"/>
      <c r="M786" s="105">
        <v>3935776</v>
      </c>
      <c r="N786" s="147">
        <v>747797.44000000006</v>
      </c>
      <c r="O786" s="147">
        <v>0</v>
      </c>
      <c r="P786" s="148">
        <v>3.5000000000000003E-2</v>
      </c>
      <c r="Q786" s="147">
        <v>137752.16</v>
      </c>
      <c r="R786" s="149">
        <v>4545821.28</v>
      </c>
      <c r="S7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6" s="150">
        <f ca="1">+IF(PROVEEDORES[[#This Row],[FECHA DE PAGO]]=0,TODAY()-PROVEEDORES[[#This Row],[FECHA DE FACTURACIÓN]]-PROVEEDORES[[#This Row],[PLAZO Días]],0)</f>
        <v>0</v>
      </c>
      <c r="U786" s="150">
        <f>+VLOOKUP(PROVEEDORES[[#This Row],[PROVEEDOR]],Terceros!$A:$E,4,FALSE)</f>
        <v>0.19</v>
      </c>
      <c r="V786" s="150">
        <f>+YEAR(PROVEEDORES[[#This Row],[FECHA DE FACTURACIÓN]])</f>
        <v>2023</v>
      </c>
      <c r="W786" s="150">
        <f>+MATCH(PROVEEDORES[[#This Row],[año facturado]],Retenciones!$1:$1,0)</f>
        <v>6</v>
      </c>
      <c r="X786" s="151" t="e">
        <f>+VLOOKUP(PROVEEDORES[[#This Row],[ID RETENCION]],Retenciones!$A$1:$O$25,PROVEEDORES[[#This Row],[indicador de columna]],FALSE)</f>
        <v>#N/A</v>
      </c>
      <c r="Y786" s="152" t="e">
        <f>+VLOOKUP(PROVEEDORES[[#This Row],[ID RETENCION]],Retenciones!$A$1:$O$25,2,FALSE)</f>
        <v>#N/A</v>
      </c>
      <c r="Z786" s="153" t="b">
        <f>+OR(COUNTIF(PROVEEDORES[[#This Row],[PROVEEDOR]],"*"&amp;'Palabra que no opera y Listas d'!$A$2&amp;"*"))</f>
        <v>1</v>
      </c>
    </row>
    <row r="787" spans="1:26" ht="27.75" customHeight="1" x14ac:dyDescent="0.3">
      <c r="A787" s="144" t="str">
        <f>+IF(PROVEEDORES[[#This Row],[FECHA DE PAGO]]=PROVEEDORES[[#This Row],[FECHA DE FACTURACIÓN]],"DE CONTADO","CRÉDITO")</f>
        <v>CRÉDITO</v>
      </c>
      <c r="B787" s="144" t="str">
        <f>+IF((PROVEEDORES[[#This Row],[FECHA DE PAGO]]-PROVEEDORES[[#This Row],[FECHA DE FACTURACIÓN]])&gt;PROVEEDORES[[#This Row],[PLAZO Días]],"PAGO VENCIDO")</f>
        <v>PAGO VENCIDO</v>
      </c>
      <c r="C787" s="144">
        <f>+VLOOKUP(PROVEEDORES[[#This Row],[PROVEEDOR]],TERCEROS_INFO[#All],2,FALSE)</f>
        <v>0</v>
      </c>
      <c r="D787" s="145">
        <f>+SUMIFS(PROVEEDORES[Total],PROVEEDORES[PROVEEDOR],PROVEEDORES[[#This Row],[PROVEEDOR]],PROVEEDORES[FECHA DE PAGO],"")</f>
        <v>0</v>
      </c>
      <c r="E787" s="146"/>
      <c r="F787" s="144" t="str">
        <f>+VLOOKUP(PROVEEDORES[[#This Row],[PROVEEDOR]],
                       Terceros!$A:$G,
                       5,
                       FALSE)</f>
        <v>3,5% sin base</v>
      </c>
      <c r="G787" s="122">
        <v>45218</v>
      </c>
      <c r="H787" s="102" t="s">
        <v>409</v>
      </c>
      <c r="I787" s="122">
        <v>45200</v>
      </c>
      <c r="J787" s="103" t="s">
        <v>1124</v>
      </c>
      <c r="K787" s="103" t="s">
        <v>1512</v>
      </c>
      <c r="L787" s="103"/>
      <c r="M787" s="105">
        <v>243611</v>
      </c>
      <c r="N787" s="147">
        <v>46286.090000000004</v>
      </c>
      <c r="O787" s="147">
        <v>0</v>
      </c>
      <c r="P787" s="148">
        <v>3.5000000000000003E-2</v>
      </c>
      <c r="Q787" s="147">
        <v>8526.3850000000002</v>
      </c>
      <c r="R787" s="149">
        <v>281370.70500000002</v>
      </c>
      <c r="S7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7" s="150">
        <f ca="1">+IF(PROVEEDORES[[#This Row],[FECHA DE PAGO]]=0,TODAY()-PROVEEDORES[[#This Row],[FECHA DE FACTURACIÓN]]-PROVEEDORES[[#This Row],[PLAZO Días]],0)</f>
        <v>0</v>
      </c>
      <c r="U787" s="150">
        <f>+VLOOKUP(PROVEEDORES[[#This Row],[PROVEEDOR]],Terceros!$A:$E,4,FALSE)</f>
        <v>0.19</v>
      </c>
      <c r="V787" s="150">
        <f>+YEAR(PROVEEDORES[[#This Row],[FECHA DE FACTURACIÓN]])</f>
        <v>2023</v>
      </c>
      <c r="W787" s="150">
        <f>+MATCH(PROVEEDORES[[#This Row],[año facturado]],Retenciones!$1:$1,0)</f>
        <v>6</v>
      </c>
      <c r="X787" s="151" t="e">
        <f>+VLOOKUP(PROVEEDORES[[#This Row],[ID RETENCION]],Retenciones!$A$1:$O$25,PROVEEDORES[[#This Row],[indicador de columna]],FALSE)</f>
        <v>#N/A</v>
      </c>
      <c r="Y787" s="152" t="e">
        <f>+VLOOKUP(PROVEEDORES[[#This Row],[ID RETENCION]],Retenciones!$A$1:$O$25,2,FALSE)</f>
        <v>#N/A</v>
      </c>
      <c r="Z787" s="153" t="b">
        <f>+OR(COUNTIF(PROVEEDORES[[#This Row],[PROVEEDOR]],"*"&amp;'Palabra que no opera y Listas d'!$A$2&amp;"*"))</f>
        <v>1</v>
      </c>
    </row>
    <row r="788" spans="1:26" ht="27.75" customHeight="1" x14ac:dyDescent="0.3">
      <c r="A788" s="144" t="str">
        <f>+IF(PROVEEDORES[[#This Row],[FECHA DE PAGO]]=PROVEEDORES[[#This Row],[FECHA DE FACTURACIÓN]],"DE CONTADO","CRÉDITO")</f>
        <v>CRÉDITO</v>
      </c>
      <c r="B788" s="144" t="str">
        <f>+IF((PROVEEDORES[[#This Row],[FECHA DE PAGO]]-PROVEEDORES[[#This Row],[FECHA DE FACTURACIÓN]])&gt;PROVEEDORES[[#This Row],[PLAZO Días]],"PAGO VENCIDO")</f>
        <v>PAGO VENCIDO</v>
      </c>
      <c r="C788" s="144">
        <f>+VLOOKUP(PROVEEDORES[[#This Row],[PROVEEDOR]],TERCEROS_INFO[#All],2,FALSE)</f>
        <v>0</v>
      </c>
      <c r="D788" s="145">
        <f>+SUMIFS(PROVEEDORES[Total],PROVEEDORES[PROVEEDOR],PROVEEDORES[[#This Row],[PROVEEDOR]],PROVEEDORES[FECHA DE PAGO],"")</f>
        <v>0</v>
      </c>
      <c r="E788" s="146"/>
      <c r="F788" s="144">
        <f>+VLOOKUP(PROVEEDORES[[#This Row],[PROVEEDOR]],
                       Terceros!$A:$G,
                       5,
                       FALSE)</f>
        <v>0</v>
      </c>
      <c r="G788" s="122">
        <v>45218</v>
      </c>
      <c r="H788" s="102" t="s">
        <v>391</v>
      </c>
      <c r="I788" s="122">
        <v>45200</v>
      </c>
      <c r="J788" s="103" t="s">
        <v>1122</v>
      </c>
      <c r="K788" s="103" t="s">
        <v>1512</v>
      </c>
      <c r="L788" s="103"/>
      <c r="M788" s="105">
        <v>318603</v>
      </c>
      <c r="N788" s="147">
        <v>0</v>
      </c>
      <c r="O788" s="147">
        <v>0</v>
      </c>
      <c r="P788" s="148">
        <v>0</v>
      </c>
      <c r="Q788" s="147">
        <v>0</v>
      </c>
      <c r="R788" s="149">
        <v>318603</v>
      </c>
      <c r="S7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8" s="150">
        <f ca="1">+IF(PROVEEDORES[[#This Row],[FECHA DE PAGO]]=0,TODAY()-PROVEEDORES[[#This Row],[FECHA DE FACTURACIÓN]]-PROVEEDORES[[#This Row],[PLAZO Días]],0)</f>
        <v>0</v>
      </c>
      <c r="U788" s="150">
        <f>+VLOOKUP(PROVEEDORES[[#This Row],[PROVEEDOR]],Terceros!$A:$E,4,FALSE)</f>
        <v>0</v>
      </c>
      <c r="V788" s="150">
        <f>+YEAR(PROVEEDORES[[#This Row],[FECHA DE FACTURACIÓN]])</f>
        <v>2023</v>
      </c>
      <c r="W788" s="150">
        <f>+MATCH(PROVEEDORES[[#This Row],[año facturado]],Retenciones!$1:$1,0)</f>
        <v>6</v>
      </c>
      <c r="X788" s="151">
        <f>+VLOOKUP(PROVEEDORES[[#This Row],[ID RETENCION]],Retenciones!$A$1:$O$25,PROVEEDORES[[#This Row],[indicador de columna]],FALSE)</f>
        <v>0</v>
      </c>
      <c r="Y788" s="152">
        <f>+VLOOKUP(PROVEEDORES[[#This Row],[ID RETENCION]],Retenciones!$A$1:$O$25,2,FALSE)</f>
        <v>0</v>
      </c>
      <c r="Z788" s="153" t="b">
        <f>+OR(COUNTIF(PROVEEDORES[[#This Row],[PROVEEDOR]],"*"&amp;'Palabra que no opera y Listas d'!$A$2&amp;"*"))</f>
        <v>1</v>
      </c>
    </row>
    <row r="789" spans="1:26" ht="27.75" customHeight="1" x14ac:dyDescent="0.3">
      <c r="A789" s="144" t="str">
        <f>+IF(PROVEEDORES[[#This Row],[FECHA DE PAGO]]=PROVEEDORES[[#This Row],[FECHA DE FACTURACIÓN]],"DE CONTADO","CRÉDITO")</f>
        <v>CRÉDITO</v>
      </c>
      <c r="B789" s="144" t="str">
        <f>+IF((PROVEEDORES[[#This Row],[FECHA DE PAGO]]-PROVEEDORES[[#This Row],[FECHA DE FACTURACIÓN]])&gt;PROVEEDORES[[#This Row],[PLAZO Días]],"PAGO VENCIDO")</f>
        <v>PAGO VENCIDO</v>
      </c>
      <c r="C789" s="144">
        <f>+VLOOKUP(PROVEEDORES[[#This Row],[PROVEEDOR]],TERCEROS_INFO[#All],2,FALSE)</f>
        <v>0</v>
      </c>
      <c r="D789" s="145">
        <f>+SUMIFS(PROVEEDORES[Total],PROVEEDORES[PROVEEDOR],PROVEEDORES[[#This Row],[PROVEEDOR]],PROVEEDORES[FECHA DE PAGO],"")</f>
        <v>0</v>
      </c>
      <c r="E789" s="146"/>
      <c r="F789" s="144">
        <f>+VLOOKUP(PROVEEDORES[[#This Row],[PROVEEDOR]],
                       Terceros!$A:$G,
                       5,
                       FALSE)</f>
        <v>0</v>
      </c>
      <c r="G789" s="122">
        <v>45218</v>
      </c>
      <c r="H789" s="102" t="s">
        <v>497</v>
      </c>
      <c r="I789" s="122">
        <v>45200</v>
      </c>
      <c r="J789" s="103" t="s">
        <v>1121</v>
      </c>
      <c r="K789" s="103" t="s">
        <v>1512</v>
      </c>
      <c r="L789" s="103"/>
      <c r="M789" s="105">
        <v>5350576</v>
      </c>
      <c r="N789" s="147">
        <v>1016609.4400000001</v>
      </c>
      <c r="O789" s="147">
        <v>0</v>
      </c>
      <c r="P789" s="148">
        <v>0</v>
      </c>
      <c r="Q789" s="147">
        <v>0</v>
      </c>
      <c r="R789" s="149">
        <v>6367185.4400000004</v>
      </c>
      <c r="S7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9" s="150">
        <f ca="1">+IF(PROVEEDORES[[#This Row],[FECHA DE PAGO]]=0,TODAY()-PROVEEDORES[[#This Row],[FECHA DE FACTURACIÓN]]-PROVEEDORES[[#This Row],[PLAZO Días]],0)</f>
        <v>0</v>
      </c>
      <c r="U789" s="150">
        <f>+VLOOKUP(PROVEEDORES[[#This Row],[PROVEEDOR]],Terceros!$A:$E,4,FALSE)</f>
        <v>0.19</v>
      </c>
      <c r="V789" s="150">
        <f>+YEAR(PROVEEDORES[[#This Row],[FECHA DE FACTURACIÓN]])</f>
        <v>2023</v>
      </c>
      <c r="W789" s="150">
        <f>+MATCH(PROVEEDORES[[#This Row],[año facturado]],Retenciones!$1:$1,0)</f>
        <v>6</v>
      </c>
      <c r="X789" s="151" t="e">
        <f>+VLOOKUP(PROVEEDORES[[#This Row],[ID RETENCION]],Retenciones!$A$1:$O$25,PROVEEDORES[[#This Row],[indicador de columna]],FALSE)</f>
        <v>#N/A</v>
      </c>
      <c r="Y789" s="152" t="e">
        <f>+VLOOKUP(PROVEEDORES[[#This Row],[ID RETENCION]],Retenciones!$A$1:$O$25,2,FALSE)</f>
        <v>#N/A</v>
      </c>
      <c r="Z789" s="153" t="b">
        <f>+OR(COUNTIF(PROVEEDORES[[#This Row],[PROVEEDOR]],"*"&amp;'Palabra que no opera y Listas d'!$A$2&amp;"*"))</f>
        <v>1</v>
      </c>
    </row>
    <row r="790" spans="1:26" ht="27.75" customHeight="1" x14ac:dyDescent="0.3">
      <c r="A790" s="144" t="str">
        <f>+IF(PROVEEDORES[[#This Row],[FECHA DE PAGO]]=PROVEEDORES[[#This Row],[FECHA DE FACTURACIÓN]],"DE CONTADO","CRÉDITO")</f>
        <v>CRÉDITO</v>
      </c>
      <c r="B790" s="144" t="str">
        <f>+IF((PROVEEDORES[[#This Row],[FECHA DE PAGO]]-PROVEEDORES[[#This Row],[FECHA DE FACTURACIÓN]])&gt;PROVEEDORES[[#This Row],[PLAZO Días]],"PAGO VENCIDO")</f>
        <v>PAGO VENCIDO</v>
      </c>
      <c r="C790" s="144">
        <f>+VLOOKUP(PROVEEDORES[[#This Row],[PROVEEDOR]],TERCEROS_INFO[#All],2,FALSE)</f>
        <v>0</v>
      </c>
      <c r="D790" s="145">
        <f>+SUMIFS(PROVEEDORES[Total],PROVEEDORES[PROVEEDOR],PROVEEDORES[[#This Row],[PROVEEDOR]],PROVEEDORES[FECHA DE PAGO],"")</f>
        <v>0</v>
      </c>
      <c r="E790" s="146"/>
      <c r="F790" s="144">
        <f>+VLOOKUP(PROVEEDORES[[#This Row],[PROVEEDOR]],
                       Terceros!$A:$G,
                       5,
                       FALSE)</f>
        <v>0</v>
      </c>
      <c r="G790" s="122">
        <v>45218</v>
      </c>
      <c r="H790" s="102" t="s">
        <v>388</v>
      </c>
      <c r="I790" s="122">
        <v>45201</v>
      </c>
      <c r="J790" s="103" t="s">
        <v>1123</v>
      </c>
      <c r="K790" s="103" t="s">
        <v>1512</v>
      </c>
      <c r="L790" s="103"/>
      <c r="M790" s="105">
        <v>1840056</v>
      </c>
      <c r="N790" s="147">
        <v>0</v>
      </c>
      <c r="O790" s="147">
        <v>0</v>
      </c>
      <c r="P790" s="148">
        <v>0</v>
      </c>
      <c r="Q790" s="147">
        <v>0</v>
      </c>
      <c r="R790" s="149">
        <v>1840056</v>
      </c>
      <c r="S7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0" s="150">
        <f ca="1">+IF(PROVEEDORES[[#This Row],[FECHA DE PAGO]]=0,TODAY()-PROVEEDORES[[#This Row],[FECHA DE FACTURACIÓN]]-PROVEEDORES[[#This Row],[PLAZO Días]],0)</f>
        <v>0</v>
      </c>
      <c r="U790" s="150">
        <f>+VLOOKUP(PROVEEDORES[[#This Row],[PROVEEDOR]],Terceros!$A:$E,4,FALSE)</f>
        <v>0</v>
      </c>
      <c r="V790" s="150">
        <f>+YEAR(PROVEEDORES[[#This Row],[FECHA DE FACTURACIÓN]])</f>
        <v>2023</v>
      </c>
      <c r="W790" s="150">
        <f>+MATCH(PROVEEDORES[[#This Row],[año facturado]],Retenciones!$1:$1,0)</f>
        <v>6</v>
      </c>
      <c r="X790" s="151">
        <f>+VLOOKUP(PROVEEDORES[[#This Row],[ID RETENCION]],Retenciones!$A$1:$O$25,PROVEEDORES[[#This Row],[indicador de columna]],FALSE)</f>
        <v>0</v>
      </c>
      <c r="Y790" s="152">
        <f>+VLOOKUP(PROVEEDORES[[#This Row],[ID RETENCION]],Retenciones!$A$1:$O$25,2,FALSE)</f>
        <v>0</v>
      </c>
      <c r="Z790" s="153" t="b">
        <f>+OR(COUNTIF(PROVEEDORES[[#This Row],[PROVEEDOR]],"*"&amp;'Palabra que no opera y Listas d'!$A$2&amp;"*"))</f>
        <v>1</v>
      </c>
    </row>
    <row r="791" spans="1:26" ht="27.75" customHeight="1" x14ac:dyDescent="0.3">
      <c r="A791" s="144" t="str">
        <f>+IF(PROVEEDORES[[#This Row],[FECHA DE PAGO]]=PROVEEDORES[[#This Row],[FECHA DE FACTURACIÓN]],"DE CONTADO","CRÉDITO")</f>
        <v>CRÉDITO</v>
      </c>
      <c r="B791" s="144" t="str">
        <f>+IF((PROVEEDORES[[#This Row],[FECHA DE PAGO]]-PROVEEDORES[[#This Row],[FECHA DE FACTURACIÓN]])&gt;PROVEEDORES[[#This Row],[PLAZO Días]],"PAGO VENCIDO")</f>
        <v>PAGO VENCIDO</v>
      </c>
      <c r="C791" s="144">
        <f>+VLOOKUP(PROVEEDORES[[#This Row],[PROVEEDOR]],TERCEROS_INFO[#All],2,FALSE)</f>
        <v>0</v>
      </c>
      <c r="D791" s="145">
        <f>+SUMIFS(PROVEEDORES[Total],PROVEEDORES[PROVEEDOR],PROVEEDORES[[#This Row],[PROVEEDOR]],PROVEEDORES[FECHA DE PAGO],"")</f>
        <v>0</v>
      </c>
      <c r="E791" s="146"/>
      <c r="F791" s="144">
        <f>+VLOOKUP(PROVEEDORES[[#This Row],[PROVEEDOR]],
                       Terceros!$A:$G,
                       5,
                       FALSE)</f>
        <v>0</v>
      </c>
      <c r="G791" s="122">
        <v>45218</v>
      </c>
      <c r="H791" s="102" t="s">
        <v>496</v>
      </c>
      <c r="I791" s="122">
        <v>45217</v>
      </c>
      <c r="J791" s="103" t="s">
        <v>1150</v>
      </c>
      <c r="K791" s="103" t="s">
        <v>1512</v>
      </c>
      <c r="L791" s="103"/>
      <c r="M791" s="105">
        <v>6764000</v>
      </c>
      <c r="N791" s="147">
        <v>0</v>
      </c>
      <c r="O791" s="147">
        <v>0</v>
      </c>
      <c r="P791" s="148">
        <v>0</v>
      </c>
      <c r="Q791" s="147">
        <v>0</v>
      </c>
      <c r="R791" s="149">
        <v>6764000</v>
      </c>
      <c r="S7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1" s="150">
        <f ca="1">+IF(PROVEEDORES[[#This Row],[FECHA DE PAGO]]=0,TODAY()-PROVEEDORES[[#This Row],[FECHA DE FACTURACIÓN]]-PROVEEDORES[[#This Row],[PLAZO Días]],0)</f>
        <v>0</v>
      </c>
      <c r="U791" s="150">
        <f>+VLOOKUP(PROVEEDORES[[#This Row],[PROVEEDOR]],Terceros!$A:$E,4,FALSE)</f>
        <v>0</v>
      </c>
      <c r="V791" s="150">
        <f>+YEAR(PROVEEDORES[[#This Row],[FECHA DE FACTURACIÓN]])</f>
        <v>2023</v>
      </c>
      <c r="W791" s="150">
        <f>+MATCH(PROVEEDORES[[#This Row],[año facturado]],Retenciones!$1:$1,0)</f>
        <v>6</v>
      </c>
      <c r="X791" s="151">
        <f>+VLOOKUP(PROVEEDORES[[#This Row],[ID RETENCION]],Retenciones!$A$1:$O$25,PROVEEDORES[[#This Row],[indicador de columna]],FALSE)</f>
        <v>0</v>
      </c>
      <c r="Y791" s="152">
        <f>+VLOOKUP(PROVEEDORES[[#This Row],[ID RETENCION]],Retenciones!$A$1:$O$25,2,FALSE)</f>
        <v>0</v>
      </c>
      <c r="Z791" s="153" t="b">
        <f>+OR(COUNTIF(PROVEEDORES[[#This Row],[PROVEEDOR]],"*"&amp;'Palabra que no opera y Listas d'!$A$2&amp;"*"))</f>
        <v>0</v>
      </c>
    </row>
    <row r="792" spans="1:26" ht="27.75" customHeight="1" x14ac:dyDescent="0.3">
      <c r="A792" s="144" t="str">
        <f>+IF(PROVEEDORES[[#This Row],[FECHA DE PAGO]]=PROVEEDORES[[#This Row],[FECHA DE FACTURACIÓN]],"DE CONTADO","CRÉDITO")</f>
        <v>DE CONTADO</v>
      </c>
      <c r="B792" s="144" t="b">
        <f>+IF((PROVEEDORES[[#This Row],[FECHA DE PAGO]]-PROVEEDORES[[#This Row],[FECHA DE FACTURACIÓN]])&gt;PROVEEDORES[[#This Row],[PLAZO Días]],"PAGO VENCIDO")</f>
        <v>0</v>
      </c>
      <c r="C792" s="144">
        <f>+VLOOKUP(PROVEEDORES[[#This Row],[PROVEEDOR]],TERCEROS_INFO[#All],2,FALSE)</f>
        <v>0</v>
      </c>
      <c r="D792" s="145">
        <f>+SUMIFS(PROVEEDORES[Total],PROVEEDORES[PROVEEDOR],PROVEEDORES[[#This Row],[PROVEEDOR]],PROVEEDORES[FECHA DE PAGO],"")</f>
        <v>0</v>
      </c>
      <c r="E792" s="146"/>
      <c r="F792" s="144">
        <f>+VLOOKUP(PROVEEDORES[[#This Row],[PROVEEDOR]],
                       Terceros!$A:$G,
                       5,
                       FALSE)</f>
        <v>0</v>
      </c>
      <c r="G792" s="122">
        <v>45218</v>
      </c>
      <c r="H792" s="102" t="s">
        <v>1801</v>
      </c>
      <c r="I792" s="122">
        <v>45218</v>
      </c>
      <c r="J792" s="103"/>
      <c r="K792" s="103" t="s">
        <v>1512</v>
      </c>
      <c r="L792" s="103"/>
      <c r="M792" s="105">
        <v>1000000</v>
      </c>
      <c r="N792" s="147">
        <v>0</v>
      </c>
      <c r="O792" s="147">
        <v>0</v>
      </c>
      <c r="P792" s="148">
        <v>0</v>
      </c>
      <c r="Q792" s="147">
        <v>0</v>
      </c>
      <c r="R792" s="149">
        <v>1000000</v>
      </c>
      <c r="S7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2" s="150">
        <f ca="1">+IF(PROVEEDORES[[#This Row],[FECHA DE PAGO]]=0,TODAY()-PROVEEDORES[[#This Row],[FECHA DE FACTURACIÓN]]-PROVEEDORES[[#This Row],[PLAZO Días]],0)</f>
        <v>0</v>
      </c>
      <c r="U792" s="150">
        <f>+VLOOKUP(PROVEEDORES[[#This Row],[PROVEEDOR]],Terceros!$A:$E,4,FALSE)</f>
        <v>0</v>
      </c>
      <c r="V792" s="150">
        <f>+YEAR(PROVEEDORES[[#This Row],[FECHA DE FACTURACIÓN]])</f>
        <v>2023</v>
      </c>
      <c r="W792" s="150">
        <f>+MATCH(PROVEEDORES[[#This Row],[año facturado]],Retenciones!$1:$1,0)</f>
        <v>6</v>
      </c>
      <c r="X792" s="151">
        <f>+VLOOKUP(PROVEEDORES[[#This Row],[ID RETENCION]],Retenciones!$A$1:$O$25,PROVEEDORES[[#This Row],[indicador de columna]],FALSE)</f>
        <v>0</v>
      </c>
      <c r="Y792" s="152">
        <f>+VLOOKUP(PROVEEDORES[[#This Row],[ID RETENCION]],Retenciones!$A$1:$O$25,2,FALSE)</f>
        <v>0</v>
      </c>
      <c r="Z792" s="153" t="b">
        <f>+OR(COUNTIF(PROVEEDORES[[#This Row],[PROVEEDOR]],"*"&amp;'Palabra que no opera y Listas d'!$A$2&amp;"*"))</f>
        <v>0</v>
      </c>
    </row>
    <row r="793" spans="1:26" ht="27.75" customHeight="1" x14ac:dyDescent="0.3">
      <c r="A793" s="144" t="str">
        <f>+IF(PROVEEDORES[[#This Row],[FECHA DE PAGO]]=PROVEEDORES[[#This Row],[FECHA DE FACTURACIÓN]],"DE CONTADO","CRÉDITO")</f>
        <v>CRÉDITO</v>
      </c>
      <c r="B793" s="144" t="str">
        <f>+IF((PROVEEDORES[[#This Row],[FECHA DE PAGO]]-PROVEEDORES[[#This Row],[FECHA DE FACTURACIÓN]])&gt;PROVEEDORES[[#This Row],[PLAZO Días]],"PAGO VENCIDO")</f>
        <v>PAGO VENCIDO</v>
      </c>
      <c r="C793" s="144">
        <f>+VLOOKUP(PROVEEDORES[[#This Row],[PROVEEDOR]],TERCEROS_INFO[#All],2,FALSE)</f>
        <v>0</v>
      </c>
      <c r="D793" s="145">
        <f>+SUMIFS(PROVEEDORES[Total],PROVEEDORES[PROVEEDOR],PROVEEDORES[[#This Row],[PROVEEDOR]],PROVEEDORES[FECHA DE PAGO],"")</f>
        <v>28179645.060000002</v>
      </c>
      <c r="E793" s="146"/>
      <c r="F793" s="144">
        <f>+VLOOKUP(PROVEEDORES[[#This Row],[PROVEEDOR]],
                       Terceros!$A:$G,
                       5,
                       FALSE)</f>
        <v>0</v>
      </c>
      <c r="G793" s="122">
        <v>45219</v>
      </c>
      <c r="H793" s="102" t="s">
        <v>18</v>
      </c>
      <c r="I793" s="122">
        <v>45167</v>
      </c>
      <c r="J793" s="103" t="s">
        <v>1028</v>
      </c>
      <c r="K793" s="103" t="s">
        <v>1512</v>
      </c>
      <c r="L793" s="103"/>
      <c r="M793" s="105">
        <v>13296150</v>
      </c>
      <c r="N793" s="147">
        <v>2526268.5</v>
      </c>
      <c r="O793" s="147">
        <v>0</v>
      </c>
      <c r="P793" s="148">
        <v>0</v>
      </c>
      <c r="Q793" s="147">
        <v>0</v>
      </c>
      <c r="R793" s="149">
        <v>15822418.5</v>
      </c>
      <c r="S7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3" s="150">
        <f ca="1">+IF(PROVEEDORES[[#This Row],[FECHA DE PAGO]]=0,TODAY()-PROVEEDORES[[#This Row],[FECHA DE FACTURACIÓN]]-PROVEEDORES[[#This Row],[PLAZO Días]],0)</f>
        <v>0</v>
      </c>
      <c r="U793" s="150">
        <f>+VLOOKUP(PROVEEDORES[[#This Row],[PROVEEDOR]],Terceros!$A:$E,4,FALSE)</f>
        <v>0.19</v>
      </c>
      <c r="V793" s="150">
        <f>+YEAR(PROVEEDORES[[#This Row],[FECHA DE FACTURACIÓN]])</f>
        <v>2023</v>
      </c>
      <c r="W793" s="150">
        <f>+MATCH(PROVEEDORES[[#This Row],[año facturado]],Retenciones!$1:$1,0)</f>
        <v>6</v>
      </c>
      <c r="X793" s="151" t="e">
        <f>+VLOOKUP(PROVEEDORES[[#This Row],[ID RETENCION]],Retenciones!$A$1:$O$25,PROVEEDORES[[#This Row],[indicador de columna]],FALSE)</f>
        <v>#N/A</v>
      </c>
      <c r="Y793" s="152" t="e">
        <f>+VLOOKUP(PROVEEDORES[[#This Row],[ID RETENCION]],Retenciones!$A$1:$O$25,2,FALSE)</f>
        <v>#N/A</v>
      </c>
      <c r="Z793" s="153" t="b">
        <f>+OR(COUNTIF(PROVEEDORES[[#This Row],[PROVEEDOR]],"*"&amp;'Palabra que no opera y Listas d'!$A$2&amp;"*"))</f>
        <v>0</v>
      </c>
    </row>
    <row r="794" spans="1:26" ht="27.75" customHeight="1" x14ac:dyDescent="0.3">
      <c r="A794" s="144" t="str">
        <f>+IF(PROVEEDORES[[#This Row],[FECHA DE PAGO]]=PROVEEDORES[[#This Row],[FECHA DE FACTURACIÓN]],"DE CONTADO","CRÉDITO")</f>
        <v>CRÉDITO</v>
      </c>
      <c r="B794" s="144" t="str">
        <f>+IF((PROVEEDORES[[#This Row],[FECHA DE PAGO]]-PROVEEDORES[[#This Row],[FECHA DE FACTURACIÓN]])&gt;PROVEEDORES[[#This Row],[PLAZO Días]],"PAGO VENCIDO")</f>
        <v>PAGO VENCIDO</v>
      </c>
      <c r="C794" s="144">
        <f>+VLOOKUP(PROVEEDORES[[#This Row],[PROVEEDOR]],TERCEROS_INFO[#All],2,FALSE)</f>
        <v>0</v>
      </c>
      <c r="D794" s="145">
        <f>+SUMIFS(PROVEEDORES[Total],PROVEEDORES[PROVEEDOR],PROVEEDORES[[#This Row],[PROVEEDOR]],PROVEEDORES[FECHA DE PAGO],"")</f>
        <v>28179645.060000002</v>
      </c>
      <c r="E794" s="146"/>
      <c r="F794" s="144">
        <f>+VLOOKUP(PROVEEDORES[[#This Row],[PROVEEDOR]],
                       Terceros!$A:$G,
                       5,
                       FALSE)</f>
        <v>0</v>
      </c>
      <c r="G794" s="122">
        <v>45219</v>
      </c>
      <c r="H794" s="102" t="s">
        <v>18</v>
      </c>
      <c r="I794" s="122">
        <v>45197</v>
      </c>
      <c r="J794" s="103" t="s">
        <v>1059</v>
      </c>
      <c r="K794" s="103" t="s">
        <v>1512</v>
      </c>
      <c r="L794" s="103"/>
      <c r="M794" s="105">
        <v>-5882353</v>
      </c>
      <c r="N794" s="147">
        <v>-1117647.07</v>
      </c>
      <c r="O794" s="147">
        <v>0</v>
      </c>
      <c r="P794" s="148">
        <v>0</v>
      </c>
      <c r="Q794" s="147">
        <v>0</v>
      </c>
      <c r="R794" s="149">
        <v>-7000000.0700000003</v>
      </c>
      <c r="S7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4" s="150">
        <f ca="1">+IF(PROVEEDORES[[#This Row],[FECHA DE PAGO]]=0,TODAY()-PROVEEDORES[[#This Row],[FECHA DE FACTURACIÓN]]-PROVEEDORES[[#This Row],[PLAZO Días]],0)</f>
        <v>0</v>
      </c>
      <c r="U794" s="150">
        <f>+VLOOKUP(PROVEEDORES[[#This Row],[PROVEEDOR]],Terceros!$A:$E,4,FALSE)</f>
        <v>0.19</v>
      </c>
      <c r="V794" s="150">
        <f>+YEAR(PROVEEDORES[[#This Row],[FECHA DE FACTURACIÓN]])</f>
        <v>2023</v>
      </c>
      <c r="W794" s="150">
        <f>+MATCH(PROVEEDORES[[#This Row],[año facturado]],Retenciones!$1:$1,0)</f>
        <v>6</v>
      </c>
      <c r="X794" s="151" t="e">
        <f>+VLOOKUP(PROVEEDORES[[#This Row],[ID RETENCION]],Retenciones!$A$1:$O$25,PROVEEDORES[[#This Row],[indicador de columna]],FALSE)</f>
        <v>#N/A</v>
      </c>
      <c r="Y794" s="152" t="e">
        <f>+VLOOKUP(PROVEEDORES[[#This Row],[ID RETENCION]],Retenciones!$A$1:$O$25,2,FALSE)</f>
        <v>#N/A</v>
      </c>
      <c r="Z794" s="153" t="b">
        <f>+OR(COUNTIF(PROVEEDORES[[#This Row],[PROVEEDOR]],"*"&amp;'Palabra que no opera y Listas d'!$A$2&amp;"*"))</f>
        <v>0</v>
      </c>
    </row>
    <row r="795" spans="1:26" ht="27.75" customHeight="1" x14ac:dyDescent="0.3">
      <c r="A795" s="144" t="str">
        <f>+IF(PROVEEDORES[[#This Row],[FECHA DE PAGO]]=PROVEEDORES[[#This Row],[FECHA DE FACTURACIÓN]],"DE CONTADO","CRÉDITO")</f>
        <v>CRÉDITO</v>
      </c>
      <c r="B795" s="144" t="str">
        <f>+IF((PROVEEDORES[[#This Row],[FECHA DE PAGO]]-PROVEEDORES[[#This Row],[FECHA DE FACTURACIÓN]])&gt;PROVEEDORES[[#This Row],[PLAZO Días]],"PAGO VENCIDO")</f>
        <v>PAGO VENCIDO</v>
      </c>
      <c r="C795" s="144">
        <f>+VLOOKUP(PROVEEDORES[[#This Row],[PROVEEDOR]],TERCEROS_INFO[#All],2,FALSE)</f>
        <v>0</v>
      </c>
      <c r="D795" s="145">
        <f>+SUMIFS(PROVEEDORES[Total],PROVEEDORES[PROVEEDOR],PROVEEDORES[[#This Row],[PROVEEDOR]],PROVEEDORES[FECHA DE PAGO],"")</f>
        <v>0</v>
      </c>
      <c r="E795" s="146"/>
      <c r="F795" s="144">
        <f>+VLOOKUP(PROVEEDORES[[#This Row],[PROVEEDOR]],
                       Terceros!$A:$G,
                       5,
                       FALSE)</f>
        <v>0</v>
      </c>
      <c r="G795" s="122">
        <v>45219</v>
      </c>
      <c r="H795" s="102" t="s">
        <v>845</v>
      </c>
      <c r="I795" s="122">
        <v>45217</v>
      </c>
      <c r="J795" s="103"/>
      <c r="K795" s="103" t="s">
        <v>1512</v>
      </c>
      <c r="L795" s="103"/>
      <c r="M795" s="105">
        <v>478000</v>
      </c>
      <c r="N795" s="147">
        <v>0</v>
      </c>
      <c r="O795" s="147">
        <v>0</v>
      </c>
      <c r="P795" s="148">
        <v>0</v>
      </c>
      <c r="Q795" s="147">
        <v>0</v>
      </c>
      <c r="R795" s="149">
        <v>478000</v>
      </c>
      <c r="S7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5" s="150">
        <f ca="1">+IF(PROVEEDORES[[#This Row],[FECHA DE PAGO]]=0,TODAY()-PROVEEDORES[[#This Row],[FECHA DE FACTURACIÓN]]-PROVEEDORES[[#This Row],[PLAZO Días]],0)</f>
        <v>0</v>
      </c>
      <c r="U795" s="150">
        <f>+VLOOKUP(PROVEEDORES[[#This Row],[PROVEEDOR]],Terceros!$A:$E,4,FALSE)</f>
        <v>0</v>
      </c>
      <c r="V795" s="150">
        <f>+YEAR(PROVEEDORES[[#This Row],[FECHA DE FACTURACIÓN]])</f>
        <v>2023</v>
      </c>
      <c r="W795" s="150">
        <f>+MATCH(PROVEEDORES[[#This Row],[año facturado]],Retenciones!$1:$1,0)</f>
        <v>6</v>
      </c>
      <c r="X795" s="151">
        <f>+VLOOKUP(PROVEEDORES[[#This Row],[ID RETENCION]],Retenciones!$A$1:$O$25,PROVEEDORES[[#This Row],[indicador de columna]],FALSE)</f>
        <v>0</v>
      </c>
      <c r="Y795" s="152">
        <f>+VLOOKUP(PROVEEDORES[[#This Row],[ID RETENCION]],Retenciones!$A$1:$O$25,2,FALSE)</f>
        <v>0</v>
      </c>
      <c r="Z795" s="153" t="b">
        <f>+OR(COUNTIF(PROVEEDORES[[#This Row],[PROVEEDOR]],"*"&amp;'Palabra que no opera y Listas d'!$A$2&amp;"*"))</f>
        <v>0</v>
      </c>
    </row>
    <row r="796" spans="1:26" ht="27.75" customHeight="1" x14ac:dyDescent="0.3">
      <c r="A796" s="144" t="str">
        <f>+IF(PROVEEDORES[[#This Row],[FECHA DE PAGO]]=PROVEEDORES[[#This Row],[FECHA DE FACTURACIÓN]],"DE CONTADO","CRÉDITO")</f>
        <v>DE CONTADO</v>
      </c>
      <c r="B796" s="144" t="b">
        <f>+IF((PROVEEDORES[[#This Row],[FECHA DE PAGO]]-PROVEEDORES[[#This Row],[FECHA DE FACTURACIÓN]])&gt;PROVEEDORES[[#This Row],[PLAZO Días]],"PAGO VENCIDO")</f>
        <v>0</v>
      </c>
      <c r="C796" s="144">
        <f>+VLOOKUP(PROVEEDORES[[#This Row],[PROVEEDOR]],TERCEROS_INFO[#All],2,FALSE)</f>
        <v>0</v>
      </c>
      <c r="D796" s="145">
        <f>+SUMIFS(PROVEEDORES[Total],PROVEEDORES[PROVEEDOR],PROVEEDORES[[#This Row],[PROVEEDOR]],PROVEEDORES[FECHA DE PAGO],"")</f>
        <v>0</v>
      </c>
      <c r="E796" s="146"/>
      <c r="F796" s="144">
        <f>+VLOOKUP(PROVEEDORES[[#This Row],[PROVEEDOR]],
                       Terceros!$A:$G,
                       5,
                       FALSE)</f>
        <v>0</v>
      </c>
      <c r="G796" s="122">
        <v>45219</v>
      </c>
      <c r="H796" s="102" t="s">
        <v>388</v>
      </c>
      <c r="I796" s="122">
        <v>45219</v>
      </c>
      <c r="J796" s="103" t="s">
        <v>1134</v>
      </c>
      <c r="K796" s="103" t="s">
        <v>1512</v>
      </c>
      <c r="L796" s="103"/>
      <c r="M796" s="105">
        <v>196317</v>
      </c>
      <c r="N796" s="147">
        <v>0</v>
      </c>
      <c r="O796" s="147">
        <v>0</v>
      </c>
      <c r="P796" s="148">
        <v>0</v>
      </c>
      <c r="Q796" s="147">
        <v>0</v>
      </c>
      <c r="R796" s="149">
        <v>196317</v>
      </c>
      <c r="S7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6" s="150">
        <f ca="1">+IF(PROVEEDORES[[#This Row],[FECHA DE PAGO]]=0,TODAY()-PROVEEDORES[[#This Row],[FECHA DE FACTURACIÓN]]-PROVEEDORES[[#This Row],[PLAZO Días]],0)</f>
        <v>0</v>
      </c>
      <c r="U796" s="150">
        <f>+VLOOKUP(PROVEEDORES[[#This Row],[PROVEEDOR]],Terceros!$A:$E,4,FALSE)</f>
        <v>0</v>
      </c>
      <c r="V796" s="150">
        <f>+YEAR(PROVEEDORES[[#This Row],[FECHA DE FACTURACIÓN]])</f>
        <v>2023</v>
      </c>
      <c r="W796" s="150">
        <f>+MATCH(PROVEEDORES[[#This Row],[año facturado]],Retenciones!$1:$1,0)</f>
        <v>6</v>
      </c>
      <c r="X796" s="151">
        <f>+VLOOKUP(PROVEEDORES[[#This Row],[ID RETENCION]],Retenciones!$A$1:$O$25,PROVEEDORES[[#This Row],[indicador de columna]],FALSE)</f>
        <v>0</v>
      </c>
      <c r="Y796" s="152">
        <f>+VLOOKUP(PROVEEDORES[[#This Row],[ID RETENCION]],Retenciones!$A$1:$O$25,2,FALSE)</f>
        <v>0</v>
      </c>
      <c r="Z796" s="153" t="b">
        <f>+OR(COUNTIF(PROVEEDORES[[#This Row],[PROVEEDOR]],"*"&amp;'Palabra que no opera y Listas d'!$A$2&amp;"*"))</f>
        <v>1</v>
      </c>
    </row>
    <row r="797" spans="1:26" ht="27.75" customHeight="1" x14ac:dyDescent="0.3">
      <c r="A797" s="144" t="str">
        <f>+IF(PROVEEDORES[[#This Row],[FECHA DE PAGO]]=PROVEEDORES[[#This Row],[FECHA DE FACTURACIÓN]],"DE CONTADO","CRÉDITO")</f>
        <v>DE CONTADO</v>
      </c>
      <c r="B797" s="144" t="b">
        <f>+IF((PROVEEDORES[[#This Row],[FECHA DE PAGO]]-PROVEEDORES[[#This Row],[FECHA DE FACTURACIÓN]])&gt;PROVEEDORES[[#This Row],[PLAZO Días]],"PAGO VENCIDO")</f>
        <v>0</v>
      </c>
      <c r="C797" s="144">
        <f>+VLOOKUP(PROVEEDORES[[#This Row],[PROVEEDOR]],TERCEROS_INFO[#All],2,FALSE)</f>
        <v>0</v>
      </c>
      <c r="D797" s="145">
        <f>+SUMIFS(PROVEEDORES[Total],PROVEEDORES[PROVEEDOR],PROVEEDORES[[#This Row],[PROVEEDOR]],PROVEEDORES[FECHA DE PAGO],"")</f>
        <v>0</v>
      </c>
      <c r="E797" s="146"/>
      <c r="F797" s="144">
        <f>+VLOOKUP(PROVEEDORES[[#This Row],[PROVEEDOR]],
                       Terceros!$A:$G,
                       5,
                       FALSE)</f>
        <v>0</v>
      </c>
      <c r="G797" s="122">
        <v>45220</v>
      </c>
      <c r="H797" s="102" t="s">
        <v>537</v>
      </c>
      <c r="I797" s="122">
        <v>45220</v>
      </c>
      <c r="J797" s="103" t="s">
        <v>1126</v>
      </c>
      <c r="K797" s="103" t="s">
        <v>1512</v>
      </c>
      <c r="L797" s="103"/>
      <c r="M797" s="105">
        <v>200000</v>
      </c>
      <c r="N797" s="147">
        <v>0</v>
      </c>
      <c r="O797" s="147">
        <v>0</v>
      </c>
      <c r="P797" s="148">
        <v>0</v>
      </c>
      <c r="Q797" s="147">
        <v>0</v>
      </c>
      <c r="R797" s="149">
        <v>200000</v>
      </c>
      <c r="S7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7" s="150">
        <f ca="1">+IF(PROVEEDORES[[#This Row],[FECHA DE PAGO]]=0,TODAY()-PROVEEDORES[[#This Row],[FECHA DE FACTURACIÓN]]-PROVEEDORES[[#This Row],[PLAZO Días]],0)</f>
        <v>0</v>
      </c>
      <c r="U797" s="150">
        <f>+VLOOKUP(PROVEEDORES[[#This Row],[PROVEEDOR]],Terceros!$A:$E,4,FALSE)</f>
        <v>0</v>
      </c>
      <c r="V797" s="150">
        <f>+YEAR(PROVEEDORES[[#This Row],[FECHA DE FACTURACIÓN]])</f>
        <v>2023</v>
      </c>
      <c r="W797" s="150">
        <f>+MATCH(PROVEEDORES[[#This Row],[año facturado]],Retenciones!$1:$1,0)</f>
        <v>6</v>
      </c>
      <c r="X797" s="151">
        <f>+VLOOKUP(PROVEEDORES[[#This Row],[ID RETENCION]],Retenciones!$A$1:$O$25,PROVEEDORES[[#This Row],[indicador de columna]],FALSE)</f>
        <v>0</v>
      </c>
      <c r="Y797" s="152">
        <f>+VLOOKUP(PROVEEDORES[[#This Row],[ID RETENCION]],Retenciones!$A$1:$O$25,2,FALSE)</f>
        <v>0</v>
      </c>
      <c r="Z797" s="153" t="b">
        <f>+OR(COUNTIF(PROVEEDORES[[#This Row],[PROVEEDOR]],"*"&amp;'Palabra que no opera y Listas d'!$A$2&amp;"*"))</f>
        <v>0</v>
      </c>
    </row>
    <row r="798" spans="1:26" ht="27.75" customHeight="1" x14ac:dyDescent="0.3">
      <c r="A798" s="144" t="str">
        <f>+IF(PROVEEDORES[[#This Row],[FECHA DE PAGO]]=PROVEEDORES[[#This Row],[FECHA DE FACTURACIÓN]],"DE CONTADO","CRÉDITO")</f>
        <v>DE CONTADO</v>
      </c>
      <c r="B798" s="144" t="b">
        <f>+IF((PROVEEDORES[[#This Row],[FECHA DE PAGO]]-PROVEEDORES[[#This Row],[FECHA DE FACTURACIÓN]])&gt;PROVEEDORES[[#This Row],[PLAZO Días]],"PAGO VENCIDO")</f>
        <v>0</v>
      </c>
      <c r="C798" s="144">
        <f>+VLOOKUP(PROVEEDORES[[#This Row],[PROVEEDOR]],TERCEROS_INFO[#All],2,FALSE)</f>
        <v>0</v>
      </c>
      <c r="D798" s="145">
        <f>+SUMIFS(PROVEEDORES[Total],PROVEEDORES[PROVEEDOR],PROVEEDORES[[#This Row],[PROVEEDOR]],PROVEEDORES[FECHA DE PAGO],"")</f>
        <v>550000</v>
      </c>
      <c r="E798" s="146"/>
      <c r="F798" s="144">
        <f>+VLOOKUP(PROVEEDORES[[#This Row],[PROVEEDOR]],
                       Terceros!$A:$G,
                       5,
                       FALSE)</f>
        <v>0</v>
      </c>
      <c r="G798" s="122">
        <v>45220</v>
      </c>
      <c r="H798" s="102" t="s">
        <v>1784</v>
      </c>
      <c r="I798" s="122">
        <v>45220</v>
      </c>
      <c r="J798" s="103" t="s">
        <v>1159</v>
      </c>
      <c r="K798" s="103" t="s">
        <v>1512</v>
      </c>
      <c r="L798" s="103"/>
      <c r="M798" s="105">
        <v>680000</v>
      </c>
      <c r="N798" s="147">
        <v>0</v>
      </c>
      <c r="O798" s="147">
        <v>0</v>
      </c>
      <c r="P798" s="148">
        <v>0</v>
      </c>
      <c r="Q798" s="147">
        <v>0</v>
      </c>
      <c r="R798" s="149">
        <v>680000</v>
      </c>
      <c r="S7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8" s="150">
        <f ca="1">+IF(PROVEEDORES[[#This Row],[FECHA DE PAGO]]=0,TODAY()-PROVEEDORES[[#This Row],[FECHA DE FACTURACIÓN]]-PROVEEDORES[[#This Row],[PLAZO Días]],0)</f>
        <v>0</v>
      </c>
      <c r="U798" s="150">
        <f>+VLOOKUP(PROVEEDORES[[#This Row],[PROVEEDOR]],Terceros!$A:$E,4,FALSE)</f>
        <v>0</v>
      </c>
      <c r="V798" s="150">
        <f>+YEAR(PROVEEDORES[[#This Row],[FECHA DE FACTURACIÓN]])</f>
        <v>2023</v>
      </c>
      <c r="W798" s="150">
        <f>+MATCH(PROVEEDORES[[#This Row],[año facturado]],Retenciones!$1:$1,0)</f>
        <v>6</v>
      </c>
      <c r="X798" s="151">
        <f>+VLOOKUP(PROVEEDORES[[#This Row],[ID RETENCION]],Retenciones!$A$1:$O$25,PROVEEDORES[[#This Row],[indicador de columna]],FALSE)</f>
        <v>0</v>
      </c>
      <c r="Y798" s="152">
        <f>+VLOOKUP(PROVEEDORES[[#This Row],[ID RETENCION]],Retenciones!$A$1:$O$25,2,FALSE)</f>
        <v>0</v>
      </c>
      <c r="Z798" s="153" t="b">
        <f>+OR(COUNTIF(PROVEEDORES[[#This Row],[PROVEEDOR]],"*"&amp;'Palabra que no opera y Listas d'!$A$2&amp;"*"))</f>
        <v>0</v>
      </c>
    </row>
    <row r="799" spans="1:26" ht="27.75" customHeight="1" x14ac:dyDescent="0.3">
      <c r="A799" s="144" t="str">
        <f>+IF(PROVEEDORES[[#This Row],[FECHA DE PAGO]]=PROVEEDORES[[#This Row],[FECHA DE FACTURACIÓN]],"DE CONTADO","CRÉDITO")</f>
        <v>CRÉDITO</v>
      </c>
      <c r="B799" s="144" t="str">
        <f>+IF((PROVEEDORES[[#This Row],[FECHA DE PAGO]]-PROVEEDORES[[#This Row],[FECHA DE FACTURACIÓN]])&gt;PROVEEDORES[[#This Row],[PLAZO Días]],"PAGO VENCIDO")</f>
        <v>PAGO VENCIDO</v>
      </c>
      <c r="C799" s="144">
        <f>+VLOOKUP(PROVEEDORES[[#This Row],[PROVEEDOR]],TERCEROS_INFO[#All],2,FALSE)</f>
        <v>0</v>
      </c>
      <c r="D799" s="145">
        <f>+SUMIFS(PROVEEDORES[Total],PROVEEDORES[PROVEEDOR],PROVEEDORES[[#This Row],[PROVEEDOR]],PROVEEDORES[FECHA DE PAGO],"")</f>
        <v>0</v>
      </c>
      <c r="E799" s="146"/>
      <c r="F799" s="144" t="str">
        <f>+VLOOKUP(PROVEEDORES[[#This Row],[PROVEEDOR]],
                       Terceros!$A:$G,
                       5,
                       FALSE)</f>
        <v>2,5% con base</v>
      </c>
      <c r="G799" s="122">
        <v>45222</v>
      </c>
      <c r="H799" s="102" t="s">
        <v>467</v>
      </c>
      <c r="I799" s="122">
        <v>45187</v>
      </c>
      <c r="J799" s="103" t="s">
        <v>1070</v>
      </c>
      <c r="K799" s="103" t="s">
        <v>1512</v>
      </c>
      <c r="L799" s="103"/>
      <c r="M799" s="105">
        <v>2762184</v>
      </c>
      <c r="N799" s="147">
        <v>524814.96</v>
      </c>
      <c r="O799" s="147">
        <v>0</v>
      </c>
      <c r="P799" s="148">
        <v>2.5000000000000001E-2</v>
      </c>
      <c r="Q799" s="147">
        <v>69054.600000000006</v>
      </c>
      <c r="R799" s="149">
        <v>3217944.36</v>
      </c>
      <c r="S7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9" s="150">
        <f ca="1">+IF(PROVEEDORES[[#This Row],[FECHA DE PAGO]]=0,TODAY()-PROVEEDORES[[#This Row],[FECHA DE FACTURACIÓN]]-PROVEEDORES[[#This Row],[PLAZO Días]],0)</f>
        <v>0</v>
      </c>
      <c r="U799" s="150">
        <f>+VLOOKUP(PROVEEDORES[[#This Row],[PROVEEDOR]],Terceros!$A:$E,4,FALSE)</f>
        <v>0.19</v>
      </c>
      <c r="V799" s="150">
        <f>+YEAR(PROVEEDORES[[#This Row],[FECHA DE FACTURACIÓN]])</f>
        <v>2023</v>
      </c>
      <c r="W799" s="150">
        <f>+MATCH(PROVEEDORES[[#This Row],[año facturado]],Retenciones!$1:$1,0)</f>
        <v>6</v>
      </c>
      <c r="X799" s="151" t="e">
        <f>+VLOOKUP(PROVEEDORES[[#This Row],[ID RETENCION]],Retenciones!$A$1:$O$25,PROVEEDORES[[#This Row],[indicador de columna]],FALSE)</f>
        <v>#N/A</v>
      </c>
      <c r="Y799" s="152" t="e">
        <f>+VLOOKUP(PROVEEDORES[[#This Row],[ID RETENCION]],Retenciones!$A$1:$O$25,2,FALSE)</f>
        <v>#N/A</v>
      </c>
      <c r="Z799" s="153" t="b">
        <f>+OR(COUNTIF(PROVEEDORES[[#This Row],[PROVEEDOR]],"*"&amp;'Palabra que no opera y Listas d'!$A$2&amp;"*"))</f>
        <v>0</v>
      </c>
    </row>
    <row r="800" spans="1:26" ht="27.75" customHeight="1" x14ac:dyDescent="0.3">
      <c r="A800" s="144" t="str">
        <f>+IF(PROVEEDORES[[#This Row],[FECHA DE PAGO]]=PROVEEDORES[[#This Row],[FECHA DE FACTURACIÓN]],"DE CONTADO","CRÉDITO")</f>
        <v>CRÉDITO</v>
      </c>
      <c r="B800" s="144" t="str">
        <f>+IF((PROVEEDORES[[#This Row],[FECHA DE PAGO]]-PROVEEDORES[[#This Row],[FECHA DE FACTURACIÓN]])&gt;PROVEEDORES[[#This Row],[PLAZO Días]],"PAGO VENCIDO")</f>
        <v>PAGO VENCIDO</v>
      </c>
      <c r="C800" s="144">
        <f>+VLOOKUP(PROVEEDORES[[#This Row],[PROVEEDOR]],TERCEROS_INFO[#All],2,FALSE)</f>
        <v>0</v>
      </c>
      <c r="D800" s="145">
        <f>+SUMIFS(PROVEEDORES[Total],PROVEEDORES[PROVEEDOR],PROVEEDORES[[#This Row],[PROVEEDOR]],PROVEEDORES[FECHA DE PAGO],"")</f>
        <v>0</v>
      </c>
      <c r="E800" s="146"/>
      <c r="F800" s="144" t="str">
        <f>+VLOOKUP(PROVEEDORES[[#This Row],[PROVEEDOR]],
                       Terceros!$A:$G,
                       5,
                       FALSE)</f>
        <v>3,5% sin base</v>
      </c>
      <c r="G800" s="122">
        <v>45222</v>
      </c>
      <c r="H800" s="102" t="s">
        <v>395</v>
      </c>
      <c r="I800" s="122">
        <v>45219</v>
      </c>
      <c r="J800" s="103" t="s">
        <v>1138</v>
      </c>
      <c r="K800" s="103" t="s">
        <v>1512</v>
      </c>
      <c r="L800" s="103"/>
      <c r="M800" s="105">
        <v>3456200</v>
      </c>
      <c r="N800" s="147">
        <v>0</v>
      </c>
      <c r="O800" s="147">
        <v>0</v>
      </c>
      <c r="P800" s="148">
        <v>3.5000000000000003E-2</v>
      </c>
      <c r="Q800" s="147">
        <v>120967.00000000001</v>
      </c>
      <c r="R800" s="149">
        <v>3335233</v>
      </c>
      <c r="S8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0" s="150">
        <f ca="1">+IF(PROVEEDORES[[#This Row],[FECHA DE PAGO]]=0,TODAY()-PROVEEDORES[[#This Row],[FECHA DE FACTURACIÓN]]-PROVEEDORES[[#This Row],[PLAZO Días]],0)</f>
        <v>0</v>
      </c>
      <c r="U800" s="150">
        <f>+VLOOKUP(PROVEEDORES[[#This Row],[PROVEEDOR]],Terceros!$A:$E,4,FALSE)</f>
        <v>0</v>
      </c>
      <c r="V800" s="150">
        <f>+YEAR(PROVEEDORES[[#This Row],[FECHA DE FACTURACIÓN]])</f>
        <v>2023</v>
      </c>
      <c r="W800" s="150">
        <f>+MATCH(PROVEEDORES[[#This Row],[año facturado]],Retenciones!$1:$1,0)</f>
        <v>6</v>
      </c>
      <c r="X800" s="151">
        <f>+VLOOKUP(PROVEEDORES[[#This Row],[ID RETENCION]],Retenciones!$A$1:$O$25,PROVEEDORES[[#This Row],[indicador de columna]],FALSE)</f>
        <v>0</v>
      </c>
      <c r="Y800" s="152">
        <f>+VLOOKUP(PROVEEDORES[[#This Row],[ID RETENCION]],Retenciones!$A$1:$O$25,2,FALSE)</f>
        <v>0</v>
      </c>
      <c r="Z800" s="153" t="b">
        <f>+OR(COUNTIF(PROVEEDORES[[#This Row],[PROVEEDOR]],"*"&amp;'Palabra que no opera y Listas d'!$A$2&amp;"*"))</f>
        <v>1</v>
      </c>
    </row>
    <row r="801" spans="1:26" ht="27.75" customHeight="1" x14ac:dyDescent="0.3">
      <c r="A801" s="144" t="str">
        <f>+IF(PROVEEDORES[[#This Row],[FECHA DE PAGO]]=PROVEEDORES[[#This Row],[FECHA DE FACTURACIÓN]],"DE CONTADO","CRÉDITO")</f>
        <v>CRÉDITO</v>
      </c>
      <c r="B801" s="144" t="str">
        <f>+IF((PROVEEDORES[[#This Row],[FECHA DE PAGO]]-PROVEEDORES[[#This Row],[FECHA DE FACTURACIÓN]])&gt;PROVEEDORES[[#This Row],[PLAZO Días]],"PAGO VENCIDO")</f>
        <v>PAGO VENCIDO</v>
      </c>
      <c r="C801" s="144">
        <f>+VLOOKUP(PROVEEDORES[[#This Row],[PROVEEDOR]],TERCEROS_INFO[#All],2,FALSE)</f>
        <v>0</v>
      </c>
      <c r="D801" s="145">
        <f>+SUMIFS(PROVEEDORES[Total],PROVEEDORES[PROVEEDOR],PROVEEDORES[[#This Row],[PROVEEDOR]],PROVEEDORES[FECHA DE PAGO],"")</f>
        <v>0</v>
      </c>
      <c r="E801" s="146"/>
      <c r="F801" s="144">
        <f>+VLOOKUP(PROVEEDORES[[#This Row],[PROVEEDOR]],
                       Terceros!$A:$G,
                       5,
                       FALSE)</f>
        <v>0</v>
      </c>
      <c r="G801" s="122">
        <v>45222</v>
      </c>
      <c r="H801" s="102" t="s">
        <v>1803</v>
      </c>
      <c r="I801" s="122">
        <v>45219</v>
      </c>
      <c r="J801" s="103" t="s">
        <v>1141</v>
      </c>
      <c r="K801" s="103" t="s">
        <v>1512</v>
      </c>
      <c r="L801" s="103"/>
      <c r="M801" s="105">
        <v>2074832</v>
      </c>
      <c r="N801" s="147">
        <v>0</v>
      </c>
      <c r="O801" s="147">
        <v>0</v>
      </c>
      <c r="P801" s="148">
        <v>0</v>
      </c>
      <c r="Q801" s="147">
        <v>0</v>
      </c>
      <c r="R801" s="149">
        <v>2074832</v>
      </c>
      <c r="S8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1" s="150">
        <f ca="1">+IF(PROVEEDORES[[#This Row],[FECHA DE PAGO]]=0,TODAY()-PROVEEDORES[[#This Row],[FECHA DE FACTURACIÓN]]-PROVEEDORES[[#This Row],[PLAZO Días]],0)</f>
        <v>0</v>
      </c>
      <c r="U801" s="150">
        <f>+VLOOKUP(PROVEEDORES[[#This Row],[PROVEEDOR]],Terceros!$A:$E,4,FALSE)</f>
        <v>0</v>
      </c>
      <c r="V801" s="150">
        <f>+YEAR(PROVEEDORES[[#This Row],[FECHA DE FACTURACIÓN]])</f>
        <v>2023</v>
      </c>
      <c r="W801" s="150">
        <f>+MATCH(PROVEEDORES[[#This Row],[año facturado]],Retenciones!$1:$1,0)</f>
        <v>6</v>
      </c>
      <c r="X801" s="151">
        <f>+VLOOKUP(PROVEEDORES[[#This Row],[ID RETENCION]],Retenciones!$A$1:$O$25,PROVEEDORES[[#This Row],[indicador de columna]],FALSE)</f>
        <v>0</v>
      </c>
      <c r="Y801" s="152">
        <f>+VLOOKUP(PROVEEDORES[[#This Row],[ID RETENCION]],Retenciones!$A$1:$O$25,2,FALSE)</f>
        <v>0</v>
      </c>
      <c r="Z801" s="153" t="b">
        <f>+OR(COUNTIF(PROVEEDORES[[#This Row],[PROVEEDOR]],"*"&amp;'Palabra que no opera y Listas d'!$A$2&amp;"*"))</f>
        <v>0</v>
      </c>
    </row>
    <row r="802" spans="1:26" ht="27.75" customHeight="1" x14ac:dyDescent="0.3">
      <c r="A802" s="144" t="str">
        <f>+IF(PROVEEDORES[[#This Row],[FECHA DE PAGO]]=PROVEEDORES[[#This Row],[FECHA DE FACTURACIÓN]],"DE CONTADO","CRÉDITO")</f>
        <v>CRÉDITO</v>
      </c>
      <c r="B802" s="144" t="str">
        <f>+IF((PROVEEDORES[[#This Row],[FECHA DE PAGO]]-PROVEEDORES[[#This Row],[FECHA DE FACTURACIÓN]])&gt;PROVEEDORES[[#This Row],[PLAZO Días]],"PAGO VENCIDO")</f>
        <v>PAGO VENCIDO</v>
      </c>
      <c r="C802" s="144">
        <f>+VLOOKUP(PROVEEDORES[[#This Row],[PROVEEDOR]],TERCEROS_INFO[#All],2,FALSE)</f>
        <v>0</v>
      </c>
      <c r="D802" s="145">
        <f>+SUMIFS(PROVEEDORES[Total],PROVEEDORES[PROVEEDOR],PROVEEDORES[[#This Row],[PROVEEDOR]],PROVEEDORES[FECHA DE PAGO],"")</f>
        <v>0</v>
      </c>
      <c r="E802" s="146"/>
      <c r="F802" s="144" t="str">
        <f>+VLOOKUP(PROVEEDORES[[#This Row],[PROVEEDOR]],
                       Terceros!$A:$G,
                       5,
                       FALSE)</f>
        <v>2,5% con base</v>
      </c>
      <c r="G802" s="122">
        <v>45222</v>
      </c>
      <c r="H802" s="102" t="s">
        <v>1136</v>
      </c>
      <c r="I802" s="122">
        <v>45220</v>
      </c>
      <c r="J802" s="103" t="s">
        <v>1137</v>
      </c>
      <c r="K802" s="103" t="s">
        <v>1512</v>
      </c>
      <c r="L802" s="103"/>
      <c r="M802" s="105">
        <v>973672</v>
      </c>
      <c r="N802" s="147">
        <v>184997.68</v>
      </c>
      <c r="O802" s="147">
        <v>0</v>
      </c>
      <c r="P802" s="148">
        <v>0</v>
      </c>
      <c r="Q802" s="147">
        <v>0</v>
      </c>
      <c r="R802" s="149">
        <v>1158669.68</v>
      </c>
      <c r="S8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2" s="150">
        <f ca="1">+IF(PROVEEDORES[[#This Row],[FECHA DE PAGO]]=0,TODAY()-PROVEEDORES[[#This Row],[FECHA DE FACTURACIÓN]]-PROVEEDORES[[#This Row],[PLAZO Días]],0)</f>
        <v>0</v>
      </c>
      <c r="U802" s="150">
        <f>+VLOOKUP(PROVEEDORES[[#This Row],[PROVEEDOR]],Terceros!$A:$E,4,FALSE)</f>
        <v>0.19</v>
      </c>
      <c r="V802" s="150">
        <f>+YEAR(PROVEEDORES[[#This Row],[FECHA DE FACTURACIÓN]])</f>
        <v>2023</v>
      </c>
      <c r="W802" s="150">
        <f>+MATCH(PROVEEDORES[[#This Row],[año facturado]],Retenciones!$1:$1,0)</f>
        <v>6</v>
      </c>
      <c r="X802" s="151" t="e">
        <f>+VLOOKUP(PROVEEDORES[[#This Row],[ID RETENCION]],Retenciones!$A$1:$O$25,PROVEEDORES[[#This Row],[indicador de columna]],FALSE)</f>
        <v>#N/A</v>
      </c>
      <c r="Y802" s="152" t="e">
        <f>+VLOOKUP(PROVEEDORES[[#This Row],[ID RETENCION]],Retenciones!$A$1:$O$25,2,FALSE)</f>
        <v>#N/A</v>
      </c>
      <c r="Z802" s="153" t="b">
        <f>+OR(COUNTIF(PROVEEDORES[[#This Row],[PROVEEDOR]],"*"&amp;'Palabra que no opera y Listas d'!$A$2&amp;"*"))</f>
        <v>0</v>
      </c>
    </row>
    <row r="803" spans="1:26" ht="27.75" customHeight="1" x14ac:dyDescent="0.3">
      <c r="A803" s="144" t="str">
        <f>+IF(PROVEEDORES[[#This Row],[FECHA DE PAGO]]=PROVEEDORES[[#This Row],[FECHA DE FACTURACIÓN]],"DE CONTADO","CRÉDITO")</f>
        <v>DE CONTADO</v>
      </c>
      <c r="B803" s="144" t="b">
        <f>+IF((PROVEEDORES[[#This Row],[FECHA DE PAGO]]-PROVEEDORES[[#This Row],[FECHA DE FACTURACIÓN]])&gt;PROVEEDORES[[#This Row],[PLAZO Días]],"PAGO VENCIDO")</f>
        <v>0</v>
      </c>
      <c r="C803" s="144">
        <f>+VLOOKUP(PROVEEDORES[[#This Row],[PROVEEDOR]],TERCEROS_INFO[#All],2,FALSE)</f>
        <v>0</v>
      </c>
      <c r="D803" s="145">
        <f>+SUMIFS(PROVEEDORES[Total],PROVEEDORES[PROVEEDOR],PROVEEDORES[[#This Row],[PROVEEDOR]],PROVEEDORES[FECHA DE PAGO],"")</f>
        <v>0</v>
      </c>
      <c r="E803" s="146"/>
      <c r="F803" s="144">
        <f>+VLOOKUP(PROVEEDORES[[#This Row],[PROVEEDOR]],
                       Terceros!$A:$G,
                       5,
                       FALSE)</f>
        <v>0</v>
      </c>
      <c r="G803" s="122">
        <v>45222</v>
      </c>
      <c r="H803" s="102" t="s">
        <v>537</v>
      </c>
      <c r="I803" s="122">
        <v>45222</v>
      </c>
      <c r="J803" s="103" t="s">
        <v>1143</v>
      </c>
      <c r="K803" s="103" t="s">
        <v>1512</v>
      </c>
      <c r="L803" s="103"/>
      <c r="M803" s="105">
        <v>172600</v>
      </c>
      <c r="N803" s="147">
        <v>0</v>
      </c>
      <c r="O803" s="147">
        <v>0</v>
      </c>
      <c r="P803" s="148">
        <v>0</v>
      </c>
      <c r="Q803" s="147">
        <v>0</v>
      </c>
      <c r="R803" s="149">
        <v>172600</v>
      </c>
      <c r="S8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3" s="150">
        <f ca="1">+IF(PROVEEDORES[[#This Row],[FECHA DE PAGO]]=0,TODAY()-PROVEEDORES[[#This Row],[FECHA DE FACTURACIÓN]]-PROVEEDORES[[#This Row],[PLAZO Días]],0)</f>
        <v>0</v>
      </c>
      <c r="U803" s="150">
        <f>+VLOOKUP(PROVEEDORES[[#This Row],[PROVEEDOR]],Terceros!$A:$E,4,FALSE)</f>
        <v>0</v>
      </c>
      <c r="V803" s="150">
        <f>+YEAR(PROVEEDORES[[#This Row],[FECHA DE FACTURACIÓN]])</f>
        <v>2023</v>
      </c>
      <c r="W803" s="150">
        <f>+MATCH(PROVEEDORES[[#This Row],[año facturado]],Retenciones!$1:$1,0)</f>
        <v>6</v>
      </c>
      <c r="X803" s="151">
        <f>+VLOOKUP(PROVEEDORES[[#This Row],[ID RETENCION]],Retenciones!$A$1:$O$25,PROVEEDORES[[#This Row],[indicador de columna]],FALSE)</f>
        <v>0</v>
      </c>
      <c r="Y803" s="152">
        <f>+VLOOKUP(PROVEEDORES[[#This Row],[ID RETENCION]],Retenciones!$A$1:$O$25,2,FALSE)</f>
        <v>0</v>
      </c>
      <c r="Z803" s="153" t="b">
        <f>+OR(COUNTIF(PROVEEDORES[[#This Row],[PROVEEDOR]],"*"&amp;'Palabra que no opera y Listas d'!$A$2&amp;"*"))</f>
        <v>0</v>
      </c>
    </row>
    <row r="804" spans="1:26" ht="27.75" customHeight="1" x14ac:dyDescent="0.3">
      <c r="A804" s="144" t="str">
        <f>+IF(PROVEEDORES[[#This Row],[FECHA DE PAGO]]=PROVEEDORES[[#This Row],[FECHA DE FACTURACIÓN]],"DE CONTADO","CRÉDITO")</f>
        <v>DE CONTADO</v>
      </c>
      <c r="B804" s="144" t="b">
        <f>+IF((PROVEEDORES[[#This Row],[FECHA DE PAGO]]-PROVEEDORES[[#This Row],[FECHA DE FACTURACIÓN]])&gt;PROVEEDORES[[#This Row],[PLAZO Días]],"PAGO VENCIDO")</f>
        <v>0</v>
      </c>
      <c r="C804" s="144">
        <f>+VLOOKUP(PROVEEDORES[[#This Row],[PROVEEDOR]],TERCEROS_INFO[#All],2,FALSE)</f>
        <v>0</v>
      </c>
      <c r="D804" s="145">
        <f>+SUMIFS(PROVEEDORES[Total],PROVEEDORES[PROVEEDOR],PROVEEDORES[[#This Row],[PROVEEDOR]],PROVEEDORES[FECHA DE PAGO],"")</f>
        <v>0</v>
      </c>
      <c r="E804" s="146"/>
      <c r="F804" s="144">
        <f>+VLOOKUP(PROVEEDORES[[#This Row],[PROVEEDOR]],
                       Terceros!$A:$G,
                       5,
                       FALSE)</f>
        <v>0</v>
      </c>
      <c r="G804" s="122">
        <v>45222</v>
      </c>
      <c r="H804" s="102" t="s">
        <v>537</v>
      </c>
      <c r="I804" s="122">
        <v>45222</v>
      </c>
      <c r="J804" s="103" t="s">
        <v>1147</v>
      </c>
      <c r="K804" s="103" t="s">
        <v>1512</v>
      </c>
      <c r="L804" s="103"/>
      <c r="M804" s="105">
        <v>245000</v>
      </c>
      <c r="N804" s="147">
        <v>0</v>
      </c>
      <c r="O804" s="147">
        <v>0</v>
      </c>
      <c r="P804" s="148">
        <v>0</v>
      </c>
      <c r="Q804" s="147">
        <v>0</v>
      </c>
      <c r="R804" s="149">
        <v>245000</v>
      </c>
      <c r="S8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4" s="150">
        <f ca="1">+IF(PROVEEDORES[[#This Row],[FECHA DE PAGO]]=0,TODAY()-PROVEEDORES[[#This Row],[FECHA DE FACTURACIÓN]]-PROVEEDORES[[#This Row],[PLAZO Días]],0)</f>
        <v>0</v>
      </c>
      <c r="U804" s="150">
        <f>+VLOOKUP(PROVEEDORES[[#This Row],[PROVEEDOR]],Terceros!$A:$E,4,FALSE)</f>
        <v>0</v>
      </c>
      <c r="V804" s="150">
        <f>+YEAR(PROVEEDORES[[#This Row],[FECHA DE FACTURACIÓN]])</f>
        <v>2023</v>
      </c>
      <c r="W804" s="150">
        <f>+MATCH(PROVEEDORES[[#This Row],[año facturado]],Retenciones!$1:$1,0)</f>
        <v>6</v>
      </c>
      <c r="X804" s="151">
        <f>+VLOOKUP(PROVEEDORES[[#This Row],[ID RETENCION]],Retenciones!$A$1:$O$25,PROVEEDORES[[#This Row],[indicador de columna]],FALSE)</f>
        <v>0</v>
      </c>
      <c r="Y804" s="152">
        <f>+VLOOKUP(PROVEEDORES[[#This Row],[ID RETENCION]],Retenciones!$A$1:$O$25,2,FALSE)</f>
        <v>0</v>
      </c>
      <c r="Z804" s="153" t="b">
        <f>+OR(COUNTIF(PROVEEDORES[[#This Row],[PROVEEDOR]],"*"&amp;'Palabra que no opera y Listas d'!$A$2&amp;"*"))</f>
        <v>0</v>
      </c>
    </row>
    <row r="805" spans="1:26" ht="27.75" customHeight="1" x14ac:dyDescent="0.3">
      <c r="A805" s="144" t="str">
        <f>+IF(PROVEEDORES[[#This Row],[FECHA DE PAGO]]=PROVEEDORES[[#This Row],[FECHA DE FACTURACIÓN]],"DE CONTADO","CRÉDITO")</f>
        <v>DE CONTADO</v>
      </c>
      <c r="B805" s="144" t="b">
        <f>+IF((PROVEEDORES[[#This Row],[FECHA DE PAGO]]-PROVEEDORES[[#This Row],[FECHA DE FACTURACIÓN]])&gt;PROVEEDORES[[#This Row],[PLAZO Días]],"PAGO VENCIDO")</f>
        <v>0</v>
      </c>
      <c r="C805" s="144">
        <f>+VLOOKUP(PROVEEDORES[[#This Row],[PROVEEDOR]],TERCEROS_INFO[#All],2,FALSE)</f>
        <v>0</v>
      </c>
      <c r="D805" s="145">
        <f>+SUMIFS(PROVEEDORES[Total],PROVEEDORES[PROVEEDOR],PROVEEDORES[[#This Row],[PROVEEDOR]],PROVEEDORES[FECHA DE PAGO],"")</f>
        <v>0</v>
      </c>
      <c r="E805" s="146"/>
      <c r="F805" s="144">
        <f>+VLOOKUP(PROVEEDORES[[#This Row],[PROVEEDOR]],
                       Terceros!$A:$G,
                       5,
                       FALSE)</f>
        <v>0</v>
      </c>
      <c r="G805" s="122">
        <v>45222</v>
      </c>
      <c r="H805" s="102" t="s">
        <v>537</v>
      </c>
      <c r="I805" s="122">
        <v>45222</v>
      </c>
      <c r="J805" s="103" t="s">
        <v>1148</v>
      </c>
      <c r="K805" s="103" t="s">
        <v>1512</v>
      </c>
      <c r="L805" s="103"/>
      <c r="M805" s="105">
        <v>621000</v>
      </c>
      <c r="N805" s="147">
        <v>0</v>
      </c>
      <c r="O805" s="147">
        <v>0</v>
      </c>
      <c r="P805" s="148">
        <v>0</v>
      </c>
      <c r="Q805" s="147">
        <v>0</v>
      </c>
      <c r="R805" s="149">
        <v>621000</v>
      </c>
      <c r="S8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5" s="150">
        <f ca="1">+IF(PROVEEDORES[[#This Row],[FECHA DE PAGO]]=0,TODAY()-PROVEEDORES[[#This Row],[FECHA DE FACTURACIÓN]]-PROVEEDORES[[#This Row],[PLAZO Días]],0)</f>
        <v>0</v>
      </c>
      <c r="U805" s="150">
        <f>+VLOOKUP(PROVEEDORES[[#This Row],[PROVEEDOR]],Terceros!$A:$E,4,FALSE)</f>
        <v>0</v>
      </c>
      <c r="V805" s="150">
        <f>+YEAR(PROVEEDORES[[#This Row],[FECHA DE FACTURACIÓN]])</f>
        <v>2023</v>
      </c>
      <c r="W805" s="150">
        <f>+MATCH(PROVEEDORES[[#This Row],[año facturado]],Retenciones!$1:$1,0)</f>
        <v>6</v>
      </c>
      <c r="X805" s="151">
        <f>+VLOOKUP(PROVEEDORES[[#This Row],[ID RETENCION]],Retenciones!$A$1:$O$25,PROVEEDORES[[#This Row],[indicador de columna]],FALSE)</f>
        <v>0</v>
      </c>
      <c r="Y805" s="152">
        <f>+VLOOKUP(PROVEEDORES[[#This Row],[ID RETENCION]],Retenciones!$A$1:$O$25,2,FALSE)</f>
        <v>0</v>
      </c>
      <c r="Z805" s="153" t="b">
        <f>+OR(COUNTIF(PROVEEDORES[[#This Row],[PROVEEDOR]],"*"&amp;'Palabra que no opera y Listas d'!$A$2&amp;"*"))</f>
        <v>0</v>
      </c>
    </row>
    <row r="806" spans="1:26" ht="27.75" customHeight="1" x14ac:dyDescent="0.3">
      <c r="A806" s="144" t="str">
        <f>+IF(PROVEEDORES[[#This Row],[FECHA DE PAGO]]=PROVEEDORES[[#This Row],[FECHA DE FACTURACIÓN]],"DE CONTADO","CRÉDITO")</f>
        <v>DE CONTADO</v>
      </c>
      <c r="B806" s="144" t="b">
        <f>+IF((PROVEEDORES[[#This Row],[FECHA DE PAGO]]-PROVEEDORES[[#This Row],[FECHA DE FACTURACIÓN]])&gt;PROVEEDORES[[#This Row],[PLAZO Días]],"PAGO VENCIDO")</f>
        <v>0</v>
      </c>
      <c r="C806" s="144">
        <f>+VLOOKUP(PROVEEDORES[[#This Row],[PROVEEDOR]],TERCEROS_INFO[#All],2,FALSE)</f>
        <v>0</v>
      </c>
      <c r="D806" s="145">
        <f>+SUMIFS(PROVEEDORES[Total],PROVEEDORES[PROVEEDOR],PROVEEDORES[[#This Row],[PROVEEDOR]],PROVEEDORES[FECHA DE PAGO],"")</f>
        <v>0</v>
      </c>
      <c r="E806" s="146"/>
      <c r="F806" s="144">
        <f>+VLOOKUP(PROVEEDORES[[#This Row],[PROVEEDOR]],
                       Terceros!$A:$G,
                       5,
                       FALSE)</f>
        <v>0</v>
      </c>
      <c r="G806" s="122">
        <v>45222</v>
      </c>
      <c r="H806" s="102" t="s">
        <v>537</v>
      </c>
      <c r="I806" s="122">
        <v>45222</v>
      </c>
      <c r="J806" s="103" t="s">
        <v>1142</v>
      </c>
      <c r="K806" s="103" t="s">
        <v>1512</v>
      </c>
      <c r="L806" s="103"/>
      <c r="M806" s="105">
        <v>628650</v>
      </c>
      <c r="N806" s="147">
        <v>0</v>
      </c>
      <c r="O806" s="147">
        <v>0</v>
      </c>
      <c r="P806" s="148">
        <v>0</v>
      </c>
      <c r="Q806" s="147">
        <v>0</v>
      </c>
      <c r="R806" s="149">
        <v>628650</v>
      </c>
      <c r="S8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6" s="150">
        <f ca="1">+IF(PROVEEDORES[[#This Row],[FECHA DE PAGO]]=0,TODAY()-PROVEEDORES[[#This Row],[FECHA DE FACTURACIÓN]]-PROVEEDORES[[#This Row],[PLAZO Días]],0)</f>
        <v>0</v>
      </c>
      <c r="U806" s="150">
        <f>+VLOOKUP(PROVEEDORES[[#This Row],[PROVEEDOR]],Terceros!$A:$E,4,FALSE)</f>
        <v>0</v>
      </c>
      <c r="V806" s="150">
        <f>+YEAR(PROVEEDORES[[#This Row],[FECHA DE FACTURACIÓN]])</f>
        <v>2023</v>
      </c>
      <c r="W806" s="150">
        <f>+MATCH(PROVEEDORES[[#This Row],[año facturado]],Retenciones!$1:$1,0)</f>
        <v>6</v>
      </c>
      <c r="X806" s="151">
        <f>+VLOOKUP(PROVEEDORES[[#This Row],[ID RETENCION]],Retenciones!$A$1:$O$25,PROVEEDORES[[#This Row],[indicador de columna]],FALSE)</f>
        <v>0</v>
      </c>
      <c r="Y806" s="152">
        <f>+VLOOKUP(PROVEEDORES[[#This Row],[ID RETENCION]],Retenciones!$A$1:$O$25,2,FALSE)</f>
        <v>0</v>
      </c>
      <c r="Z806" s="153" t="b">
        <f>+OR(COUNTIF(PROVEEDORES[[#This Row],[PROVEEDOR]],"*"&amp;'Palabra que no opera y Listas d'!$A$2&amp;"*"))</f>
        <v>0</v>
      </c>
    </row>
    <row r="807" spans="1:26" ht="27.75" customHeight="1" x14ac:dyDescent="0.3">
      <c r="A807" s="144" t="str">
        <f>+IF(PROVEEDORES[[#This Row],[FECHA DE PAGO]]=PROVEEDORES[[#This Row],[FECHA DE FACTURACIÓN]],"DE CONTADO","CRÉDITO")</f>
        <v>DE CONTADO</v>
      </c>
      <c r="B807" s="144" t="b">
        <f>+IF((PROVEEDORES[[#This Row],[FECHA DE PAGO]]-PROVEEDORES[[#This Row],[FECHA DE FACTURACIÓN]])&gt;PROVEEDORES[[#This Row],[PLAZO Días]],"PAGO VENCIDO")</f>
        <v>0</v>
      </c>
      <c r="C807" s="144">
        <f>+VLOOKUP(PROVEEDORES[[#This Row],[PROVEEDOR]],TERCEROS_INFO[#All],2,FALSE)</f>
        <v>0</v>
      </c>
      <c r="D807" s="145">
        <f>+SUMIFS(PROVEEDORES[Total],PROVEEDORES[PROVEEDOR],PROVEEDORES[[#This Row],[PROVEEDOR]],PROVEEDORES[FECHA DE PAGO],"")</f>
        <v>0</v>
      </c>
      <c r="E807" s="146"/>
      <c r="F807" s="144">
        <f>+VLOOKUP(PROVEEDORES[[#This Row],[PROVEEDOR]],
                       Terceros!$A:$G,
                       5,
                       FALSE)</f>
        <v>0</v>
      </c>
      <c r="G807" s="122">
        <v>45222</v>
      </c>
      <c r="H807" s="102" t="s">
        <v>537</v>
      </c>
      <c r="I807" s="122">
        <v>45222</v>
      </c>
      <c r="J807" s="103" t="s">
        <v>1149</v>
      </c>
      <c r="K807" s="103" t="s">
        <v>1512</v>
      </c>
      <c r="L807" s="103"/>
      <c r="M807" s="105">
        <v>1200000</v>
      </c>
      <c r="N807" s="147">
        <v>0</v>
      </c>
      <c r="O807" s="147">
        <v>0</v>
      </c>
      <c r="P807" s="148">
        <v>0</v>
      </c>
      <c r="Q807" s="147">
        <v>0</v>
      </c>
      <c r="R807" s="149">
        <v>1200000</v>
      </c>
      <c r="S8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7" s="150">
        <f ca="1">+IF(PROVEEDORES[[#This Row],[FECHA DE PAGO]]=0,TODAY()-PROVEEDORES[[#This Row],[FECHA DE FACTURACIÓN]]-PROVEEDORES[[#This Row],[PLAZO Días]],0)</f>
        <v>0</v>
      </c>
      <c r="U807" s="150">
        <f>+VLOOKUP(PROVEEDORES[[#This Row],[PROVEEDOR]],Terceros!$A:$E,4,FALSE)</f>
        <v>0</v>
      </c>
      <c r="V807" s="150">
        <f>+YEAR(PROVEEDORES[[#This Row],[FECHA DE FACTURACIÓN]])</f>
        <v>2023</v>
      </c>
      <c r="W807" s="150">
        <f>+MATCH(PROVEEDORES[[#This Row],[año facturado]],Retenciones!$1:$1,0)</f>
        <v>6</v>
      </c>
      <c r="X807" s="151">
        <f>+VLOOKUP(PROVEEDORES[[#This Row],[ID RETENCION]],Retenciones!$A$1:$O$25,PROVEEDORES[[#This Row],[indicador de columna]],FALSE)</f>
        <v>0</v>
      </c>
      <c r="Y807" s="152">
        <f>+VLOOKUP(PROVEEDORES[[#This Row],[ID RETENCION]],Retenciones!$A$1:$O$25,2,FALSE)</f>
        <v>0</v>
      </c>
      <c r="Z807" s="153" t="b">
        <f>+OR(COUNTIF(PROVEEDORES[[#This Row],[PROVEEDOR]],"*"&amp;'Palabra que no opera y Listas d'!$A$2&amp;"*"))</f>
        <v>0</v>
      </c>
    </row>
    <row r="808" spans="1:26" ht="27.75" customHeight="1" x14ac:dyDescent="0.3">
      <c r="A808" s="144" t="str">
        <f>+IF(PROVEEDORES[[#This Row],[FECHA DE PAGO]]=PROVEEDORES[[#This Row],[FECHA DE FACTURACIÓN]],"DE CONTADO","CRÉDITO")</f>
        <v>DE CONTADO</v>
      </c>
      <c r="B808" s="144" t="b">
        <f>+IF((PROVEEDORES[[#This Row],[FECHA DE PAGO]]-PROVEEDORES[[#This Row],[FECHA DE FACTURACIÓN]])&gt;PROVEEDORES[[#This Row],[PLAZO Días]],"PAGO VENCIDO")</f>
        <v>0</v>
      </c>
      <c r="C808" s="144">
        <f>+VLOOKUP(PROVEEDORES[[#This Row],[PROVEEDOR]],TERCEROS_INFO[#All],2,FALSE)</f>
        <v>0</v>
      </c>
      <c r="D808" s="145">
        <f>+SUMIFS(PROVEEDORES[Total],PROVEEDORES[PROVEEDOR],PROVEEDORES[[#This Row],[PROVEEDOR]],PROVEEDORES[FECHA DE PAGO],"")</f>
        <v>0</v>
      </c>
      <c r="E808" s="146"/>
      <c r="F808" s="144">
        <f>+VLOOKUP(PROVEEDORES[[#This Row],[PROVEEDOR]],
                       Terceros!$A:$G,
                       5,
                       FALSE)</f>
        <v>0</v>
      </c>
      <c r="G808" s="122">
        <v>45222</v>
      </c>
      <c r="H808" s="102" t="s">
        <v>537</v>
      </c>
      <c r="I808" s="122">
        <v>45222</v>
      </c>
      <c r="J808" s="103" t="s">
        <v>1144</v>
      </c>
      <c r="K808" s="103" t="s">
        <v>1512</v>
      </c>
      <c r="L808" s="103"/>
      <c r="M808" s="105">
        <v>2000000</v>
      </c>
      <c r="N808" s="147">
        <v>0</v>
      </c>
      <c r="O808" s="147">
        <v>0</v>
      </c>
      <c r="P808" s="148">
        <v>0</v>
      </c>
      <c r="Q808" s="147">
        <v>0</v>
      </c>
      <c r="R808" s="149">
        <v>2000000</v>
      </c>
      <c r="S8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8" s="150">
        <f ca="1">+IF(PROVEEDORES[[#This Row],[FECHA DE PAGO]]=0,TODAY()-PROVEEDORES[[#This Row],[FECHA DE FACTURACIÓN]]-PROVEEDORES[[#This Row],[PLAZO Días]],0)</f>
        <v>0</v>
      </c>
      <c r="U808" s="150">
        <f>+VLOOKUP(PROVEEDORES[[#This Row],[PROVEEDOR]],Terceros!$A:$E,4,FALSE)</f>
        <v>0</v>
      </c>
      <c r="V808" s="150">
        <f>+YEAR(PROVEEDORES[[#This Row],[FECHA DE FACTURACIÓN]])</f>
        <v>2023</v>
      </c>
      <c r="W808" s="150">
        <f>+MATCH(PROVEEDORES[[#This Row],[año facturado]],Retenciones!$1:$1,0)</f>
        <v>6</v>
      </c>
      <c r="X808" s="151">
        <f>+VLOOKUP(PROVEEDORES[[#This Row],[ID RETENCION]],Retenciones!$A$1:$O$25,PROVEEDORES[[#This Row],[indicador de columna]],FALSE)</f>
        <v>0</v>
      </c>
      <c r="Y808" s="152">
        <f>+VLOOKUP(PROVEEDORES[[#This Row],[ID RETENCION]],Retenciones!$A$1:$O$25,2,FALSE)</f>
        <v>0</v>
      </c>
      <c r="Z808" s="153" t="b">
        <f>+OR(COUNTIF(PROVEEDORES[[#This Row],[PROVEEDOR]],"*"&amp;'Palabra que no opera y Listas d'!$A$2&amp;"*"))</f>
        <v>0</v>
      </c>
    </row>
    <row r="809" spans="1:26" ht="27.75" customHeight="1" x14ac:dyDescent="0.3">
      <c r="A809" s="144" t="str">
        <f>+IF(PROVEEDORES[[#This Row],[FECHA DE PAGO]]=PROVEEDORES[[#This Row],[FECHA DE FACTURACIÓN]],"DE CONTADO","CRÉDITO")</f>
        <v>CRÉDITO</v>
      </c>
      <c r="B809" s="144" t="str">
        <f>+IF((PROVEEDORES[[#This Row],[FECHA DE PAGO]]-PROVEEDORES[[#This Row],[FECHA DE FACTURACIÓN]])&gt;PROVEEDORES[[#This Row],[PLAZO Días]],"PAGO VENCIDO")</f>
        <v>PAGO VENCIDO</v>
      </c>
      <c r="C809" s="144">
        <f>+VLOOKUP(PROVEEDORES[[#This Row],[PROVEEDOR]],TERCEROS_INFO[#All],2,FALSE)</f>
        <v>0</v>
      </c>
      <c r="D809" s="145">
        <f>+SUMIFS(PROVEEDORES[Total],PROVEEDORES[PROVEEDOR],PROVEEDORES[[#This Row],[PROVEEDOR]],PROVEEDORES[FECHA DE PAGO],"")</f>
        <v>0</v>
      </c>
      <c r="E809" s="146"/>
      <c r="F809" s="144">
        <f>+VLOOKUP(PROVEEDORES[[#This Row],[PROVEEDOR]],
                       Terceros!$A:$G,
                       5,
                       FALSE)</f>
        <v>0</v>
      </c>
      <c r="G809" s="122">
        <v>45223</v>
      </c>
      <c r="H809" s="102" t="s">
        <v>397</v>
      </c>
      <c r="I809" s="122">
        <v>45200</v>
      </c>
      <c r="J809" s="103" t="s">
        <v>1139</v>
      </c>
      <c r="K809" s="103" t="s">
        <v>1512</v>
      </c>
      <c r="L809" s="103"/>
      <c r="M809" s="105">
        <v>934363</v>
      </c>
      <c r="N809" s="147">
        <v>0</v>
      </c>
      <c r="O809" s="147">
        <v>0</v>
      </c>
      <c r="P809" s="148">
        <v>0</v>
      </c>
      <c r="Q809" s="147">
        <v>0</v>
      </c>
      <c r="R809" s="149">
        <v>934363</v>
      </c>
      <c r="S8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9" s="150">
        <f ca="1">+IF(PROVEEDORES[[#This Row],[FECHA DE PAGO]]=0,TODAY()-PROVEEDORES[[#This Row],[FECHA DE FACTURACIÓN]]-PROVEEDORES[[#This Row],[PLAZO Días]],0)</f>
        <v>0</v>
      </c>
      <c r="U809" s="150">
        <f>+VLOOKUP(PROVEEDORES[[#This Row],[PROVEEDOR]],Terceros!$A:$E,4,FALSE)</f>
        <v>0</v>
      </c>
      <c r="V809" s="150">
        <f>+YEAR(PROVEEDORES[[#This Row],[FECHA DE FACTURACIÓN]])</f>
        <v>2023</v>
      </c>
      <c r="W809" s="150">
        <f>+MATCH(PROVEEDORES[[#This Row],[año facturado]],Retenciones!$1:$1,0)</f>
        <v>6</v>
      </c>
      <c r="X809" s="151">
        <f>+VLOOKUP(PROVEEDORES[[#This Row],[ID RETENCION]],Retenciones!$A$1:$O$25,PROVEEDORES[[#This Row],[indicador de columna]],FALSE)</f>
        <v>0</v>
      </c>
      <c r="Y809" s="152">
        <f>+VLOOKUP(PROVEEDORES[[#This Row],[ID RETENCION]],Retenciones!$A$1:$O$25,2,FALSE)</f>
        <v>0</v>
      </c>
      <c r="Z809" s="153" t="b">
        <f>+OR(COUNTIF(PROVEEDORES[[#This Row],[PROVEEDOR]],"*"&amp;'Palabra que no opera y Listas d'!$A$2&amp;"*"))</f>
        <v>1</v>
      </c>
    </row>
    <row r="810" spans="1:26" ht="27.75" customHeight="1" x14ac:dyDescent="0.3">
      <c r="A810" s="144" t="str">
        <f>+IF(PROVEEDORES[[#This Row],[FECHA DE PAGO]]=PROVEEDORES[[#This Row],[FECHA DE FACTURACIÓN]],"DE CONTADO","CRÉDITO")</f>
        <v>CRÉDITO</v>
      </c>
      <c r="B810" s="144" t="str">
        <f>+IF((PROVEEDORES[[#This Row],[FECHA DE PAGO]]-PROVEEDORES[[#This Row],[FECHA DE FACTURACIÓN]])&gt;PROVEEDORES[[#This Row],[PLAZO Días]],"PAGO VENCIDO")</f>
        <v>PAGO VENCIDO</v>
      </c>
      <c r="C810" s="144">
        <f>+VLOOKUP(PROVEEDORES[[#This Row],[PROVEEDOR]],TERCEROS_INFO[#All],2,FALSE)</f>
        <v>0</v>
      </c>
      <c r="D810" s="145">
        <f>+SUMIFS(PROVEEDORES[Total],PROVEEDORES[PROVEEDOR],PROVEEDORES[[#This Row],[PROVEEDOR]],PROVEEDORES[FECHA DE PAGO],"")</f>
        <v>0</v>
      </c>
      <c r="E810" s="146"/>
      <c r="F810" s="144">
        <f>+VLOOKUP(PROVEEDORES[[#This Row],[PROVEEDOR]],
                       Terceros!$A:$G,
                       5,
                       FALSE)</f>
        <v>0</v>
      </c>
      <c r="G810" s="122">
        <v>45223</v>
      </c>
      <c r="H810" s="102" t="s">
        <v>397</v>
      </c>
      <c r="I810" s="122">
        <v>45200</v>
      </c>
      <c r="J810" s="103" t="s">
        <v>1140</v>
      </c>
      <c r="K810" s="103" t="s">
        <v>1512</v>
      </c>
      <c r="L810" s="103"/>
      <c r="M810" s="105">
        <v>914023</v>
      </c>
      <c r="N810" s="147">
        <v>0</v>
      </c>
      <c r="O810" s="147">
        <v>0</v>
      </c>
      <c r="P810" s="148">
        <v>0</v>
      </c>
      <c r="Q810" s="147">
        <v>0</v>
      </c>
      <c r="R810" s="149">
        <v>914023</v>
      </c>
      <c r="S8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0" s="150">
        <f ca="1">+IF(PROVEEDORES[[#This Row],[FECHA DE PAGO]]=0,TODAY()-PROVEEDORES[[#This Row],[FECHA DE FACTURACIÓN]]-PROVEEDORES[[#This Row],[PLAZO Días]],0)</f>
        <v>0</v>
      </c>
      <c r="U810" s="150">
        <f>+VLOOKUP(PROVEEDORES[[#This Row],[PROVEEDOR]],Terceros!$A:$E,4,FALSE)</f>
        <v>0</v>
      </c>
      <c r="V810" s="150">
        <f>+YEAR(PROVEEDORES[[#This Row],[FECHA DE FACTURACIÓN]])</f>
        <v>2023</v>
      </c>
      <c r="W810" s="150">
        <f>+MATCH(PROVEEDORES[[#This Row],[año facturado]],Retenciones!$1:$1,0)</f>
        <v>6</v>
      </c>
      <c r="X810" s="151">
        <f>+VLOOKUP(PROVEEDORES[[#This Row],[ID RETENCION]],Retenciones!$A$1:$O$25,PROVEEDORES[[#This Row],[indicador de columna]],FALSE)</f>
        <v>0</v>
      </c>
      <c r="Y810" s="152">
        <f>+VLOOKUP(PROVEEDORES[[#This Row],[ID RETENCION]],Retenciones!$A$1:$O$25,2,FALSE)</f>
        <v>0</v>
      </c>
      <c r="Z810" s="153" t="b">
        <f>+OR(COUNTIF(PROVEEDORES[[#This Row],[PROVEEDOR]],"*"&amp;'Palabra que no opera y Listas d'!$A$2&amp;"*"))</f>
        <v>1</v>
      </c>
    </row>
    <row r="811" spans="1:26" ht="27.75" customHeight="1" x14ac:dyDescent="0.3">
      <c r="A811" s="144" t="str">
        <f>+IF(PROVEEDORES[[#This Row],[FECHA DE PAGO]]=PROVEEDORES[[#This Row],[FECHA DE FACTURACIÓN]],"DE CONTADO","CRÉDITO")</f>
        <v>CRÉDITO</v>
      </c>
      <c r="B811" s="144" t="str">
        <f>+IF((PROVEEDORES[[#This Row],[FECHA DE PAGO]]-PROVEEDORES[[#This Row],[FECHA DE FACTURACIÓN]])&gt;PROVEEDORES[[#This Row],[PLAZO Días]],"PAGO VENCIDO")</f>
        <v>PAGO VENCIDO</v>
      </c>
      <c r="C811" s="144">
        <f>+VLOOKUP(PROVEEDORES[[#This Row],[PROVEEDOR]],TERCEROS_INFO[#All],2,FALSE)</f>
        <v>0</v>
      </c>
      <c r="D811" s="145">
        <f>+SUMIFS(PROVEEDORES[Total],PROVEEDORES[PROVEEDOR],PROVEEDORES[[#This Row],[PROVEEDOR]],PROVEEDORES[FECHA DE PAGO],"")</f>
        <v>0</v>
      </c>
      <c r="E811" s="146"/>
      <c r="F811" s="144" t="str">
        <f>+VLOOKUP(PROVEEDORES[[#This Row],[PROVEEDOR]],
                       Terceros!$A:$G,
                       5,
                       FALSE)</f>
        <v>2,5% con base</v>
      </c>
      <c r="G811" s="122">
        <v>45224</v>
      </c>
      <c r="H811" s="102" t="s">
        <v>594</v>
      </c>
      <c r="I811" s="122">
        <v>45155</v>
      </c>
      <c r="J811" s="103" t="s">
        <v>1008</v>
      </c>
      <c r="K811" s="103" t="s">
        <v>1512</v>
      </c>
      <c r="L811" s="103"/>
      <c r="M811" s="105">
        <v>3384000</v>
      </c>
      <c r="N811" s="147">
        <v>642960</v>
      </c>
      <c r="O811" s="147">
        <v>0</v>
      </c>
      <c r="P811" s="148">
        <v>2.5000000000000001E-2</v>
      </c>
      <c r="Q811" s="147">
        <v>84600</v>
      </c>
      <c r="R811" s="149">
        <v>3942360</v>
      </c>
      <c r="S8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1" s="150">
        <f ca="1">+IF(PROVEEDORES[[#This Row],[FECHA DE PAGO]]=0,TODAY()-PROVEEDORES[[#This Row],[FECHA DE FACTURACIÓN]]-PROVEEDORES[[#This Row],[PLAZO Días]],0)</f>
        <v>0</v>
      </c>
      <c r="U811" s="150">
        <f>+VLOOKUP(PROVEEDORES[[#This Row],[PROVEEDOR]],Terceros!$A:$E,4,FALSE)</f>
        <v>0.19</v>
      </c>
      <c r="V811" s="150">
        <f>+YEAR(PROVEEDORES[[#This Row],[FECHA DE FACTURACIÓN]])</f>
        <v>2023</v>
      </c>
      <c r="W811" s="150">
        <f>+MATCH(PROVEEDORES[[#This Row],[año facturado]],Retenciones!$1:$1,0)</f>
        <v>6</v>
      </c>
      <c r="X811" s="151" t="e">
        <f>+VLOOKUP(PROVEEDORES[[#This Row],[ID RETENCION]],Retenciones!$A$1:$O$25,PROVEEDORES[[#This Row],[indicador de columna]],FALSE)</f>
        <v>#N/A</v>
      </c>
      <c r="Y811" s="152" t="e">
        <f>+VLOOKUP(PROVEEDORES[[#This Row],[ID RETENCION]],Retenciones!$A$1:$O$25,2,FALSE)</f>
        <v>#N/A</v>
      </c>
      <c r="Z811" s="153" t="b">
        <f>+OR(COUNTIF(PROVEEDORES[[#This Row],[PROVEEDOR]],"*"&amp;'Palabra que no opera y Listas d'!$A$2&amp;"*"))</f>
        <v>0</v>
      </c>
    </row>
    <row r="812" spans="1:26" ht="27.75" customHeight="1" x14ac:dyDescent="0.3">
      <c r="A812" s="144" t="str">
        <f>+IF(PROVEEDORES[[#This Row],[FECHA DE PAGO]]=PROVEEDORES[[#This Row],[FECHA DE FACTURACIÓN]],"DE CONTADO","CRÉDITO")</f>
        <v>CRÉDITO</v>
      </c>
      <c r="B812" s="144" t="str">
        <f>+IF((PROVEEDORES[[#This Row],[FECHA DE PAGO]]-PROVEEDORES[[#This Row],[FECHA DE FACTURACIÓN]])&gt;PROVEEDORES[[#This Row],[PLAZO Días]],"PAGO VENCIDO")</f>
        <v>PAGO VENCIDO</v>
      </c>
      <c r="C812" s="144">
        <f>+VLOOKUP(PROVEEDORES[[#This Row],[PROVEEDOR]],TERCEROS_INFO[#All],2,FALSE)</f>
        <v>0</v>
      </c>
      <c r="D812" s="145">
        <f>+SUMIFS(PROVEEDORES[Total],PROVEEDORES[PROVEEDOR],PROVEEDORES[[#This Row],[PROVEEDOR]],PROVEEDORES[FECHA DE PAGO],"")</f>
        <v>0</v>
      </c>
      <c r="E812" s="146"/>
      <c r="F812" s="144" t="str">
        <f>+VLOOKUP(PROVEEDORES[[#This Row],[PROVEEDOR]],
                       Terceros!$A:$G,
                       5,
                       FALSE)</f>
        <v>2,5% con base</v>
      </c>
      <c r="G812" s="122">
        <v>45224</v>
      </c>
      <c r="H812" s="102" t="s">
        <v>19</v>
      </c>
      <c r="I812" s="122">
        <v>45168</v>
      </c>
      <c r="J812" s="103" t="s">
        <v>1031</v>
      </c>
      <c r="K812" s="103" t="s">
        <v>1512</v>
      </c>
      <c r="L812" s="103"/>
      <c r="M812" s="105">
        <v>876780</v>
      </c>
      <c r="N812" s="147">
        <v>166588.20000000001</v>
      </c>
      <c r="O812" s="147">
        <v>0</v>
      </c>
      <c r="P812" s="148">
        <v>0</v>
      </c>
      <c r="Q812" s="147">
        <v>0</v>
      </c>
      <c r="R812" s="149">
        <v>1043368.2</v>
      </c>
      <c r="S8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2" s="150">
        <f ca="1">+IF(PROVEEDORES[[#This Row],[FECHA DE PAGO]]=0,TODAY()-PROVEEDORES[[#This Row],[FECHA DE FACTURACIÓN]]-PROVEEDORES[[#This Row],[PLAZO Días]],0)</f>
        <v>0</v>
      </c>
      <c r="U812" s="150">
        <f>+VLOOKUP(PROVEEDORES[[#This Row],[PROVEEDOR]],Terceros!$A:$E,4,FALSE)</f>
        <v>0.19</v>
      </c>
      <c r="V812" s="150">
        <f>+YEAR(PROVEEDORES[[#This Row],[FECHA DE FACTURACIÓN]])</f>
        <v>2023</v>
      </c>
      <c r="W812" s="150">
        <f>+MATCH(PROVEEDORES[[#This Row],[año facturado]],Retenciones!$1:$1,0)</f>
        <v>6</v>
      </c>
      <c r="X812" s="151" t="e">
        <f>+VLOOKUP(PROVEEDORES[[#This Row],[ID RETENCION]],Retenciones!$A$1:$O$25,PROVEEDORES[[#This Row],[indicador de columna]],FALSE)</f>
        <v>#N/A</v>
      </c>
      <c r="Y812" s="152" t="e">
        <f>+VLOOKUP(PROVEEDORES[[#This Row],[ID RETENCION]],Retenciones!$A$1:$O$25,2,FALSE)</f>
        <v>#N/A</v>
      </c>
      <c r="Z812" s="153" t="b">
        <f>+OR(COUNTIF(PROVEEDORES[[#This Row],[PROVEEDOR]],"*"&amp;'Palabra que no opera y Listas d'!$A$2&amp;"*"))</f>
        <v>0</v>
      </c>
    </row>
    <row r="813" spans="1:26" ht="27.75" customHeight="1" x14ac:dyDescent="0.3">
      <c r="A813" s="144" t="str">
        <f>+IF(PROVEEDORES[[#This Row],[FECHA DE PAGO]]=PROVEEDORES[[#This Row],[FECHA DE FACTURACIÓN]],"DE CONTADO","CRÉDITO")</f>
        <v>DE CONTADO</v>
      </c>
      <c r="B813" s="144" t="b">
        <f>+IF((PROVEEDORES[[#This Row],[FECHA DE PAGO]]-PROVEEDORES[[#This Row],[FECHA DE FACTURACIÓN]])&gt;PROVEEDORES[[#This Row],[PLAZO Días]],"PAGO VENCIDO")</f>
        <v>0</v>
      </c>
      <c r="C813" s="144">
        <f>+VLOOKUP(PROVEEDORES[[#This Row],[PROVEEDOR]],TERCEROS_INFO[#All],2,FALSE)</f>
        <v>0</v>
      </c>
      <c r="D813" s="145">
        <f>+SUMIFS(PROVEEDORES[Total],PROVEEDORES[PROVEEDOR],PROVEEDORES[[#This Row],[PROVEEDOR]],PROVEEDORES[FECHA DE PAGO],"")</f>
        <v>0</v>
      </c>
      <c r="E813" s="146"/>
      <c r="F813" s="144">
        <f>+VLOOKUP(PROVEEDORES[[#This Row],[PROVEEDOR]],
                       Terceros!$A:$G,
                       5,
                       FALSE)</f>
        <v>0</v>
      </c>
      <c r="G813" s="122">
        <v>45224</v>
      </c>
      <c r="H813" s="102" t="s">
        <v>1801</v>
      </c>
      <c r="I813" s="122">
        <v>45224</v>
      </c>
      <c r="J813" s="103"/>
      <c r="K813" s="103" t="s">
        <v>1512</v>
      </c>
      <c r="L813" s="103"/>
      <c r="M813" s="105">
        <v>800000</v>
      </c>
      <c r="N813" s="147">
        <v>0</v>
      </c>
      <c r="O813" s="147">
        <v>0</v>
      </c>
      <c r="P813" s="148">
        <v>0</v>
      </c>
      <c r="Q813" s="147">
        <v>0</v>
      </c>
      <c r="R813" s="149">
        <v>800000</v>
      </c>
      <c r="S8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3" s="150">
        <f ca="1">+IF(PROVEEDORES[[#This Row],[FECHA DE PAGO]]=0,TODAY()-PROVEEDORES[[#This Row],[FECHA DE FACTURACIÓN]]-PROVEEDORES[[#This Row],[PLAZO Días]],0)</f>
        <v>0</v>
      </c>
      <c r="U813" s="150">
        <f>+VLOOKUP(PROVEEDORES[[#This Row],[PROVEEDOR]],Terceros!$A:$E,4,FALSE)</f>
        <v>0</v>
      </c>
      <c r="V813" s="150">
        <f>+YEAR(PROVEEDORES[[#This Row],[FECHA DE FACTURACIÓN]])</f>
        <v>2023</v>
      </c>
      <c r="W813" s="150">
        <f>+MATCH(PROVEEDORES[[#This Row],[año facturado]],Retenciones!$1:$1,0)</f>
        <v>6</v>
      </c>
      <c r="X813" s="151">
        <f>+VLOOKUP(PROVEEDORES[[#This Row],[ID RETENCION]],Retenciones!$A$1:$O$25,PROVEEDORES[[#This Row],[indicador de columna]],FALSE)</f>
        <v>0</v>
      </c>
      <c r="Y813" s="152">
        <f>+VLOOKUP(PROVEEDORES[[#This Row],[ID RETENCION]],Retenciones!$A$1:$O$25,2,FALSE)</f>
        <v>0</v>
      </c>
      <c r="Z813" s="153" t="b">
        <f>+OR(COUNTIF(PROVEEDORES[[#This Row],[PROVEEDOR]],"*"&amp;'Palabra que no opera y Listas d'!$A$2&amp;"*"))</f>
        <v>0</v>
      </c>
    </row>
    <row r="814" spans="1:26" ht="27.75" customHeight="1" x14ac:dyDescent="0.3">
      <c r="A814" s="144" t="str">
        <f>+IF(PROVEEDORES[[#This Row],[FECHA DE PAGO]]=PROVEEDORES[[#This Row],[FECHA DE FACTURACIÓN]],"DE CONTADO","CRÉDITO")</f>
        <v>DE CONTADO</v>
      </c>
      <c r="B814" s="144" t="b">
        <f>+IF((PROVEEDORES[[#This Row],[FECHA DE PAGO]]-PROVEEDORES[[#This Row],[FECHA DE FACTURACIÓN]])&gt;PROVEEDORES[[#This Row],[PLAZO Días]],"PAGO VENCIDO")</f>
        <v>0</v>
      </c>
      <c r="C814" s="144">
        <f>+VLOOKUP(PROVEEDORES[[#This Row],[PROVEEDOR]],TERCEROS_INFO[#All],2,FALSE)</f>
        <v>0</v>
      </c>
      <c r="D814" s="145">
        <f>+SUMIFS(PROVEEDORES[Total],PROVEEDORES[PROVEEDOR],PROVEEDORES[[#This Row],[PROVEEDOR]],PROVEEDORES[FECHA DE PAGO],"")</f>
        <v>0</v>
      </c>
      <c r="E814" s="146"/>
      <c r="F814" s="144" t="str">
        <f>+VLOOKUP(PROVEEDORES[[#This Row],[PROVEEDOR]],
                       Terceros!$A:$G,
                       5,
                       FALSE)</f>
        <v>2,5% con base</v>
      </c>
      <c r="G814" s="122">
        <v>45224</v>
      </c>
      <c r="H814" s="102" t="s">
        <v>71</v>
      </c>
      <c r="I814" s="122">
        <v>45224</v>
      </c>
      <c r="J814" s="103" t="s">
        <v>1146</v>
      </c>
      <c r="K814" s="103" t="s">
        <v>1512</v>
      </c>
      <c r="L814" s="103"/>
      <c r="M814" s="105">
        <v>166386.6</v>
      </c>
      <c r="N814" s="147">
        <v>31613.454000000002</v>
      </c>
      <c r="O814" s="147">
        <v>0</v>
      </c>
      <c r="P814" s="148">
        <v>0</v>
      </c>
      <c r="Q814" s="147">
        <v>0</v>
      </c>
      <c r="R814" s="149">
        <v>198000.054</v>
      </c>
      <c r="S8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4" s="150">
        <f ca="1">+IF(PROVEEDORES[[#This Row],[FECHA DE PAGO]]=0,TODAY()-PROVEEDORES[[#This Row],[FECHA DE FACTURACIÓN]]-PROVEEDORES[[#This Row],[PLAZO Días]],0)</f>
        <v>0</v>
      </c>
      <c r="U814" s="150">
        <f>+VLOOKUP(PROVEEDORES[[#This Row],[PROVEEDOR]],Terceros!$A:$E,4,FALSE)</f>
        <v>0.19</v>
      </c>
      <c r="V814" s="150">
        <f>+YEAR(PROVEEDORES[[#This Row],[FECHA DE FACTURACIÓN]])</f>
        <v>2023</v>
      </c>
      <c r="W814" s="150">
        <f>+MATCH(PROVEEDORES[[#This Row],[año facturado]],Retenciones!$1:$1,0)</f>
        <v>6</v>
      </c>
      <c r="X814" s="151" t="e">
        <f>+VLOOKUP(PROVEEDORES[[#This Row],[ID RETENCION]],Retenciones!$A$1:$O$25,PROVEEDORES[[#This Row],[indicador de columna]],FALSE)</f>
        <v>#N/A</v>
      </c>
      <c r="Y814" s="152" t="e">
        <f>+VLOOKUP(PROVEEDORES[[#This Row],[ID RETENCION]],Retenciones!$A$1:$O$25,2,FALSE)</f>
        <v>#N/A</v>
      </c>
      <c r="Z814" s="153" t="b">
        <f>+OR(COUNTIF(PROVEEDORES[[#This Row],[PROVEEDOR]],"*"&amp;'Palabra que no opera y Listas d'!$A$2&amp;"*"))</f>
        <v>0</v>
      </c>
    </row>
    <row r="815" spans="1:26" ht="27.75" customHeight="1" x14ac:dyDescent="0.3">
      <c r="A815" s="144" t="str">
        <f>+IF(PROVEEDORES[[#This Row],[FECHA DE PAGO]]=PROVEEDORES[[#This Row],[FECHA DE FACTURACIÓN]],"DE CONTADO","CRÉDITO")</f>
        <v>CRÉDITO</v>
      </c>
      <c r="B815" s="144" t="str">
        <f>+IF((PROVEEDORES[[#This Row],[FECHA DE PAGO]]-PROVEEDORES[[#This Row],[FECHA DE FACTURACIÓN]])&gt;PROVEEDORES[[#This Row],[PLAZO Días]],"PAGO VENCIDO")</f>
        <v>PAGO VENCIDO</v>
      </c>
      <c r="C815" s="144">
        <f>+VLOOKUP(PROVEEDORES[[#This Row],[PROVEEDOR]],TERCEROS_INFO[#All],2,FALSE)</f>
        <v>0</v>
      </c>
      <c r="D815" s="145">
        <f>+SUMIFS(PROVEEDORES[Total],PROVEEDORES[PROVEEDOR],PROVEEDORES[[#This Row],[PROVEEDOR]],PROVEEDORES[FECHA DE PAGO],"")</f>
        <v>119844463.84</v>
      </c>
      <c r="E815" s="146"/>
      <c r="F815" s="144" t="str">
        <f>+VLOOKUP(PROVEEDORES[[#This Row],[PROVEEDOR]],
                       Terceros!$A:$G,
                       5,
                       FALSE)</f>
        <v>2,5% con base</v>
      </c>
      <c r="G815" s="122">
        <v>45225</v>
      </c>
      <c r="H815" s="102" t="s">
        <v>8</v>
      </c>
      <c r="I815" s="122">
        <v>45156</v>
      </c>
      <c r="J815" s="103" t="s">
        <v>993</v>
      </c>
      <c r="K815" s="103" t="s">
        <v>1512</v>
      </c>
      <c r="L815" s="103"/>
      <c r="M815" s="105">
        <v>-18933650</v>
      </c>
      <c r="N815" s="147">
        <v>-3597393.5</v>
      </c>
      <c r="O815" s="147">
        <v>0</v>
      </c>
      <c r="P815" s="148">
        <v>0</v>
      </c>
      <c r="Q815" s="147">
        <v>0</v>
      </c>
      <c r="R815" s="149">
        <v>-22531043.5</v>
      </c>
      <c r="S8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5" s="150">
        <f ca="1">+IF(PROVEEDORES[[#This Row],[FECHA DE PAGO]]=0,TODAY()-PROVEEDORES[[#This Row],[FECHA DE FACTURACIÓN]]-PROVEEDORES[[#This Row],[PLAZO Días]],0)</f>
        <v>0</v>
      </c>
      <c r="U815" s="150">
        <f>+VLOOKUP(PROVEEDORES[[#This Row],[PROVEEDOR]],Terceros!$A:$E,4,FALSE)</f>
        <v>0.19</v>
      </c>
      <c r="V815" s="150">
        <f>+YEAR(PROVEEDORES[[#This Row],[FECHA DE FACTURACIÓN]])</f>
        <v>2023</v>
      </c>
      <c r="W815" s="150">
        <f>+MATCH(PROVEEDORES[[#This Row],[año facturado]],Retenciones!$1:$1,0)</f>
        <v>6</v>
      </c>
      <c r="X815" s="151" t="e">
        <f>+VLOOKUP(PROVEEDORES[[#This Row],[ID RETENCION]],Retenciones!$A$1:$O$25,PROVEEDORES[[#This Row],[indicador de columna]],FALSE)</f>
        <v>#N/A</v>
      </c>
      <c r="Y815" s="152" t="e">
        <f>+VLOOKUP(PROVEEDORES[[#This Row],[ID RETENCION]],Retenciones!$A$1:$O$25,2,FALSE)</f>
        <v>#N/A</v>
      </c>
      <c r="Z815" s="153" t="b">
        <f>+OR(COUNTIF(PROVEEDORES[[#This Row],[PROVEEDOR]],"*"&amp;'Palabra que no opera y Listas d'!$A$2&amp;"*"))</f>
        <v>0</v>
      </c>
    </row>
    <row r="816" spans="1:26" ht="27.75" customHeight="1" x14ac:dyDescent="0.3">
      <c r="A816" s="144" t="str">
        <f>+IF(PROVEEDORES[[#This Row],[FECHA DE PAGO]]=PROVEEDORES[[#This Row],[FECHA DE FACTURACIÓN]],"DE CONTADO","CRÉDITO")</f>
        <v>CRÉDITO</v>
      </c>
      <c r="B816" s="144" t="str">
        <f>+IF((PROVEEDORES[[#This Row],[FECHA DE PAGO]]-PROVEEDORES[[#This Row],[FECHA DE FACTURACIÓN]])&gt;PROVEEDORES[[#This Row],[PLAZO Días]],"PAGO VENCIDO")</f>
        <v>PAGO VENCIDO</v>
      </c>
      <c r="C816" s="144">
        <f>+VLOOKUP(PROVEEDORES[[#This Row],[PROVEEDOR]],TERCEROS_INFO[#All],2,FALSE)</f>
        <v>0</v>
      </c>
      <c r="D816" s="145">
        <f>+SUMIFS(PROVEEDORES[Total],PROVEEDORES[PROVEEDOR],PROVEEDORES[[#This Row],[PROVEEDOR]],PROVEEDORES[FECHA DE PAGO],"")</f>
        <v>119844463.84</v>
      </c>
      <c r="E816" s="146"/>
      <c r="F816" s="144" t="str">
        <f>+VLOOKUP(PROVEEDORES[[#This Row],[PROVEEDOR]],
                       Terceros!$A:$G,
                       5,
                       FALSE)</f>
        <v>2,5% con base</v>
      </c>
      <c r="G816" s="122">
        <v>45225</v>
      </c>
      <c r="H816" s="102" t="s">
        <v>8</v>
      </c>
      <c r="I816" s="122">
        <v>45162</v>
      </c>
      <c r="J816" s="103" t="s">
        <v>1025</v>
      </c>
      <c r="K816" s="103" t="s">
        <v>1512</v>
      </c>
      <c r="L816" s="103"/>
      <c r="M816" s="105">
        <v>62709092</v>
      </c>
      <c r="N816" s="147">
        <v>11914727.48</v>
      </c>
      <c r="O816" s="147">
        <v>0</v>
      </c>
      <c r="P816" s="148">
        <v>2.5000000000000001E-2</v>
      </c>
      <c r="Q816" s="147">
        <v>1567727.3</v>
      </c>
      <c r="R816" s="149">
        <v>73056092.180000007</v>
      </c>
      <c r="S8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6" s="150">
        <f ca="1">+IF(PROVEEDORES[[#This Row],[FECHA DE PAGO]]=0,TODAY()-PROVEEDORES[[#This Row],[FECHA DE FACTURACIÓN]]-PROVEEDORES[[#This Row],[PLAZO Días]],0)</f>
        <v>0</v>
      </c>
      <c r="U816" s="150">
        <f>+VLOOKUP(PROVEEDORES[[#This Row],[PROVEEDOR]],Terceros!$A:$E,4,FALSE)</f>
        <v>0.19</v>
      </c>
      <c r="V816" s="150">
        <f>+YEAR(PROVEEDORES[[#This Row],[FECHA DE FACTURACIÓN]])</f>
        <v>2023</v>
      </c>
      <c r="W816" s="150">
        <f>+MATCH(PROVEEDORES[[#This Row],[año facturado]],Retenciones!$1:$1,0)</f>
        <v>6</v>
      </c>
      <c r="X816" s="151" t="e">
        <f>+VLOOKUP(PROVEEDORES[[#This Row],[ID RETENCION]],Retenciones!$A$1:$O$25,PROVEEDORES[[#This Row],[indicador de columna]],FALSE)</f>
        <v>#N/A</v>
      </c>
      <c r="Y816" s="152" t="e">
        <f>+VLOOKUP(PROVEEDORES[[#This Row],[ID RETENCION]],Retenciones!$A$1:$O$25,2,FALSE)</f>
        <v>#N/A</v>
      </c>
      <c r="Z816" s="153" t="b">
        <f>+OR(COUNTIF(PROVEEDORES[[#This Row],[PROVEEDOR]],"*"&amp;'Palabra que no opera y Listas d'!$A$2&amp;"*"))</f>
        <v>0</v>
      </c>
    </row>
    <row r="817" spans="1:26" ht="27.75" customHeight="1" x14ac:dyDescent="0.3">
      <c r="A817" s="144" t="str">
        <f>+IF(PROVEEDORES[[#This Row],[FECHA DE PAGO]]=PROVEEDORES[[#This Row],[FECHA DE FACTURACIÓN]],"DE CONTADO","CRÉDITO")</f>
        <v>CRÉDITO</v>
      </c>
      <c r="B817" s="144" t="str">
        <f>+IF((PROVEEDORES[[#This Row],[FECHA DE PAGO]]-PROVEEDORES[[#This Row],[FECHA DE FACTURACIÓN]])&gt;PROVEEDORES[[#This Row],[PLAZO Días]],"PAGO VENCIDO")</f>
        <v>PAGO VENCIDO</v>
      </c>
      <c r="C817" s="144">
        <f>+VLOOKUP(PROVEEDORES[[#This Row],[PROVEEDOR]],TERCEROS_INFO[#All],2,FALSE)</f>
        <v>0</v>
      </c>
      <c r="D817" s="145">
        <f>+SUMIFS(PROVEEDORES[Total],PROVEEDORES[PROVEEDOR],PROVEEDORES[[#This Row],[PROVEEDOR]],PROVEEDORES[FECHA DE PAGO],"")</f>
        <v>119844463.84</v>
      </c>
      <c r="E817" s="146"/>
      <c r="F817" s="144" t="str">
        <f>+VLOOKUP(PROVEEDORES[[#This Row],[PROVEEDOR]],
                       Terceros!$A:$G,
                       5,
                       FALSE)</f>
        <v>2,5% con base</v>
      </c>
      <c r="G817" s="122">
        <v>45225</v>
      </c>
      <c r="H817" s="102" t="s">
        <v>8</v>
      </c>
      <c r="I817" s="122">
        <v>45203</v>
      </c>
      <c r="J817" s="103" t="s">
        <v>1092</v>
      </c>
      <c r="K817" s="103" t="s">
        <v>1512</v>
      </c>
      <c r="L817" s="103"/>
      <c r="M817" s="105">
        <v>-159664</v>
      </c>
      <c r="N817" s="147">
        <v>-30336.16</v>
      </c>
      <c r="O817" s="147">
        <v>0</v>
      </c>
      <c r="P817" s="148">
        <v>0</v>
      </c>
      <c r="Q817" s="147">
        <v>0</v>
      </c>
      <c r="R817" s="149">
        <v>-190000.16</v>
      </c>
      <c r="S8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7" s="150">
        <f ca="1">+IF(PROVEEDORES[[#This Row],[FECHA DE PAGO]]=0,TODAY()-PROVEEDORES[[#This Row],[FECHA DE FACTURACIÓN]]-PROVEEDORES[[#This Row],[PLAZO Días]],0)</f>
        <v>0</v>
      </c>
      <c r="U817" s="150">
        <f>+VLOOKUP(PROVEEDORES[[#This Row],[PROVEEDOR]],Terceros!$A:$E,4,FALSE)</f>
        <v>0.19</v>
      </c>
      <c r="V817" s="150">
        <f>+YEAR(PROVEEDORES[[#This Row],[FECHA DE FACTURACIÓN]])</f>
        <v>2023</v>
      </c>
      <c r="W817" s="150">
        <f>+MATCH(PROVEEDORES[[#This Row],[año facturado]],Retenciones!$1:$1,0)</f>
        <v>6</v>
      </c>
      <c r="X817" s="151" t="e">
        <f>+VLOOKUP(PROVEEDORES[[#This Row],[ID RETENCION]],Retenciones!$A$1:$O$25,PROVEEDORES[[#This Row],[indicador de columna]],FALSE)</f>
        <v>#N/A</v>
      </c>
      <c r="Y817" s="152" t="e">
        <f>+VLOOKUP(PROVEEDORES[[#This Row],[ID RETENCION]],Retenciones!$A$1:$O$25,2,FALSE)</f>
        <v>#N/A</v>
      </c>
      <c r="Z817" s="153" t="b">
        <f>+OR(COUNTIF(PROVEEDORES[[#This Row],[PROVEEDOR]],"*"&amp;'Palabra que no opera y Listas d'!$A$2&amp;"*"))</f>
        <v>0</v>
      </c>
    </row>
    <row r="818" spans="1:26" ht="27.75" customHeight="1" x14ac:dyDescent="0.3">
      <c r="A818" s="144" t="str">
        <f>+IF(PROVEEDORES[[#This Row],[FECHA DE PAGO]]=PROVEEDORES[[#This Row],[FECHA DE FACTURACIÓN]],"DE CONTADO","CRÉDITO")</f>
        <v>DE CONTADO</v>
      </c>
      <c r="B818" s="144" t="b">
        <f>+IF((PROVEEDORES[[#This Row],[FECHA DE PAGO]]-PROVEEDORES[[#This Row],[FECHA DE FACTURACIÓN]])&gt;PROVEEDORES[[#This Row],[PLAZO Días]],"PAGO VENCIDO")</f>
        <v>0</v>
      </c>
      <c r="C818" s="144">
        <f>+VLOOKUP(PROVEEDORES[[#This Row],[PROVEEDOR]],TERCEROS_INFO[#All],2,FALSE)</f>
        <v>0</v>
      </c>
      <c r="D818" s="145">
        <f>+SUMIFS(PROVEEDORES[Total],PROVEEDORES[PROVEEDOR],PROVEEDORES[[#This Row],[PROVEEDOR]],PROVEEDORES[FECHA DE PAGO],"")</f>
        <v>0</v>
      </c>
      <c r="E818" s="146"/>
      <c r="F818" s="144">
        <f>+VLOOKUP(PROVEEDORES[[#This Row],[PROVEEDOR]],
                       Terceros!$A:$G,
                       5,
                       FALSE)</f>
        <v>0</v>
      </c>
      <c r="G818" s="122">
        <v>45226</v>
      </c>
      <c r="H818" s="102" t="s">
        <v>537</v>
      </c>
      <c r="I818" s="122">
        <v>45226</v>
      </c>
      <c r="J818" s="103" t="s">
        <v>1126</v>
      </c>
      <c r="K818" s="103" t="s">
        <v>1512</v>
      </c>
      <c r="L818" s="103"/>
      <c r="M818" s="105">
        <v>200000</v>
      </c>
      <c r="N818" s="147">
        <v>0</v>
      </c>
      <c r="O818" s="147">
        <v>0</v>
      </c>
      <c r="P818" s="148">
        <v>0</v>
      </c>
      <c r="Q818" s="147">
        <v>0</v>
      </c>
      <c r="R818" s="149">
        <v>200000</v>
      </c>
      <c r="S8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8" s="150">
        <f ca="1">+IF(PROVEEDORES[[#This Row],[FECHA DE PAGO]]=0,TODAY()-PROVEEDORES[[#This Row],[FECHA DE FACTURACIÓN]]-PROVEEDORES[[#This Row],[PLAZO Días]],0)</f>
        <v>0</v>
      </c>
      <c r="U818" s="150">
        <f>+VLOOKUP(PROVEEDORES[[#This Row],[PROVEEDOR]],Terceros!$A:$E,4,FALSE)</f>
        <v>0</v>
      </c>
      <c r="V818" s="150">
        <f>+YEAR(PROVEEDORES[[#This Row],[FECHA DE FACTURACIÓN]])</f>
        <v>2023</v>
      </c>
      <c r="W818" s="150">
        <f>+MATCH(PROVEEDORES[[#This Row],[año facturado]],Retenciones!$1:$1,0)</f>
        <v>6</v>
      </c>
      <c r="X818" s="151">
        <f>+VLOOKUP(PROVEEDORES[[#This Row],[ID RETENCION]],Retenciones!$A$1:$O$25,PROVEEDORES[[#This Row],[indicador de columna]],FALSE)</f>
        <v>0</v>
      </c>
      <c r="Y818" s="152">
        <f>+VLOOKUP(PROVEEDORES[[#This Row],[ID RETENCION]],Retenciones!$A$1:$O$25,2,FALSE)</f>
        <v>0</v>
      </c>
      <c r="Z818" s="153" t="b">
        <f>+OR(COUNTIF(PROVEEDORES[[#This Row],[PROVEEDOR]],"*"&amp;'Palabra que no opera y Listas d'!$A$2&amp;"*"))</f>
        <v>0</v>
      </c>
    </row>
    <row r="819" spans="1:26" ht="27.75" customHeight="1" x14ac:dyDescent="0.3">
      <c r="A819" s="144" t="str">
        <f>+IF(PROVEEDORES[[#This Row],[FECHA DE PAGO]]=PROVEEDORES[[#This Row],[FECHA DE FACTURACIÓN]],"DE CONTADO","CRÉDITO")</f>
        <v>DE CONTADO</v>
      </c>
      <c r="B819" s="144" t="b">
        <f>+IF((PROVEEDORES[[#This Row],[FECHA DE PAGO]]-PROVEEDORES[[#This Row],[FECHA DE FACTURACIÓN]])&gt;PROVEEDORES[[#This Row],[PLAZO Días]],"PAGO VENCIDO")</f>
        <v>0</v>
      </c>
      <c r="C819" s="144">
        <f>+VLOOKUP(PROVEEDORES[[#This Row],[PROVEEDOR]],TERCEROS_INFO[#All],2,FALSE)</f>
        <v>0</v>
      </c>
      <c r="D819" s="145">
        <f>+SUMIFS(PROVEEDORES[Total],PROVEEDORES[PROVEEDOR],PROVEEDORES[[#This Row],[PROVEEDOR]],PROVEEDORES[FECHA DE PAGO],"")</f>
        <v>0</v>
      </c>
      <c r="E819" s="146"/>
      <c r="F819" s="144" t="str">
        <f>+VLOOKUP(PROVEEDORES[[#This Row],[PROVEEDOR]],
                       Terceros!$A:$G,
                       5,
                       FALSE)</f>
        <v>2,5% con base</v>
      </c>
      <c r="G819" s="122">
        <v>45226</v>
      </c>
      <c r="H819" s="102" t="s">
        <v>1192</v>
      </c>
      <c r="I819" s="122">
        <v>45226</v>
      </c>
      <c r="J819" s="103" t="s">
        <v>1193</v>
      </c>
      <c r="K819" s="103" t="s">
        <v>1512</v>
      </c>
      <c r="L819" s="103"/>
      <c r="M819" s="105">
        <v>702352</v>
      </c>
      <c r="N819" s="147">
        <v>133446.88</v>
      </c>
      <c r="O819" s="147">
        <v>0</v>
      </c>
      <c r="P819" s="148">
        <v>0</v>
      </c>
      <c r="Q819" s="147">
        <v>0</v>
      </c>
      <c r="R819" s="149">
        <v>835798.88</v>
      </c>
      <c r="S8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9" s="150">
        <f ca="1">+IF(PROVEEDORES[[#This Row],[FECHA DE PAGO]]=0,TODAY()-PROVEEDORES[[#This Row],[FECHA DE FACTURACIÓN]]-PROVEEDORES[[#This Row],[PLAZO Días]],0)</f>
        <v>0</v>
      </c>
      <c r="U819" s="150">
        <f>+VLOOKUP(PROVEEDORES[[#This Row],[PROVEEDOR]],Terceros!$A:$E,4,FALSE)</f>
        <v>0.19</v>
      </c>
      <c r="V819" s="150">
        <f>+YEAR(PROVEEDORES[[#This Row],[FECHA DE FACTURACIÓN]])</f>
        <v>2023</v>
      </c>
      <c r="W819" s="150">
        <f>+MATCH(PROVEEDORES[[#This Row],[año facturado]],Retenciones!$1:$1,0)</f>
        <v>6</v>
      </c>
      <c r="X819" s="151" t="e">
        <f>+VLOOKUP(PROVEEDORES[[#This Row],[ID RETENCION]],Retenciones!$A$1:$O$25,PROVEEDORES[[#This Row],[indicador de columna]],FALSE)</f>
        <v>#N/A</v>
      </c>
      <c r="Y819" s="152" t="e">
        <f>+VLOOKUP(PROVEEDORES[[#This Row],[ID RETENCION]],Retenciones!$A$1:$O$25,2,FALSE)</f>
        <v>#N/A</v>
      </c>
      <c r="Z819" s="153" t="b">
        <f>+OR(COUNTIF(PROVEEDORES[[#This Row],[PROVEEDOR]],"*"&amp;'Palabra que no opera y Listas d'!$A$2&amp;"*"))</f>
        <v>0</v>
      </c>
    </row>
    <row r="820" spans="1:26" ht="27.75" customHeight="1" x14ac:dyDescent="0.3">
      <c r="A820" s="144" t="str">
        <f>+IF(PROVEEDORES[[#This Row],[FECHA DE PAGO]]=PROVEEDORES[[#This Row],[FECHA DE FACTURACIÓN]],"DE CONTADO","CRÉDITO")</f>
        <v>DE CONTADO</v>
      </c>
      <c r="B820" s="144" t="b">
        <f>+IF((PROVEEDORES[[#This Row],[FECHA DE PAGO]]-PROVEEDORES[[#This Row],[FECHA DE FACTURACIÓN]])&gt;PROVEEDORES[[#This Row],[PLAZO Días]],"PAGO VENCIDO")</f>
        <v>0</v>
      </c>
      <c r="C820" s="144">
        <f>+VLOOKUP(PROVEEDORES[[#This Row],[PROVEEDOR]],TERCEROS_INFO[#All],2,FALSE)</f>
        <v>0</v>
      </c>
      <c r="D820" s="145">
        <f>+SUMIFS(PROVEEDORES[Total],PROVEEDORES[PROVEEDOR],PROVEEDORES[[#This Row],[PROVEEDOR]],PROVEEDORES[FECHA DE PAGO],"")</f>
        <v>0</v>
      </c>
      <c r="E820" s="146"/>
      <c r="F820" s="144" t="str">
        <f>+VLOOKUP(PROVEEDORES[[#This Row],[PROVEEDOR]],
                       Terceros!$A:$G,
                       5,
                       FALSE)</f>
        <v>2,5% con base</v>
      </c>
      <c r="G820" s="122">
        <v>45229</v>
      </c>
      <c r="H820" s="102" t="s">
        <v>71</v>
      </c>
      <c r="I820" s="122">
        <v>45229</v>
      </c>
      <c r="J820" s="103" t="s">
        <v>1203</v>
      </c>
      <c r="K820" s="103" t="s">
        <v>1512</v>
      </c>
      <c r="L820" s="103"/>
      <c r="M820" s="105">
        <v>-7563025</v>
      </c>
      <c r="N820" s="147">
        <v>-1436974.75</v>
      </c>
      <c r="O820" s="147">
        <v>0</v>
      </c>
      <c r="P820" s="148">
        <v>0</v>
      </c>
      <c r="Q820" s="147">
        <v>0</v>
      </c>
      <c r="R820" s="149">
        <v>-8999999.75</v>
      </c>
      <c r="S8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0" s="150">
        <f ca="1">+IF(PROVEEDORES[[#This Row],[FECHA DE PAGO]]=0,TODAY()-PROVEEDORES[[#This Row],[FECHA DE FACTURACIÓN]]-PROVEEDORES[[#This Row],[PLAZO Días]],0)</f>
        <v>0</v>
      </c>
      <c r="U820" s="150">
        <f>+VLOOKUP(PROVEEDORES[[#This Row],[PROVEEDOR]],Terceros!$A:$E,4,FALSE)</f>
        <v>0.19</v>
      </c>
      <c r="V820" s="150">
        <f>+YEAR(PROVEEDORES[[#This Row],[FECHA DE FACTURACIÓN]])</f>
        <v>2023</v>
      </c>
      <c r="W820" s="150">
        <f>+MATCH(PROVEEDORES[[#This Row],[año facturado]],Retenciones!$1:$1,0)</f>
        <v>6</v>
      </c>
      <c r="X820" s="151" t="e">
        <f>+VLOOKUP(PROVEEDORES[[#This Row],[ID RETENCION]],Retenciones!$A$1:$O$25,PROVEEDORES[[#This Row],[indicador de columna]],FALSE)</f>
        <v>#N/A</v>
      </c>
      <c r="Y820" s="152" t="e">
        <f>+VLOOKUP(PROVEEDORES[[#This Row],[ID RETENCION]],Retenciones!$A$1:$O$25,2,FALSE)</f>
        <v>#N/A</v>
      </c>
      <c r="Z820" s="153" t="b">
        <f>+OR(COUNTIF(PROVEEDORES[[#This Row],[PROVEEDOR]],"*"&amp;'Palabra que no opera y Listas d'!$A$2&amp;"*"))</f>
        <v>0</v>
      </c>
    </row>
    <row r="821" spans="1:26" ht="27.75" customHeight="1" x14ac:dyDescent="0.3">
      <c r="A821" s="144" t="str">
        <f>+IF(PROVEEDORES[[#This Row],[FECHA DE PAGO]]=PROVEEDORES[[#This Row],[FECHA DE FACTURACIÓN]],"DE CONTADO","CRÉDITO")</f>
        <v>DE CONTADO</v>
      </c>
      <c r="B821" s="144" t="b">
        <f>+IF((PROVEEDORES[[#This Row],[FECHA DE PAGO]]-PROVEEDORES[[#This Row],[FECHA DE FACTURACIÓN]])&gt;PROVEEDORES[[#This Row],[PLAZO Días]],"PAGO VENCIDO")</f>
        <v>0</v>
      </c>
      <c r="C821" s="144">
        <f>+VLOOKUP(PROVEEDORES[[#This Row],[PROVEEDOR]],TERCEROS_INFO[#All],2,FALSE)</f>
        <v>0</v>
      </c>
      <c r="D821" s="145">
        <f>+SUMIFS(PROVEEDORES[Total],PROVEEDORES[PROVEEDOR],PROVEEDORES[[#This Row],[PROVEEDOR]],PROVEEDORES[FECHA DE PAGO],"")</f>
        <v>0</v>
      </c>
      <c r="E821" s="146"/>
      <c r="F821" s="144">
        <f>+VLOOKUP(PROVEEDORES[[#This Row],[PROVEEDOR]],
                       Terceros!$A:$G,
                       5,
                       FALSE)</f>
        <v>0</v>
      </c>
      <c r="G821" s="122">
        <v>45230</v>
      </c>
      <c r="H821" s="102" t="s">
        <v>537</v>
      </c>
      <c r="I821" s="122">
        <v>45230</v>
      </c>
      <c r="J821" s="103" t="s">
        <v>1513</v>
      </c>
      <c r="K821" s="103" t="s">
        <v>1512</v>
      </c>
      <c r="L821" s="103"/>
      <c r="M821" s="105">
        <v>0</v>
      </c>
      <c r="N821" s="147">
        <v>0</v>
      </c>
      <c r="O821" s="147">
        <v>0</v>
      </c>
      <c r="P821" s="148">
        <v>0</v>
      </c>
      <c r="Q821" s="147">
        <v>0</v>
      </c>
      <c r="R821" s="149">
        <v>0</v>
      </c>
      <c r="S8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1" s="150">
        <f ca="1">+IF(PROVEEDORES[[#This Row],[FECHA DE PAGO]]=0,TODAY()-PROVEEDORES[[#This Row],[FECHA DE FACTURACIÓN]]-PROVEEDORES[[#This Row],[PLAZO Días]],0)</f>
        <v>0</v>
      </c>
      <c r="U821" s="150">
        <f>+VLOOKUP(PROVEEDORES[[#This Row],[PROVEEDOR]],Terceros!$A:$E,4,FALSE)</f>
        <v>0</v>
      </c>
      <c r="V821" s="150">
        <f>+YEAR(PROVEEDORES[[#This Row],[FECHA DE FACTURACIÓN]])</f>
        <v>2023</v>
      </c>
      <c r="W821" s="150">
        <f>+MATCH(PROVEEDORES[[#This Row],[año facturado]],Retenciones!$1:$1,0)</f>
        <v>6</v>
      </c>
      <c r="X821" s="151">
        <f>+VLOOKUP(PROVEEDORES[[#This Row],[ID RETENCION]],Retenciones!$A$1:$O$25,PROVEEDORES[[#This Row],[indicador de columna]],FALSE)</f>
        <v>0</v>
      </c>
      <c r="Y821" s="152">
        <f>+VLOOKUP(PROVEEDORES[[#This Row],[ID RETENCION]],Retenciones!$A$1:$O$25,2,FALSE)</f>
        <v>0</v>
      </c>
      <c r="Z821" s="153" t="b">
        <f>+OR(COUNTIF(PROVEEDORES[[#This Row],[PROVEEDOR]],"*"&amp;'Palabra que no opera y Listas d'!$A$2&amp;"*"))</f>
        <v>0</v>
      </c>
    </row>
    <row r="822" spans="1:26" ht="27.75" customHeight="1" x14ac:dyDescent="0.3">
      <c r="A822" s="144" t="str">
        <f>+IF(PROVEEDORES[[#This Row],[FECHA DE PAGO]]=PROVEEDORES[[#This Row],[FECHA DE FACTURACIÓN]],"DE CONTADO","CRÉDITO")</f>
        <v>DE CONTADO</v>
      </c>
      <c r="B822" s="144" t="b">
        <f>+IF((PROVEEDORES[[#This Row],[FECHA DE PAGO]]-PROVEEDORES[[#This Row],[FECHA DE FACTURACIÓN]])&gt;PROVEEDORES[[#This Row],[PLAZO Días]],"PAGO VENCIDO")</f>
        <v>0</v>
      </c>
      <c r="C822" s="144">
        <f>+VLOOKUP(PROVEEDORES[[#This Row],[PROVEEDOR]],TERCEROS_INFO[#All],2,FALSE)</f>
        <v>0</v>
      </c>
      <c r="D822" s="145">
        <f>+SUMIFS(PROVEEDORES[Total],PROVEEDORES[PROVEEDOR],PROVEEDORES[[#This Row],[PROVEEDOR]],PROVEEDORES[FECHA DE PAGO],"")</f>
        <v>0</v>
      </c>
      <c r="E822" s="146"/>
      <c r="F822" s="144">
        <f>+VLOOKUP(PROVEEDORES[[#This Row],[PROVEEDOR]],
                       Terceros!$A:$G,
                       5,
                       FALSE)</f>
        <v>0</v>
      </c>
      <c r="G822" s="122">
        <v>45230</v>
      </c>
      <c r="H822" s="102" t="s">
        <v>537</v>
      </c>
      <c r="I822" s="122">
        <v>45230</v>
      </c>
      <c r="J822" s="103" t="s">
        <v>493</v>
      </c>
      <c r="K822" s="103" t="s">
        <v>1512</v>
      </c>
      <c r="L822" s="103"/>
      <c r="M822" s="105">
        <v>144000</v>
      </c>
      <c r="N822" s="147">
        <v>0</v>
      </c>
      <c r="O822" s="147">
        <v>0</v>
      </c>
      <c r="P822" s="148">
        <v>0</v>
      </c>
      <c r="Q822" s="147">
        <v>0</v>
      </c>
      <c r="R822" s="149">
        <v>144000</v>
      </c>
      <c r="S8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2" s="150">
        <f ca="1">+IF(PROVEEDORES[[#This Row],[FECHA DE PAGO]]=0,TODAY()-PROVEEDORES[[#This Row],[FECHA DE FACTURACIÓN]]-PROVEEDORES[[#This Row],[PLAZO Días]],0)</f>
        <v>0</v>
      </c>
      <c r="U822" s="150">
        <f>+VLOOKUP(PROVEEDORES[[#This Row],[PROVEEDOR]],Terceros!$A:$E,4,FALSE)</f>
        <v>0</v>
      </c>
      <c r="V822" s="150">
        <f>+YEAR(PROVEEDORES[[#This Row],[FECHA DE FACTURACIÓN]])</f>
        <v>2023</v>
      </c>
      <c r="W822" s="150">
        <f>+MATCH(PROVEEDORES[[#This Row],[año facturado]],Retenciones!$1:$1,0)</f>
        <v>6</v>
      </c>
      <c r="X822" s="151">
        <f>+VLOOKUP(PROVEEDORES[[#This Row],[ID RETENCION]],Retenciones!$A$1:$O$25,PROVEEDORES[[#This Row],[indicador de columna]],FALSE)</f>
        <v>0</v>
      </c>
      <c r="Y822" s="152">
        <f>+VLOOKUP(PROVEEDORES[[#This Row],[ID RETENCION]],Retenciones!$A$1:$O$25,2,FALSE)</f>
        <v>0</v>
      </c>
      <c r="Z822" s="153" t="b">
        <f>+OR(COUNTIF(PROVEEDORES[[#This Row],[PROVEEDOR]],"*"&amp;'Palabra que no opera y Listas d'!$A$2&amp;"*"))</f>
        <v>0</v>
      </c>
    </row>
    <row r="823" spans="1:26" ht="27.75" customHeight="1" x14ac:dyDescent="0.3">
      <c r="A823" s="144" t="str">
        <f>+IF(PROVEEDORES[[#This Row],[FECHA DE PAGO]]=PROVEEDORES[[#This Row],[FECHA DE FACTURACIÓN]],"DE CONTADO","CRÉDITO")</f>
        <v>DE CONTADO</v>
      </c>
      <c r="B823" s="144" t="b">
        <f>+IF((PROVEEDORES[[#This Row],[FECHA DE PAGO]]-PROVEEDORES[[#This Row],[FECHA DE FACTURACIÓN]])&gt;PROVEEDORES[[#This Row],[PLAZO Días]],"PAGO VENCIDO")</f>
        <v>0</v>
      </c>
      <c r="C823" s="144">
        <f>+VLOOKUP(PROVEEDORES[[#This Row],[PROVEEDOR]],TERCEROS_INFO[#All],2,FALSE)</f>
        <v>0</v>
      </c>
      <c r="D823" s="145">
        <f>+SUMIFS(PROVEEDORES[Total],PROVEEDORES[PROVEEDOR],PROVEEDORES[[#This Row],[PROVEEDOR]],PROVEEDORES[FECHA DE PAGO],"")</f>
        <v>0</v>
      </c>
      <c r="E823" s="146"/>
      <c r="F823" s="144">
        <f>+VLOOKUP(PROVEEDORES[[#This Row],[PROVEEDOR]],
                       Terceros!$A:$G,
                       5,
                       FALSE)</f>
        <v>0</v>
      </c>
      <c r="G823" s="122">
        <v>45230</v>
      </c>
      <c r="H823" s="102" t="s">
        <v>537</v>
      </c>
      <c r="I823" s="122">
        <v>45230</v>
      </c>
      <c r="J823" s="103" t="s">
        <v>494</v>
      </c>
      <c r="K823" s="103" t="s">
        <v>1512</v>
      </c>
      <c r="L823" s="103"/>
      <c r="M823" s="105">
        <v>157900</v>
      </c>
      <c r="N823" s="147">
        <v>0</v>
      </c>
      <c r="O823" s="147">
        <v>0</v>
      </c>
      <c r="P823" s="148">
        <v>0</v>
      </c>
      <c r="Q823" s="147">
        <v>0</v>
      </c>
      <c r="R823" s="149">
        <v>157900</v>
      </c>
      <c r="S8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3" s="150">
        <f ca="1">+IF(PROVEEDORES[[#This Row],[FECHA DE PAGO]]=0,TODAY()-PROVEEDORES[[#This Row],[FECHA DE FACTURACIÓN]]-PROVEEDORES[[#This Row],[PLAZO Días]],0)</f>
        <v>0</v>
      </c>
      <c r="U823" s="150">
        <f>+VLOOKUP(PROVEEDORES[[#This Row],[PROVEEDOR]],Terceros!$A:$E,4,FALSE)</f>
        <v>0</v>
      </c>
      <c r="V823" s="150">
        <f>+YEAR(PROVEEDORES[[#This Row],[FECHA DE FACTURACIÓN]])</f>
        <v>2023</v>
      </c>
      <c r="W823" s="150">
        <f>+MATCH(PROVEEDORES[[#This Row],[año facturado]],Retenciones!$1:$1,0)</f>
        <v>6</v>
      </c>
      <c r="X823" s="151">
        <f>+VLOOKUP(PROVEEDORES[[#This Row],[ID RETENCION]],Retenciones!$A$1:$O$25,PROVEEDORES[[#This Row],[indicador de columna]],FALSE)</f>
        <v>0</v>
      </c>
      <c r="Y823" s="152">
        <f>+VLOOKUP(PROVEEDORES[[#This Row],[ID RETENCION]],Retenciones!$A$1:$O$25,2,FALSE)</f>
        <v>0</v>
      </c>
      <c r="Z823" s="153" t="b">
        <f>+OR(COUNTIF(PROVEEDORES[[#This Row],[PROVEEDOR]],"*"&amp;'Palabra que no opera y Listas d'!$A$2&amp;"*"))</f>
        <v>0</v>
      </c>
    </row>
    <row r="824" spans="1:26" ht="27.75" customHeight="1" x14ac:dyDescent="0.3">
      <c r="A824" s="144" t="str">
        <f>+IF(PROVEEDORES[[#This Row],[FECHA DE PAGO]]=PROVEEDORES[[#This Row],[FECHA DE FACTURACIÓN]],"DE CONTADO","CRÉDITO")</f>
        <v>DE CONTADO</v>
      </c>
      <c r="B824" s="144" t="b">
        <f>+IF((PROVEEDORES[[#This Row],[FECHA DE PAGO]]-PROVEEDORES[[#This Row],[FECHA DE FACTURACIÓN]])&gt;PROVEEDORES[[#This Row],[PLAZO Días]],"PAGO VENCIDO")</f>
        <v>0</v>
      </c>
      <c r="C824" s="144">
        <f>+VLOOKUP(PROVEEDORES[[#This Row],[PROVEEDOR]],TERCEROS_INFO[#All],2,FALSE)</f>
        <v>0</v>
      </c>
      <c r="D824" s="145">
        <f>+SUMIFS(PROVEEDORES[Total],PROVEEDORES[PROVEEDOR],PROVEEDORES[[#This Row],[PROVEEDOR]],PROVEEDORES[FECHA DE PAGO],"")</f>
        <v>0</v>
      </c>
      <c r="E824" s="146"/>
      <c r="F824" s="144">
        <f>+VLOOKUP(PROVEEDORES[[#This Row],[PROVEEDOR]],
                       Terceros!$A:$G,
                       5,
                       FALSE)</f>
        <v>0</v>
      </c>
      <c r="G824" s="122">
        <v>45230</v>
      </c>
      <c r="H824" s="102" t="s">
        <v>537</v>
      </c>
      <c r="I824" s="122">
        <v>45230</v>
      </c>
      <c r="J824" s="103" t="s">
        <v>495</v>
      </c>
      <c r="K824" s="103" t="s">
        <v>1512</v>
      </c>
      <c r="L824" s="103"/>
      <c r="M824" s="105">
        <v>160000</v>
      </c>
      <c r="N824" s="147">
        <v>0</v>
      </c>
      <c r="O824" s="147">
        <v>0</v>
      </c>
      <c r="P824" s="148">
        <v>0</v>
      </c>
      <c r="Q824" s="147">
        <v>0</v>
      </c>
      <c r="R824" s="149">
        <v>160000</v>
      </c>
      <c r="S8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4" s="150">
        <f ca="1">+IF(PROVEEDORES[[#This Row],[FECHA DE PAGO]]=0,TODAY()-PROVEEDORES[[#This Row],[FECHA DE FACTURACIÓN]]-PROVEEDORES[[#This Row],[PLAZO Días]],0)</f>
        <v>0</v>
      </c>
      <c r="U824" s="150">
        <f>+VLOOKUP(PROVEEDORES[[#This Row],[PROVEEDOR]],Terceros!$A:$E,4,FALSE)</f>
        <v>0</v>
      </c>
      <c r="V824" s="150">
        <f>+YEAR(PROVEEDORES[[#This Row],[FECHA DE FACTURACIÓN]])</f>
        <v>2023</v>
      </c>
      <c r="W824" s="150">
        <f>+MATCH(PROVEEDORES[[#This Row],[año facturado]],Retenciones!$1:$1,0)</f>
        <v>6</v>
      </c>
      <c r="X824" s="151">
        <f>+VLOOKUP(PROVEEDORES[[#This Row],[ID RETENCION]],Retenciones!$A$1:$O$25,PROVEEDORES[[#This Row],[indicador de columna]],FALSE)</f>
        <v>0</v>
      </c>
      <c r="Y824" s="152">
        <f>+VLOOKUP(PROVEEDORES[[#This Row],[ID RETENCION]],Retenciones!$A$1:$O$25,2,FALSE)</f>
        <v>0</v>
      </c>
      <c r="Z824" s="153" t="b">
        <f>+OR(COUNTIF(PROVEEDORES[[#This Row],[PROVEEDOR]],"*"&amp;'Palabra que no opera y Listas d'!$A$2&amp;"*"))</f>
        <v>0</v>
      </c>
    </row>
    <row r="825" spans="1:26" ht="27.75" customHeight="1" x14ac:dyDescent="0.3">
      <c r="A825" s="144" t="str">
        <f>+IF(PROVEEDORES[[#This Row],[FECHA DE PAGO]]=PROVEEDORES[[#This Row],[FECHA DE FACTURACIÓN]],"DE CONTADO","CRÉDITO")</f>
        <v>DE CONTADO</v>
      </c>
      <c r="B825" s="144" t="b">
        <f>+IF((PROVEEDORES[[#This Row],[FECHA DE PAGO]]-PROVEEDORES[[#This Row],[FECHA DE FACTURACIÓN]])&gt;PROVEEDORES[[#This Row],[PLAZO Días]],"PAGO VENCIDO")</f>
        <v>0</v>
      </c>
      <c r="C825" s="144">
        <f>+VLOOKUP(PROVEEDORES[[#This Row],[PROVEEDOR]],TERCEROS_INFO[#All],2,FALSE)</f>
        <v>0</v>
      </c>
      <c r="D825" s="145">
        <f>+SUMIFS(PROVEEDORES[Total],PROVEEDORES[PROVEEDOR],PROVEEDORES[[#This Row],[PROVEEDOR]],PROVEEDORES[FECHA DE PAGO],"")</f>
        <v>0</v>
      </c>
      <c r="E825" s="146"/>
      <c r="F825" s="144">
        <f>+VLOOKUP(PROVEEDORES[[#This Row],[PROVEEDOR]],
                       Terceros!$A:$G,
                       5,
                       FALSE)</f>
        <v>0</v>
      </c>
      <c r="G825" s="122">
        <v>45230</v>
      </c>
      <c r="H825" s="102" t="s">
        <v>537</v>
      </c>
      <c r="I825" s="122">
        <v>45230</v>
      </c>
      <c r="J825" s="103" t="s">
        <v>491</v>
      </c>
      <c r="K825" s="103" t="s">
        <v>1512</v>
      </c>
      <c r="L825" s="103"/>
      <c r="M825" s="105">
        <v>267000</v>
      </c>
      <c r="N825" s="147">
        <v>0</v>
      </c>
      <c r="O825" s="147">
        <v>0</v>
      </c>
      <c r="P825" s="148">
        <v>0</v>
      </c>
      <c r="Q825" s="147">
        <v>0</v>
      </c>
      <c r="R825" s="149">
        <v>267000</v>
      </c>
      <c r="S8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5" s="150">
        <f ca="1">+IF(PROVEEDORES[[#This Row],[FECHA DE PAGO]]=0,TODAY()-PROVEEDORES[[#This Row],[FECHA DE FACTURACIÓN]]-PROVEEDORES[[#This Row],[PLAZO Días]],0)</f>
        <v>0</v>
      </c>
      <c r="U825" s="150">
        <f>+VLOOKUP(PROVEEDORES[[#This Row],[PROVEEDOR]],Terceros!$A:$E,4,FALSE)</f>
        <v>0</v>
      </c>
      <c r="V825" s="150">
        <f>+YEAR(PROVEEDORES[[#This Row],[FECHA DE FACTURACIÓN]])</f>
        <v>2023</v>
      </c>
      <c r="W825" s="150">
        <f>+MATCH(PROVEEDORES[[#This Row],[año facturado]],Retenciones!$1:$1,0)</f>
        <v>6</v>
      </c>
      <c r="X825" s="151">
        <f>+VLOOKUP(PROVEEDORES[[#This Row],[ID RETENCION]],Retenciones!$A$1:$O$25,PROVEEDORES[[#This Row],[indicador de columna]],FALSE)</f>
        <v>0</v>
      </c>
      <c r="Y825" s="152">
        <f>+VLOOKUP(PROVEEDORES[[#This Row],[ID RETENCION]],Retenciones!$A$1:$O$25,2,FALSE)</f>
        <v>0</v>
      </c>
      <c r="Z825" s="153" t="b">
        <f>+OR(COUNTIF(PROVEEDORES[[#This Row],[PROVEEDOR]],"*"&amp;'Palabra que no opera y Listas d'!$A$2&amp;"*"))</f>
        <v>0</v>
      </c>
    </row>
    <row r="826" spans="1:26" ht="27.75" customHeight="1" x14ac:dyDescent="0.3">
      <c r="A826" s="144" t="str">
        <f>+IF(PROVEEDORES[[#This Row],[FECHA DE PAGO]]=PROVEEDORES[[#This Row],[FECHA DE FACTURACIÓN]],"DE CONTADO","CRÉDITO")</f>
        <v>DE CONTADO</v>
      </c>
      <c r="B826" s="144" t="b">
        <f>+IF((PROVEEDORES[[#This Row],[FECHA DE PAGO]]-PROVEEDORES[[#This Row],[FECHA DE FACTURACIÓN]])&gt;PROVEEDORES[[#This Row],[PLAZO Días]],"PAGO VENCIDO")</f>
        <v>0</v>
      </c>
      <c r="C826" s="144">
        <f>+VLOOKUP(PROVEEDORES[[#This Row],[PROVEEDOR]],TERCEROS_INFO[#All],2,FALSE)</f>
        <v>0</v>
      </c>
      <c r="D826" s="145">
        <f>+SUMIFS(PROVEEDORES[Total],PROVEEDORES[PROVEEDOR],PROVEEDORES[[#This Row],[PROVEEDOR]],PROVEEDORES[FECHA DE PAGO],"")</f>
        <v>0</v>
      </c>
      <c r="E826" s="146"/>
      <c r="F826" s="144">
        <f>+VLOOKUP(PROVEEDORES[[#This Row],[PROVEEDOR]],
                       Terceros!$A:$G,
                       5,
                       FALSE)</f>
        <v>0</v>
      </c>
      <c r="G826" s="122">
        <v>45230</v>
      </c>
      <c r="H826" s="102" t="s">
        <v>537</v>
      </c>
      <c r="I826" s="122">
        <v>45230</v>
      </c>
      <c r="J826" s="103" t="s">
        <v>492</v>
      </c>
      <c r="K826" s="103" t="s">
        <v>1512</v>
      </c>
      <c r="L826" s="103"/>
      <c r="M826" s="105">
        <v>1574050</v>
      </c>
      <c r="N826" s="147">
        <v>0</v>
      </c>
      <c r="O826" s="147">
        <v>0</v>
      </c>
      <c r="P826" s="148">
        <v>0</v>
      </c>
      <c r="Q826" s="147">
        <v>0</v>
      </c>
      <c r="R826" s="149">
        <v>1574050</v>
      </c>
      <c r="S8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6" s="150">
        <f ca="1">+IF(PROVEEDORES[[#This Row],[FECHA DE PAGO]]=0,TODAY()-PROVEEDORES[[#This Row],[FECHA DE FACTURACIÓN]]-PROVEEDORES[[#This Row],[PLAZO Días]],0)</f>
        <v>0</v>
      </c>
      <c r="U826" s="150">
        <f>+VLOOKUP(PROVEEDORES[[#This Row],[PROVEEDOR]],Terceros!$A:$E,4,FALSE)</f>
        <v>0</v>
      </c>
      <c r="V826" s="150">
        <f>+YEAR(PROVEEDORES[[#This Row],[FECHA DE FACTURACIÓN]])</f>
        <v>2023</v>
      </c>
      <c r="W826" s="150">
        <f>+MATCH(PROVEEDORES[[#This Row],[año facturado]],Retenciones!$1:$1,0)</f>
        <v>6</v>
      </c>
      <c r="X826" s="151">
        <f>+VLOOKUP(PROVEEDORES[[#This Row],[ID RETENCION]],Retenciones!$A$1:$O$25,PROVEEDORES[[#This Row],[indicador de columna]],FALSE)</f>
        <v>0</v>
      </c>
      <c r="Y826" s="152">
        <f>+VLOOKUP(PROVEEDORES[[#This Row],[ID RETENCION]],Retenciones!$A$1:$O$25,2,FALSE)</f>
        <v>0</v>
      </c>
      <c r="Z826" s="153" t="b">
        <f>+OR(COUNTIF(PROVEEDORES[[#This Row],[PROVEEDOR]],"*"&amp;'Palabra que no opera y Listas d'!$A$2&amp;"*"))</f>
        <v>0</v>
      </c>
    </row>
    <row r="827" spans="1:26" ht="27.75" customHeight="1" x14ac:dyDescent="0.3">
      <c r="A827" s="144" t="str">
        <f>+IF(PROVEEDORES[[#This Row],[FECHA DE PAGO]]=PROVEEDORES[[#This Row],[FECHA DE FACTURACIÓN]],"DE CONTADO","CRÉDITO")</f>
        <v>DE CONTADO</v>
      </c>
      <c r="B827" s="144" t="b">
        <f>+IF((PROVEEDORES[[#This Row],[FECHA DE PAGO]]-PROVEEDORES[[#This Row],[FECHA DE FACTURACIÓN]])&gt;PROVEEDORES[[#This Row],[PLAZO Días]],"PAGO VENCIDO")</f>
        <v>0</v>
      </c>
      <c r="C827" s="144">
        <f>+VLOOKUP(PROVEEDORES[[#This Row],[PROVEEDOR]],TERCEROS_INFO[#All],2,FALSE)</f>
        <v>0</v>
      </c>
      <c r="D827" s="145">
        <f>+SUMIFS(PROVEEDORES[Total],PROVEEDORES[PROVEEDOR],PROVEEDORES[[#This Row],[PROVEEDOR]],PROVEEDORES[FECHA DE PAGO],"")</f>
        <v>0</v>
      </c>
      <c r="E827" s="146"/>
      <c r="F827" s="144">
        <f>+VLOOKUP(PROVEEDORES[[#This Row],[PROVEEDOR]],
                       Terceros!$A:$G,
                       5,
                       FALSE)</f>
        <v>0</v>
      </c>
      <c r="G827" s="122">
        <v>45230</v>
      </c>
      <c r="H827" s="102" t="s">
        <v>48</v>
      </c>
      <c r="I827" s="122">
        <v>45230</v>
      </c>
      <c r="J827" s="103">
        <v>313196</v>
      </c>
      <c r="K827" s="103" t="s">
        <v>1512</v>
      </c>
      <c r="L827" s="103"/>
      <c r="M827" s="105">
        <v>2262000</v>
      </c>
      <c r="N827" s="147">
        <v>0</v>
      </c>
      <c r="O827" s="147">
        <v>0</v>
      </c>
      <c r="P827" s="148">
        <v>0</v>
      </c>
      <c r="Q827" s="147">
        <v>0</v>
      </c>
      <c r="R827" s="149">
        <v>2262000</v>
      </c>
      <c r="S8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7" s="150">
        <f ca="1">+IF(PROVEEDORES[[#This Row],[FECHA DE PAGO]]=0,TODAY()-PROVEEDORES[[#This Row],[FECHA DE FACTURACIÓN]]-PROVEEDORES[[#This Row],[PLAZO Días]],0)</f>
        <v>0</v>
      </c>
      <c r="U827" s="150">
        <f>+VLOOKUP(PROVEEDORES[[#This Row],[PROVEEDOR]],Terceros!$A:$E,4,FALSE)</f>
        <v>0</v>
      </c>
      <c r="V827" s="150">
        <f>+YEAR(PROVEEDORES[[#This Row],[FECHA DE FACTURACIÓN]])</f>
        <v>2023</v>
      </c>
      <c r="W827" s="150">
        <f>+MATCH(PROVEEDORES[[#This Row],[año facturado]],Retenciones!$1:$1,0)</f>
        <v>6</v>
      </c>
      <c r="X827" s="151">
        <f>+VLOOKUP(PROVEEDORES[[#This Row],[ID RETENCION]],Retenciones!$A$1:$O$25,PROVEEDORES[[#This Row],[indicador de columna]],FALSE)</f>
        <v>0</v>
      </c>
      <c r="Y827" s="152">
        <f>+VLOOKUP(PROVEEDORES[[#This Row],[ID RETENCION]],Retenciones!$A$1:$O$25,2,FALSE)</f>
        <v>0</v>
      </c>
      <c r="Z827" s="153" t="b">
        <f>+OR(COUNTIF(PROVEEDORES[[#This Row],[PROVEEDOR]],"*"&amp;'Palabra que no opera y Listas d'!$A$2&amp;"*"))</f>
        <v>0</v>
      </c>
    </row>
    <row r="828" spans="1:26" ht="27.75" customHeight="1" x14ac:dyDescent="0.3">
      <c r="A828" s="144" t="str">
        <f>+IF(PROVEEDORES[[#This Row],[FECHA DE PAGO]]=PROVEEDORES[[#This Row],[FECHA DE FACTURACIÓN]],"DE CONTADO","CRÉDITO")</f>
        <v>DE CONTADO</v>
      </c>
      <c r="B828" s="144" t="b">
        <f>+IF((PROVEEDORES[[#This Row],[FECHA DE PAGO]]-PROVEEDORES[[#This Row],[FECHA DE FACTURACIÓN]])&gt;PROVEEDORES[[#This Row],[PLAZO Días]],"PAGO VENCIDO")</f>
        <v>0</v>
      </c>
      <c r="C828" s="144">
        <f>+VLOOKUP(PROVEEDORES[[#This Row],[PROVEEDOR]],TERCEROS_INFO[#All],2,FALSE)</f>
        <v>0</v>
      </c>
      <c r="D828" s="145">
        <f>+SUMIFS(PROVEEDORES[Total],PROVEEDORES[PROVEEDOR],PROVEEDORES[[#This Row],[PROVEEDOR]],PROVEEDORES[FECHA DE PAGO],"")</f>
        <v>0</v>
      </c>
      <c r="E828" s="146"/>
      <c r="F828" s="144">
        <f>+VLOOKUP(PROVEEDORES[[#This Row],[PROVEEDOR]],
                       Terceros!$A:$G,
                       5,
                       FALSE)</f>
        <v>0</v>
      </c>
      <c r="G828" s="122">
        <v>45230</v>
      </c>
      <c r="H828" s="102" t="s">
        <v>191</v>
      </c>
      <c r="I828" s="122">
        <v>45230</v>
      </c>
      <c r="J828" s="103" t="s">
        <v>1197</v>
      </c>
      <c r="K828" s="103" t="s">
        <v>1512</v>
      </c>
      <c r="L828" s="103"/>
      <c r="M828" s="105">
        <v>1790000</v>
      </c>
      <c r="N828" s="147">
        <v>0</v>
      </c>
      <c r="O828" s="147">
        <v>0</v>
      </c>
      <c r="P828" s="148">
        <v>0</v>
      </c>
      <c r="Q828" s="147">
        <v>0</v>
      </c>
      <c r="R828" s="149">
        <v>1790000</v>
      </c>
      <c r="S8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8" s="150">
        <f ca="1">+IF(PROVEEDORES[[#This Row],[FECHA DE PAGO]]=0,TODAY()-PROVEEDORES[[#This Row],[FECHA DE FACTURACIÓN]]-PROVEEDORES[[#This Row],[PLAZO Días]],0)</f>
        <v>0</v>
      </c>
      <c r="U828" s="150">
        <f>+VLOOKUP(PROVEEDORES[[#This Row],[PROVEEDOR]],Terceros!$A:$E,4,FALSE)</f>
        <v>0</v>
      </c>
      <c r="V828" s="150">
        <f>+YEAR(PROVEEDORES[[#This Row],[FECHA DE FACTURACIÓN]])</f>
        <v>2023</v>
      </c>
      <c r="W828" s="150">
        <f>+MATCH(PROVEEDORES[[#This Row],[año facturado]],Retenciones!$1:$1,0)</f>
        <v>6</v>
      </c>
      <c r="X828" s="151">
        <f>+VLOOKUP(PROVEEDORES[[#This Row],[ID RETENCION]],Retenciones!$A$1:$O$25,PROVEEDORES[[#This Row],[indicador de columna]],FALSE)</f>
        <v>0</v>
      </c>
      <c r="Y828" s="152">
        <f>+VLOOKUP(PROVEEDORES[[#This Row],[ID RETENCION]],Retenciones!$A$1:$O$25,2,FALSE)</f>
        <v>0</v>
      </c>
      <c r="Z828" s="153" t="b">
        <f>+OR(COUNTIF(PROVEEDORES[[#This Row],[PROVEEDOR]],"*"&amp;'Palabra que no opera y Listas d'!$A$2&amp;"*"))</f>
        <v>0</v>
      </c>
    </row>
    <row r="829" spans="1:26" ht="27.75" customHeight="1" x14ac:dyDescent="0.3">
      <c r="A829" s="144" t="str">
        <f>+IF(PROVEEDORES[[#This Row],[FECHA DE PAGO]]=PROVEEDORES[[#This Row],[FECHA DE FACTURACIÓN]],"DE CONTADO","CRÉDITO")</f>
        <v>DE CONTADO</v>
      </c>
      <c r="B829" s="144" t="b">
        <f>+IF((PROVEEDORES[[#This Row],[FECHA DE PAGO]]-PROVEEDORES[[#This Row],[FECHA DE FACTURACIÓN]])&gt;PROVEEDORES[[#This Row],[PLAZO Días]],"PAGO VENCIDO")</f>
        <v>0</v>
      </c>
      <c r="C829" s="144">
        <f>+VLOOKUP(PROVEEDORES[[#This Row],[PROVEEDOR]],TERCEROS_INFO[#All],2,FALSE)</f>
        <v>0</v>
      </c>
      <c r="D829" s="145">
        <f>+SUMIFS(PROVEEDORES[Total],PROVEEDORES[PROVEEDOR],PROVEEDORES[[#This Row],[PROVEEDOR]],PROVEEDORES[FECHA DE PAGO],"")</f>
        <v>0</v>
      </c>
      <c r="E829" s="146"/>
      <c r="F829" s="144">
        <f>+VLOOKUP(PROVEEDORES[[#This Row],[PROVEEDOR]],
                       Terceros!$A:$G,
                       5,
                       FALSE)</f>
        <v>0</v>
      </c>
      <c r="G829" s="122">
        <v>45231</v>
      </c>
      <c r="H829" s="102" t="s">
        <v>1785</v>
      </c>
      <c r="I829" s="122">
        <v>45231</v>
      </c>
      <c r="J829" s="103" t="s">
        <v>1280</v>
      </c>
      <c r="K829" s="103" t="s">
        <v>1512</v>
      </c>
      <c r="L829" s="103"/>
      <c r="M829" s="105">
        <v>39000</v>
      </c>
      <c r="N829" s="147">
        <v>0</v>
      </c>
      <c r="O829" s="147">
        <v>0</v>
      </c>
      <c r="P829" s="148">
        <v>0</v>
      </c>
      <c r="Q829" s="147">
        <v>0</v>
      </c>
      <c r="R829" s="149">
        <v>39000</v>
      </c>
      <c r="S8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9" s="150">
        <f ca="1">+IF(PROVEEDORES[[#This Row],[FECHA DE PAGO]]=0,TODAY()-PROVEEDORES[[#This Row],[FECHA DE FACTURACIÓN]]-PROVEEDORES[[#This Row],[PLAZO Días]],0)</f>
        <v>0</v>
      </c>
      <c r="U829" s="150">
        <f>+VLOOKUP(PROVEEDORES[[#This Row],[PROVEEDOR]],Terceros!$A:$E,4,FALSE)</f>
        <v>0</v>
      </c>
      <c r="V829" s="150">
        <f>+YEAR(PROVEEDORES[[#This Row],[FECHA DE FACTURACIÓN]])</f>
        <v>2023</v>
      </c>
      <c r="W829" s="150">
        <f>+MATCH(PROVEEDORES[[#This Row],[año facturado]],Retenciones!$1:$1,0)</f>
        <v>6</v>
      </c>
      <c r="X829" s="151">
        <f>+VLOOKUP(PROVEEDORES[[#This Row],[ID RETENCION]],Retenciones!$A$1:$O$25,PROVEEDORES[[#This Row],[indicador de columna]],FALSE)</f>
        <v>0</v>
      </c>
      <c r="Y829" s="152">
        <f>+VLOOKUP(PROVEEDORES[[#This Row],[ID RETENCION]],Retenciones!$A$1:$O$25,2,FALSE)</f>
        <v>0</v>
      </c>
      <c r="Z829" s="153" t="b">
        <f>+OR(COUNTIF(PROVEEDORES[[#This Row],[PROVEEDOR]],"*"&amp;'Palabra que no opera y Listas d'!$A$2&amp;"*"))</f>
        <v>0</v>
      </c>
    </row>
    <row r="830" spans="1:26" ht="27.75" customHeight="1" x14ac:dyDescent="0.3">
      <c r="A830" s="144" t="str">
        <f>+IF(PROVEEDORES[[#This Row],[FECHA DE PAGO]]=PROVEEDORES[[#This Row],[FECHA DE FACTURACIÓN]],"DE CONTADO","CRÉDITO")</f>
        <v>DE CONTADO</v>
      </c>
      <c r="B830" s="144" t="b">
        <f>+IF((PROVEEDORES[[#This Row],[FECHA DE PAGO]]-PROVEEDORES[[#This Row],[FECHA DE FACTURACIÓN]])&gt;PROVEEDORES[[#This Row],[PLAZO Días]],"PAGO VENCIDO")</f>
        <v>0</v>
      </c>
      <c r="C830" s="144">
        <f>+VLOOKUP(PROVEEDORES[[#This Row],[PROVEEDOR]],TERCEROS_INFO[#All],2,FALSE)</f>
        <v>0</v>
      </c>
      <c r="D830" s="145">
        <f>+SUMIFS(PROVEEDORES[Total],PROVEEDORES[PROVEEDOR],PROVEEDORES[[#This Row],[PROVEEDOR]],PROVEEDORES[FECHA DE PAGO],"")</f>
        <v>0</v>
      </c>
      <c r="E830" s="146"/>
      <c r="F830" s="144">
        <f>+VLOOKUP(PROVEEDORES[[#This Row],[PROVEEDOR]],
                       Terceros!$A:$G,
                       5,
                       FALSE)</f>
        <v>0</v>
      </c>
      <c r="G830" s="122">
        <v>45231</v>
      </c>
      <c r="H830" s="102" t="s">
        <v>1785</v>
      </c>
      <c r="I830" s="122">
        <v>45231</v>
      </c>
      <c r="J830" s="103" t="s">
        <v>1279</v>
      </c>
      <c r="K830" s="103" t="s">
        <v>1512</v>
      </c>
      <c r="L830" s="103"/>
      <c r="M830" s="105">
        <v>45000</v>
      </c>
      <c r="N830" s="147">
        <v>0</v>
      </c>
      <c r="O830" s="147">
        <v>0</v>
      </c>
      <c r="P830" s="148">
        <v>0</v>
      </c>
      <c r="Q830" s="147">
        <v>0</v>
      </c>
      <c r="R830" s="149">
        <v>45000</v>
      </c>
      <c r="S8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0" s="150">
        <f ca="1">+IF(PROVEEDORES[[#This Row],[FECHA DE PAGO]]=0,TODAY()-PROVEEDORES[[#This Row],[FECHA DE FACTURACIÓN]]-PROVEEDORES[[#This Row],[PLAZO Días]],0)</f>
        <v>0</v>
      </c>
      <c r="U830" s="150">
        <f>+VLOOKUP(PROVEEDORES[[#This Row],[PROVEEDOR]],Terceros!$A:$E,4,FALSE)</f>
        <v>0</v>
      </c>
      <c r="V830" s="150">
        <f>+YEAR(PROVEEDORES[[#This Row],[FECHA DE FACTURACIÓN]])</f>
        <v>2023</v>
      </c>
      <c r="W830" s="150">
        <f>+MATCH(PROVEEDORES[[#This Row],[año facturado]],Retenciones!$1:$1,0)</f>
        <v>6</v>
      </c>
      <c r="X830" s="151">
        <f>+VLOOKUP(PROVEEDORES[[#This Row],[ID RETENCION]],Retenciones!$A$1:$O$25,PROVEEDORES[[#This Row],[indicador de columna]],FALSE)</f>
        <v>0</v>
      </c>
      <c r="Y830" s="152">
        <f>+VLOOKUP(PROVEEDORES[[#This Row],[ID RETENCION]],Retenciones!$A$1:$O$25,2,FALSE)</f>
        <v>0</v>
      </c>
      <c r="Z830" s="153" t="b">
        <f>+OR(COUNTIF(PROVEEDORES[[#This Row],[PROVEEDOR]],"*"&amp;'Palabra que no opera y Listas d'!$A$2&amp;"*"))</f>
        <v>0</v>
      </c>
    </row>
    <row r="831" spans="1:26" ht="27.75" customHeight="1" x14ac:dyDescent="0.3">
      <c r="A831" s="144" t="str">
        <f>+IF(PROVEEDORES[[#This Row],[FECHA DE PAGO]]=PROVEEDORES[[#This Row],[FECHA DE FACTURACIÓN]],"DE CONTADO","CRÉDITO")</f>
        <v>DE CONTADO</v>
      </c>
      <c r="B831" s="144" t="b">
        <f>+IF((PROVEEDORES[[#This Row],[FECHA DE PAGO]]-PROVEEDORES[[#This Row],[FECHA DE FACTURACIÓN]])&gt;PROVEEDORES[[#This Row],[PLAZO Días]],"PAGO VENCIDO")</f>
        <v>0</v>
      </c>
      <c r="C831" s="144">
        <f>+VLOOKUP(PROVEEDORES[[#This Row],[PROVEEDOR]],TERCEROS_INFO[#All],2,FALSE)</f>
        <v>0</v>
      </c>
      <c r="D831" s="145">
        <f>+SUMIFS(PROVEEDORES[Total],PROVEEDORES[PROVEEDOR],PROVEEDORES[[#This Row],[PROVEEDOR]],PROVEEDORES[FECHA DE PAGO],"")</f>
        <v>0</v>
      </c>
      <c r="E831" s="146"/>
      <c r="F831" s="144">
        <f>+VLOOKUP(PROVEEDORES[[#This Row],[PROVEEDOR]],
                       Terceros!$A:$G,
                       5,
                       FALSE)</f>
        <v>0</v>
      </c>
      <c r="G831" s="122">
        <v>45231</v>
      </c>
      <c r="H831" s="102" t="s">
        <v>537</v>
      </c>
      <c r="I831" s="122">
        <v>45231</v>
      </c>
      <c r="J831" s="103" t="s">
        <v>1221</v>
      </c>
      <c r="K831" s="103" t="s">
        <v>1512</v>
      </c>
      <c r="L831" s="103"/>
      <c r="M831" s="105">
        <v>120000</v>
      </c>
      <c r="N831" s="147">
        <v>0</v>
      </c>
      <c r="O831" s="147">
        <v>0</v>
      </c>
      <c r="P831" s="148">
        <v>0</v>
      </c>
      <c r="Q831" s="147">
        <v>0</v>
      </c>
      <c r="R831" s="149">
        <v>120000</v>
      </c>
      <c r="S8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1" s="150">
        <f ca="1">+IF(PROVEEDORES[[#This Row],[FECHA DE PAGO]]=0,TODAY()-PROVEEDORES[[#This Row],[FECHA DE FACTURACIÓN]]-PROVEEDORES[[#This Row],[PLAZO Días]],0)</f>
        <v>0</v>
      </c>
      <c r="U831" s="150">
        <f>+VLOOKUP(PROVEEDORES[[#This Row],[PROVEEDOR]],Terceros!$A:$E,4,FALSE)</f>
        <v>0</v>
      </c>
      <c r="V831" s="150">
        <f>+YEAR(PROVEEDORES[[#This Row],[FECHA DE FACTURACIÓN]])</f>
        <v>2023</v>
      </c>
      <c r="W831" s="150">
        <f>+MATCH(PROVEEDORES[[#This Row],[año facturado]],Retenciones!$1:$1,0)</f>
        <v>6</v>
      </c>
      <c r="X831" s="151">
        <f>+VLOOKUP(PROVEEDORES[[#This Row],[ID RETENCION]],Retenciones!$A$1:$O$25,PROVEEDORES[[#This Row],[indicador de columna]],FALSE)</f>
        <v>0</v>
      </c>
      <c r="Y831" s="152">
        <f>+VLOOKUP(PROVEEDORES[[#This Row],[ID RETENCION]],Retenciones!$A$1:$O$25,2,FALSE)</f>
        <v>0</v>
      </c>
      <c r="Z831" s="153" t="b">
        <f>+OR(COUNTIF(PROVEEDORES[[#This Row],[PROVEEDOR]],"*"&amp;'Palabra que no opera y Listas d'!$A$2&amp;"*"))</f>
        <v>0</v>
      </c>
    </row>
    <row r="832" spans="1:26" ht="27.75" customHeight="1" x14ac:dyDescent="0.3">
      <c r="A832" s="144" t="str">
        <f>+IF(PROVEEDORES[[#This Row],[FECHA DE PAGO]]=PROVEEDORES[[#This Row],[FECHA DE FACTURACIÓN]],"DE CONTADO","CRÉDITO")</f>
        <v>DE CONTADO</v>
      </c>
      <c r="B832" s="144" t="b">
        <f>+IF((PROVEEDORES[[#This Row],[FECHA DE PAGO]]-PROVEEDORES[[#This Row],[FECHA DE FACTURACIÓN]])&gt;PROVEEDORES[[#This Row],[PLAZO Días]],"PAGO VENCIDO")</f>
        <v>0</v>
      </c>
      <c r="C832" s="144">
        <f>+VLOOKUP(PROVEEDORES[[#This Row],[PROVEEDOR]],TERCEROS_INFO[#All],2,FALSE)</f>
        <v>0</v>
      </c>
      <c r="D832" s="145">
        <f>+SUMIFS(PROVEEDORES[Total],PROVEEDORES[PROVEEDOR],PROVEEDORES[[#This Row],[PROVEEDOR]],PROVEEDORES[FECHA DE PAGO],"")</f>
        <v>0</v>
      </c>
      <c r="E832" s="146"/>
      <c r="F832" s="144">
        <f>+VLOOKUP(PROVEEDORES[[#This Row],[PROVEEDOR]],
                       Terceros!$A:$G,
                       5,
                       FALSE)</f>
        <v>0</v>
      </c>
      <c r="G832" s="122">
        <v>45231</v>
      </c>
      <c r="H832" s="102" t="s">
        <v>537</v>
      </c>
      <c r="I832" s="122">
        <v>45231</v>
      </c>
      <c r="J832" s="103" t="s">
        <v>1218</v>
      </c>
      <c r="K832" s="103" t="s">
        <v>1512</v>
      </c>
      <c r="L832" s="103"/>
      <c r="M832" s="105">
        <v>420000</v>
      </c>
      <c r="N832" s="147">
        <v>0</v>
      </c>
      <c r="O832" s="147">
        <v>0</v>
      </c>
      <c r="P832" s="148">
        <v>0</v>
      </c>
      <c r="Q832" s="147">
        <v>0</v>
      </c>
      <c r="R832" s="149">
        <v>420000</v>
      </c>
      <c r="S8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2" s="150">
        <f ca="1">+IF(PROVEEDORES[[#This Row],[FECHA DE PAGO]]=0,TODAY()-PROVEEDORES[[#This Row],[FECHA DE FACTURACIÓN]]-PROVEEDORES[[#This Row],[PLAZO Días]],0)</f>
        <v>0</v>
      </c>
      <c r="U832" s="150">
        <f>+VLOOKUP(PROVEEDORES[[#This Row],[PROVEEDOR]],Terceros!$A:$E,4,FALSE)</f>
        <v>0</v>
      </c>
      <c r="V832" s="150">
        <f>+YEAR(PROVEEDORES[[#This Row],[FECHA DE FACTURACIÓN]])</f>
        <v>2023</v>
      </c>
      <c r="W832" s="150">
        <f>+MATCH(PROVEEDORES[[#This Row],[año facturado]],Retenciones!$1:$1,0)</f>
        <v>6</v>
      </c>
      <c r="X832" s="151">
        <f>+VLOOKUP(PROVEEDORES[[#This Row],[ID RETENCION]],Retenciones!$A$1:$O$25,PROVEEDORES[[#This Row],[indicador de columna]],FALSE)</f>
        <v>0</v>
      </c>
      <c r="Y832" s="152">
        <f>+VLOOKUP(PROVEEDORES[[#This Row],[ID RETENCION]],Retenciones!$A$1:$O$25,2,FALSE)</f>
        <v>0</v>
      </c>
      <c r="Z832" s="153" t="b">
        <f>+OR(COUNTIF(PROVEEDORES[[#This Row],[PROVEEDOR]],"*"&amp;'Palabra que no opera y Listas d'!$A$2&amp;"*"))</f>
        <v>0</v>
      </c>
    </row>
    <row r="833" spans="1:26" ht="27.75" customHeight="1" x14ac:dyDescent="0.3">
      <c r="A833" s="144" t="str">
        <f>+IF(PROVEEDORES[[#This Row],[FECHA DE PAGO]]=PROVEEDORES[[#This Row],[FECHA DE FACTURACIÓN]],"DE CONTADO","CRÉDITO")</f>
        <v>DE CONTADO</v>
      </c>
      <c r="B833" s="144" t="b">
        <f>+IF((PROVEEDORES[[#This Row],[FECHA DE PAGO]]-PROVEEDORES[[#This Row],[FECHA DE FACTURACIÓN]])&gt;PROVEEDORES[[#This Row],[PLAZO Días]],"PAGO VENCIDO")</f>
        <v>0</v>
      </c>
      <c r="C833" s="144">
        <f>+VLOOKUP(PROVEEDORES[[#This Row],[PROVEEDOR]],TERCEROS_INFO[#All],2,FALSE)</f>
        <v>0</v>
      </c>
      <c r="D833" s="145">
        <f>+SUMIFS(PROVEEDORES[Total],PROVEEDORES[PROVEEDOR],PROVEEDORES[[#This Row],[PROVEEDOR]],PROVEEDORES[FECHA DE PAGO],"")</f>
        <v>550000</v>
      </c>
      <c r="E833" s="146"/>
      <c r="F833" s="144">
        <f>+VLOOKUP(PROVEEDORES[[#This Row],[PROVEEDOR]],
                       Terceros!$A:$G,
                       5,
                       FALSE)</f>
        <v>0</v>
      </c>
      <c r="G833" s="122">
        <v>45231</v>
      </c>
      <c r="H833" s="102" t="s">
        <v>1784</v>
      </c>
      <c r="I833" s="122">
        <v>45231</v>
      </c>
      <c r="J833" s="103" t="s">
        <v>1222</v>
      </c>
      <c r="K833" s="103" t="s">
        <v>1512</v>
      </c>
      <c r="L833" s="103"/>
      <c r="M833" s="105">
        <v>810000</v>
      </c>
      <c r="N833" s="147">
        <v>0</v>
      </c>
      <c r="O833" s="147">
        <v>0</v>
      </c>
      <c r="P833" s="148">
        <v>0</v>
      </c>
      <c r="Q833" s="147">
        <v>0</v>
      </c>
      <c r="R833" s="149">
        <v>810000</v>
      </c>
      <c r="S8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3" s="150">
        <f ca="1">+IF(PROVEEDORES[[#This Row],[FECHA DE PAGO]]=0,TODAY()-PROVEEDORES[[#This Row],[FECHA DE FACTURACIÓN]]-PROVEEDORES[[#This Row],[PLAZO Días]],0)</f>
        <v>0</v>
      </c>
      <c r="U833" s="150">
        <f>+VLOOKUP(PROVEEDORES[[#This Row],[PROVEEDOR]],Terceros!$A:$E,4,FALSE)</f>
        <v>0</v>
      </c>
      <c r="V833" s="150">
        <f>+YEAR(PROVEEDORES[[#This Row],[FECHA DE FACTURACIÓN]])</f>
        <v>2023</v>
      </c>
      <c r="W833" s="150">
        <f>+MATCH(PROVEEDORES[[#This Row],[año facturado]],Retenciones!$1:$1,0)</f>
        <v>6</v>
      </c>
      <c r="X833" s="151">
        <f>+VLOOKUP(PROVEEDORES[[#This Row],[ID RETENCION]],Retenciones!$A$1:$O$25,PROVEEDORES[[#This Row],[indicador de columna]],FALSE)</f>
        <v>0</v>
      </c>
      <c r="Y833" s="152">
        <f>+VLOOKUP(PROVEEDORES[[#This Row],[ID RETENCION]],Retenciones!$A$1:$O$25,2,FALSE)</f>
        <v>0</v>
      </c>
      <c r="Z833" s="153" t="b">
        <f>+OR(COUNTIF(PROVEEDORES[[#This Row],[PROVEEDOR]],"*"&amp;'Palabra que no opera y Listas d'!$A$2&amp;"*"))</f>
        <v>0</v>
      </c>
    </row>
    <row r="834" spans="1:26" ht="27.75" customHeight="1" x14ac:dyDescent="0.3">
      <c r="A834" s="144" t="str">
        <f>+IF(PROVEEDORES[[#This Row],[FECHA DE PAGO]]=PROVEEDORES[[#This Row],[FECHA DE FACTURACIÓN]],"DE CONTADO","CRÉDITO")</f>
        <v>DE CONTADO</v>
      </c>
      <c r="B834" s="144" t="b">
        <f>+IF((PROVEEDORES[[#This Row],[FECHA DE PAGO]]-PROVEEDORES[[#This Row],[FECHA DE FACTURACIÓN]])&gt;PROVEEDORES[[#This Row],[PLAZO Días]],"PAGO VENCIDO")</f>
        <v>0</v>
      </c>
      <c r="C834" s="144">
        <f>+VLOOKUP(PROVEEDORES[[#This Row],[PROVEEDOR]],TERCEROS_INFO[#All],2,FALSE)</f>
        <v>0</v>
      </c>
      <c r="D834" s="145">
        <f>+SUMIFS(PROVEEDORES[Total],PROVEEDORES[PROVEEDOR],PROVEEDORES[[#This Row],[PROVEEDOR]],PROVEEDORES[FECHA DE PAGO],"")</f>
        <v>1503120</v>
      </c>
      <c r="E834" s="146"/>
      <c r="F834" s="144">
        <f>+VLOOKUP(PROVEEDORES[[#This Row],[PROVEEDOR]],
                       Terceros!$A:$G,
                       5,
                       FALSE)</f>
        <v>0</v>
      </c>
      <c r="G834" s="122">
        <v>45231</v>
      </c>
      <c r="H834" s="102" t="s">
        <v>1780</v>
      </c>
      <c r="I834" s="122">
        <v>45231</v>
      </c>
      <c r="J834" s="103" t="s">
        <v>1281</v>
      </c>
      <c r="K834" s="103" t="s">
        <v>1512</v>
      </c>
      <c r="L834" s="103"/>
      <c r="M834" s="105">
        <v>1234000</v>
      </c>
      <c r="N834" s="147">
        <v>0</v>
      </c>
      <c r="O834" s="147">
        <v>0</v>
      </c>
      <c r="P834" s="148">
        <v>0</v>
      </c>
      <c r="Q834" s="147">
        <v>0</v>
      </c>
      <c r="R834" s="149">
        <v>1234000</v>
      </c>
      <c r="S8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4" s="150">
        <f ca="1">+IF(PROVEEDORES[[#This Row],[FECHA DE PAGO]]=0,TODAY()-PROVEEDORES[[#This Row],[FECHA DE FACTURACIÓN]]-PROVEEDORES[[#This Row],[PLAZO Días]],0)</f>
        <v>0</v>
      </c>
      <c r="U834" s="150">
        <f>+VLOOKUP(PROVEEDORES[[#This Row],[PROVEEDOR]],Terceros!$A:$E,4,FALSE)</f>
        <v>0</v>
      </c>
      <c r="V834" s="150">
        <f>+YEAR(PROVEEDORES[[#This Row],[FECHA DE FACTURACIÓN]])</f>
        <v>2023</v>
      </c>
      <c r="W834" s="150">
        <f>+MATCH(PROVEEDORES[[#This Row],[año facturado]],Retenciones!$1:$1,0)</f>
        <v>6</v>
      </c>
      <c r="X834" s="151">
        <f>+VLOOKUP(PROVEEDORES[[#This Row],[ID RETENCION]],Retenciones!$A$1:$O$25,PROVEEDORES[[#This Row],[indicador de columna]],FALSE)</f>
        <v>0</v>
      </c>
      <c r="Y834" s="152">
        <f>+VLOOKUP(PROVEEDORES[[#This Row],[ID RETENCION]],Retenciones!$A$1:$O$25,2,FALSE)</f>
        <v>0</v>
      </c>
      <c r="Z834" s="153" t="b">
        <f>+OR(COUNTIF(PROVEEDORES[[#This Row],[PROVEEDOR]],"*"&amp;'Palabra que no opera y Listas d'!$A$2&amp;"*"))</f>
        <v>0</v>
      </c>
    </row>
    <row r="835" spans="1:26" ht="27.75" customHeight="1" x14ac:dyDescent="0.3">
      <c r="A835" s="144" t="str">
        <f>+IF(PROVEEDORES[[#This Row],[FECHA DE PAGO]]=PROVEEDORES[[#This Row],[FECHA DE FACTURACIÓN]],"DE CONTADO","CRÉDITO")</f>
        <v>CRÉDITO</v>
      </c>
      <c r="B835" s="144" t="str">
        <f>+IF((PROVEEDORES[[#This Row],[FECHA DE PAGO]]-PROVEEDORES[[#This Row],[FECHA DE FACTURACIÓN]])&gt;PROVEEDORES[[#This Row],[PLAZO Días]],"PAGO VENCIDO")</f>
        <v>PAGO VENCIDO</v>
      </c>
      <c r="C835" s="144">
        <f>+VLOOKUP(PROVEEDORES[[#This Row],[PROVEEDOR]],TERCEROS_INFO[#All],2,FALSE)</f>
        <v>0</v>
      </c>
      <c r="D835" s="145">
        <f>+SUMIFS(PROVEEDORES[Total],PROVEEDORES[PROVEEDOR],PROVEEDORES[[#This Row],[PROVEEDOR]],PROVEEDORES[FECHA DE PAGO],"")</f>
        <v>5813868.5099999998</v>
      </c>
      <c r="E835" s="146"/>
      <c r="F835" s="144" t="str">
        <f>+VLOOKUP(PROVEEDORES[[#This Row],[PROVEEDOR]],
                       Terceros!$A:$G,
                       5,
                       FALSE)</f>
        <v>2,5% con base</v>
      </c>
      <c r="G835" s="122">
        <v>45232</v>
      </c>
      <c r="H835" s="102" t="s">
        <v>23</v>
      </c>
      <c r="I835" s="122">
        <v>44998</v>
      </c>
      <c r="J835" s="103" t="s">
        <v>506</v>
      </c>
      <c r="K835" s="103" t="s">
        <v>516</v>
      </c>
      <c r="L835" s="103"/>
      <c r="M835" s="105">
        <v>-1680672</v>
      </c>
      <c r="N835" s="147">
        <v>-319327.68</v>
      </c>
      <c r="O835" s="147">
        <v>0</v>
      </c>
      <c r="P835" s="148">
        <v>0</v>
      </c>
      <c r="Q835" s="147">
        <v>0</v>
      </c>
      <c r="R835" s="149">
        <v>-1999999.68</v>
      </c>
      <c r="S8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5" s="150">
        <f ca="1">+IF(PROVEEDORES[[#This Row],[FECHA DE PAGO]]=0,TODAY()-PROVEEDORES[[#This Row],[FECHA DE FACTURACIÓN]]-PROVEEDORES[[#This Row],[PLAZO Días]],0)</f>
        <v>0</v>
      </c>
      <c r="U835" s="150">
        <f>+VLOOKUP(PROVEEDORES[[#This Row],[PROVEEDOR]],Terceros!$A:$E,4,FALSE)</f>
        <v>0.19</v>
      </c>
      <c r="V835" s="150">
        <f>+YEAR(PROVEEDORES[[#This Row],[FECHA DE FACTURACIÓN]])</f>
        <v>2023</v>
      </c>
      <c r="W835" s="150">
        <f>+MATCH(PROVEEDORES[[#This Row],[año facturado]],Retenciones!$1:$1,0)</f>
        <v>6</v>
      </c>
      <c r="X835" s="151" t="e">
        <f>+VLOOKUP(PROVEEDORES[[#This Row],[ID RETENCION]],Retenciones!$A$1:$O$25,PROVEEDORES[[#This Row],[indicador de columna]],FALSE)</f>
        <v>#N/A</v>
      </c>
      <c r="Y835" s="152" t="e">
        <f>+VLOOKUP(PROVEEDORES[[#This Row],[ID RETENCION]],Retenciones!$A$1:$O$25,2,FALSE)</f>
        <v>#N/A</v>
      </c>
      <c r="Z835" s="153" t="b">
        <f>+OR(COUNTIF(PROVEEDORES[[#This Row],[PROVEEDOR]],"*"&amp;'Palabra que no opera y Listas d'!$A$2&amp;"*"))</f>
        <v>0</v>
      </c>
    </row>
    <row r="836" spans="1:26" ht="27.75" customHeight="1" x14ac:dyDescent="0.3">
      <c r="A836" s="144" t="str">
        <f>+IF(PROVEEDORES[[#This Row],[FECHA DE PAGO]]=PROVEEDORES[[#This Row],[FECHA DE FACTURACIÓN]],"DE CONTADO","CRÉDITO")</f>
        <v>CRÉDITO</v>
      </c>
      <c r="B836" s="144" t="str">
        <f>+IF((PROVEEDORES[[#This Row],[FECHA DE PAGO]]-PROVEEDORES[[#This Row],[FECHA DE FACTURACIÓN]])&gt;PROVEEDORES[[#This Row],[PLAZO Días]],"PAGO VENCIDO")</f>
        <v>PAGO VENCIDO</v>
      </c>
      <c r="C836" s="144">
        <f>+VLOOKUP(PROVEEDORES[[#This Row],[PROVEEDOR]],TERCEROS_INFO[#All],2,FALSE)</f>
        <v>0</v>
      </c>
      <c r="D836" s="145">
        <f>+SUMIFS(PROVEEDORES[Total],PROVEEDORES[PROVEEDOR],PROVEEDORES[[#This Row],[PROVEEDOR]],PROVEEDORES[FECHA DE PAGO],"")</f>
        <v>12082215</v>
      </c>
      <c r="E836" s="146"/>
      <c r="F836" s="144" t="str">
        <f>+VLOOKUP(PROVEEDORES[[#This Row],[PROVEEDOR]],
                       Terceros!$A:$G,
                       5,
                       FALSE)</f>
        <v>2,5% con base</v>
      </c>
      <c r="G836" s="122">
        <v>45232</v>
      </c>
      <c r="H836" s="102" t="s">
        <v>31</v>
      </c>
      <c r="I836" s="122">
        <v>45146</v>
      </c>
      <c r="J836" s="103" t="s">
        <v>981</v>
      </c>
      <c r="K836" s="103" t="s">
        <v>1512</v>
      </c>
      <c r="L836" s="103"/>
      <c r="M836" s="105">
        <v>4565000</v>
      </c>
      <c r="N836" s="147">
        <v>867350</v>
      </c>
      <c r="O836" s="147">
        <v>0</v>
      </c>
      <c r="P836" s="148">
        <v>2.5000000000000001E-2</v>
      </c>
      <c r="Q836" s="147">
        <v>114125</v>
      </c>
      <c r="R836" s="149">
        <v>5318225</v>
      </c>
      <c r="S8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6" s="150">
        <f ca="1">+IF(PROVEEDORES[[#This Row],[FECHA DE PAGO]]=0,TODAY()-PROVEEDORES[[#This Row],[FECHA DE FACTURACIÓN]]-PROVEEDORES[[#This Row],[PLAZO Días]],0)</f>
        <v>0</v>
      </c>
      <c r="U836" s="150">
        <f>+VLOOKUP(PROVEEDORES[[#This Row],[PROVEEDOR]],Terceros!$A:$E,4,FALSE)</f>
        <v>0.19</v>
      </c>
      <c r="V836" s="150">
        <f>+YEAR(PROVEEDORES[[#This Row],[FECHA DE FACTURACIÓN]])</f>
        <v>2023</v>
      </c>
      <c r="W836" s="150">
        <f>+MATCH(PROVEEDORES[[#This Row],[año facturado]],Retenciones!$1:$1,0)</f>
        <v>6</v>
      </c>
      <c r="X836" s="151" t="e">
        <f>+VLOOKUP(PROVEEDORES[[#This Row],[ID RETENCION]],Retenciones!$A$1:$O$25,PROVEEDORES[[#This Row],[indicador de columna]],FALSE)</f>
        <v>#N/A</v>
      </c>
      <c r="Y836" s="152" t="e">
        <f>+VLOOKUP(PROVEEDORES[[#This Row],[ID RETENCION]],Retenciones!$A$1:$O$25,2,FALSE)</f>
        <v>#N/A</v>
      </c>
      <c r="Z836" s="153" t="b">
        <f>+OR(COUNTIF(PROVEEDORES[[#This Row],[PROVEEDOR]],"*"&amp;'Palabra que no opera y Listas d'!$A$2&amp;"*"))</f>
        <v>0</v>
      </c>
    </row>
    <row r="837" spans="1:26" ht="27.75" customHeight="1" x14ac:dyDescent="0.3">
      <c r="A837" s="144" t="str">
        <f>+IF(PROVEEDORES[[#This Row],[FECHA DE PAGO]]=PROVEEDORES[[#This Row],[FECHA DE FACTURACIÓN]],"DE CONTADO","CRÉDITO")</f>
        <v>CRÉDITO</v>
      </c>
      <c r="B837" s="144" t="str">
        <f>+IF((PROVEEDORES[[#This Row],[FECHA DE PAGO]]-PROVEEDORES[[#This Row],[FECHA DE FACTURACIÓN]])&gt;PROVEEDORES[[#This Row],[PLAZO Días]],"PAGO VENCIDO")</f>
        <v>PAGO VENCIDO</v>
      </c>
      <c r="C837" s="144">
        <f>+VLOOKUP(PROVEEDORES[[#This Row],[PROVEEDOR]],TERCEROS_INFO[#All],2,FALSE)</f>
        <v>0</v>
      </c>
      <c r="D837" s="145">
        <f>+SUMIFS(PROVEEDORES[Total],PROVEEDORES[PROVEEDOR],PROVEEDORES[[#This Row],[PROVEEDOR]],PROVEEDORES[FECHA DE PAGO],"")</f>
        <v>17710735.315650001</v>
      </c>
      <c r="E837" s="146"/>
      <c r="F837" s="144" t="str">
        <f>+VLOOKUP(PROVEEDORES[[#This Row],[PROVEEDOR]],
                       Terceros!$A:$G,
                       5,
                       FALSE)</f>
        <v>2,5% con base</v>
      </c>
      <c r="G837" s="122">
        <v>45232</v>
      </c>
      <c r="H837" s="102" t="s">
        <v>11</v>
      </c>
      <c r="I837" s="122">
        <v>45152</v>
      </c>
      <c r="J837" s="103" t="s">
        <v>983</v>
      </c>
      <c r="K837" s="103" t="s">
        <v>1512</v>
      </c>
      <c r="L837" s="103"/>
      <c r="M837" s="105">
        <v>-436975</v>
      </c>
      <c r="N837" s="147">
        <v>-83025.25</v>
      </c>
      <c r="O837" s="147">
        <v>0</v>
      </c>
      <c r="P837" s="148">
        <v>0</v>
      </c>
      <c r="Q837" s="147">
        <v>0</v>
      </c>
      <c r="R837" s="149">
        <v>-520000.25</v>
      </c>
      <c r="S8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7" s="150">
        <f ca="1">+IF(PROVEEDORES[[#This Row],[FECHA DE PAGO]]=0,TODAY()-PROVEEDORES[[#This Row],[FECHA DE FACTURACIÓN]]-PROVEEDORES[[#This Row],[PLAZO Días]],0)</f>
        <v>0</v>
      </c>
      <c r="U837" s="150">
        <f>+VLOOKUP(PROVEEDORES[[#This Row],[PROVEEDOR]],Terceros!$A:$E,4,FALSE)</f>
        <v>0.19</v>
      </c>
      <c r="V837" s="150">
        <f>+YEAR(PROVEEDORES[[#This Row],[FECHA DE FACTURACIÓN]])</f>
        <v>2023</v>
      </c>
      <c r="W837" s="150">
        <f>+MATCH(PROVEEDORES[[#This Row],[año facturado]],Retenciones!$1:$1,0)</f>
        <v>6</v>
      </c>
      <c r="X837" s="151" t="e">
        <f>+VLOOKUP(PROVEEDORES[[#This Row],[ID RETENCION]],Retenciones!$A$1:$O$25,PROVEEDORES[[#This Row],[indicador de columna]],FALSE)</f>
        <v>#N/A</v>
      </c>
      <c r="Y837" s="152" t="e">
        <f>+VLOOKUP(PROVEEDORES[[#This Row],[ID RETENCION]],Retenciones!$A$1:$O$25,2,FALSE)</f>
        <v>#N/A</v>
      </c>
      <c r="Z837" s="153" t="b">
        <f>+OR(COUNTIF(PROVEEDORES[[#This Row],[PROVEEDOR]],"*"&amp;'Palabra que no opera y Listas d'!$A$2&amp;"*"))</f>
        <v>0</v>
      </c>
    </row>
    <row r="838" spans="1:26" ht="27.75" customHeight="1" x14ac:dyDescent="0.3">
      <c r="A838" s="144" t="str">
        <f>+IF(PROVEEDORES[[#This Row],[FECHA DE PAGO]]=PROVEEDORES[[#This Row],[FECHA DE FACTURACIÓN]],"DE CONTADO","CRÉDITO")</f>
        <v>CRÉDITO</v>
      </c>
      <c r="B838" s="144" t="str">
        <f>+IF((PROVEEDORES[[#This Row],[FECHA DE PAGO]]-PROVEEDORES[[#This Row],[FECHA DE FACTURACIÓN]])&gt;PROVEEDORES[[#This Row],[PLAZO Días]],"PAGO VENCIDO")</f>
        <v>PAGO VENCIDO</v>
      </c>
      <c r="C838" s="144">
        <f>+VLOOKUP(PROVEEDORES[[#This Row],[PROVEEDOR]],TERCEROS_INFO[#All],2,FALSE)</f>
        <v>0</v>
      </c>
      <c r="D838" s="145">
        <f>+SUMIFS(PROVEEDORES[Total],PROVEEDORES[PROVEEDOR],PROVEEDORES[[#This Row],[PROVEEDOR]],PROVEEDORES[FECHA DE PAGO],"")</f>
        <v>17710735.315650001</v>
      </c>
      <c r="E838" s="146"/>
      <c r="F838" s="144" t="str">
        <f>+VLOOKUP(PROVEEDORES[[#This Row],[PROVEEDOR]],
                       Terceros!$A:$G,
                       5,
                       FALSE)</f>
        <v>2,5% con base</v>
      </c>
      <c r="G838" s="122">
        <v>45232</v>
      </c>
      <c r="H838" s="102" t="s">
        <v>11</v>
      </c>
      <c r="I838" s="122">
        <v>45155</v>
      </c>
      <c r="J838" s="103" t="s">
        <v>1009</v>
      </c>
      <c r="K838" s="103" t="s">
        <v>1512</v>
      </c>
      <c r="L838" s="103"/>
      <c r="M838" s="105">
        <v>5567234</v>
      </c>
      <c r="N838" s="147">
        <v>1057774.46</v>
      </c>
      <c r="O838" s="147">
        <v>0</v>
      </c>
      <c r="P838" s="148">
        <v>2.5000000000000001E-2</v>
      </c>
      <c r="Q838" s="147">
        <v>139180.85</v>
      </c>
      <c r="R838" s="149">
        <v>6485827.6100000003</v>
      </c>
      <c r="S8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8" s="150">
        <f ca="1">+IF(PROVEEDORES[[#This Row],[FECHA DE PAGO]]=0,TODAY()-PROVEEDORES[[#This Row],[FECHA DE FACTURACIÓN]]-PROVEEDORES[[#This Row],[PLAZO Días]],0)</f>
        <v>0</v>
      </c>
      <c r="U838" s="150">
        <f>+VLOOKUP(PROVEEDORES[[#This Row],[PROVEEDOR]],Terceros!$A:$E,4,FALSE)</f>
        <v>0.19</v>
      </c>
      <c r="V838" s="150">
        <f>+YEAR(PROVEEDORES[[#This Row],[FECHA DE FACTURACIÓN]])</f>
        <v>2023</v>
      </c>
      <c r="W838" s="150">
        <f>+MATCH(PROVEEDORES[[#This Row],[año facturado]],Retenciones!$1:$1,0)</f>
        <v>6</v>
      </c>
      <c r="X838" s="151" t="e">
        <f>+VLOOKUP(PROVEEDORES[[#This Row],[ID RETENCION]],Retenciones!$A$1:$O$25,PROVEEDORES[[#This Row],[indicador de columna]],FALSE)</f>
        <v>#N/A</v>
      </c>
      <c r="Y838" s="152" t="e">
        <f>+VLOOKUP(PROVEEDORES[[#This Row],[ID RETENCION]],Retenciones!$A$1:$O$25,2,FALSE)</f>
        <v>#N/A</v>
      </c>
      <c r="Z838" s="153" t="b">
        <f>+OR(COUNTIF(PROVEEDORES[[#This Row],[PROVEEDOR]],"*"&amp;'Palabra que no opera y Listas d'!$A$2&amp;"*"))</f>
        <v>0</v>
      </c>
    </row>
    <row r="839" spans="1:26" ht="27.75" customHeight="1" x14ac:dyDescent="0.3">
      <c r="A839" s="144" t="str">
        <f>+IF(PROVEEDORES[[#This Row],[FECHA DE PAGO]]=PROVEEDORES[[#This Row],[FECHA DE FACTURACIÓN]],"DE CONTADO","CRÉDITO")</f>
        <v>CRÉDITO</v>
      </c>
      <c r="B839" s="144" t="str">
        <f>+IF((PROVEEDORES[[#This Row],[FECHA DE PAGO]]-PROVEEDORES[[#This Row],[FECHA DE FACTURACIÓN]])&gt;PROVEEDORES[[#This Row],[PLAZO Días]],"PAGO VENCIDO")</f>
        <v>PAGO VENCIDO</v>
      </c>
      <c r="C839" s="144">
        <f>+VLOOKUP(PROVEEDORES[[#This Row],[PROVEEDOR]],TERCEROS_INFO[#All],2,FALSE)</f>
        <v>0</v>
      </c>
      <c r="D839" s="145">
        <f>+SUMIFS(PROVEEDORES[Total],PROVEEDORES[PROVEEDOR],PROVEEDORES[[#This Row],[PROVEEDOR]],PROVEEDORES[FECHA DE PAGO],"")</f>
        <v>5813868.5099999998</v>
      </c>
      <c r="E839" s="146"/>
      <c r="F839" s="144" t="str">
        <f>+VLOOKUP(PROVEEDORES[[#This Row],[PROVEEDOR]],
                       Terceros!$A:$G,
                       5,
                       FALSE)</f>
        <v>2,5% con base</v>
      </c>
      <c r="G839" s="122">
        <v>45232</v>
      </c>
      <c r="H839" s="102" t="s">
        <v>23</v>
      </c>
      <c r="I839" s="122">
        <v>45162</v>
      </c>
      <c r="J839" s="103">
        <v>5042020</v>
      </c>
      <c r="K839" s="103" t="s">
        <v>516</v>
      </c>
      <c r="L839" s="103"/>
      <c r="M839" s="105">
        <v>798720</v>
      </c>
      <c r="N839" s="147">
        <v>151756.79999999999</v>
      </c>
      <c r="O839" s="147">
        <v>0</v>
      </c>
      <c r="P839" s="148">
        <v>0</v>
      </c>
      <c r="Q839" s="147">
        <v>0</v>
      </c>
      <c r="R839" s="149">
        <v>950476.80000000005</v>
      </c>
      <c r="S8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9" s="150">
        <f ca="1">+IF(PROVEEDORES[[#This Row],[FECHA DE PAGO]]=0,TODAY()-PROVEEDORES[[#This Row],[FECHA DE FACTURACIÓN]]-PROVEEDORES[[#This Row],[PLAZO Días]],0)</f>
        <v>0</v>
      </c>
      <c r="U839" s="150">
        <f>+VLOOKUP(PROVEEDORES[[#This Row],[PROVEEDOR]],Terceros!$A:$E,4,FALSE)</f>
        <v>0.19</v>
      </c>
      <c r="V839" s="150">
        <f>+YEAR(PROVEEDORES[[#This Row],[FECHA DE FACTURACIÓN]])</f>
        <v>2023</v>
      </c>
      <c r="W839" s="150">
        <f>+MATCH(PROVEEDORES[[#This Row],[año facturado]],Retenciones!$1:$1,0)</f>
        <v>6</v>
      </c>
      <c r="X839" s="151" t="e">
        <f>+VLOOKUP(PROVEEDORES[[#This Row],[ID RETENCION]],Retenciones!$A$1:$O$25,PROVEEDORES[[#This Row],[indicador de columna]],FALSE)</f>
        <v>#N/A</v>
      </c>
      <c r="Y839" s="152" t="e">
        <f>+VLOOKUP(PROVEEDORES[[#This Row],[ID RETENCION]],Retenciones!$A$1:$O$25,2,FALSE)</f>
        <v>#N/A</v>
      </c>
      <c r="Z839" s="153" t="b">
        <f>+OR(COUNTIF(PROVEEDORES[[#This Row],[PROVEEDOR]],"*"&amp;'Palabra que no opera y Listas d'!$A$2&amp;"*"))</f>
        <v>0</v>
      </c>
    </row>
    <row r="840" spans="1:26" ht="27.75" customHeight="1" x14ac:dyDescent="0.3">
      <c r="A840" s="144" t="str">
        <f>+IF(PROVEEDORES[[#This Row],[FECHA DE PAGO]]=PROVEEDORES[[#This Row],[FECHA DE FACTURACIÓN]],"DE CONTADO","CRÉDITO")</f>
        <v>CRÉDITO</v>
      </c>
      <c r="B840" s="144" t="str">
        <f>+IF((PROVEEDORES[[#This Row],[FECHA DE PAGO]]-PROVEEDORES[[#This Row],[FECHA DE FACTURACIÓN]])&gt;PROVEEDORES[[#This Row],[PLAZO Días]],"PAGO VENCIDO")</f>
        <v>PAGO VENCIDO</v>
      </c>
      <c r="C840" s="144">
        <f>+VLOOKUP(PROVEEDORES[[#This Row],[PROVEEDOR]],TERCEROS_INFO[#All],2,FALSE)</f>
        <v>0</v>
      </c>
      <c r="D840" s="145">
        <f>+SUMIFS(PROVEEDORES[Total],PROVEEDORES[PROVEEDOR],PROVEEDORES[[#This Row],[PROVEEDOR]],PROVEEDORES[FECHA DE PAGO],"")</f>
        <v>12082215</v>
      </c>
      <c r="E840" s="146"/>
      <c r="F840" s="144" t="str">
        <f>+VLOOKUP(PROVEEDORES[[#This Row],[PROVEEDOR]],
                       Terceros!$A:$G,
                       5,
                       FALSE)</f>
        <v>2,5% con base</v>
      </c>
      <c r="G840" s="122">
        <v>45232</v>
      </c>
      <c r="H840" s="102" t="s">
        <v>31</v>
      </c>
      <c r="I840" s="122">
        <v>45167</v>
      </c>
      <c r="J840" s="103" t="s">
        <v>1030</v>
      </c>
      <c r="K840" s="103" t="s">
        <v>1512</v>
      </c>
      <c r="L840" s="103"/>
      <c r="M840" s="105">
        <v>6926500</v>
      </c>
      <c r="N840" s="147">
        <v>1316035</v>
      </c>
      <c r="O840" s="147">
        <v>0</v>
      </c>
      <c r="P840" s="148">
        <v>2.5000000000000001E-2</v>
      </c>
      <c r="Q840" s="147">
        <v>173162.5</v>
      </c>
      <c r="R840" s="149">
        <v>8069372.5</v>
      </c>
      <c r="S8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0" s="150">
        <f ca="1">+IF(PROVEEDORES[[#This Row],[FECHA DE PAGO]]=0,TODAY()-PROVEEDORES[[#This Row],[FECHA DE FACTURACIÓN]]-PROVEEDORES[[#This Row],[PLAZO Días]],0)</f>
        <v>0</v>
      </c>
      <c r="U840" s="150">
        <f>+VLOOKUP(PROVEEDORES[[#This Row],[PROVEEDOR]],Terceros!$A:$E,4,FALSE)</f>
        <v>0.19</v>
      </c>
      <c r="V840" s="150">
        <f>+YEAR(PROVEEDORES[[#This Row],[FECHA DE FACTURACIÓN]])</f>
        <v>2023</v>
      </c>
      <c r="W840" s="150">
        <f>+MATCH(PROVEEDORES[[#This Row],[año facturado]],Retenciones!$1:$1,0)</f>
        <v>6</v>
      </c>
      <c r="X840" s="151" t="e">
        <f>+VLOOKUP(PROVEEDORES[[#This Row],[ID RETENCION]],Retenciones!$A$1:$O$25,PROVEEDORES[[#This Row],[indicador de columna]],FALSE)</f>
        <v>#N/A</v>
      </c>
      <c r="Y840" s="152" t="e">
        <f>+VLOOKUP(PROVEEDORES[[#This Row],[ID RETENCION]],Retenciones!$A$1:$O$25,2,FALSE)</f>
        <v>#N/A</v>
      </c>
      <c r="Z840" s="153" t="b">
        <f>+OR(COUNTIF(PROVEEDORES[[#This Row],[PROVEEDOR]],"*"&amp;'Palabra que no opera y Listas d'!$A$2&amp;"*"))</f>
        <v>0</v>
      </c>
    </row>
    <row r="841" spans="1:26" ht="27.75" customHeight="1" x14ac:dyDescent="0.3">
      <c r="A841" s="144" t="str">
        <f>+IF(PROVEEDORES[[#This Row],[FECHA DE PAGO]]=PROVEEDORES[[#This Row],[FECHA DE FACTURACIÓN]],"DE CONTADO","CRÉDITO")</f>
        <v>CRÉDITO</v>
      </c>
      <c r="B841" s="144" t="str">
        <f>+IF((PROVEEDORES[[#This Row],[FECHA DE PAGO]]-PROVEEDORES[[#This Row],[FECHA DE FACTURACIÓN]])&gt;PROVEEDORES[[#This Row],[PLAZO Días]],"PAGO VENCIDO")</f>
        <v>PAGO VENCIDO</v>
      </c>
      <c r="C841" s="144">
        <f>+VLOOKUP(PROVEEDORES[[#This Row],[PROVEEDOR]],TERCEROS_INFO[#All],2,FALSE)</f>
        <v>0</v>
      </c>
      <c r="D841" s="145">
        <f>+SUMIFS(PROVEEDORES[Total],PROVEEDORES[PROVEEDOR],PROVEEDORES[[#This Row],[PROVEEDOR]],PROVEEDORES[FECHA DE PAGO],"")</f>
        <v>5813868.5099999998</v>
      </c>
      <c r="E841" s="146"/>
      <c r="F841" s="144" t="str">
        <f>+VLOOKUP(PROVEEDORES[[#This Row],[PROVEEDOR]],
                       Terceros!$A:$G,
                       5,
                       FALSE)</f>
        <v>2,5% con base</v>
      </c>
      <c r="G841" s="122">
        <v>45232</v>
      </c>
      <c r="H841" s="102" t="s">
        <v>23</v>
      </c>
      <c r="I841" s="122">
        <v>45174</v>
      </c>
      <c r="J841" s="103" t="s">
        <v>1061</v>
      </c>
      <c r="K841" s="103" t="s">
        <v>516</v>
      </c>
      <c r="L841" s="103"/>
      <c r="M841" s="105">
        <v>444528</v>
      </c>
      <c r="N841" s="147">
        <v>84460.32</v>
      </c>
      <c r="O841" s="147">
        <v>0</v>
      </c>
      <c r="P841" s="148">
        <v>0</v>
      </c>
      <c r="Q841" s="147">
        <v>0</v>
      </c>
      <c r="R841" s="149">
        <v>528988.32000000007</v>
      </c>
      <c r="S8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1" s="150">
        <f ca="1">+IF(PROVEEDORES[[#This Row],[FECHA DE PAGO]]=0,TODAY()-PROVEEDORES[[#This Row],[FECHA DE FACTURACIÓN]]-PROVEEDORES[[#This Row],[PLAZO Días]],0)</f>
        <v>0</v>
      </c>
      <c r="U841" s="150">
        <f>+VLOOKUP(PROVEEDORES[[#This Row],[PROVEEDOR]],Terceros!$A:$E,4,FALSE)</f>
        <v>0.19</v>
      </c>
      <c r="V841" s="150">
        <f>+YEAR(PROVEEDORES[[#This Row],[FECHA DE FACTURACIÓN]])</f>
        <v>2023</v>
      </c>
      <c r="W841" s="150">
        <f>+MATCH(PROVEEDORES[[#This Row],[año facturado]],Retenciones!$1:$1,0)</f>
        <v>6</v>
      </c>
      <c r="X841" s="151" t="e">
        <f>+VLOOKUP(PROVEEDORES[[#This Row],[ID RETENCION]],Retenciones!$A$1:$O$25,PROVEEDORES[[#This Row],[indicador de columna]],FALSE)</f>
        <v>#N/A</v>
      </c>
      <c r="Y841" s="152" t="e">
        <f>+VLOOKUP(PROVEEDORES[[#This Row],[ID RETENCION]],Retenciones!$A$1:$O$25,2,FALSE)</f>
        <v>#N/A</v>
      </c>
      <c r="Z841" s="153" t="b">
        <f>+OR(COUNTIF(PROVEEDORES[[#This Row],[PROVEEDOR]],"*"&amp;'Palabra que no opera y Listas d'!$A$2&amp;"*"))</f>
        <v>0</v>
      </c>
    </row>
    <row r="842" spans="1:26" ht="27.75" customHeight="1" x14ac:dyDescent="0.3">
      <c r="A842" s="144" t="str">
        <f>+IF(PROVEEDORES[[#This Row],[FECHA DE PAGO]]=PROVEEDORES[[#This Row],[FECHA DE FACTURACIÓN]],"DE CONTADO","CRÉDITO")</f>
        <v>CRÉDITO</v>
      </c>
      <c r="B842" s="144" t="str">
        <f>+IF((PROVEEDORES[[#This Row],[FECHA DE PAGO]]-PROVEEDORES[[#This Row],[FECHA DE FACTURACIÓN]])&gt;PROVEEDORES[[#This Row],[PLAZO Días]],"PAGO VENCIDO")</f>
        <v>PAGO VENCIDO</v>
      </c>
      <c r="C842" s="144">
        <f>+VLOOKUP(PROVEEDORES[[#This Row],[PROVEEDOR]],TERCEROS_INFO[#All],2,FALSE)</f>
        <v>0</v>
      </c>
      <c r="D842" s="145">
        <f>+SUMIFS(PROVEEDORES[Total],PROVEEDORES[PROVEEDOR],PROVEEDORES[[#This Row],[PROVEEDOR]],PROVEEDORES[FECHA DE PAGO],"")</f>
        <v>856185.96</v>
      </c>
      <c r="E842" s="146"/>
      <c r="F842" s="144">
        <f>+VLOOKUP(PROVEEDORES[[#This Row],[PROVEEDOR]],
                       Terceros!$A:$G,
                       5,
                       FALSE)</f>
        <v>0</v>
      </c>
      <c r="G842" s="122">
        <v>45232</v>
      </c>
      <c r="H842" s="102" t="s">
        <v>209</v>
      </c>
      <c r="I842" s="122">
        <v>45184</v>
      </c>
      <c r="J842" s="103" t="s">
        <v>1063</v>
      </c>
      <c r="K842" s="103" t="s">
        <v>1512</v>
      </c>
      <c r="L842" s="103"/>
      <c r="M842" s="105">
        <v>174783</v>
      </c>
      <c r="N842" s="147">
        <v>33208.769999999997</v>
      </c>
      <c r="O842" s="147">
        <v>0</v>
      </c>
      <c r="P842" s="148">
        <v>0</v>
      </c>
      <c r="Q842" s="147">
        <v>0</v>
      </c>
      <c r="R842" s="149">
        <v>207991.77</v>
      </c>
      <c r="S8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2" s="150">
        <f ca="1">+IF(PROVEEDORES[[#This Row],[FECHA DE PAGO]]=0,TODAY()-PROVEEDORES[[#This Row],[FECHA DE FACTURACIÓN]]-PROVEEDORES[[#This Row],[PLAZO Días]],0)</f>
        <v>0</v>
      </c>
      <c r="U842" s="150">
        <f>+VLOOKUP(PROVEEDORES[[#This Row],[PROVEEDOR]],Terceros!$A:$E,4,FALSE)</f>
        <v>0.19</v>
      </c>
      <c r="V842" s="150">
        <f>+YEAR(PROVEEDORES[[#This Row],[FECHA DE FACTURACIÓN]])</f>
        <v>2023</v>
      </c>
      <c r="W842" s="150">
        <f>+MATCH(PROVEEDORES[[#This Row],[año facturado]],Retenciones!$1:$1,0)</f>
        <v>6</v>
      </c>
      <c r="X842" s="151" t="e">
        <f>+VLOOKUP(PROVEEDORES[[#This Row],[ID RETENCION]],Retenciones!$A$1:$O$25,PROVEEDORES[[#This Row],[indicador de columna]],FALSE)</f>
        <v>#N/A</v>
      </c>
      <c r="Y842" s="152" t="e">
        <f>+VLOOKUP(PROVEEDORES[[#This Row],[ID RETENCION]],Retenciones!$A$1:$O$25,2,FALSE)</f>
        <v>#N/A</v>
      </c>
      <c r="Z842" s="153" t="b">
        <f>+OR(COUNTIF(PROVEEDORES[[#This Row],[PROVEEDOR]],"*"&amp;'Palabra que no opera y Listas d'!$A$2&amp;"*"))</f>
        <v>0</v>
      </c>
    </row>
    <row r="843" spans="1:26" ht="27.75" customHeight="1" x14ac:dyDescent="0.3">
      <c r="A843" s="144" t="str">
        <f>+IF(PROVEEDORES[[#This Row],[FECHA DE PAGO]]=PROVEEDORES[[#This Row],[FECHA DE FACTURACIÓN]],"DE CONTADO","CRÉDITO")</f>
        <v>CRÉDITO</v>
      </c>
      <c r="B843" s="144" t="str">
        <f>+IF((PROVEEDORES[[#This Row],[FECHA DE PAGO]]-PROVEEDORES[[#This Row],[FECHA DE FACTURACIÓN]])&gt;PROVEEDORES[[#This Row],[PLAZO Días]],"PAGO VENCIDO")</f>
        <v>PAGO VENCIDO</v>
      </c>
      <c r="C843" s="144">
        <f>+VLOOKUP(PROVEEDORES[[#This Row],[PROVEEDOR]],TERCEROS_INFO[#All],2,FALSE)</f>
        <v>0</v>
      </c>
      <c r="D843" s="145">
        <f>+SUMIFS(PROVEEDORES[Total],PROVEEDORES[PROVEEDOR],PROVEEDORES[[#This Row],[PROVEEDOR]],PROVEEDORES[FECHA DE PAGO],"")</f>
        <v>5813868.5099999998</v>
      </c>
      <c r="E843" s="146"/>
      <c r="F843" s="144" t="str">
        <f>+VLOOKUP(PROVEEDORES[[#This Row],[PROVEEDOR]],
                       Terceros!$A:$G,
                       5,
                       FALSE)</f>
        <v>2,5% con base</v>
      </c>
      <c r="G843" s="122">
        <v>45232</v>
      </c>
      <c r="H843" s="102" t="s">
        <v>23</v>
      </c>
      <c r="I843" s="122">
        <v>45185</v>
      </c>
      <c r="J843" s="103" t="s">
        <v>1060</v>
      </c>
      <c r="K843" s="103" t="s">
        <v>516</v>
      </c>
      <c r="L843" s="103"/>
      <c r="M843" s="105">
        <v>4376000</v>
      </c>
      <c r="N843" s="147">
        <v>831440</v>
      </c>
      <c r="O843" s="147">
        <v>0</v>
      </c>
      <c r="P843" s="148">
        <v>2.5000000000000001E-2</v>
      </c>
      <c r="Q843" s="147">
        <v>109400</v>
      </c>
      <c r="R843" s="149">
        <v>5098040</v>
      </c>
      <c r="S8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3" s="150">
        <f ca="1">+IF(PROVEEDORES[[#This Row],[FECHA DE PAGO]]=0,TODAY()-PROVEEDORES[[#This Row],[FECHA DE FACTURACIÓN]]-PROVEEDORES[[#This Row],[PLAZO Días]],0)</f>
        <v>0</v>
      </c>
      <c r="U843" s="150">
        <f>+VLOOKUP(PROVEEDORES[[#This Row],[PROVEEDOR]],Terceros!$A:$E,4,FALSE)</f>
        <v>0.19</v>
      </c>
      <c r="V843" s="150">
        <f>+YEAR(PROVEEDORES[[#This Row],[FECHA DE FACTURACIÓN]])</f>
        <v>2023</v>
      </c>
      <c r="W843" s="150">
        <f>+MATCH(PROVEEDORES[[#This Row],[año facturado]],Retenciones!$1:$1,0)</f>
        <v>6</v>
      </c>
      <c r="X843" s="151" t="e">
        <f>+VLOOKUP(PROVEEDORES[[#This Row],[ID RETENCION]],Retenciones!$A$1:$O$25,PROVEEDORES[[#This Row],[indicador de columna]],FALSE)</f>
        <v>#N/A</v>
      </c>
      <c r="Y843" s="152" t="e">
        <f>+VLOOKUP(PROVEEDORES[[#This Row],[ID RETENCION]],Retenciones!$A$1:$O$25,2,FALSE)</f>
        <v>#N/A</v>
      </c>
      <c r="Z843" s="153" t="b">
        <f>+OR(COUNTIF(PROVEEDORES[[#This Row],[PROVEEDOR]],"*"&amp;'Palabra que no opera y Listas d'!$A$2&amp;"*"))</f>
        <v>0</v>
      </c>
    </row>
    <row r="844" spans="1:26" ht="27.75" customHeight="1" x14ac:dyDescent="0.3">
      <c r="A844" s="144" t="str">
        <f>+IF(PROVEEDORES[[#This Row],[FECHA DE PAGO]]=PROVEEDORES[[#This Row],[FECHA DE FACTURACIÓN]],"DE CONTADO","CRÉDITO")</f>
        <v>CRÉDITO</v>
      </c>
      <c r="B844" s="144" t="str">
        <f>+IF((PROVEEDORES[[#This Row],[FECHA DE PAGO]]-PROVEEDORES[[#This Row],[FECHA DE FACTURACIÓN]])&gt;PROVEEDORES[[#This Row],[PLAZO Días]],"PAGO VENCIDO")</f>
        <v>PAGO VENCIDO</v>
      </c>
      <c r="C844" s="144">
        <f>+VLOOKUP(PROVEEDORES[[#This Row],[PROVEEDOR]],TERCEROS_INFO[#All],2,FALSE)</f>
        <v>0</v>
      </c>
      <c r="D844" s="145">
        <f>+SUMIFS(PROVEEDORES[Total],PROVEEDORES[PROVEEDOR],PROVEEDORES[[#This Row],[PROVEEDOR]],PROVEEDORES[FECHA DE PAGO],"")</f>
        <v>5813868.5099999998</v>
      </c>
      <c r="E844" s="146"/>
      <c r="F844" s="144" t="str">
        <f>+VLOOKUP(PROVEEDORES[[#This Row],[PROVEEDOR]],
                       Terceros!$A:$G,
                       5,
                       FALSE)</f>
        <v>2,5% con base</v>
      </c>
      <c r="G844" s="122">
        <v>45232</v>
      </c>
      <c r="H844" s="102" t="s">
        <v>23</v>
      </c>
      <c r="I844" s="122">
        <v>45187</v>
      </c>
      <c r="J844" s="103" t="s">
        <v>1502</v>
      </c>
      <c r="K844" s="103" t="s">
        <v>516</v>
      </c>
      <c r="L844" s="103"/>
      <c r="M844" s="105">
        <v>-354192</v>
      </c>
      <c r="N844" s="147">
        <v>-67296.479999999996</v>
      </c>
      <c r="O844" s="147">
        <v>0</v>
      </c>
      <c r="P844" s="148">
        <v>0</v>
      </c>
      <c r="Q844" s="147">
        <v>0</v>
      </c>
      <c r="R844" s="149">
        <v>-421488.48</v>
      </c>
      <c r="S8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4" s="150">
        <f ca="1">+IF(PROVEEDORES[[#This Row],[FECHA DE PAGO]]=0,TODAY()-PROVEEDORES[[#This Row],[FECHA DE FACTURACIÓN]]-PROVEEDORES[[#This Row],[PLAZO Días]],0)</f>
        <v>0</v>
      </c>
      <c r="U844" s="150">
        <f>+VLOOKUP(PROVEEDORES[[#This Row],[PROVEEDOR]],Terceros!$A:$E,4,FALSE)</f>
        <v>0.19</v>
      </c>
      <c r="V844" s="150">
        <f>+YEAR(PROVEEDORES[[#This Row],[FECHA DE FACTURACIÓN]])</f>
        <v>2023</v>
      </c>
      <c r="W844" s="150">
        <f>+MATCH(PROVEEDORES[[#This Row],[año facturado]],Retenciones!$1:$1,0)</f>
        <v>6</v>
      </c>
      <c r="X844" s="151" t="e">
        <f>+VLOOKUP(PROVEEDORES[[#This Row],[ID RETENCION]],Retenciones!$A$1:$O$25,PROVEEDORES[[#This Row],[indicador de columna]],FALSE)</f>
        <v>#N/A</v>
      </c>
      <c r="Y844" s="152" t="e">
        <f>+VLOOKUP(PROVEEDORES[[#This Row],[ID RETENCION]],Retenciones!$A$1:$O$25,2,FALSE)</f>
        <v>#N/A</v>
      </c>
      <c r="Z844" s="153" t="b">
        <f>+OR(COUNTIF(PROVEEDORES[[#This Row],[PROVEEDOR]],"*"&amp;'Palabra que no opera y Listas d'!$A$2&amp;"*"))</f>
        <v>0</v>
      </c>
    </row>
    <row r="845" spans="1:26" ht="27.75" customHeight="1" x14ac:dyDescent="0.3">
      <c r="A845" s="144" t="str">
        <f>+IF(PROVEEDORES[[#This Row],[FECHA DE PAGO]]=PROVEEDORES[[#This Row],[FECHA DE FACTURACIÓN]],"DE CONTADO","CRÉDITO")</f>
        <v>CRÉDITO</v>
      </c>
      <c r="B845" s="144" t="str">
        <f>+IF((PROVEEDORES[[#This Row],[FECHA DE PAGO]]-PROVEEDORES[[#This Row],[FECHA DE FACTURACIÓN]])&gt;PROVEEDORES[[#This Row],[PLAZO Días]],"PAGO VENCIDO")</f>
        <v>PAGO VENCIDO</v>
      </c>
      <c r="C845" s="144">
        <f>+VLOOKUP(PROVEEDORES[[#This Row],[PROVEEDOR]],TERCEROS_INFO[#All],2,FALSE)</f>
        <v>0</v>
      </c>
      <c r="D845" s="145">
        <f>+SUMIFS(PROVEEDORES[Total],PROVEEDORES[PROVEEDOR],PROVEEDORES[[#This Row],[PROVEEDOR]],PROVEEDORES[FECHA DE PAGO],"")</f>
        <v>5813868.5099999998</v>
      </c>
      <c r="E845" s="146"/>
      <c r="F845" s="144" t="str">
        <f>+VLOOKUP(PROVEEDORES[[#This Row],[PROVEEDOR]],
                       Terceros!$A:$G,
                       5,
                       FALSE)</f>
        <v>2,5% con base</v>
      </c>
      <c r="G845" s="122">
        <v>45232</v>
      </c>
      <c r="H845" s="102" t="s">
        <v>23</v>
      </c>
      <c r="I845" s="122">
        <v>45194</v>
      </c>
      <c r="J845" s="103" t="s">
        <v>1061</v>
      </c>
      <c r="K845" s="103" t="s">
        <v>516</v>
      </c>
      <c r="L845" s="103"/>
      <c r="M845" s="105">
        <v>5600000</v>
      </c>
      <c r="N845" s="147">
        <v>1064000</v>
      </c>
      <c r="O845" s="147">
        <v>0</v>
      </c>
      <c r="P845" s="148">
        <v>2.5000000000000001E-2</v>
      </c>
      <c r="Q845" s="147">
        <v>140000</v>
      </c>
      <c r="R845" s="149">
        <v>6524000</v>
      </c>
      <c r="S8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5" s="150">
        <f ca="1">+IF(PROVEEDORES[[#This Row],[FECHA DE PAGO]]=0,TODAY()-PROVEEDORES[[#This Row],[FECHA DE FACTURACIÓN]]-PROVEEDORES[[#This Row],[PLAZO Días]],0)</f>
        <v>0</v>
      </c>
      <c r="U845" s="150">
        <f>+VLOOKUP(PROVEEDORES[[#This Row],[PROVEEDOR]],Terceros!$A:$E,4,FALSE)</f>
        <v>0.19</v>
      </c>
      <c r="V845" s="150">
        <f>+YEAR(PROVEEDORES[[#This Row],[FECHA DE FACTURACIÓN]])</f>
        <v>2023</v>
      </c>
      <c r="W845" s="150">
        <f>+MATCH(PROVEEDORES[[#This Row],[año facturado]],Retenciones!$1:$1,0)</f>
        <v>6</v>
      </c>
      <c r="X845" s="151" t="e">
        <f>+VLOOKUP(PROVEEDORES[[#This Row],[ID RETENCION]],Retenciones!$A$1:$O$25,PROVEEDORES[[#This Row],[indicador de columna]],FALSE)</f>
        <v>#N/A</v>
      </c>
      <c r="Y845" s="152" t="e">
        <f>+VLOOKUP(PROVEEDORES[[#This Row],[ID RETENCION]],Retenciones!$A$1:$O$25,2,FALSE)</f>
        <v>#N/A</v>
      </c>
      <c r="Z845" s="153" t="b">
        <f>+OR(COUNTIF(PROVEEDORES[[#This Row],[PROVEEDOR]],"*"&amp;'Palabra que no opera y Listas d'!$A$2&amp;"*"))</f>
        <v>0</v>
      </c>
    </row>
    <row r="846" spans="1:26" ht="27.75" customHeight="1" x14ac:dyDescent="0.3">
      <c r="A846" s="144" t="str">
        <f>+IF(PROVEEDORES[[#This Row],[FECHA DE PAGO]]=PROVEEDORES[[#This Row],[FECHA DE FACTURACIÓN]],"DE CONTADO","CRÉDITO")</f>
        <v>CRÉDITO</v>
      </c>
      <c r="B846" s="144" t="str">
        <f>+IF((PROVEEDORES[[#This Row],[FECHA DE PAGO]]-PROVEEDORES[[#This Row],[FECHA DE FACTURACIÓN]])&gt;PROVEEDORES[[#This Row],[PLAZO Días]],"PAGO VENCIDO")</f>
        <v>PAGO VENCIDO</v>
      </c>
      <c r="C846" s="144">
        <f>+VLOOKUP(PROVEEDORES[[#This Row],[PROVEEDOR]],TERCEROS_INFO[#All],2,FALSE)</f>
        <v>0</v>
      </c>
      <c r="D846" s="145">
        <f>+SUMIFS(PROVEEDORES[Total],PROVEEDORES[PROVEEDOR],PROVEEDORES[[#This Row],[PROVEEDOR]],PROVEEDORES[FECHA DE PAGO],"")</f>
        <v>856185.96</v>
      </c>
      <c r="E846" s="146"/>
      <c r="F846" s="144">
        <f>+VLOOKUP(PROVEEDORES[[#This Row],[PROVEEDOR]],
                       Terceros!$A:$G,
                       5,
                       FALSE)</f>
        <v>0</v>
      </c>
      <c r="G846" s="122">
        <v>45232</v>
      </c>
      <c r="H846" s="102" t="s">
        <v>209</v>
      </c>
      <c r="I846" s="122">
        <v>45196</v>
      </c>
      <c r="J846" s="103" t="s">
        <v>1094</v>
      </c>
      <c r="K846" s="103" t="s">
        <v>1512</v>
      </c>
      <c r="L846" s="103"/>
      <c r="M846" s="105">
        <v>893952</v>
      </c>
      <c r="N846" s="147">
        <v>169850.88</v>
      </c>
      <c r="O846" s="147">
        <v>0</v>
      </c>
      <c r="P846" s="148">
        <v>0</v>
      </c>
      <c r="Q846" s="147">
        <v>0</v>
      </c>
      <c r="R846" s="149">
        <v>1063802.8799999999</v>
      </c>
      <c r="S8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6" s="150">
        <f ca="1">+IF(PROVEEDORES[[#This Row],[FECHA DE PAGO]]=0,TODAY()-PROVEEDORES[[#This Row],[FECHA DE FACTURACIÓN]]-PROVEEDORES[[#This Row],[PLAZO Días]],0)</f>
        <v>0</v>
      </c>
      <c r="U846" s="150">
        <f>+VLOOKUP(PROVEEDORES[[#This Row],[PROVEEDOR]],Terceros!$A:$E,4,FALSE)</f>
        <v>0.19</v>
      </c>
      <c r="V846" s="150">
        <f>+YEAR(PROVEEDORES[[#This Row],[FECHA DE FACTURACIÓN]])</f>
        <v>2023</v>
      </c>
      <c r="W846" s="150">
        <f>+MATCH(PROVEEDORES[[#This Row],[año facturado]],Retenciones!$1:$1,0)</f>
        <v>6</v>
      </c>
      <c r="X846" s="151" t="e">
        <f>+VLOOKUP(PROVEEDORES[[#This Row],[ID RETENCION]],Retenciones!$A$1:$O$25,PROVEEDORES[[#This Row],[indicador de columna]],FALSE)</f>
        <v>#N/A</v>
      </c>
      <c r="Y846" s="152" t="e">
        <f>+VLOOKUP(PROVEEDORES[[#This Row],[ID RETENCION]],Retenciones!$A$1:$O$25,2,FALSE)</f>
        <v>#N/A</v>
      </c>
      <c r="Z846" s="153" t="b">
        <f>+OR(COUNTIF(PROVEEDORES[[#This Row],[PROVEEDOR]],"*"&amp;'Palabra que no opera y Listas d'!$A$2&amp;"*"))</f>
        <v>0</v>
      </c>
    </row>
    <row r="847" spans="1:26" ht="27.75" customHeight="1" x14ac:dyDescent="0.3">
      <c r="A847" s="144" t="str">
        <f>+IF(PROVEEDORES[[#This Row],[FECHA DE PAGO]]=PROVEEDORES[[#This Row],[FECHA DE FACTURACIÓN]],"DE CONTADO","CRÉDITO")</f>
        <v>CRÉDITO</v>
      </c>
      <c r="B847" s="144" t="str">
        <f>+IF((PROVEEDORES[[#This Row],[FECHA DE PAGO]]-PROVEEDORES[[#This Row],[FECHA DE FACTURACIÓN]])&gt;PROVEEDORES[[#This Row],[PLAZO Días]],"PAGO VENCIDO")</f>
        <v>PAGO VENCIDO</v>
      </c>
      <c r="C847" s="144">
        <f>+VLOOKUP(PROVEEDORES[[#This Row],[PROVEEDOR]],TERCEROS_INFO[#All],2,FALSE)</f>
        <v>0</v>
      </c>
      <c r="D847" s="145">
        <f>+SUMIFS(PROVEEDORES[Total],PROVEEDORES[PROVEEDOR],PROVEEDORES[[#This Row],[PROVEEDOR]],PROVEEDORES[FECHA DE PAGO],"")</f>
        <v>0</v>
      </c>
      <c r="E847" s="146"/>
      <c r="F847" s="144">
        <f>+VLOOKUP(PROVEEDORES[[#This Row],[PROVEEDOR]],
                       Terceros!$A:$G,
                       5,
                       FALSE)</f>
        <v>0</v>
      </c>
      <c r="G847" s="122">
        <v>45232</v>
      </c>
      <c r="H847" s="102" t="s">
        <v>496</v>
      </c>
      <c r="I847" s="122">
        <v>45231</v>
      </c>
      <c r="J847" s="103" t="s">
        <v>1286</v>
      </c>
      <c r="K847" s="103" t="s">
        <v>1512</v>
      </c>
      <c r="L847" s="103"/>
      <c r="M847" s="105">
        <v>5136000</v>
      </c>
      <c r="N847" s="147">
        <v>0</v>
      </c>
      <c r="O847" s="147">
        <v>0</v>
      </c>
      <c r="P847" s="148">
        <v>0</v>
      </c>
      <c r="Q847" s="147">
        <v>0</v>
      </c>
      <c r="R847" s="149">
        <v>5136000</v>
      </c>
      <c r="S8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7" s="150">
        <f ca="1">+IF(PROVEEDORES[[#This Row],[FECHA DE PAGO]]=0,TODAY()-PROVEEDORES[[#This Row],[FECHA DE FACTURACIÓN]]-PROVEEDORES[[#This Row],[PLAZO Días]],0)</f>
        <v>0</v>
      </c>
      <c r="U847" s="150">
        <f>+VLOOKUP(PROVEEDORES[[#This Row],[PROVEEDOR]],Terceros!$A:$E,4,FALSE)</f>
        <v>0</v>
      </c>
      <c r="V847" s="150">
        <f>+YEAR(PROVEEDORES[[#This Row],[FECHA DE FACTURACIÓN]])</f>
        <v>2023</v>
      </c>
      <c r="W847" s="150">
        <f>+MATCH(PROVEEDORES[[#This Row],[año facturado]],Retenciones!$1:$1,0)</f>
        <v>6</v>
      </c>
      <c r="X847" s="151">
        <f>+VLOOKUP(PROVEEDORES[[#This Row],[ID RETENCION]],Retenciones!$A$1:$O$25,PROVEEDORES[[#This Row],[indicador de columna]],FALSE)</f>
        <v>0</v>
      </c>
      <c r="Y847" s="152">
        <f>+VLOOKUP(PROVEEDORES[[#This Row],[ID RETENCION]],Retenciones!$A$1:$O$25,2,FALSE)</f>
        <v>0</v>
      </c>
      <c r="Z847" s="153" t="b">
        <f>+OR(COUNTIF(PROVEEDORES[[#This Row],[PROVEEDOR]],"*"&amp;'Palabra que no opera y Listas d'!$A$2&amp;"*"))</f>
        <v>0</v>
      </c>
    </row>
    <row r="848" spans="1:26" ht="27.75" customHeight="1" x14ac:dyDescent="0.3">
      <c r="A848" s="144" t="str">
        <f>+IF(PROVEEDORES[[#This Row],[FECHA DE PAGO]]=PROVEEDORES[[#This Row],[FECHA DE FACTURACIÓN]],"DE CONTADO","CRÉDITO")</f>
        <v>CRÉDITO</v>
      </c>
      <c r="B848" s="144" t="str">
        <f>+IF((PROVEEDORES[[#This Row],[FECHA DE PAGO]]-PROVEEDORES[[#This Row],[FECHA DE FACTURACIÓN]])&gt;PROVEEDORES[[#This Row],[PLAZO Días]],"PAGO VENCIDO")</f>
        <v>PAGO VENCIDO</v>
      </c>
      <c r="C848" s="144">
        <f>+VLOOKUP(PROVEEDORES[[#This Row],[PROVEEDOR]],TERCEROS_INFO[#All],2,FALSE)</f>
        <v>0</v>
      </c>
      <c r="D848" s="145">
        <f>+SUMIFS(PROVEEDORES[Total],PROVEEDORES[PROVEEDOR],PROVEEDORES[[#This Row],[PROVEEDOR]],PROVEEDORES[FECHA DE PAGO],"")</f>
        <v>0</v>
      </c>
      <c r="E848" s="146"/>
      <c r="F848" s="144">
        <f>+VLOOKUP(PROVEEDORES[[#This Row],[PROVEEDOR]],
                       Terceros!$A:$G,
                       5,
                       FALSE)</f>
        <v>0</v>
      </c>
      <c r="G848" s="122">
        <v>45232</v>
      </c>
      <c r="H848" s="102" t="s">
        <v>405</v>
      </c>
      <c r="I848" s="122">
        <v>45231</v>
      </c>
      <c r="J848" s="103"/>
      <c r="K848" s="103" t="s">
        <v>1512</v>
      </c>
      <c r="L848" s="103"/>
      <c r="M848" s="105">
        <v>620524</v>
      </c>
      <c r="N848" s="147">
        <v>0</v>
      </c>
      <c r="O848" s="147">
        <v>0</v>
      </c>
      <c r="P848" s="148">
        <v>0</v>
      </c>
      <c r="Q848" s="147">
        <v>0</v>
      </c>
      <c r="R848" s="149">
        <v>620524</v>
      </c>
      <c r="S8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8" s="150">
        <f ca="1">+IF(PROVEEDORES[[#This Row],[FECHA DE PAGO]]=0,TODAY()-PROVEEDORES[[#This Row],[FECHA DE FACTURACIÓN]]-PROVEEDORES[[#This Row],[PLAZO Días]],0)</f>
        <v>0</v>
      </c>
      <c r="U848" s="150">
        <f>+VLOOKUP(PROVEEDORES[[#This Row],[PROVEEDOR]],Terceros!$A:$E,4,FALSE)</f>
        <v>0</v>
      </c>
      <c r="V848" s="150">
        <f>+YEAR(PROVEEDORES[[#This Row],[FECHA DE FACTURACIÓN]])</f>
        <v>2023</v>
      </c>
      <c r="W848" s="150">
        <f>+MATCH(PROVEEDORES[[#This Row],[año facturado]],Retenciones!$1:$1,0)</f>
        <v>6</v>
      </c>
      <c r="X848" s="151">
        <f>+VLOOKUP(PROVEEDORES[[#This Row],[ID RETENCION]],Retenciones!$A$1:$O$25,PROVEEDORES[[#This Row],[indicador de columna]],FALSE)</f>
        <v>0</v>
      </c>
      <c r="Y848" s="152">
        <f>+VLOOKUP(PROVEEDORES[[#This Row],[ID RETENCION]],Retenciones!$A$1:$O$25,2,FALSE)</f>
        <v>0</v>
      </c>
      <c r="Z848" s="153" t="b">
        <f>+OR(COUNTIF(PROVEEDORES[[#This Row],[PROVEEDOR]],"*"&amp;'Palabra que no opera y Listas d'!$A$2&amp;"*"))</f>
        <v>1</v>
      </c>
    </row>
    <row r="849" spans="1:26" ht="27.75" customHeight="1" x14ac:dyDescent="0.3">
      <c r="A849" s="144" t="str">
        <f>+IF(PROVEEDORES[[#This Row],[FECHA DE PAGO]]=PROVEEDORES[[#This Row],[FECHA DE FACTURACIÓN]],"DE CONTADO","CRÉDITO")</f>
        <v>DE CONTADO</v>
      </c>
      <c r="B849" s="144" t="b">
        <f>+IF((PROVEEDORES[[#This Row],[FECHA DE PAGO]]-PROVEEDORES[[#This Row],[FECHA DE FACTURACIÓN]])&gt;PROVEEDORES[[#This Row],[PLAZO Días]],"PAGO VENCIDO")</f>
        <v>0</v>
      </c>
      <c r="C849" s="144">
        <f>+VLOOKUP(PROVEEDORES[[#This Row],[PROVEEDOR]],TERCEROS_INFO[#All],2,FALSE)</f>
        <v>0</v>
      </c>
      <c r="D849" s="145">
        <f>+SUMIFS(PROVEEDORES[Total],PROVEEDORES[PROVEEDOR],PROVEEDORES[[#This Row],[PROVEEDOR]],PROVEEDORES[FECHA DE PAGO],"")</f>
        <v>0</v>
      </c>
      <c r="E849" s="146"/>
      <c r="F849" s="144">
        <f>+VLOOKUP(PROVEEDORES[[#This Row],[PROVEEDOR]],
                       Terceros!$A:$G,
                       5,
                       FALSE)</f>
        <v>0</v>
      </c>
      <c r="G849" s="122">
        <v>45232</v>
      </c>
      <c r="H849" s="102" t="s">
        <v>1801</v>
      </c>
      <c r="I849" s="122">
        <v>45232</v>
      </c>
      <c r="J849" s="103"/>
      <c r="K849" s="103" t="s">
        <v>1512</v>
      </c>
      <c r="L849" s="103"/>
      <c r="M849" s="105">
        <v>1000000</v>
      </c>
      <c r="N849" s="147">
        <v>0</v>
      </c>
      <c r="O849" s="147">
        <v>0</v>
      </c>
      <c r="P849" s="148">
        <v>0</v>
      </c>
      <c r="Q849" s="147">
        <v>0</v>
      </c>
      <c r="R849" s="149">
        <v>1000000</v>
      </c>
      <c r="S8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9" s="150">
        <f ca="1">+IF(PROVEEDORES[[#This Row],[FECHA DE PAGO]]=0,TODAY()-PROVEEDORES[[#This Row],[FECHA DE FACTURACIÓN]]-PROVEEDORES[[#This Row],[PLAZO Días]],0)</f>
        <v>0</v>
      </c>
      <c r="U849" s="150">
        <f>+VLOOKUP(PROVEEDORES[[#This Row],[PROVEEDOR]],Terceros!$A:$E,4,FALSE)</f>
        <v>0</v>
      </c>
      <c r="V849" s="150">
        <f>+YEAR(PROVEEDORES[[#This Row],[FECHA DE FACTURACIÓN]])</f>
        <v>2023</v>
      </c>
      <c r="W849" s="150">
        <f>+MATCH(PROVEEDORES[[#This Row],[año facturado]],Retenciones!$1:$1,0)</f>
        <v>6</v>
      </c>
      <c r="X849" s="151">
        <f>+VLOOKUP(PROVEEDORES[[#This Row],[ID RETENCION]],Retenciones!$A$1:$O$25,PROVEEDORES[[#This Row],[indicador de columna]],FALSE)</f>
        <v>0</v>
      </c>
      <c r="Y849" s="152">
        <f>+VLOOKUP(PROVEEDORES[[#This Row],[ID RETENCION]],Retenciones!$A$1:$O$25,2,FALSE)</f>
        <v>0</v>
      </c>
      <c r="Z849" s="153" t="b">
        <f>+OR(COUNTIF(PROVEEDORES[[#This Row],[PROVEEDOR]],"*"&amp;'Palabra que no opera y Listas d'!$A$2&amp;"*"))</f>
        <v>0</v>
      </c>
    </row>
    <row r="850" spans="1:26" ht="27.75" customHeight="1" x14ac:dyDescent="0.3">
      <c r="A850" s="144" t="str">
        <f>+IF(PROVEEDORES[[#This Row],[FECHA DE PAGO]]=PROVEEDORES[[#This Row],[FECHA DE FACTURACIÓN]],"DE CONTADO","CRÉDITO")</f>
        <v>CRÉDITO</v>
      </c>
      <c r="B850" s="144" t="str">
        <f>+IF((PROVEEDORES[[#This Row],[FECHA DE PAGO]]-PROVEEDORES[[#This Row],[FECHA DE FACTURACIÓN]])&gt;PROVEEDORES[[#This Row],[PLAZO Días]],"PAGO VENCIDO")</f>
        <v>PAGO VENCIDO</v>
      </c>
      <c r="C850" s="144">
        <f>+VLOOKUP(PROVEEDORES[[#This Row],[PROVEEDOR]],TERCEROS_INFO[#All],2,FALSE)</f>
        <v>0</v>
      </c>
      <c r="D850" s="145">
        <f>+SUMIFS(PROVEEDORES[Total],PROVEEDORES[PROVEEDOR],PROVEEDORES[[#This Row],[PROVEEDOR]],PROVEEDORES[FECHA DE PAGO],"")</f>
        <v>0</v>
      </c>
      <c r="E850" s="146"/>
      <c r="F850" s="144">
        <f>+VLOOKUP(PROVEEDORES[[#This Row],[PROVEEDOR]],
                       Terceros!$A:$G,
                       5,
                       FALSE)</f>
        <v>0</v>
      </c>
      <c r="G850" s="122">
        <v>45233</v>
      </c>
      <c r="H850" s="102" t="s">
        <v>496</v>
      </c>
      <c r="I850" s="122">
        <v>45232</v>
      </c>
      <c r="J850" s="103" t="s">
        <v>1287</v>
      </c>
      <c r="K850" s="103" t="s">
        <v>1512</v>
      </c>
      <c r="L850" s="103"/>
      <c r="M850" s="105">
        <v>2700000</v>
      </c>
      <c r="N850" s="147">
        <v>0</v>
      </c>
      <c r="O850" s="147">
        <v>0</v>
      </c>
      <c r="P850" s="148">
        <v>0</v>
      </c>
      <c r="Q850" s="147">
        <v>0</v>
      </c>
      <c r="R850" s="149">
        <v>2700000</v>
      </c>
      <c r="S8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0" s="150">
        <f ca="1">+IF(PROVEEDORES[[#This Row],[FECHA DE PAGO]]=0,TODAY()-PROVEEDORES[[#This Row],[FECHA DE FACTURACIÓN]]-PROVEEDORES[[#This Row],[PLAZO Días]],0)</f>
        <v>0</v>
      </c>
      <c r="U850" s="150">
        <f>+VLOOKUP(PROVEEDORES[[#This Row],[PROVEEDOR]],Terceros!$A:$E,4,FALSE)</f>
        <v>0</v>
      </c>
      <c r="V850" s="150">
        <f>+YEAR(PROVEEDORES[[#This Row],[FECHA DE FACTURACIÓN]])</f>
        <v>2023</v>
      </c>
      <c r="W850" s="150">
        <f>+MATCH(PROVEEDORES[[#This Row],[año facturado]],Retenciones!$1:$1,0)</f>
        <v>6</v>
      </c>
      <c r="X850" s="151">
        <f>+VLOOKUP(PROVEEDORES[[#This Row],[ID RETENCION]],Retenciones!$A$1:$O$25,PROVEEDORES[[#This Row],[indicador de columna]],FALSE)</f>
        <v>0</v>
      </c>
      <c r="Y850" s="152">
        <f>+VLOOKUP(PROVEEDORES[[#This Row],[ID RETENCION]],Retenciones!$A$1:$O$25,2,FALSE)</f>
        <v>0</v>
      </c>
      <c r="Z850" s="153" t="b">
        <f>+OR(COUNTIF(PROVEEDORES[[#This Row],[PROVEEDOR]],"*"&amp;'Palabra que no opera y Listas d'!$A$2&amp;"*"))</f>
        <v>0</v>
      </c>
    </row>
    <row r="851" spans="1:26" ht="27.75" customHeight="1" x14ac:dyDescent="0.3">
      <c r="A851" s="144" t="str">
        <f>+IF(PROVEEDORES[[#This Row],[FECHA DE PAGO]]=PROVEEDORES[[#This Row],[FECHA DE FACTURACIÓN]],"DE CONTADO","CRÉDITO")</f>
        <v>DE CONTADO</v>
      </c>
      <c r="B851" s="144" t="b">
        <f>+IF((PROVEEDORES[[#This Row],[FECHA DE PAGO]]-PROVEEDORES[[#This Row],[FECHA DE FACTURACIÓN]])&gt;PROVEEDORES[[#This Row],[PLAZO Días]],"PAGO VENCIDO")</f>
        <v>0</v>
      </c>
      <c r="C851" s="144">
        <f>+VLOOKUP(PROVEEDORES[[#This Row],[PROVEEDOR]],TERCEROS_INFO[#All],2,FALSE)</f>
        <v>0</v>
      </c>
      <c r="D851" s="145">
        <f>+SUMIFS(PROVEEDORES[Total],PROVEEDORES[PROVEEDOR],PROVEEDORES[[#This Row],[PROVEEDOR]],PROVEEDORES[FECHA DE PAGO],"")</f>
        <v>0</v>
      </c>
      <c r="E851" s="146"/>
      <c r="F851" s="144">
        <f>+VLOOKUP(PROVEEDORES[[#This Row],[PROVEEDOR]],
                       Terceros!$A:$G,
                       5,
                       FALSE)</f>
        <v>0</v>
      </c>
      <c r="G851" s="122">
        <v>45233</v>
      </c>
      <c r="H851" s="102" t="s">
        <v>845</v>
      </c>
      <c r="I851" s="122">
        <v>45233</v>
      </c>
      <c r="J851" s="103"/>
      <c r="K851" s="103" t="s">
        <v>1512</v>
      </c>
      <c r="L851" s="103"/>
      <c r="M851" s="105">
        <v>389000</v>
      </c>
      <c r="N851" s="147">
        <v>0</v>
      </c>
      <c r="O851" s="147">
        <v>0</v>
      </c>
      <c r="P851" s="148">
        <v>0</v>
      </c>
      <c r="Q851" s="147">
        <v>0</v>
      </c>
      <c r="R851" s="149">
        <v>389000</v>
      </c>
      <c r="S8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1" s="150">
        <f ca="1">+IF(PROVEEDORES[[#This Row],[FECHA DE PAGO]]=0,TODAY()-PROVEEDORES[[#This Row],[FECHA DE FACTURACIÓN]]-PROVEEDORES[[#This Row],[PLAZO Días]],0)</f>
        <v>0</v>
      </c>
      <c r="U851" s="150">
        <f>+VLOOKUP(PROVEEDORES[[#This Row],[PROVEEDOR]],Terceros!$A:$E,4,FALSE)</f>
        <v>0</v>
      </c>
      <c r="V851" s="150">
        <f>+YEAR(PROVEEDORES[[#This Row],[FECHA DE FACTURACIÓN]])</f>
        <v>2023</v>
      </c>
      <c r="W851" s="150">
        <f>+MATCH(PROVEEDORES[[#This Row],[año facturado]],Retenciones!$1:$1,0)</f>
        <v>6</v>
      </c>
      <c r="X851" s="151">
        <f>+VLOOKUP(PROVEEDORES[[#This Row],[ID RETENCION]],Retenciones!$A$1:$O$25,PROVEEDORES[[#This Row],[indicador de columna]],FALSE)</f>
        <v>0</v>
      </c>
      <c r="Y851" s="152">
        <f>+VLOOKUP(PROVEEDORES[[#This Row],[ID RETENCION]],Retenciones!$A$1:$O$25,2,FALSE)</f>
        <v>0</v>
      </c>
      <c r="Z851" s="153" t="b">
        <f>+OR(COUNTIF(PROVEEDORES[[#This Row],[PROVEEDOR]],"*"&amp;'Palabra que no opera y Listas d'!$A$2&amp;"*"))</f>
        <v>0</v>
      </c>
    </row>
    <row r="852" spans="1:26" ht="27.75" customHeight="1" x14ac:dyDescent="0.3">
      <c r="A852" s="144" t="str">
        <f>+IF(PROVEEDORES[[#This Row],[FECHA DE PAGO]]=PROVEEDORES[[#This Row],[FECHA DE FACTURACIÓN]],"DE CONTADO","CRÉDITO")</f>
        <v>CRÉDITO</v>
      </c>
      <c r="B852" s="144" t="str">
        <f>+IF((PROVEEDORES[[#This Row],[FECHA DE PAGO]]-PROVEEDORES[[#This Row],[FECHA DE FACTURACIÓN]])&gt;PROVEEDORES[[#This Row],[PLAZO Días]],"PAGO VENCIDO")</f>
        <v>PAGO VENCIDO</v>
      </c>
      <c r="C852" s="144">
        <f>+VLOOKUP(PROVEEDORES[[#This Row],[PROVEEDOR]],TERCEROS_INFO[#All],2,FALSE)</f>
        <v>0</v>
      </c>
      <c r="D852" s="145">
        <f>+SUMIFS(PROVEEDORES[Total],PROVEEDORES[PROVEEDOR],PROVEEDORES[[#This Row],[PROVEEDOR]],PROVEEDORES[FECHA DE PAGO],"")</f>
        <v>0</v>
      </c>
      <c r="E852" s="146"/>
      <c r="F852" s="144">
        <f>+VLOOKUP(PROVEEDORES[[#This Row],[PROVEEDOR]],
                       Terceros!$A:$G,
                       5,
                       FALSE)</f>
        <v>0</v>
      </c>
      <c r="G852" s="122">
        <v>45234</v>
      </c>
      <c r="H852" s="102" t="s">
        <v>402</v>
      </c>
      <c r="I852" s="122">
        <v>45231</v>
      </c>
      <c r="J852" s="103" t="s">
        <v>184</v>
      </c>
      <c r="K852" s="103" t="s">
        <v>1512</v>
      </c>
      <c r="L852" s="103"/>
      <c r="M852" s="105">
        <v>411454</v>
      </c>
      <c r="N852" s="147">
        <v>0</v>
      </c>
      <c r="O852" s="147">
        <v>0</v>
      </c>
      <c r="P852" s="148">
        <v>0</v>
      </c>
      <c r="Q852" s="147">
        <v>0</v>
      </c>
      <c r="R852" s="149">
        <v>411454</v>
      </c>
      <c r="S8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2" s="150">
        <f ca="1">+IF(PROVEEDORES[[#This Row],[FECHA DE PAGO]]=0,TODAY()-PROVEEDORES[[#This Row],[FECHA DE FACTURACIÓN]]-PROVEEDORES[[#This Row],[PLAZO Días]],0)</f>
        <v>0</v>
      </c>
      <c r="U852" s="150">
        <f>+VLOOKUP(PROVEEDORES[[#This Row],[PROVEEDOR]],Terceros!$A:$E,4,FALSE)</f>
        <v>0</v>
      </c>
      <c r="V852" s="150">
        <f>+YEAR(PROVEEDORES[[#This Row],[FECHA DE FACTURACIÓN]])</f>
        <v>2023</v>
      </c>
      <c r="W852" s="150">
        <f>+MATCH(PROVEEDORES[[#This Row],[año facturado]],Retenciones!$1:$1,0)</f>
        <v>6</v>
      </c>
      <c r="X852" s="151">
        <f>+VLOOKUP(PROVEEDORES[[#This Row],[ID RETENCION]],Retenciones!$A$1:$O$25,PROVEEDORES[[#This Row],[indicador de columna]],FALSE)</f>
        <v>0</v>
      </c>
      <c r="Y852" s="152">
        <f>+VLOOKUP(PROVEEDORES[[#This Row],[ID RETENCION]],Retenciones!$A$1:$O$25,2,FALSE)</f>
        <v>0</v>
      </c>
      <c r="Z852" s="153" t="b">
        <f>+OR(COUNTIF(PROVEEDORES[[#This Row],[PROVEEDOR]],"*"&amp;'Palabra que no opera y Listas d'!$A$2&amp;"*"))</f>
        <v>1</v>
      </c>
    </row>
    <row r="853" spans="1:26" ht="27.75" customHeight="1" x14ac:dyDescent="0.3">
      <c r="A853" s="144" t="str">
        <f>+IF(PROVEEDORES[[#This Row],[FECHA DE PAGO]]=PROVEEDORES[[#This Row],[FECHA DE FACTURACIÓN]],"DE CONTADO","CRÉDITO")</f>
        <v>DE CONTADO</v>
      </c>
      <c r="B853" s="144" t="b">
        <f>+IF((PROVEEDORES[[#This Row],[FECHA DE PAGO]]-PROVEEDORES[[#This Row],[FECHA DE FACTURACIÓN]])&gt;PROVEEDORES[[#This Row],[PLAZO Días]],"PAGO VENCIDO")</f>
        <v>0</v>
      </c>
      <c r="C853" s="144">
        <f>+VLOOKUP(PROVEEDORES[[#This Row],[PROVEEDOR]],TERCEROS_INFO[#All],2,FALSE)</f>
        <v>0</v>
      </c>
      <c r="D853" s="145">
        <f>+SUMIFS(PROVEEDORES[Total],PROVEEDORES[PROVEEDOR],PROVEEDORES[[#This Row],[PROVEEDOR]],PROVEEDORES[FECHA DE PAGO],"")</f>
        <v>550000</v>
      </c>
      <c r="E853" s="146"/>
      <c r="F853" s="144">
        <f>+VLOOKUP(PROVEEDORES[[#This Row],[PROVEEDOR]],
                       Terceros!$A:$G,
                       5,
                       FALSE)</f>
        <v>0</v>
      </c>
      <c r="G853" s="122">
        <v>45234</v>
      </c>
      <c r="H853" s="102" t="s">
        <v>1784</v>
      </c>
      <c r="I853" s="122">
        <v>45234</v>
      </c>
      <c r="J853" s="103" t="s">
        <v>1220</v>
      </c>
      <c r="K853" s="103" t="s">
        <v>1512</v>
      </c>
      <c r="L853" s="103"/>
      <c r="M853" s="105">
        <v>520000</v>
      </c>
      <c r="N853" s="147">
        <v>0</v>
      </c>
      <c r="O853" s="147">
        <v>0</v>
      </c>
      <c r="P853" s="148">
        <v>0</v>
      </c>
      <c r="Q853" s="147">
        <v>0</v>
      </c>
      <c r="R853" s="149">
        <v>520000</v>
      </c>
      <c r="S8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3" s="150">
        <f ca="1">+IF(PROVEEDORES[[#This Row],[FECHA DE PAGO]]=0,TODAY()-PROVEEDORES[[#This Row],[FECHA DE FACTURACIÓN]]-PROVEEDORES[[#This Row],[PLAZO Días]],0)</f>
        <v>0</v>
      </c>
      <c r="U853" s="150">
        <f>+VLOOKUP(PROVEEDORES[[#This Row],[PROVEEDOR]],Terceros!$A:$E,4,FALSE)</f>
        <v>0</v>
      </c>
      <c r="V853" s="150">
        <f>+YEAR(PROVEEDORES[[#This Row],[FECHA DE FACTURACIÓN]])</f>
        <v>2023</v>
      </c>
      <c r="W853" s="150">
        <f>+MATCH(PROVEEDORES[[#This Row],[año facturado]],Retenciones!$1:$1,0)</f>
        <v>6</v>
      </c>
      <c r="X853" s="151">
        <f>+VLOOKUP(PROVEEDORES[[#This Row],[ID RETENCION]],Retenciones!$A$1:$O$25,PROVEEDORES[[#This Row],[indicador de columna]],FALSE)</f>
        <v>0</v>
      </c>
      <c r="Y853" s="152">
        <f>+VLOOKUP(PROVEEDORES[[#This Row],[ID RETENCION]],Retenciones!$A$1:$O$25,2,FALSE)</f>
        <v>0</v>
      </c>
      <c r="Z853" s="153" t="b">
        <f>+OR(COUNTIF(PROVEEDORES[[#This Row],[PROVEEDOR]],"*"&amp;'Palabra que no opera y Listas d'!$A$2&amp;"*"))</f>
        <v>0</v>
      </c>
    </row>
    <row r="854" spans="1:26" ht="27.75" customHeight="1" x14ac:dyDescent="0.3">
      <c r="A854" s="144" t="str">
        <f>+IF(PROVEEDORES[[#This Row],[FECHA DE PAGO]]=PROVEEDORES[[#This Row],[FECHA DE FACTURACIÓN]],"DE CONTADO","CRÉDITO")</f>
        <v>CRÉDITO</v>
      </c>
      <c r="B854" s="144" t="str">
        <f>+IF((PROVEEDORES[[#This Row],[FECHA DE PAGO]]-PROVEEDORES[[#This Row],[FECHA DE FACTURACIÓN]])&gt;PROVEEDORES[[#This Row],[PLAZO Días]],"PAGO VENCIDO")</f>
        <v>PAGO VENCIDO</v>
      </c>
      <c r="C854" s="144">
        <f>+VLOOKUP(PROVEEDORES[[#This Row],[PROVEEDOR]],TERCEROS_INFO[#All],2,FALSE)</f>
        <v>0</v>
      </c>
      <c r="D854" s="145">
        <f>+SUMIFS(PROVEEDORES[Total],PROVEEDORES[PROVEEDOR],PROVEEDORES[[#This Row],[PROVEEDOR]],PROVEEDORES[FECHA DE PAGO],"")</f>
        <v>3130000</v>
      </c>
      <c r="E854" s="146"/>
      <c r="F854" s="144">
        <f>+VLOOKUP(PROVEEDORES[[#This Row],[PROVEEDOR]],
                       Terceros!$A:$G,
                       5,
                       FALSE)</f>
        <v>0</v>
      </c>
      <c r="G854" s="122">
        <v>45237</v>
      </c>
      <c r="H854" s="102" t="s">
        <v>487</v>
      </c>
      <c r="I854" s="122">
        <v>45170</v>
      </c>
      <c r="J854" s="103">
        <v>4847</v>
      </c>
      <c r="K854" s="103" t="s">
        <v>1512</v>
      </c>
      <c r="L854" s="103"/>
      <c r="M854" s="105">
        <v>450000</v>
      </c>
      <c r="N854" s="147">
        <v>0</v>
      </c>
      <c r="O854" s="147">
        <v>0</v>
      </c>
      <c r="P854" s="148">
        <v>0</v>
      </c>
      <c r="Q854" s="147">
        <v>0</v>
      </c>
      <c r="R854" s="149">
        <v>450000</v>
      </c>
      <c r="S8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4" s="150">
        <f ca="1">+IF(PROVEEDORES[[#This Row],[FECHA DE PAGO]]=0,TODAY()-PROVEEDORES[[#This Row],[FECHA DE FACTURACIÓN]]-PROVEEDORES[[#This Row],[PLAZO Días]],0)</f>
        <v>0</v>
      </c>
      <c r="U854" s="150">
        <f>+VLOOKUP(PROVEEDORES[[#This Row],[PROVEEDOR]],Terceros!$A:$E,4,FALSE)</f>
        <v>0</v>
      </c>
      <c r="V854" s="150">
        <f>+YEAR(PROVEEDORES[[#This Row],[FECHA DE FACTURACIÓN]])</f>
        <v>2023</v>
      </c>
      <c r="W854" s="150">
        <f>+MATCH(PROVEEDORES[[#This Row],[año facturado]],Retenciones!$1:$1,0)</f>
        <v>6</v>
      </c>
      <c r="X854" s="151">
        <f>+VLOOKUP(PROVEEDORES[[#This Row],[ID RETENCION]],Retenciones!$A$1:$O$25,PROVEEDORES[[#This Row],[indicador de columna]],FALSE)</f>
        <v>0</v>
      </c>
      <c r="Y854" s="152">
        <f>+VLOOKUP(PROVEEDORES[[#This Row],[ID RETENCION]],Retenciones!$A$1:$O$25,2,FALSE)</f>
        <v>0</v>
      </c>
      <c r="Z854" s="153" t="b">
        <f>+OR(COUNTIF(PROVEEDORES[[#This Row],[PROVEEDOR]],"*"&amp;'Palabra que no opera y Listas d'!$A$2&amp;"*"))</f>
        <v>0</v>
      </c>
    </row>
    <row r="855" spans="1:26" ht="27.75" customHeight="1" x14ac:dyDescent="0.3">
      <c r="A855" s="144" t="str">
        <f>+IF(PROVEEDORES[[#This Row],[FECHA DE PAGO]]=PROVEEDORES[[#This Row],[FECHA DE FACTURACIÓN]],"DE CONTADO","CRÉDITO")</f>
        <v>CRÉDITO</v>
      </c>
      <c r="B855" s="144" t="str">
        <f>+IF((PROVEEDORES[[#This Row],[FECHA DE PAGO]]-PROVEEDORES[[#This Row],[FECHA DE FACTURACIÓN]])&gt;PROVEEDORES[[#This Row],[PLAZO Días]],"PAGO VENCIDO")</f>
        <v>PAGO VENCIDO</v>
      </c>
      <c r="C855" s="144">
        <f>+VLOOKUP(PROVEEDORES[[#This Row],[PROVEEDOR]],TERCEROS_INFO[#All],2,FALSE)</f>
        <v>0</v>
      </c>
      <c r="D855" s="145">
        <f>+SUMIFS(PROVEEDORES[Total],PROVEEDORES[PROVEEDOR],PROVEEDORES[[#This Row],[PROVEEDOR]],PROVEEDORES[FECHA DE PAGO],"")</f>
        <v>28179645.060000002</v>
      </c>
      <c r="E855" s="146"/>
      <c r="F855" s="144">
        <f>+VLOOKUP(PROVEEDORES[[#This Row],[PROVEEDOR]],
                       Terceros!$A:$G,
                       5,
                       FALSE)</f>
        <v>0</v>
      </c>
      <c r="G855" s="122">
        <v>45237</v>
      </c>
      <c r="H855" s="102" t="s">
        <v>18</v>
      </c>
      <c r="I855" s="122">
        <v>45177</v>
      </c>
      <c r="J855" s="103" t="s">
        <v>1062</v>
      </c>
      <c r="K855" s="103" t="s">
        <v>1512</v>
      </c>
      <c r="L855" s="103"/>
      <c r="M855" s="105">
        <v>723695</v>
      </c>
      <c r="N855" s="147">
        <v>137502.04999999999</v>
      </c>
      <c r="O855" s="147">
        <v>0</v>
      </c>
      <c r="P855" s="148">
        <v>0</v>
      </c>
      <c r="Q855" s="147">
        <v>0</v>
      </c>
      <c r="R855" s="149">
        <v>861197.05</v>
      </c>
      <c r="S8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5" s="150">
        <f ca="1">+IF(PROVEEDORES[[#This Row],[FECHA DE PAGO]]=0,TODAY()-PROVEEDORES[[#This Row],[FECHA DE FACTURACIÓN]]-PROVEEDORES[[#This Row],[PLAZO Días]],0)</f>
        <v>0</v>
      </c>
      <c r="U855" s="150">
        <f>+VLOOKUP(PROVEEDORES[[#This Row],[PROVEEDOR]],Terceros!$A:$E,4,FALSE)</f>
        <v>0.19</v>
      </c>
      <c r="V855" s="150">
        <f>+YEAR(PROVEEDORES[[#This Row],[FECHA DE FACTURACIÓN]])</f>
        <v>2023</v>
      </c>
      <c r="W855" s="150">
        <f>+MATCH(PROVEEDORES[[#This Row],[año facturado]],Retenciones!$1:$1,0)</f>
        <v>6</v>
      </c>
      <c r="X855" s="151" t="e">
        <f>+VLOOKUP(PROVEEDORES[[#This Row],[ID RETENCION]],Retenciones!$A$1:$O$25,PROVEEDORES[[#This Row],[indicador de columna]],FALSE)</f>
        <v>#N/A</v>
      </c>
      <c r="Y855" s="152" t="e">
        <f>+VLOOKUP(PROVEEDORES[[#This Row],[ID RETENCION]],Retenciones!$A$1:$O$25,2,FALSE)</f>
        <v>#N/A</v>
      </c>
      <c r="Z855" s="153" t="b">
        <f>+OR(COUNTIF(PROVEEDORES[[#This Row],[PROVEEDOR]],"*"&amp;'Palabra que no opera y Listas d'!$A$2&amp;"*"))</f>
        <v>0</v>
      </c>
    </row>
    <row r="856" spans="1:26" ht="27.75" customHeight="1" x14ac:dyDescent="0.3">
      <c r="A856" s="144" t="str">
        <f>+IF(PROVEEDORES[[#This Row],[FECHA DE PAGO]]=PROVEEDORES[[#This Row],[FECHA DE FACTURACIÓN]],"DE CONTADO","CRÉDITO")</f>
        <v>CRÉDITO</v>
      </c>
      <c r="B856" s="144" t="str">
        <f>+IF((PROVEEDORES[[#This Row],[FECHA DE PAGO]]-PROVEEDORES[[#This Row],[FECHA DE FACTURACIÓN]])&gt;PROVEEDORES[[#This Row],[PLAZO Días]],"PAGO VENCIDO")</f>
        <v>PAGO VENCIDO</v>
      </c>
      <c r="C856" s="144">
        <f>+VLOOKUP(PROVEEDORES[[#This Row],[PROVEEDOR]],TERCEROS_INFO[#All],2,FALSE)</f>
        <v>0</v>
      </c>
      <c r="D856" s="145">
        <f>+SUMIFS(PROVEEDORES[Total],PROVEEDORES[PROVEEDOR],PROVEEDORES[[#This Row],[PROVEEDOR]],PROVEEDORES[FECHA DE PAGO],"")</f>
        <v>0</v>
      </c>
      <c r="E856" s="146"/>
      <c r="F856" s="144">
        <f>+VLOOKUP(PROVEEDORES[[#This Row],[PROVEEDOR]],
                       Terceros!$A:$G,
                       5,
                       FALSE)</f>
        <v>0</v>
      </c>
      <c r="G856" s="122">
        <v>45237</v>
      </c>
      <c r="H856" s="102" t="s">
        <v>490</v>
      </c>
      <c r="I856" s="122">
        <v>45184</v>
      </c>
      <c r="J856" s="103" t="s">
        <v>1106</v>
      </c>
      <c r="K856" s="103" t="s">
        <v>1512</v>
      </c>
      <c r="L856" s="103"/>
      <c r="M856" s="105">
        <v>1958700</v>
      </c>
      <c r="N856" s="147">
        <v>0</v>
      </c>
      <c r="O856" s="147">
        <v>0</v>
      </c>
      <c r="P856" s="148">
        <v>0</v>
      </c>
      <c r="Q856" s="147">
        <v>0</v>
      </c>
      <c r="R856" s="149">
        <v>1958700</v>
      </c>
      <c r="S8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6" s="150">
        <f ca="1">+IF(PROVEEDORES[[#This Row],[FECHA DE PAGO]]=0,TODAY()-PROVEEDORES[[#This Row],[FECHA DE FACTURACIÓN]]-PROVEEDORES[[#This Row],[PLAZO Días]],0)</f>
        <v>0</v>
      </c>
      <c r="U856" s="150">
        <f>+VLOOKUP(PROVEEDORES[[#This Row],[PROVEEDOR]],Terceros!$A:$E,4,FALSE)</f>
        <v>0</v>
      </c>
      <c r="V856" s="150">
        <f>+YEAR(PROVEEDORES[[#This Row],[FECHA DE FACTURACIÓN]])</f>
        <v>2023</v>
      </c>
      <c r="W856" s="150">
        <f>+MATCH(PROVEEDORES[[#This Row],[año facturado]],Retenciones!$1:$1,0)</f>
        <v>6</v>
      </c>
      <c r="X856" s="151">
        <f>+VLOOKUP(PROVEEDORES[[#This Row],[ID RETENCION]],Retenciones!$A$1:$O$25,PROVEEDORES[[#This Row],[indicador de columna]],FALSE)</f>
        <v>0</v>
      </c>
      <c r="Y856" s="152">
        <f>+VLOOKUP(PROVEEDORES[[#This Row],[ID RETENCION]],Retenciones!$A$1:$O$25,2,FALSE)</f>
        <v>0</v>
      </c>
      <c r="Z856" s="153" t="b">
        <f>+OR(COUNTIF(PROVEEDORES[[#This Row],[PROVEEDOR]],"*"&amp;'Palabra que no opera y Listas d'!$A$2&amp;"*"))</f>
        <v>0</v>
      </c>
    </row>
    <row r="857" spans="1:26" ht="27.75" customHeight="1" x14ac:dyDescent="0.3">
      <c r="A857" s="144" t="str">
        <f>+IF(PROVEEDORES[[#This Row],[FECHA DE PAGO]]=PROVEEDORES[[#This Row],[FECHA DE FACTURACIÓN]],"DE CONTADO","CRÉDITO")</f>
        <v>CRÉDITO</v>
      </c>
      <c r="B857" s="144" t="str">
        <f>+IF((PROVEEDORES[[#This Row],[FECHA DE PAGO]]-PROVEEDORES[[#This Row],[FECHA DE FACTURACIÓN]])&gt;PROVEEDORES[[#This Row],[PLAZO Días]],"PAGO VENCIDO")</f>
        <v>PAGO VENCIDO</v>
      </c>
      <c r="C857" s="144">
        <f>+VLOOKUP(PROVEEDORES[[#This Row],[PROVEEDOR]],TERCEROS_INFO[#All],2,FALSE)</f>
        <v>0</v>
      </c>
      <c r="D857" s="145">
        <f>+SUMIFS(PROVEEDORES[Total],PROVEEDORES[PROVEEDOR],PROVEEDORES[[#This Row],[PROVEEDOR]],PROVEEDORES[FECHA DE PAGO],"")</f>
        <v>0</v>
      </c>
      <c r="E857" s="146"/>
      <c r="F857" s="144">
        <f>+VLOOKUP(PROVEEDORES[[#This Row],[PROVEEDOR]],
                       Terceros!$A:$G,
                       5,
                       FALSE)</f>
        <v>0</v>
      </c>
      <c r="G857" s="122">
        <v>45237</v>
      </c>
      <c r="H857" s="102" t="s">
        <v>1788</v>
      </c>
      <c r="I857" s="122">
        <v>45187</v>
      </c>
      <c r="J857" s="103" t="s">
        <v>1104</v>
      </c>
      <c r="K857" s="103" t="s">
        <v>1512</v>
      </c>
      <c r="L857" s="103"/>
      <c r="M857" s="105">
        <v>1242500</v>
      </c>
      <c r="N857" s="147">
        <v>0</v>
      </c>
      <c r="O857" s="147">
        <v>0</v>
      </c>
      <c r="P857" s="148">
        <v>0</v>
      </c>
      <c r="Q857" s="147">
        <v>0</v>
      </c>
      <c r="R857" s="149">
        <v>1242500</v>
      </c>
      <c r="S8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7" s="150">
        <f ca="1">+IF(PROVEEDORES[[#This Row],[FECHA DE PAGO]]=0,TODAY()-PROVEEDORES[[#This Row],[FECHA DE FACTURACIÓN]]-PROVEEDORES[[#This Row],[PLAZO Días]],0)</f>
        <v>0</v>
      </c>
      <c r="U857" s="150">
        <f>+VLOOKUP(PROVEEDORES[[#This Row],[PROVEEDOR]],Terceros!$A:$E,4,FALSE)</f>
        <v>0</v>
      </c>
      <c r="V857" s="150">
        <f>+YEAR(PROVEEDORES[[#This Row],[FECHA DE FACTURACIÓN]])</f>
        <v>2023</v>
      </c>
      <c r="W857" s="150">
        <f>+MATCH(PROVEEDORES[[#This Row],[año facturado]],Retenciones!$1:$1,0)</f>
        <v>6</v>
      </c>
      <c r="X857" s="151">
        <f>+VLOOKUP(PROVEEDORES[[#This Row],[ID RETENCION]],Retenciones!$A$1:$O$25,PROVEEDORES[[#This Row],[indicador de columna]],FALSE)</f>
        <v>0</v>
      </c>
      <c r="Y857" s="152">
        <f>+VLOOKUP(PROVEEDORES[[#This Row],[ID RETENCION]],Retenciones!$A$1:$O$25,2,FALSE)</f>
        <v>0</v>
      </c>
      <c r="Z857" s="153" t="b">
        <f>+OR(COUNTIF(PROVEEDORES[[#This Row],[PROVEEDOR]],"*"&amp;'Palabra que no opera y Listas d'!$A$2&amp;"*"))</f>
        <v>0</v>
      </c>
    </row>
    <row r="858" spans="1:26" ht="27.75" customHeight="1" x14ac:dyDescent="0.3">
      <c r="A858" s="144" t="str">
        <f>+IF(PROVEEDORES[[#This Row],[FECHA DE PAGO]]=PROVEEDORES[[#This Row],[FECHA DE FACTURACIÓN]],"DE CONTADO","CRÉDITO")</f>
        <v>CRÉDITO</v>
      </c>
      <c r="B858" s="144" t="str">
        <f>+IF((PROVEEDORES[[#This Row],[FECHA DE PAGO]]-PROVEEDORES[[#This Row],[FECHA DE FACTURACIÓN]])&gt;PROVEEDORES[[#This Row],[PLAZO Días]],"PAGO VENCIDO")</f>
        <v>PAGO VENCIDO</v>
      </c>
      <c r="C858" s="144">
        <f>+VLOOKUP(PROVEEDORES[[#This Row],[PROVEEDOR]],TERCEROS_INFO[#All],2,FALSE)</f>
        <v>0</v>
      </c>
      <c r="D858" s="145">
        <f>+SUMIFS(PROVEEDORES[Total],PROVEEDORES[PROVEEDOR],PROVEEDORES[[#This Row],[PROVEEDOR]],PROVEEDORES[FECHA DE PAGO],"")</f>
        <v>8493745.8849999998</v>
      </c>
      <c r="E858" s="146"/>
      <c r="F858" s="144" t="str">
        <f>+VLOOKUP(PROVEEDORES[[#This Row],[PROVEEDOR]],
                       Terceros!$A:$G,
                       5,
                       FALSE)</f>
        <v>2,5% con base</v>
      </c>
      <c r="G858" s="122">
        <v>45237</v>
      </c>
      <c r="H858" s="102" t="s">
        <v>10</v>
      </c>
      <c r="I858" s="122">
        <v>45188</v>
      </c>
      <c r="J858" s="103" t="s">
        <v>1071</v>
      </c>
      <c r="K858" s="103" t="s">
        <v>1512</v>
      </c>
      <c r="L858" s="103"/>
      <c r="M858" s="105">
        <v>2631937</v>
      </c>
      <c r="N858" s="147">
        <v>500068.03</v>
      </c>
      <c r="O858" s="147">
        <v>0</v>
      </c>
      <c r="P858" s="148">
        <v>2.5000000000000001E-2</v>
      </c>
      <c r="Q858" s="147">
        <v>65798.425000000003</v>
      </c>
      <c r="R858" s="149">
        <v>3066206.6050000004</v>
      </c>
      <c r="S8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8" s="150">
        <f ca="1">+IF(PROVEEDORES[[#This Row],[FECHA DE PAGO]]=0,TODAY()-PROVEEDORES[[#This Row],[FECHA DE FACTURACIÓN]]-PROVEEDORES[[#This Row],[PLAZO Días]],0)</f>
        <v>0</v>
      </c>
      <c r="U858" s="150">
        <f>+VLOOKUP(PROVEEDORES[[#This Row],[PROVEEDOR]],Terceros!$A:$E,4,FALSE)</f>
        <v>0.19</v>
      </c>
      <c r="V858" s="150">
        <f>+YEAR(PROVEEDORES[[#This Row],[FECHA DE FACTURACIÓN]])</f>
        <v>2023</v>
      </c>
      <c r="W858" s="150">
        <f>+MATCH(PROVEEDORES[[#This Row],[año facturado]],Retenciones!$1:$1,0)</f>
        <v>6</v>
      </c>
      <c r="X858" s="151" t="e">
        <f>+VLOOKUP(PROVEEDORES[[#This Row],[ID RETENCION]],Retenciones!$A$1:$O$25,PROVEEDORES[[#This Row],[indicador de columna]],FALSE)</f>
        <v>#N/A</v>
      </c>
      <c r="Y858" s="152" t="e">
        <f>+VLOOKUP(PROVEEDORES[[#This Row],[ID RETENCION]],Retenciones!$A$1:$O$25,2,FALSE)</f>
        <v>#N/A</v>
      </c>
      <c r="Z858" s="153" t="b">
        <f>+OR(COUNTIF(PROVEEDORES[[#This Row],[PROVEEDOR]],"*"&amp;'Palabra que no opera y Listas d'!$A$2&amp;"*"))</f>
        <v>0</v>
      </c>
    </row>
    <row r="859" spans="1:26" ht="27.75" customHeight="1" x14ac:dyDescent="0.3">
      <c r="A859" s="144" t="str">
        <f>+IF(PROVEEDORES[[#This Row],[FECHA DE PAGO]]=PROVEEDORES[[#This Row],[FECHA DE FACTURACIÓN]],"DE CONTADO","CRÉDITO")</f>
        <v>CRÉDITO</v>
      </c>
      <c r="B859" s="144" t="str">
        <f>+IF((PROVEEDORES[[#This Row],[FECHA DE PAGO]]-PROVEEDORES[[#This Row],[FECHA DE FACTURACIÓN]])&gt;PROVEEDORES[[#This Row],[PLAZO Días]],"PAGO VENCIDO")</f>
        <v>PAGO VENCIDO</v>
      </c>
      <c r="C859" s="144">
        <f>+VLOOKUP(PROVEEDORES[[#This Row],[PROVEEDOR]],TERCEROS_INFO[#All],2,FALSE)</f>
        <v>0</v>
      </c>
      <c r="D859" s="145">
        <f>+SUMIFS(PROVEEDORES[Total],PROVEEDORES[PROVEEDOR],PROVEEDORES[[#This Row],[PROVEEDOR]],PROVEEDORES[FECHA DE PAGO],"")</f>
        <v>3130000</v>
      </c>
      <c r="E859" s="146"/>
      <c r="F859" s="144">
        <f>+VLOOKUP(PROVEEDORES[[#This Row],[PROVEEDOR]],
                       Terceros!$A:$G,
                       5,
                       FALSE)</f>
        <v>0</v>
      </c>
      <c r="G859" s="122">
        <v>45237</v>
      </c>
      <c r="H859" s="102" t="s">
        <v>487</v>
      </c>
      <c r="I859" s="122">
        <v>45190</v>
      </c>
      <c r="J859" s="103">
        <v>5470</v>
      </c>
      <c r="K859" s="103" t="s">
        <v>1512</v>
      </c>
      <c r="L859" s="103"/>
      <c r="M859" s="105">
        <v>375000</v>
      </c>
      <c r="N859" s="147">
        <v>0</v>
      </c>
      <c r="O859" s="147">
        <v>0</v>
      </c>
      <c r="P859" s="148">
        <v>0</v>
      </c>
      <c r="Q859" s="147">
        <v>0</v>
      </c>
      <c r="R859" s="149">
        <v>375000</v>
      </c>
      <c r="S8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9" s="150">
        <f ca="1">+IF(PROVEEDORES[[#This Row],[FECHA DE PAGO]]=0,TODAY()-PROVEEDORES[[#This Row],[FECHA DE FACTURACIÓN]]-PROVEEDORES[[#This Row],[PLAZO Días]],0)</f>
        <v>0</v>
      </c>
      <c r="U859" s="150">
        <f>+VLOOKUP(PROVEEDORES[[#This Row],[PROVEEDOR]],Terceros!$A:$E,4,FALSE)</f>
        <v>0</v>
      </c>
      <c r="V859" s="150">
        <f>+YEAR(PROVEEDORES[[#This Row],[FECHA DE FACTURACIÓN]])</f>
        <v>2023</v>
      </c>
      <c r="W859" s="150">
        <f>+MATCH(PROVEEDORES[[#This Row],[año facturado]],Retenciones!$1:$1,0)</f>
        <v>6</v>
      </c>
      <c r="X859" s="151">
        <f>+VLOOKUP(PROVEEDORES[[#This Row],[ID RETENCION]],Retenciones!$A$1:$O$25,PROVEEDORES[[#This Row],[indicador de columna]],FALSE)</f>
        <v>0</v>
      </c>
      <c r="Y859" s="152">
        <f>+VLOOKUP(PROVEEDORES[[#This Row],[ID RETENCION]],Retenciones!$A$1:$O$25,2,FALSE)</f>
        <v>0</v>
      </c>
      <c r="Z859" s="153" t="b">
        <f>+OR(COUNTIF(PROVEEDORES[[#This Row],[PROVEEDOR]],"*"&amp;'Palabra que no opera y Listas d'!$A$2&amp;"*"))</f>
        <v>0</v>
      </c>
    </row>
    <row r="860" spans="1:26" ht="27.75" customHeight="1" x14ac:dyDescent="0.3">
      <c r="A860" s="144" t="str">
        <f>+IF(PROVEEDORES[[#This Row],[FECHA DE PAGO]]=PROVEEDORES[[#This Row],[FECHA DE FACTURACIÓN]],"DE CONTADO","CRÉDITO")</f>
        <v>CRÉDITO</v>
      </c>
      <c r="B860" s="144" t="str">
        <f>+IF((PROVEEDORES[[#This Row],[FECHA DE PAGO]]-PROVEEDORES[[#This Row],[FECHA DE FACTURACIÓN]])&gt;PROVEEDORES[[#This Row],[PLAZO Días]],"PAGO VENCIDO")</f>
        <v>PAGO VENCIDO</v>
      </c>
      <c r="C860" s="144">
        <f>+VLOOKUP(PROVEEDORES[[#This Row],[PROVEEDOR]],TERCEROS_INFO[#All],2,FALSE)</f>
        <v>0</v>
      </c>
      <c r="D860" s="145">
        <f>+SUMIFS(PROVEEDORES[Total],PROVEEDORES[PROVEEDOR],PROVEEDORES[[#This Row],[PROVEEDOR]],PROVEEDORES[FECHA DE PAGO],"")</f>
        <v>8493745.8849999998</v>
      </c>
      <c r="E860" s="146"/>
      <c r="F860" s="144" t="str">
        <f>+VLOOKUP(PROVEEDORES[[#This Row],[PROVEEDOR]],
                       Terceros!$A:$G,
                       5,
                       FALSE)</f>
        <v>2,5% con base</v>
      </c>
      <c r="G860" s="122">
        <v>45237</v>
      </c>
      <c r="H860" s="102" t="s">
        <v>10</v>
      </c>
      <c r="I860" s="122">
        <v>45197</v>
      </c>
      <c r="J860" s="103" t="s">
        <v>1093</v>
      </c>
      <c r="K860" s="103" t="s">
        <v>1512</v>
      </c>
      <c r="L860" s="103"/>
      <c r="M860" s="105">
        <v>2329416</v>
      </c>
      <c r="N860" s="147">
        <v>442589.04</v>
      </c>
      <c r="O860" s="147">
        <v>0</v>
      </c>
      <c r="P860" s="148">
        <v>2.5000000000000001E-2</v>
      </c>
      <c r="Q860" s="147">
        <v>58235.4</v>
      </c>
      <c r="R860" s="149">
        <v>2713769.64</v>
      </c>
      <c r="S8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0" s="150">
        <f ca="1">+IF(PROVEEDORES[[#This Row],[FECHA DE PAGO]]=0,TODAY()-PROVEEDORES[[#This Row],[FECHA DE FACTURACIÓN]]-PROVEEDORES[[#This Row],[PLAZO Días]],0)</f>
        <v>0</v>
      </c>
      <c r="U860" s="150">
        <f>+VLOOKUP(PROVEEDORES[[#This Row],[PROVEEDOR]],Terceros!$A:$E,4,FALSE)</f>
        <v>0.19</v>
      </c>
      <c r="V860" s="150">
        <f>+YEAR(PROVEEDORES[[#This Row],[FECHA DE FACTURACIÓN]])</f>
        <v>2023</v>
      </c>
      <c r="W860" s="150">
        <f>+MATCH(PROVEEDORES[[#This Row],[año facturado]],Retenciones!$1:$1,0)</f>
        <v>6</v>
      </c>
      <c r="X860" s="151" t="e">
        <f>+VLOOKUP(PROVEEDORES[[#This Row],[ID RETENCION]],Retenciones!$A$1:$O$25,PROVEEDORES[[#This Row],[indicador de columna]],FALSE)</f>
        <v>#N/A</v>
      </c>
      <c r="Y860" s="152" t="e">
        <f>+VLOOKUP(PROVEEDORES[[#This Row],[ID RETENCION]],Retenciones!$A$1:$O$25,2,FALSE)</f>
        <v>#N/A</v>
      </c>
      <c r="Z860" s="153" t="b">
        <f>+OR(COUNTIF(PROVEEDORES[[#This Row],[PROVEEDOR]],"*"&amp;'Palabra que no opera y Listas d'!$A$2&amp;"*"))</f>
        <v>0</v>
      </c>
    </row>
    <row r="861" spans="1:26" ht="27.75" customHeight="1" x14ac:dyDescent="0.3">
      <c r="A861" s="144" t="str">
        <f>+IF(PROVEEDORES[[#This Row],[FECHA DE PAGO]]=PROVEEDORES[[#This Row],[FECHA DE FACTURACIÓN]],"DE CONTADO","CRÉDITO")</f>
        <v>CRÉDITO</v>
      </c>
      <c r="B861" s="144" t="str">
        <f>+IF((PROVEEDORES[[#This Row],[FECHA DE PAGO]]-PROVEEDORES[[#This Row],[FECHA DE FACTURACIÓN]])&gt;PROVEEDORES[[#This Row],[PLAZO Días]],"PAGO VENCIDO")</f>
        <v>PAGO VENCIDO</v>
      </c>
      <c r="C861" s="144">
        <f>+VLOOKUP(PROVEEDORES[[#This Row],[PROVEEDOR]],TERCEROS_INFO[#All],2,FALSE)</f>
        <v>0</v>
      </c>
      <c r="D861" s="145">
        <f>+SUMIFS(PROVEEDORES[Total],PROVEEDORES[PROVEEDOR],PROVEEDORES[[#This Row],[PROVEEDOR]],PROVEEDORES[FECHA DE PAGO],"")</f>
        <v>28179645.060000002</v>
      </c>
      <c r="E861" s="146"/>
      <c r="F861" s="144">
        <f>+VLOOKUP(PROVEEDORES[[#This Row],[PROVEEDOR]],
                       Terceros!$A:$G,
                       5,
                       FALSE)</f>
        <v>0</v>
      </c>
      <c r="G861" s="122">
        <v>45237</v>
      </c>
      <c r="H861" s="102" t="s">
        <v>18</v>
      </c>
      <c r="I861" s="122">
        <v>45197</v>
      </c>
      <c r="J861" s="103" t="s">
        <v>1079</v>
      </c>
      <c r="K861" s="103" t="s">
        <v>1512</v>
      </c>
      <c r="L861" s="103"/>
      <c r="M861" s="105">
        <v>6110400</v>
      </c>
      <c r="N861" s="147">
        <v>1160976</v>
      </c>
      <c r="O861" s="147">
        <v>0</v>
      </c>
      <c r="P861" s="148">
        <v>0</v>
      </c>
      <c r="Q861" s="147">
        <v>0</v>
      </c>
      <c r="R861" s="149">
        <v>7271376</v>
      </c>
      <c r="S8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1" s="150">
        <f ca="1">+IF(PROVEEDORES[[#This Row],[FECHA DE PAGO]]=0,TODAY()-PROVEEDORES[[#This Row],[FECHA DE FACTURACIÓN]]-PROVEEDORES[[#This Row],[PLAZO Días]],0)</f>
        <v>0</v>
      </c>
      <c r="U861" s="150">
        <f>+VLOOKUP(PROVEEDORES[[#This Row],[PROVEEDOR]],Terceros!$A:$E,4,FALSE)</f>
        <v>0.19</v>
      </c>
      <c r="V861" s="150">
        <f>+YEAR(PROVEEDORES[[#This Row],[FECHA DE FACTURACIÓN]])</f>
        <v>2023</v>
      </c>
      <c r="W861" s="150">
        <f>+MATCH(PROVEEDORES[[#This Row],[año facturado]],Retenciones!$1:$1,0)</f>
        <v>6</v>
      </c>
      <c r="X861" s="151" t="e">
        <f>+VLOOKUP(PROVEEDORES[[#This Row],[ID RETENCION]],Retenciones!$A$1:$O$25,PROVEEDORES[[#This Row],[indicador de columna]],FALSE)</f>
        <v>#N/A</v>
      </c>
      <c r="Y861" s="152" t="e">
        <f>+VLOOKUP(PROVEEDORES[[#This Row],[ID RETENCION]],Retenciones!$A$1:$O$25,2,FALSE)</f>
        <v>#N/A</v>
      </c>
      <c r="Z861" s="153" t="b">
        <f>+OR(COUNTIF(PROVEEDORES[[#This Row],[PROVEEDOR]],"*"&amp;'Palabra que no opera y Listas d'!$A$2&amp;"*"))</f>
        <v>0</v>
      </c>
    </row>
    <row r="862" spans="1:26" ht="27.75" customHeight="1" x14ac:dyDescent="0.3">
      <c r="A862" s="144" t="str">
        <f>+IF(PROVEEDORES[[#This Row],[FECHA DE PAGO]]=PROVEEDORES[[#This Row],[FECHA DE FACTURACIÓN]],"DE CONTADO","CRÉDITO")</f>
        <v>CRÉDITO</v>
      </c>
      <c r="B862" s="144" t="str">
        <f>+IF((PROVEEDORES[[#This Row],[FECHA DE PAGO]]-PROVEEDORES[[#This Row],[FECHA DE FACTURACIÓN]])&gt;PROVEEDORES[[#This Row],[PLAZO Días]],"PAGO VENCIDO")</f>
        <v>PAGO VENCIDO</v>
      </c>
      <c r="C862" s="144">
        <f>+VLOOKUP(PROVEEDORES[[#This Row],[PROVEEDOR]],TERCEROS_INFO[#All],2,FALSE)</f>
        <v>0</v>
      </c>
      <c r="D862" s="145">
        <f>+SUMIFS(PROVEEDORES[Total],PROVEEDORES[PROVEEDOR],PROVEEDORES[[#This Row],[PROVEEDOR]],PROVEEDORES[FECHA DE PAGO],"")</f>
        <v>3130000</v>
      </c>
      <c r="E862" s="146"/>
      <c r="F862" s="144">
        <f>+VLOOKUP(PROVEEDORES[[#This Row],[PROVEEDOR]],
                       Terceros!$A:$G,
                       5,
                       FALSE)</f>
        <v>0</v>
      </c>
      <c r="G862" s="122">
        <v>45237</v>
      </c>
      <c r="H862" s="102" t="s">
        <v>487</v>
      </c>
      <c r="I862" s="122">
        <v>45198</v>
      </c>
      <c r="J862" s="103">
        <v>5729</v>
      </c>
      <c r="K862" s="103" t="s">
        <v>1512</v>
      </c>
      <c r="L862" s="103"/>
      <c r="M862" s="105">
        <v>1740000</v>
      </c>
      <c r="N862" s="147">
        <v>0</v>
      </c>
      <c r="O862" s="147">
        <v>0</v>
      </c>
      <c r="P862" s="148">
        <v>0</v>
      </c>
      <c r="Q862" s="147">
        <v>0</v>
      </c>
      <c r="R862" s="149">
        <v>1740000</v>
      </c>
      <c r="S8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2" s="150">
        <f ca="1">+IF(PROVEEDORES[[#This Row],[FECHA DE PAGO]]=0,TODAY()-PROVEEDORES[[#This Row],[FECHA DE FACTURACIÓN]]-PROVEEDORES[[#This Row],[PLAZO Días]],0)</f>
        <v>0</v>
      </c>
      <c r="U862" s="150">
        <f>+VLOOKUP(PROVEEDORES[[#This Row],[PROVEEDOR]],Terceros!$A:$E,4,FALSE)</f>
        <v>0</v>
      </c>
      <c r="V862" s="150">
        <f>+YEAR(PROVEEDORES[[#This Row],[FECHA DE FACTURACIÓN]])</f>
        <v>2023</v>
      </c>
      <c r="W862" s="150">
        <f>+MATCH(PROVEEDORES[[#This Row],[año facturado]],Retenciones!$1:$1,0)</f>
        <v>6</v>
      </c>
      <c r="X862" s="151">
        <f>+VLOOKUP(PROVEEDORES[[#This Row],[ID RETENCION]],Retenciones!$A$1:$O$25,PROVEEDORES[[#This Row],[indicador de columna]],FALSE)</f>
        <v>0</v>
      </c>
      <c r="Y862" s="152">
        <f>+VLOOKUP(PROVEEDORES[[#This Row],[ID RETENCION]],Retenciones!$A$1:$O$25,2,FALSE)</f>
        <v>0</v>
      </c>
      <c r="Z862" s="153" t="b">
        <f>+OR(COUNTIF(PROVEEDORES[[#This Row],[PROVEEDOR]],"*"&amp;'Palabra que no opera y Listas d'!$A$2&amp;"*"))</f>
        <v>0</v>
      </c>
    </row>
    <row r="863" spans="1:26" ht="27.75" customHeight="1" x14ac:dyDescent="0.3">
      <c r="A863" s="144" t="str">
        <f>+IF(PROVEEDORES[[#This Row],[FECHA DE PAGO]]=PROVEEDORES[[#This Row],[FECHA DE FACTURACIÓN]],"DE CONTADO","CRÉDITO")</f>
        <v>CRÉDITO</v>
      </c>
      <c r="B863" s="144" t="str">
        <f>+IF((PROVEEDORES[[#This Row],[FECHA DE PAGO]]-PROVEEDORES[[#This Row],[FECHA DE FACTURACIÓN]])&gt;PROVEEDORES[[#This Row],[PLAZO Días]],"PAGO VENCIDO")</f>
        <v>PAGO VENCIDO</v>
      </c>
      <c r="C863" s="144">
        <f>+VLOOKUP(PROVEEDORES[[#This Row],[PROVEEDOR]],TERCEROS_INFO[#All],2,FALSE)</f>
        <v>0</v>
      </c>
      <c r="D863" s="145">
        <f>+SUMIFS(PROVEEDORES[Total],PROVEEDORES[PROVEEDOR],PROVEEDORES[[#This Row],[PROVEEDOR]],PROVEEDORES[FECHA DE PAGO],"")</f>
        <v>0</v>
      </c>
      <c r="E863" s="146"/>
      <c r="F863" s="144" t="str">
        <f>+VLOOKUP(PROVEEDORES[[#This Row],[PROVEEDOR]],
                       Terceros!$A:$G,
                       5,
                       FALSE)</f>
        <v>2,5% con base</v>
      </c>
      <c r="G863" s="122">
        <v>45237</v>
      </c>
      <c r="H863" s="102" t="s">
        <v>1169</v>
      </c>
      <c r="I863" s="122">
        <v>45205</v>
      </c>
      <c r="J863" s="103" t="s">
        <v>1171</v>
      </c>
      <c r="K863" s="103" t="s">
        <v>1512</v>
      </c>
      <c r="L863" s="103"/>
      <c r="M863" s="105">
        <v>757984</v>
      </c>
      <c r="N863" s="147">
        <v>144016.95999999999</v>
      </c>
      <c r="O863" s="147">
        <v>0</v>
      </c>
      <c r="P863" s="148">
        <v>0</v>
      </c>
      <c r="Q863" s="147">
        <v>0</v>
      </c>
      <c r="R863" s="149">
        <v>902000.96</v>
      </c>
      <c r="S8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3" s="150">
        <f ca="1">+IF(PROVEEDORES[[#This Row],[FECHA DE PAGO]]=0,TODAY()-PROVEEDORES[[#This Row],[FECHA DE FACTURACIÓN]]-PROVEEDORES[[#This Row],[PLAZO Días]],0)</f>
        <v>0</v>
      </c>
      <c r="U863" s="150">
        <f>+VLOOKUP(PROVEEDORES[[#This Row],[PROVEEDOR]],Terceros!$A:$E,4,FALSE)</f>
        <v>0.19</v>
      </c>
      <c r="V863" s="150">
        <f>+YEAR(PROVEEDORES[[#This Row],[FECHA DE FACTURACIÓN]])</f>
        <v>2023</v>
      </c>
      <c r="W863" s="150">
        <f>+MATCH(PROVEEDORES[[#This Row],[año facturado]],Retenciones!$1:$1,0)</f>
        <v>6</v>
      </c>
      <c r="X863" s="151" t="e">
        <f>+VLOOKUP(PROVEEDORES[[#This Row],[ID RETENCION]],Retenciones!$A$1:$O$25,PROVEEDORES[[#This Row],[indicador de columna]],FALSE)</f>
        <v>#N/A</v>
      </c>
      <c r="Y863" s="152" t="e">
        <f>+VLOOKUP(PROVEEDORES[[#This Row],[ID RETENCION]],Retenciones!$A$1:$O$25,2,FALSE)</f>
        <v>#N/A</v>
      </c>
      <c r="Z863" s="153" t="b">
        <f>+OR(COUNTIF(PROVEEDORES[[#This Row],[PROVEEDOR]],"*"&amp;'Palabra que no opera y Listas d'!$A$2&amp;"*"))</f>
        <v>0</v>
      </c>
    </row>
    <row r="864" spans="1:26" ht="27.75" customHeight="1" x14ac:dyDescent="0.3">
      <c r="A864" s="144" t="str">
        <f>+IF(PROVEEDORES[[#This Row],[FECHA DE PAGO]]=PROVEEDORES[[#This Row],[FECHA DE FACTURACIÓN]],"DE CONTADO","CRÉDITO")</f>
        <v>DE CONTADO</v>
      </c>
      <c r="B864" s="144" t="b">
        <f>+IF((PROVEEDORES[[#This Row],[FECHA DE PAGO]]-PROVEEDORES[[#This Row],[FECHA DE FACTURACIÓN]])&gt;PROVEEDORES[[#This Row],[PLAZO Días]],"PAGO VENCIDO")</f>
        <v>0</v>
      </c>
      <c r="C864" s="144">
        <f>+VLOOKUP(PROVEEDORES[[#This Row],[PROVEEDOR]],TERCEROS_INFO[#All],2,FALSE)</f>
        <v>0</v>
      </c>
      <c r="D864" s="145">
        <f>+SUMIFS(PROVEEDORES[Total],PROVEEDORES[PROVEEDOR],PROVEEDORES[[#This Row],[PROVEEDOR]],PROVEEDORES[FECHA DE PAGO],"")</f>
        <v>0</v>
      </c>
      <c r="E864" s="146"/>
      <c r="F864" s="144">
        <f>+VLOOKUP(PROVEEDORES[[#This Row],[PROVEEDOR]],
                       Terceros!$A:$G,
                       5,
                       FALSE)</f>
        <v>0</v>
      </c>
      <c r="G864" s="122">
        <v>45237</v>
      </c>
      <c r="H864" s="102" t="s">
        <v>1801</v>
      </c>
      <c r="I864" s="122">
        <v>45237</v>
      </c>
      <c r="J864" s="103"/>
      <c r="K864" s="103" t="s">
        <v>1512</v>
      </c>
      <c r="L864" s="103"/>
      <c r="M864" s="105">
        <v>1000000</v>
      </c>
      <c r="N864" s="147">
        <v>0</v>
      </c>
      <c r="O864" s="147">
        <v>0</v>
      </c>
      <c r="P864" s="148">
        <v>0</v>
      </c>
      <c r="Q864" s="147">
        <v>0</v>
      </c>
      <c r="R864" s="149">
        <v>1000000</v>
      </c>
      <c r="S8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4" s="150">
        <f ca="1">+IF(PROVEEDORES[[#This Row],[FECHA DE PAGO]]=0,TODAY()-PROVEEDORES[[#This Row],[FECHA DE FACTURACIÓN]]-PROVEEDORES[[#This Row],[PLAZO Días]],0)</f>
        <v>0</v>
      </c>
      <c r="U864" s="150">
        <f>+VLOOKUP(PROVEEDORES[[#This Row],[PROVEEDOR]],Terceros!$A:$E,4,FALSE)</f>
        <v>0</v>
      </c>
      <c r="V864" s="150">
        <f>+YEAR(PROVEEDORES[[#This Row],[FECHA DE FACTURACIÓN]])</f>
        <v>2023</v>
      </c>
      <c r="W864" s="150">
        <f>+MATCH(PROVEEDORES[[#This Row],[año facturado]],Retenciones!$1:$1,0)</f>
        <v>6</v>
      </c>
      <c r="X864" s="151">
        <f>+VLOOKUP(PROVEEDORES[[#This Row],[ID RETENCION]],Retenciones!$A$1:$O$25,PROVEEDORES[[#This Row],[indicador de columna]],FALSE)</f>
        <v>0</v>
      </c>
      <c r="Y864" s="152">
        <f>+VLOOKUP(PROVEEDORES[[#This Row],[ID RETENCION]],Retenciones!$A$1:$O$25,2,FALSE)</f>
        <v>0</v>
      </c>
      <c r="Z864" s="153" t="b">
        <f>+OR(COUNTIF(PROVEEDORES[[#This Row],[PROVEEDOR]],"*"&amp;'Palabra que no opera y Listas d'!$A$2&amp;"*"))</f>
        <v>0</v>
      </c>
    </row>
    <row r="865" spans="1:26" ht="27.75" customHeight="1" x14ac:dyDescent="0.3">
      <c r="A865" s="144" t="str">
        <f>+IF(PROVEEDORES[[#This Row],[FECHA DE PAGO]]=PROVEEDORES[[#This Row],[FECHA DE FACTURACIÓN]],"DE CONTADO","CRÉDITO")</f>
        <v>DE CONTADO</v>
      </c>
      <c r="B865" s="144" t="b">
        <f>+IF((PROVEEDORES[[#This Row],[FECHA DE PAGO]]-PROVEEDORES[[#This Row],[FECHA DE FACTURACIÓN]])&gt;PROVEEDORES[[#This Row],[PLAZO Días]],"PAGO VENCIDO")</f>
        <v>0</v>
      </c>
      <c r="C865" s="144">
        <f>+VLOOKUP(PROVEEDORES[[#This Row],[PROVEEDOR]],TERCEROS_INFO[#All],2,FALSE)</f>
        <v>0</v>
      </c>
      <c r="D865" s="145">
        <f>+SUMIFS(PROVEEDORES[Total],PROVEEDORES[PROVEEDOR],PROVEEDORES[[#This Row],[PROVEEDOR]],PROVEEDORES[FECHA DE PAGO],"")</f>
        <v>3130000</v>
      </c>
      <c r="E865" s="146"/>
      <c r="F865" s="144">
        <f>+VLOOKUP(PROVEEDORES[[#This Row],[PROVEEDOR]],
                       Terceros!$A:$G,
                       5,
                       FALSE)</f>
        <v>0</v>
      </c>
      <c r="G865" s="122">
        <v>45237</v>
      </c>
      <c r="H865" s="102" t="s">
        <v>487</v>
      </c>
      <c r="I865" s="122">
        <v>45237</v>
      </c>
      <c r="J865" s="103" t="s">
        <v>1247</v>
      </c>
      <c r="K865" s="103" t="s">
        <v>1512</v>
      </c>
      <c r="L865" s="103"/>
      <c r="M865" s="105">
        <v>400000</v>
      </c>
      <c r="N865" s="147">
        <v>0</v>
      </c>
      <c r="O865" s="147">
        <v>0</v>
      </c>
      <c r="P865" s="148">
        <v>0</v>
      </c>
      <c r="Q865" s="147">
        <v>0</v>
      </c>
      <c r="R865" s="149">
        <v>400000</v>
      </c>
      <c r="S8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5" s="150">
        <f ca="1">+IF(PROVEEDORES[[#This Row],[FECHA DE PAGO]]=0,TODAY()-PROVEEDORES[[#This Row],[FECHA DE FACTURACIÓN]]-PROVEEDORES[[#This Row],[PLAZO Días]],0)</f>
        <v>0</v>
      </c>
      <c r="U865" s="150">
        <f>+VLOOKUP(PROVEEDORES[[#This Row],[PROVEEDOR]],Terceros!$A:$E,4,FALSE)</f>
        <v>0</v>
      </c>
      <c r="V865" s="150">
        <f>+YEAR(PROVEEDORES[[#This Row],[FECHA DE FACTURACIÓN]])</f>
        <v>2023</v>
      </c>
      <c r="W865" s="150">
        <f>+MATCH(PROVEEDORES[[#This Row],[año facturado]],Retenciones!$1:$1,0)</f>
        <v>6</v>
      </c>
      <c r="X865" s="151">
        <f>+VLOOKUP(PROVEEDORES[[#This Row],[ID RETENCION]],Retenciones!$A$1:$O$25,PROVEEDORES[[#This Row],[indicador de columna]],FALSE)</f>
        <v>0</v>
      </c>
      <c r="Y865" s="152">
        <f>+VLOOKUP(PROVEEDORES[[#This Row],[ID RETENCION]],Retenciones!$A$1:$O$25,2,FALSE)</f>
        <v>0</v>
      </c>
      <c r="Z865" s="153" t="b">
        <f>+OR(COUNTIF(PROVEEDORES[[#This Row],[PROVEEDOR]],"*"&amp;'Palabra que no opera y Listas d'!$A$2&amp;"*"))</f>
        <v>0</v>
      </c>
    </row>
    <row r="866" spans="1:26" ht="27.75" customHeight="1" x14ac:dyDescent="0.3">
      <c r="A866" s="144" t="str">
        <f>+IF(PROVEEDORES[[#This Row],[FECHA DE PAGO]]=PROVEEDORES[[#This Row],[FECHA DE FACTURACIÓN]],"DE CONTADO","CRÉDITO")</f>
        <v>CRÉDITO</v>
      </c>
      <c r="B866" s="144" t="str">
        <f>+IF((PROVEEDORES[[#This Row],[FECHA DE PAGO]]-PROVEEDORES[[#This Row],[FECHA DE FACTURACIÓN]])&gt;PROVEEDORES[[#This Row],[PLAZO Días]],"PAGO VENCIDO")</f>
        <v>PAGO VENCIDO</v>
      </c>
      <c r="C866" s="144">
        <f>+VLOOKUP(PROVEEDORES[[#This Row],[PROVEEDOR]],TERCEROS_INFO[#All],2,FALSE)</f>
        <v>0</v>
      </c>
      <c r="D866" s="145">
        <f>+SUMIFS(PROVEEDORES[Total],PROVEEDORES[PROVEEDOR],PROVEEDORES[[#This Row],[PROVEEDOR]],PROVEEDORES[FECHA DE PAGO],"")</f>
        <v>0</v>
      </c>
      <c r="E866" s="146"/>
      <c r="F866" s="144">
        <f>+VLOOKUP(PROVEEDORES[[#This Row],[PROVEEDOR]],
                       Terceros!$A:$G,
                       5,
                       FALSE)</f>
        <v>0</v>
      </c>
      <c r="G866" s="122">
        <v>45239</v>
      </c>
      <c r="H866" s="102" t="s">
        <v>1797</v>
      </c>
      <c r="I866" s="122">
        <v>45140</v>
      </c>
      <c r="J866" s="103">
        <v>328151</v>
      </c>
      <c r="K866" s="103" t="s">
        <v>1512</v>
      </c>
      <c r="L866" s="103"/>
      <c r="M866" s="105">
        <v>780000</v>
      </c>
      <c r="N866" s="147">
        <v>0</v>
      </c>
      <c r="O866" s="147">
        <v>0</v>
      </c>
      <c r="P866" s="148">
        <v>0</v>
      </c>
      <c r="Q866" s="147">
        <v>0</v>
      </c>
      <c r="R866" s="149">
        <v>780000</v>
      </c>
      <c r="S8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6" s="150">
        <f ca="1">+IF(PROVEEDORES[[#This Row],[FECHA DE PAGO]]=0,TODAY()-PROVEEDORES[[#This Row],[FECHA DE FACTURACIÓN]]-PROVEEDORES[[#This Row],[PLAZO Días]],0)</f>
        <v>0</v>
      </c>
      <c r="U866" s="150">
        <f>+VLOOKUP(PROVEEDORES[[#This Row],[PROVEEDOR]],Terceros!$A:$E,4,FALSE)</f>
        <v>0</v>
      </c>
      <c r="V866" s="150">
        <f>+YEAR(PROVEEDORES[[#This Row],[FECHA DE FACTURACIÓN]])</f>
        <v>2023</v>
      </c>
      <c r="W866" s="150">
        <f>+MATCH(PROVEEDORES[[#This Row],[año facturado]],Retenciones!$1:$1,0)</f>
        <v>6</v>
      </c>
      <c r="X866" s="151">
        <f>+VLOOKUP(PROVEEDORES[[#This Row],[ID RETENCION]],Retenciones!$A$1:$O$25,PROVEEDORES[[#This Row],[indicador de columna]],FALSE)</f>
        <v>0</v>
      </c>
      <c r="Y866" s="152">
        <f>+VLOOKUP(PROVEEDORES[[#This Row],[ID RETENCION]],Retenciones!$A$1:$O$25,2,FALSE)</f>
        <v>0</v>
      </c>
      <c r="Z866" s="153" t="b">
        <f>+OR(COUNTIF(PROVEEDORES[[#This Row],[PROVEEDOR]],"*"&amp;'Palabra que no opera y Listas d'!$A$2&amp;"*"))</f>
        <v>0</v>
      </c>
    </row>
    <row r="867" spans="1:26" ht="27.75" customHeight="1" x14ac:dyDescent="0.3">
      <c r="A867" s="144" t="str">
        <f>+IF(PROVEEDORES[[#This Row],[FECHA DE PAGO]]=PROVEEDORES[[#This Row],[FECHA DE FACTURACIÓN]],"DE CONTADO","CRÉDITO")</f>
        <v>CRÉDITO</v>
      </c>
      <c r="B867" s="144" t="str">
        <f>+IF((PROVEEDORES[[#This Row],[FECHA DE PAGO]]-PROVEEDORES[[#This Row],[FECHA DE FACTURACIÓN]])&gt;PROVEEDORES[[#This Row],[PLAZO Días]],"PAGO VENCIDO")</f>
        <v>PAGO VENCIDO</v>
      </c>
      <c r="C867" s="144">
        <f>+VLOOKUP(PROVEEDORES[[#This Row],[PROVEEDOR]],TERCEROS_INFO[#All],2,FALSE)</f>
        <v>0</v>
      </c>
      <c r="D867" s="145">
        <f>+SUMIFS(PROVEEDORES[Total],PROVEEDORES[PROVEEDOR],PROVEEDORES[[#This Row],[PROVEEDOR]],PROVEEDORES[FECHA DE PAGO],"")</f>
        <v>0</v>
      </c>
      <c r="E867" s="146"/>
      <c r="F867" s="144">
        <f>+VLOOKUP(PROVEEDORES[[#This Row],[PROVEEDOR]],
                       Terceros!$A:$G,
                       5,
                       FALSE)</f>
        <v>0</v>
      </c>
      <c r="G867" s="122">
        <v>45239</v>
      </c>
      <c r="H867" s="102" t="s">
        <v>1797</v>
      </c>
      <c r="I867" s="122">
        <v>45177</v>
      </c>
      <c r="J867" s="103">
        <v>550829</v>
      </c>
      <c r="K867" s="103" t="s">
        <v>1512</v>
      </c>
      <c r="L867" s="103"/>
      <c r="M867" s="105">
        <v>130000</v>
      </c>
      <c r="N867" s="147">
        <v>0</v>
      </c>
      <c r="O867" s="147">
        <v>0</v>
      </c>
      <c r="P867" s="148">
        <v>0</v>
      </c>
      <c r="Q867" s="147">
        <v>0</v>
      </c>
      <c r="R867" s="149">
        <v>130000</v>
      </c>
      <c r="S8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7" s="150">
        <f ca="1">+IF(PROVEEDORES[[#This Row],[FECHA DE PAGO]]=0,TODAY()-PROVEEDORES[[#This Row],[FECHA DE FACTURACIÓN]]-PROVEEDORES[[#This Row],[PLAZO Días]],0)</f>
        <v>0</v>
      </c>
      <c r="U867" s="150">
        <f>+VLOOKUP(PROVEEDORES[[#This Row],[PROVEEDOR]],Terceros!$A:$E,4,FALSE)</f>
        <v>0</v>
      </c>
      <c r="V867" s="150">
        <f>+YEAR(PROVEEDORES[[#This Row],[FECHA DE FACTURACIÓN]])</f>
        <v>2023</v>
      </c>
      <c r="W867" s="150">
        <f>+MATCH(PROVEEDORES[[#This Row],[año facturado]],Retenciones!$1:$1,0)</f>
        <v>6</v>
      </c>
      <c r="X867" s="151">
        <f>+VLOOKUP(PROVEEDORES[[#This Row],[ID RETENCION]],Retenciones!$A$1:$O$25,PROVEEDORES[[#This Row],[indicador de columna]],FALSE)</f>
        <v>0</v>
      </c>
      <c r="Y867" s="152">
        <f>+VLOOKUP(PROVEEDORES[[#This Row],[ID RETENCION]],Retenciones!$A$1:$O$25,2,FALSE)</f>
        <v>0</v>
      </c>
      <c r="Z867" s="153" t="b">
        <f>+OR(COUNTIF(PROVEEDORES[[#This Row],[PROVEEDOR]],"*"&amp;'Palabra que no opera y Listas d'!$A$2&amp;"*"))</f>
        <v>0</v>
      </c>
    </row>
    <row r="868" spans="1:26" ht="27.75" customHeight="1" x14ac:dyDescent="0.3">
      <c r="A868" s="144" t="str">
        <f>+IF(PROVEEDORES[[#This Row],[FECHA DE PAGO]]=PROVEEDORES[[#This Row],[FECHA DE FACTURACIÓN]],"DE CONTADO","CRÉDITO")</f>
        <v>CRÉDITO</v>
      </c>
      <c r="B868" s="144" t="str">
        <f>+IF((PROVEEDORES[[#This Row],[FECHA DE PAGO]]-PROVEEDORES[[#This Row],[FECHA DE FACTURACIÓN]])&gt;PROVEEDORES[[#This Row],[PLAZO Días]],"PAGO VENCIDO")</f>
        <v>PAGO VENCIDO</v>
      </c>
      <c r="C868" s="144">
        <f>+VLOOKUP(PROVEEDORES[[#This Row],[PROVEEDOR]],TERCEROS_INFO[#All],2,FALSE)</f>
        <v>0</v>
      </c>
      <c r="D868" s="145">
        <f>+SUMIFS(PROVEEDORES[Total],PROVEEDORES[PROVEEDOR],PROVEEDORES[[#This Row],[PROVEEDOR]],PROVEEDORES[FECHA DE PAGO],"")</f>
        <v>3461120</v>
      </c>
      <c r="E868" s="146"/>
      <c r="F868" s="144" t="str">
        <f>+VLOOKUP(PROVEEDORES[[#This Row],[PROVEEDOR]],
                       Terceros!$A:$G,
                       5,
                       FALSE)</f>
        <v>2,5% con base</v>
      </c>
      <c r="G868" s="122">
        <v>45239</v>
      </c>
      <c r="H868" s="102" t="s">
        <v>9</v>
      </c>
      <c r="I868" s="122">
        <v>45184</v>
      </c>
      <c r="J868" s="103" t="s">
        <v>1068</v>
      </c>
      <c r="K868" s="103" t="s">
        <v>1512</v>
      </c>
      <c r="L868" s="103"/>
      <c r="M868" s="105">
        <v>2520000</v>
      </c>
      <c r="N868" s="147">
        <v>478800</v>
      </c>
      <c r="O868" s="147">
        <v>0</v>
      </c>
      <c r="P868" s="148">
        <v>2.5000000000000001E-2</v>
      </c>
      <c r="Q868" s="147">
        <v>63000</v>
      </c>
      <c r="R868" s="149">
        <v>2935800</v>
      </c>
      <c r="S8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8" s="150">
        <f ca="1">+IF(PROVEEDORES[[#This Row],[FECHA DE PAGO]]=0,TODAY()-PROVEEDORES[[#This Row],[FECHA DE FACTURACIÓN]]-PROVEEDORES[[#This Row],[PLAZO Días]],0)</f>
        <v>0</v>
      </c>
      <c r="U868" s="150">
        <f>+VLOOKUP(PROVEEDORES[[#This Row],[PROVEEDOR]],Terceros!$A:$E,4,FALSE)</f>
        <v>0.19</v>
      </c>
      <c r="V868" s="150">
        <f>+YEAR(PROVEEDORES[[#This Row],[FECHA DE FACTURACIÓN]])</f>
        <v>2023</v>
      </c>
      <c r="W868" s="150">
        <f>+MATCH(PROVEEDORES[[#This Row],[año facturado]],Retenciones!$1:$1,0)</f>
        <v>6</v>
      </c>
      <c r="X868" s="151" t="e">
        <f>+VLOOKUP(PROVEEDORES[[#This Row],[ID RETENCION]],Retenciones!$A$1:$O$25,PROVEEDORES[[#This Row],[indicador de columna]],FALSE)</f>
        <v>#N/A</v>
      </c>
      <c r="Y868" s="152" t="e">
        <f>+VLOOKUP(PROVEEDORES[[#This Row],[ID RETENCION]],Retenciones!$A$1:$O$25,2,FALSE)</f>
        <v>#N/A</v>
      </c>
      <c r="Z868" s="153" t="b">
        <f>+OR(COUNTIF(PROVEEDORES[[#This Row],[PROVEEDOR]],"*"&amp;'Palabra que no opera y Listas d'!$A$2&amp;"*"))</f>
        <v>0</v>
      </c>
    </row>
    <row r="869" spans="1:26" ht="27.75" customHeight="1" x14ac:dyDescent="0.3">
      <c r="A869" s="144" t="str">
        <f>+IF(PROVEEDORES[[#This Row],[FECHA DE PAGO]]=PROVEEDORES[[#This Row],[FECHA DE FACTURACIÓN]],"DE CONTADO","CRÉDITO")</f>
        <v>CRÉDITO</v>
      </c>
      <c r="B869" s="144" t="str">
        <f>+IF((PROVEEDORES[[#This Row],[FECHA DE PAGO]]-PROVEEDORES[[#This Row],[FECHA DE FACTURACIÓN]])&gt;PROVEEDORES[[#This Row],[PLAZO Días]],"PAGO VENCIDO")</f>
        <v>PAGO VENCIDO</v>
      </c>
      <c r="C869" s="144">
        <f>+VLOOKUP(PROVEEDORES[[#This Row],[PROVEEDOR]],TERCEROS_INFO[#All],2,FALSE)</f>
        <v>0</v>
      </c>
      <c r="D869" s="145">
        <f>+SUMIFS(PROVEEDORES[Total],PROVEEDORES[PROVEEDOR],PROVEEDORES[[#This Row],[PROVEEDOR]],PROVEEDORES[FECHA DE PAGO],"")</f>
        <v>31839627.134999998</v>
      </c>
      <c r="E869" s="146"/>
      <c r="F869" s="144" t="str">
        <f>+VLOOKUP(PROVEEDORES[[#This Row],[PROVEEDOR]],
                       Terceros!$A:$G,
                       5,
                       FALSE)</f>
        <v>2,5% con base</v>
      </c>
      <c r="G869" s="122">
        <v>45239</v>
      </c>
      <c r="H869" s="102" t="s">
        <v>17</v>
      </c>
      <c r="I869" s="122">
        <v>45190</v>
      </c>
      <c r="J869" s="103" t="s">
        <v>1076</v>
      </c>
      <c r="K869" s="103" t="s">
        <v>1512</v>
      </c>
      <c r="L869" s="103"/>
      <c r="M869" s="105">
        <v>804018</v>
      </c>
      <c r="N869" s="147">
        <v>152763.42000000001</v>
      </c>
      <c r="O869" s="147">
        <v>0</v>
      </c>
      <c r="P869" s="148">
        <v>0</v>
      </c>
      <c r="Q869" s="147">
        <v>0</v>
      </c>
      <c r="R869" s="149">
        <v>956781.42</v>
      </c>
      <c r="S8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9" s="150">
        <f ca="1">+IF(PROVEEDORES[[#This Row],[FECHA DE PAGO]]=0,TODAY()-PROVEEDORES[[#This Row],[FECHA DE FACTURACIÓN]]-PROVEEDORES[[#This Row],[PLAZO Días]],0)</f>
        <v>0</v>
      </c>
      <c r="U869" s="150">
        <f>+VLOOKUP(PROVEEDORES[[#This Row],[PROVEEDOR]],Terceros!$A:$E,4,FALSE)</f>
        <v>0.19</v>
      </c>
      <c r="V869" s="150">
        <f>+YEAR(PROVEEDORES[[#This Row],[FECHA DE FACTURACIÓN]])</f>
        <v>2023</v>
      </c>
      <c r="W869" s="150">
        <f>+MATCH(PROVEEDORES[[#This Row],[año facturado]],Retenciones!$1:$1,0)</f>
        <v>6</v>
      </c>
      <c r="X869" s="151" t="e">
        <f>+VLOOKUP(PROVEEDORES[[#This Row],[ID RETENCION]],Retenciones!$A$1:$O$25,PROVEEDORES[[#This Row],[indicador de columna]],FALSE)</f>
        <v>#N/A</v>
      </c>
      <c r="Y869" s="152" t="e">
        <f>+VLOOKUP(PROVEEDORES[[#This Row],[ID RETENCION]],Retenciones!$A$1:$O$25,2,FALSE)</f>
        <v>#N/A</v>
      </c>
      <c r="Z869" s="153" t="b">
        <f>+OR(COUNTIF(PROVEEDORES[[#This Row],[PROVEEDOR]],"*"&amp;'Palabra que no opera y Listas d'!$A$2&amp;"*"))</f>
        <v>0</v>
      </c>
    </row>
    <row r="870" spans="1:26" ht="27.75" customHeight="1" x14ac:dyDescent="0.3">
      <c r="A870" s="144" t="str">
        <f>+IF(PROVEEDORES[[#This Row],[FECHA DE PAGO]]=PROVEEDORES[[#This Row],[FECHA DE FACTURACIÓN]],"DE CONTADO","CRÉDITO")</f>
        <v>CRÉDITO</v>
      </c>
      <c r="B870" s="144" t="str">
        <f>+IF((PROVEEDORES[[#This Row],[FECHA DE PAGO]]-PROVEEDORES[[#This Row],[FECHA DE FACTURACIÓN]])&gt;PROVEEDORES[[#This Row],[PLAZO Días]],"PAGO VENCIDO")</f>
        <v>PAGO VENCIDO</v>
      </c>
      <c r="C870" s="144">
        <f>+VLOOKUP(PROVEEDORES[[#This Row],[PROVEEDOR]],TERCEROS_INFO[#All],2,FALSE)</f>
        <v>0</v>
      </c>
      <c r="D870" s="145">
        <f>+SUMIFS(PROVEEDORES[Total],PROVEEDORES[PROVEEDOR],PROVEEDORES[[#This Row],[PROVEEDOR]],PROVEEDORES[FECHA DE PAGO],"")</f>
        <v>31839627.134999998</v>
      </c>
      <c r="E870" s="146"/>
      <c r="F870" s="144" t="str">
        <f>+VLOOKUP(PROVEEDORES[[#This Row],[PROVEEDOR]],
                       Terceros!$A:$G,
                       5,
                       FALSE)</f>
        <v>2,5% con base</v>
      </c>
      <c r="G870" s="122">
        <v>45239</v>
      </c>
      <c r="H870" s="102" t="s">
        <v>17</v>
      </c>
      <c r="I870" s="122">
        <v>45198</v>
      </c>
      <c r="J870" s="103" t="s">
        <v>1100</v>
      </c>
      <c r="K870" s="103" t="s">
        <v>1512</v>
      </c>
      <c r="L870" s="103"/>
      <c r="M870" s="105">
        <v>2031499</v>
      </c>
      <c r="N870" s="147">
        <v>385984.81</v>
      </c>
      <c r="O870" s="147">
        <v>0</v>
      </c>
      <c r="P870" s="148">
        <v>2.5000000000000001E-2</v>
      </c>
      <c r="Q870" s="147">
        <v>50787.475000000006</v>
      </c>
      <c r="R870" s="149">
        <v>2366696.335</v>
      </c>
      <c r="S8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0" s="150">
        <f ca="1">+IF(PROVEEDORES[[#This Row],[FECHA DE PAGO]]=0,TODAY()-PROVEEDORES[[#This Row],[FECHA DE FACTURACIÓN]]-PROVEEDORES[[#This Row],[PLAZO Días]],0)</f>
        <v>0</v>
      </c>
      <c r="U870" s="150">
        <f>+VLOOKUP(PROVEEDORES[[#This Row],[PROVEEDOR]],Terceros!$A:$E,4,FALSE)</f>
        <v>0.19</v>
      </c>
      <c r="V870" s="150">
        <f>+YEAR(PROVEEDORES[[#This Row],[FECHA DE FACTURACIÓN]])</f>
        <v>2023</v>
      </c>
      <c r="W870" s="150">
        <f>+MATCH(PROVEEDORES[[#This Row],[año facturado]],Retenciones!$1:$1,0)</f>
        <v>6</v>
      </c>
      <c r="X870" s="151" t="e">
        <f>+VLOOKUP(PROVEEDORES[[#This Row],[ID RETENCION]],Retenciones!$A$1:$O$25,PROVEEDORES[[#This Row],[indicador de columna]],FALSE)</f>
        <v>#N/A</v>
      </c>
      <c r="Y870" s="152" t="e">
        <f>+VLOOKUP(PROVEEDORES[[#This Row],[ID RETENCION]],Retenciones!$A$1:$O$25,2,FALSE)</f>
        <v>#N/A</v>
      </c>
      <c r="Z870" s="153" t="b">
        <f>+OR(COUNTIF(PROVEEDORES[[#This Row],[PROVEEDOR]],"*"&amp;'Palabra que no opera y Listas d'!$A$2&amp;"*"))</f>
        <v>0</v>
      </c>
    </row>
    <row r="871" spans="1:26" ht="27.75" customHeight="1" x14ac:dyDescent="0.3">
      <c r="A871" s="144" t="str">
        <f>+IF(PROVEEDORES[[#This Row],[FECHA DE PAGO]]=PROVEEDORES[[#This Row],[FECHA DE FACTURACIÓN]],"DE CONTADO","CRÉDITO")</f>
        <v>CRÉDITO</v>
      </c>
      <c r="B871" s="144" t="str">
        <f>+IF((PROVEEDORES[[#This Row],[FECHA DE PAGO]]-PROVEEDORES[[#This Row],[FECHA DE FACTURACIÓN]])&gt;PROVEEDORES[[#This Row],[PLAZO Días]],"PAGO VENCIDO")</f>
        <v>PAGO VENCIDO</v>
      </c>
      <c r="C871" s="144">
        <f>+VLOOKUP(PROVEEDORES[[#This Row],[PROVEEDOR]],TERCEROS_INFO[#All],2,FALSE)</f>
        <v>0</v>
      </c>
      <c r="D871" s="145">
        <f>+SUMIFS(PROVEEDORES[Total],PROVEEDORES[PROVEEDOR],PROVEEDORES[[#This Row],[PROVEEDOR]],PROVEEDORES[FECHA DE PAGO],"")</f>
        <v>31839627.134999998</v>
      </c>
      <c r="E871" s="146"/>
      <c r="F871" s="144" t="str">
        <f>+VLOOKUP(PROVEEDORES[[#This Row],[PROVEEDOR]],
                       Terceros!$A:$G,
                       5,
                       FALSE)</f>
        <v>2,5% con base</v>
      </c>
      <c r="G871" s="122">
        <v>45239</v>
      </c>
      <c r="H871" s="102" t="s">
        <v>17</v>
      </c>
      <c r="I871" s="122">
        <v>45203</v>
      </c>
      <c r="J871" s="103" t="s">
        <v>1099</v>
      </c>
      <c r="K871" s="103" t="s">
        <v>1512</v>
      </c>
      <c r="L871" s="103"/>
      <c r="M871" s="105">
        <v>3099280</v>
      </c>
      <c r="N871" s="147">
        <v>588863.19999999995</v>
      </c>
      <c r="O871" s="147">
        <v>0</v>
      </c>
      <c r="P871" s="148">
        <v>2.5000000000000001E-2</v>
      </c>
      <c r="Q871" s="147">
        <v>77482</v>
      </c>
      <c r="R871" s="149">
        <v>3610661.2</v>
      </c>
      <c r="S8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1" s="150">
        <f ca="1">+IF(PROVEEDORES[[#This Row],[FECHA DE PAGO]]=0,TODAY()-PROVEEDORES[[#This Row],[FECHA DE FACTURACIÓN]]-PROVEEDORES[[#This Row],[PLAZO Días]],0)</f>
        <v>0</v>
      </c>
      <c r="U871" s="150">
        <f>+VLOOKUP(PROVEEDORES[[#This Row],[PROVEEDOR]],Terceros!$A:$E,4,FALSE)</f>
        <v>0.19</v>
      </c>
      <c r="V871" s="150">
        <f>+YEAR(PROVEEDORES[[#This Row],[FECHA DE FACTURACIÓN]])</f>
        <v>2023</v>
      </c>
      <c r="W871" s="150">
        <f>+MATCH(PROVEEDORES[[#This Row],[año facturado]],Retenciones!$1:$1,0)</f>
        <v>6</v>
      </c>
      <c r="X871" s="151" t="e">
        <f>+VLOOKUP(PROVEEDORES[[#This Row],[ID RETENCION]],Retenciones!$A$1:$O$25,PROVEEDORES[[#This Row],[indicador de columna]],FALSE)</f>
        <v>#N/A</v>
      </c>
      <c r="Y871" s="152" t="e">
        <f>+VLOOKUP(PROVEEDORES[[#This Row],[ID RETENCION]],Retenciones!$A$1:$O$25,2,FALSE)</f>
        <v>#N/A</v>
      </c>
      <c r="Z871" s="153" t="b">
        <f>+OR(COUNTIF(PROVEEDORES[[#This Row],[PROVEEDOR]],"*"&amp;'Palabra que no opera y Listas d'!$A$2&amp;"*"))</f>
        <v>0</v>
      </c>
    </row>
    <row r="872" spans="1:26" ht="27.75" customHeight="1" x14ac:dyDescent="0.3">
      <c r="A872" s="144" t="str">
        <f>+IF(PROVEEDORES[[#This Row],[FECHA DE PAGO]]=PROVEEDORES[[#This Row],[FECHA DE FACTURACIÓN]],"DE CONTADO","CRÉDITO")</f>
        <v>CRÉDITO</v>
      </c>
      <c r="B872" s="144" t="str">
        <f>+IF((PROVEEDORES[[#This Row],[FECHA DE PAGO]]-PROVEEDORES[[#This Row],[FECHA DE FACTURACIÓN]])&gt;PROVEEDORES[[#This Row],[PLAZO Días]],"PAGO VENCIDO")</f>
        <v>PAGO VENCIDO</v>
      </c>
      <c r="C872" s="144">
        <f>+VLOOKUP(PROVEEDORES[[#This Row],[PROVEEDOR]],TERCEROS_INFO[#All],2,FALSE)</f>
        <v>0</v>
      </c>
      <c r="D872" s="145">
        <f>+SUMIFS(PROVEEDORES[Total],PROVEEDORES[PROVEEDOR],PROVEEDORES[[#This Row],[PROVEEDOR]],PROVEEDORES[FECHA DE PAGO],"")</f>
        <v>0</v>
      </c>
      <c r="E872" s="146"/>
      <c r="F872" s="144">
        <f>+VLOOKUP(PROVEEDORES[[#This Row],[PROVEEDOR]],
                       Terceros!$A:$G,
                       5,
                       FALSE)</f>
        <v>0</v>
      </c>
      <c r="G872" s="122">
        <v>45239</v>
      </c>
      <c r="H872" s="102" t="s">
        <v>402</v>
      </c>
      <c r="I872" s="122">
        <v>45231</v>
      </c>
      <c r="J872" s="103" t="s">
        <v>456</v>
      </c>
      <c r="K872" s="103" t="s">
        <v>1512</v>
      </c>
      <c r="L872" s="103"/>
      <c r="M872" s="105">
        <v>129083</v>
      </c>
      <c r="N872" s="147">
        <v>0</v>
      </c>
      <c r="O872" s="147">
        <v>0</v>
      </c>
      <c r="P872" s="148">
        <v>0</v>
      </c>
      <c r="Q872" s="147">
        <v>0</v>
      </c>
      <c r="R872" s="149">
        <v>129083</v>
      </c>
      <c r="S8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2" s="150">
        <f ca="1">+IF(PROVEEDORES[[#This Row],[FECHA DE PAGO]]=0,TODAY()-PROVEEDORES[[#This Row],[FECHA DE FACTURACIÓN]]-PROVEEDORES[[#This Row],[PLAZO Días]],0)</f>
        <v>0</v>
      </c>
      <c r="U872" s="150">
        <f>+VLOOKUP(PROVEEDORES[[#This Row],[PROVEEDOR]],Terceros!$A:$E,4,FALSE)</f>
        <v>0</v>
      </c>
      <c r="V872" s="150">
        <f>+YEAR(PROVEEDORES[[#This Row],[FECHA DE FACTURACIÓN]])</f>
        <v>2023</v>
      </c>
      <c r="W872" s="150">
        <f>+MATCH(PROVEEDORES[[#This Row],[año facturado]],Retenciones!$1:$1,0)</f>
        <v>6</v>
      </c>
      <c r="X872" s="151">
        <f>+VLOOKUP(PROVEEDORES[[#This Row],[ID RETENCION]],Retenciones!$A$1:$O$25,PROVEEDORES[[#This Row],[indicador de columna]],FALSE)</f>
        <v>0</v>
      </c>
      <c r="Y872" s="152">
        <f>+VLOOKUP(PROVEEDORES[[#This Row],[ID RETENCION]],Retenciones!$A$1:$O$25,2,FALSE)</f>
        <v>0</v>
      </c>
      <c r="Z872" s="153" t="b">
        <f>+OR(COUNTIF(PROVEEDORES[[#This Row],[PROVEEDOR]],"*"&amp;'Palabra que no opera y Listas d'!$A$2&amp;"*"))</f>
        <v>1</v>
      </c>
    </row>
    <row r="873" spans="1:26" ht="27.75" customHeight="1" x14ac:dyDescent="0.3">
      <c r="A873" s="144" t="str">
        <f>+IF(PROVEEDORES[[#This Row],[FECHA DE PAGO]]=PROVEEDORES[[#This Row],[FECHA DE FACTURACIÓN]],"DE CONTADO","CRÉDITO")</f>
        <v>CRÉDITO</v>
      </c>
      <c r="B873" s="144" t="str">
        <f>+IF((PROVEEDORES[[#This Row],[FECHA DE PAGO]]-PROVEEDORES[[#This Row],[FECHA DE FACTURACIÓN]])&gt;PROVEEDORES[[#This Row],[PLAZO Días]],"PAGO VENCIDO")</f>
        <v>PAGO VENCIDO</v>
      </c>
      <c r="C873" s="144">
        <f>+VLOOKUP(PROVEEDORES[[#This Row],[PROVEEDOR]],TERCEROS_INFO[#All],2,FALSE)</f>
        <v>0</v>
      </c>
      <c r="D873" s="145">
        <f>+SUMIFS(PROVEEDORES[Total],PROVEEDORES[PROVEEDOR],PROVEEDORES[[#This Row],[PROVEEDOR]],PROVEEDORES[FECHA DE PAGO],"")</f>
        <v>0</v>
      </c>
      <c r="E873" s="146"/>
      <c r="F873" s="144">
        <f>+VLOOKUP(PROVEEDORES[[#This Row],[PROVEEDOR]],
                       Terceros!$A:$G,
                       5,
                       FALSE)</f>
        <v>0</v>
      </c>
      <c r="G873" s="122">
        <v>45239</v>
      </c>
      <c r="H873" s="102" t="s">
        <v>496</v>
      </c>
      <c r="I873" s="122">
        <v>45238</v>
      </c>
      <c r="J873" s="103" t="s">
        <v>1288</v>
      </c>
      <c r="K873" s="103" t="s">
        <v>1512</v>
      </c>
      <c r="L873" s="103"/>
      <c r="M873" s="105">
        <v>2128000</v>
      </c>
      <c r="N873" s="147">
        <v>0</v>
      </c>
      <c r="O873" s="147">
        <v>0</v>
      </c>
      <c r="P873" s="148">
        <v>0</v>
      </c>
      <c r="Q873" s="147">
        <v>0</v>
      </c>
      <c r="R873" s="149">
        <v>2128000</v>
      </c>
      <c r="S8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3" s="150">
        <f ca="1">+IF(PROVEEDORES[[#This Row],[FECHA DE PAGO]]=0,TODAY()-PROVEEDORES[[#This Row],[FECHA DE FACTURACIÓN]]-PROVEEDORES[[#This Row],[PLAZO Días]],0)</f>
        <v>0</v>
      </c>
      <c r="U873" s="150">
        <f>+VLOOKUP(PROVEEDORES[[#This Row],[PROVEEDOR]],Terceros!$A:$E,4,FALSE)</f>
        <v>0</v>
      </c>
      <c r="V873" s="150">
        <f>+YEAR(PROVEEDORES[[#This Row],[FECHA DE FACTURACIÓN]])</f>
        <v>2023</v>
      </c>
      <c r="W873" s="150">
        <f>+MATCH(PROVEEDORES[[#This Row],[año facturado]],Retenciones!$1:$1,0)</f>
        <v>6</v>
      </c>
      <c r="X873" s="151">
        <f>+VLOOKUP(PROVEEDORES[[#This Row],[ID RETENCION]],Retenciones!$A$1:$O$25,PROVEEDORES[[#This Row],[indicador de columna]],FALSE)</f>
        <v>0</v>
      </c>
      <c r="Y873" s="152">
        <f>+VLOOKUP(PROVEEDORES[[#This Row],[ID RETENCION]],Retenciones!$A$1:$O$25,2,FALSE)</f>
        <v>0</v>
      </c>
      <c r="Z873" s="153" t="b">
        <f>+OR(COUNTIF(PROVEEDORES[[#This Row],[PROVEEDOR]],"*"&amp;'Palabra que no opera y Listas d'!$A$2&amp;"*"))</f>
        <v>0</v>
      </c>
    </row>
    <row r="874" spans="1:26" ht="27.75" customHeight="1" x14ac:dyDescent="0.3">
      <c r="A874" s="144" t="str">
        <f>+IF(PROVEEDORES[[#This Row],[FECHA DE PAGO]]=PROVEEDORES[[#This Row],[FECHA DE FACTURACIÓN]],"DE CONTADO","CRÉDITO")</f>
        <v>DE CONTADO</v>
      </c>
      <c r="B874" s="144" t="b">
        <f>+IF((PROVEEDORES[[#This Row],[FECHA DE PAGO]]-PROVEEDORES[[#This Row],[FECHA DE FACTURACIÓN]])&gt;PROVEEDORES[[#This Row],[PLAZO Días]],"PAGO VENCIDO")</f>
        <v>0</v>
      </c>
      <c r="C874" s="144">
        <f>+VLOOKUP(PROVEEDORES[[#This Row],[PROVEEDOR]],TERCEROS_INFO[#All],2,FALSE)</f>
        <v>0</v>
      </c>
      <c r="D874" s="145">
        <f>+SUMIFS(PROVEEDORES[Total],PROVEEDORES[PROVEEDOR],PROVEEDORES[[#This Row],[PROVEEDOR]],PROVEEDORES[FECHA DE PAGO],"")</f>
        <v>0</v>
      </c>
      <c r="E874" s="146"/>
      <c r="F874" s="144">
        <f>+VLOOKUP(PROVEEDORES[[#This Row],[PROVEEDOR]],
                       Terceros!$A:$G,
                       5,
                       FALSE)</f>
        <v>0</v>
      </c>
      <c r="G874" s="122">
        <v>45239</v>
      </c>
      <c r="H874" s="102" t="s">
        <v>402</v>
      </c>
      <c r="I874" s="122">
        <v>45239</v>
      </c>
      <c r="J874" s="103" t="s">
        <v>1199</v>
      </c>
      <c r="K874" s="103" t="s">
        <v>1512</v>
      </c>
      <c r="L874" s="103"/>
      <c r="M874" s="105">
        <v>1482303</v>
      </c>
      <c r="N874" s="147">
        <v>0</v>
      </c>
      <c r="O874" s="147">
        <v>0</v>
      </c>
      <c r="P874" s="148">
        <v>0</v>
      </c>
      <c r="Q874" s="147">
        <v>0</v>
      </c>
      <c r="R874" s="149">
        <v>1482303</v>
      </c>
      <c r="S8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4" s="150">
        <f ca="1">+IF(PROVEEDORES[[#This Row],[FECHA DE PAGO]]=0,TODAY()-PROVEEDORES[[#This Row],[FECHA DE FACTURACIÓN]]-PROVEEDORES[[#This Row],[PLAZO Días]],0)</f>
        <v>0</v>
      </c>
      <c r="U874" s="150">
        <f>+VLOOKUP(PROVEEDORES[[#This Row],[PROVEEDOR]],Terceros!$A:$E,4,FALSE)</f>
        <v>0</v>
      </c>
      <c r="V874" s="150">
        <f>+YEAR(PROVEEDORES[[#This Row],[FECHA DE FACTURACIÓN]])</f>
        <v>2023</v>
      </c>
      <c r="W874" s="150">
        <f>+MATCH(PROVEEDORES[[#This Row],[año facturado]],Retenciones!$1:$1,0)</f>
        <v>6</v>
      </c>
      <c r="X874" s="151">
        <f>+VLOOKUP(PROVEEDORES[[#This Row],[ID RETENCION]],Retenciones!$A$1:$O$25,PROVEEDORES[[#This Row],[indicador de columna]],FALSE)</f>
        <v>0</v>
      </c>
      <c r="Y874" s="152">
        <f>+VLOOKUP(PROVEEDORES[[#This Row],[ID RETENCION]],Retenciones!$A$1:$O$25,2,FALSE)</f>
        <v>0</v>
      </c>
      <c r="Z874" s="153" t="b">
        <f>+OR(COUNTIF(PROVEEDORES[[#This Row],[PROVEEDOR]],"*"&amp;'Palabra que no opera y Listas d'!$A$2&amp;"*"))</f>
        <v>1</v>
      </c>
    </row>
    <row r="875" spans="1:26" ht="27.75" customHeight="1" x14ac:dyDescent="0.3">
      <c r="A875" s="144" t="str">
        <f>+IF(PROVEEDORES[[#This Row],[FECHA DE PAGO]]=PROVEEDORES[[#This Row],[FECHA DE FACTURACIÓN]],"DE CONTADO","CRÉDITO")</f>
        <v>CRÉDITO</v>
      </c>
      <c r="B875" s="144" t="str">
        <f>+IF((PROVEEDORES[[#This Row],[FECHA DE PAGO]]-PROVEEDORES[[#This Row],[FECHA DE FACTURACIÓN]])&gt;PROVEEDORES[[#This Row],[PLAZO Días]],"PAGO VENCIDO")</f>
        <v>PAGO VENCIDO</v>
      </c>
      <c r="C875" s="144">
        <f>+VLOOKUP(PROVEEDORES[[#This Row],[PROVEEDOR]],TERCEROS_INFO[#All],2,FALSE)</f>
        <v>0</v>
      </c>
      <c r="D875" s="145">
        <f>+SUMIFS(PROVEEDORES[Total],PROVEEDORES[PROVEEDOR],PROVEEDORES[[#This Row],[PROVEEDOR]],PROVEEDORES[FECHA DE PAGO],"")</f>
        <v>0</v>
      </c>
      <c r="E875" s="146"/>
      <c r="F875" s="144">
        <f>+VLOOKUP(PROVEEDORES[[#This Row],[PROVEEDOR]],
                       Terceros!$A:$G,
                       5,
                       FALSE)</f>
        <v>0</v>
      </c>
      <c r="G875" s="122">
        <v>45240</v>
      </c>
      <c r="H875" s="102" t="s">
        <v>1782</v>
      </c>
      <c r="I875" s="122">
        <v>45231</v>
      </c>
      <c r="J875" s="103" t="s">
        <v>1242</v>
      </c>
      <c r="K875" s="103" t="s">
        <v>1512</v>
      </c>
      <c r="L875" s="103"/>
      <c r="M875" s="105">
        <v>1128000</v>
      </c>
      <c r="N875" s="147">
        <v>0</v>
      </c>
      <c r="O875" s="147">
        <v>0</v>
      </c>
      <c r="P875" s="148">
        <v>0</v>
      </c>
      <c r="Q875" s="147">
        <v>0</v>
      </c>
      <c r="R875" s="149">
        <v>1128000</v>
      </c>
      <c r="S8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5" s="150">
        <f ca="1">+IF(PROVEEDORES[[#This Row],[FECHA DE PAGO]]=0,TODAY()-PROVEEDORES[[#This Row],[FECHA DE FACTURACIÓN]]-PROVEEDORES[[#This Row],[PLAZO Días]],0)</f>
        <v>0</v>
      </c>
      <c r="U875" s="150">
        <f>+VLOOKUP(PROVEEDORES[[#This Row],[PROVEEDOR]],Terceros!$A:$E,4,FALSE)</f>
        <v>0</v>
      </c>
      <c r="V875" s="150">
        <f>+YEAR(PROVEEDORES[[#This Row],[FECHA DE FACTURACIÓN]])</f>
        <v>2023</v>
      </c>
      <c r="W875" s="150">
        <f>+MATCH(PROVEEDORES[[#This Row],[año facturado]],Retenciones!$1:$1,0)</f>
        <v>6</v>
      </c>
      <c r="X875" s="151">
        <f>+VLOOKUP(PROVEEDORES[[#This Row],[ID RETENCION]],Retenciones!$A$1:$O$25,PROVEEDORES[[#This Row],[indicador de columna]],FALSE)</f>
        <v>0</v>
      </c>
      <c r="Y875" s="152">
        <f>+VLOOKUP(PROVEEDORES[[#This Row],[ID RETENCION]],Retenciones!$A$1:$O$25,2,FALSE)</f>
        <v>0</v>
      </c>
      <c r="Z875" s="153" t="b">
        <f>+OR(COUNTIF(PROVEEDORES[[#This Row],[PROVEEDOR]],"*"&amp;'Palabra que no opera y Listas d'!$A$2&amp;"*"))</f>
        <v>0</v>
      </c>
    </row>
    <row r="876" spans="1:26" ht="27.75" customHeight="1" x14ac:dyDescent="0.3">
      <c r="A876" s="144" t="str">
        <f>+IF(PROVEEDORES[[#This Row],[FECHA DE PAGO]]=PROVEEDORES[[#This Row],[FECHA DE FACTURACIÓN]],"DE CONTADO","CRÉDITO")</f>
        <v>CRÉDITO</v>
      </c>
      <c r="B876" s="144" t="str">
        <f>+IF((PROVEEDORES[[#This Row],[FECHA DE PAGO]]-PROVEEDORES[[#This Row],[FECHA DE FACTURACIÓN]])&gt;PROVEEDORES[[#This Row],[PLAZO Días]],"PAGO VENCIDO")</f>
        <v>PAGO VENCIDO</v>
      </c>
      <c r="C876" s="144">
        <f>+VLOOKUP(PROVEEDORES[[#This Row],[PROVEEDOR]],TERCEROS_INFO[#All],2,FALSE)</f>
        <v>0</v>
      </c>
      <c r="D876" s="145">
        <f>+SUMIFS(PROVEEDORES[Total],PROVEEDORES[PROVEEDOR],PROVEEDORES[[#This Row],[PROVEEDOR]],PROVEEDORES[FECHA DE PAGO],"")</f>
        <v>181631</v>
      </c>
      <c r="E876" s="146"/>
      <c r="F876" s="144">
        <f>+VLOOKUP(PROVEEDORES[[#This Row],[PROVEEDOR]],
                       Terceros!$A:$G,
                       5,
                       FALSE)</f>
        <v>0</v>
      </c>
      <c r="G876" s="122">
        <v>45240</v>
      </c>
      <c r="H876" s="102" t="s">
        <v>383</v>
      </c>
      <c r="I876" s="122">
        <v>45231</v>
      </c>
      <c r="J876" s="103" t="s">
        <v>1201</v>
      </c>
      <c r="K876" s="103" t="s">
        <v>1512</v>
      </c>
      <c r="L876" s="103"/>
      <c r="M876" s="105">
        <v>908172</v>
      </c>
      <c r="N876" s="147">
        <v>172552.68</v>
      </c>
      <c r="O876" s="147">
        <v>0</v>
      </c>
      <c r="P876" s="148">
        <v>0</v>
      </c>
      <c r="Q876" s="147">
        <v>0</v>
      </c>
      <c r="R876" s="149">
        <v>1080724.68</v>
      </c>
      <c r="S8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6" s="150">
        <f ca="1">+IF(PROVEEDORES[[#This Row],[FECHA DE PAGO]]=0,TODAY()-PROVEEDORES[[#This Row],[FECHA DE FACTURACIÓN]]-PROVEEDORES[[#This Row],[PLAZO Días]],0)</f>
        <v>0</v>
      </c>
      <c r="U876" s="150">
        <f>+VLOOKUP(PROVEEDORES[[#This Row],[PROVEEDOR]],Terceros!$A:$E,4,FALSE)</f>
        <v>0.19</v>
      </c>
      <c r="V876" s="150">
        <f>+YEAR(PROVEEDORES[[#This Row],[FECHA DE FACTURACIÓN]])</f>
        <v>2023</v>
      </c>
      <c r="W876" s="150">
        <f>+MATCH(PROVEEDORES[[#This Row],[año facturado]],Retenciones!$1:$1,0)</f>
        <v>6</v>
      </c>
      <c r="X876" s="151" t="e">
        <f>+VLOOKUP(PROVEEDORES[[#This Row],[ID RETENCION]],Retenciones!$A$1:$O$25,PROVEEDORES[[#This Row],[indicador de columna]],FALSE)</f>
        <v>#N/A</v>
      </c>
      <c r="Y876" s="152" t="e">
        <f>+VLOOKUP(PROVEEDORES[[#This Row],[ID RETENCION]],Retenciones!$A$1:$O$25,2,FALSE)</f>
        <v>#N/A</v>
      </c>
      <c r="Z876" s="153" t="b">
        <f>+OR(COUNTIF(PROVEEDORES[[#This Row],[PROVEEDOR]],"*"&amp;'Palabra que no opera y Listas d'!$A$2&amp;"*"))</f>
        <v>1</v>
      </c>
    </row>
    <row r="877" spans="1:26" ht="27.75" customHeight="1" x14ac:dyDescent="0.3">
      <c r="A877" s="144" t="str">
        <f>+IF(PROVEEDORES[[#This Row],[FECHA DE PAGO]]=PROVEEDORES[[#This Row],[FECHA DE FACTURACIÓN]],"DE CONTADO","CRÉDITO")</f>
        <v>CRÉDITO</v>
      </c>
      <c r="B877" s="144" t="str">
        <f>+IF((PROVEEDORES[[#This Row],[FECHA DE PAGO]]-PROVEEDORES[[#This Row],[FECHA DE FACTURACIÓN]])&gt;PROVEEDORES[[#This Row],[PLAZO Días]],"PAGO VENCIDO")</f>
        <v>PAGO VENCIDO</v>
      </c>
      <c r="C877" s="144">
        <f>+VLOOKUP(PROVEEDORES[[#This Row],[PROVEEDOR]],TERCEROS_INFO[#All],2,FALSE)</f>
        <v>0</v>
      </c>
      <c r="D877" s="145">
        <f>+SUMIFS(PROVEEDORES[Total],PROVEEDORES[PROVEEDOR],PROVEEDORES[[#This Row],[PROVEEDOR]],PROVEEDORES[FECHA DE PAGO],"")</f>
        <v>181631</v>
      </c>
      <c r="E877" s="146"/>
      <c r="F877" s="144">
        <f>+VLOOKUP(PROVEEDORES[[#This Row],[PROVEEDOR]],
                       Terceros!$A:$G,
                       5,
                       FALSE)</f>
        <v>0</v>
      </c>
      <c r="G877" s="122">
        <v>45240</v>
      </c>
      <c r="H877" s="102" t="s">
        <v>383</v>
      </c>
      <c r="I877" s="122">
        <v>45231</v>
      </c>
      <c r="J877" s="103" t="s">
        <v>1202</v>
      </c>
      <c r="K877" s="103" t="s">
        <v>1512</v>
      </c>
      <c r="L877" s="103"/>
      <c r="M877" s="105">
        <v>3792544</v>
      </c>
      <c r="N877" s="147">
        <v>720583.36</v>
      </c>
      <c r="O877" s="147">
        <v>0</v>
      </c>
      <c r="P877" s="148">
        <v>0</v>
      </c>
      <c r="Q877" s="147">
        <v>0</v>
      </c>
      <c r="R877" s="149">
        <v>4513127.3600000003</v>
      </c>
      <c r="S8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7" s="150">
        <f ca="1">+IF(PROVEEDORES[[#This Row],[FECHA DE PAGO]]=0,TODAY()-PROVEEDORES[[#This Row],[FECHA DE FACTURACIÓN]]-PROVEEDORES[[#This Row],[PLAZO Días]],0)</f>
        <v>0</v>
      </c>
      <c r="U877" s="150">
        <f>+VLOOKUP(PROVEEDORES[[#This Row],[PROVEEDOR]],Terceros!$A:$E,4,FALSE)</f>
        <v>0.19</v>
      </c>
      <c r="V877" s="150">
        <f>+YEAR(PROVEEDORES[[#This Row],[FECHA DE FACTURACIÓN]])</f>
        <v>2023</v>
      </c>
      <c r="W877" s="150">
        <f>+MATCH(PROVEEDORES[[#This Row],[año facturado]],Retenciones!$1:$1,0)</f>
        <v>6</v>
      </c>
      <c r="X877" s="151" t="e">
        <f>+VLOOKUP(PROVEEDORES[[#This Row],[ID RETENCION]],Retenciones!$A$1:$O$25,PROVEEDORES[[#This Row],[indicador de columna]],FALSE)</f>
        <v>#N/A</v>
      </c>
      <c r="Y877" s="152" t="e">
        <f>+VLOOKUP(PROVEEDORES[[#This Row],[ID RETENCION]],Retenciones!$A$1:$O$25,2,FALSE)</f>
        <v>#N/A</v>
      </c>
      <c r="Z877" s="153" t="b">
        <f>+OR(COUNTIF(PROVEEDORES[[#This Row],[PROVEEDOR]],"*"&amp;'Palabra que no opera y Listas d'!$A$2&amp;"*"))</f>
        <v>1</v>
      </c>
    </row>
    <row r="878" spans="1:26" ht="27.75" customHeight="1" x14ac:dyDescent="0.3">
      <c r="A878" s="144" t="str">
        <f>+IF(PROVEEDORES[[#This Row],[FECHA DE PAGO]]=PROVEEDORES[[#This Row],[FECHA DE FACTURACIÓN]],"DE CONTADO","CRÉDITO")</f>
        <v>CRÉDITO</v>
      </c>
      <c r="B878" s="144" t="str">
        <f>+IF((PROVEEDORES[[#This Row],[FECHA DE PAGO]]-PROVEEDORES[[#This Row],[FECHA DE FACTURACIÓN]])&gt;PROVEEDORES[[#This Row],[PLAZO Días]],"PAGO VENCIDO")</f>
        <v>PAGO VENCIDO</v>
      </c>
      <c r="C878" s="144">
        <f>+VLOOKUP(PROVEEDORES[[#This Row],[PROVEEDOR]],TERCEROS_INFO[#All],2,FALSE)</f>
        <v>0</v>
      </c>
      <c r="D878" s="145">
        <f>+SUMIFS(PROVEEDORES[Total],PROVEEDORES[PROVEEDOR],PROVEEDORES[[#This Row],[PROVEEDOR]],PROVEEDORES[FECHA DE PAGO],"")</f>
        <v>0</v>
      </c>
      <c r="E878" s="146"/>
      <c r="F878" s="144">
        <f>+VLOOKUP(PROVEEDORES[[#This Row],[PROVEEDOR]],
                       Terceros!$A:$G,
                       5,
                       FALSE)</f>
        <v>0</v>
      </c>
      <c r="G878" s="122">
        <v>45240</v>
      </c>
      <c r="H878" s="102" t="s">
        <v>497</v>
      </c>
      <c r="I878" s="122">
        <v>45231</v>
      </c>
      <c r="J878" s="103" t="s">
        <v>1200</v>
      </c>
      <c r="K878" s="103" t="s">
        <v>1512</v>
      </c>
      <c r="L878" s="103"/>
      <c r="M878" s="105">
        <v>5350576</v>
      </c>
      <c r="N878" s="147">
        <v>1016609.4400000001</v>
      </c>
      <c r="O878" s="147">
        <v>0</v>
      </c>
      <c r="P878" s="148">
        <v>0</v>
      </c>
      <c r="Q878" s="147">
        <v>0</v>
      </c>
      <c r="R878" s="149">
        <v>6367185.4400000004</v>
      </c>
      <c r="S8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8" s="150">
        <f ca="1">+IF(PROVEEDORES[[#This Row],[FECHA DE PAGO]]=0,TODAY()-PROVEEDORES[[#This Row],[FECHA DE FACTURACIÓN]]-PROVEEDORES[[#This Row],[PLAZO Días]],0)</f>
        <v>0</v>
      </c>
      <c r="U878" s="150">
        <f>+VLOOKUP(PROVEEDORES[[#This Row],[PROVEEDOR]],Terceros!$A:$E,4,FALSE)</f>
        <v>0.19</v>
      </c>
      <c r="V878" s="150">
        <f>+YEAR(PROVEEDORES[[#This Row],[FECHA DE FACTURACIÓN]])</f>
        <v>2023</v>
      </c>
      <c r="W878" s="150">
        <f>+MATCH(PROVEEDORES[[#This Row],[año facturado]],Retenciones!$1:$1,0)</f>
        <v>6</v>
      </c>
      <c r="X878" s="151" t="e">
        <f>+VLOOKUP(PROVEEDORES[[#This Row],[ID RETENCION]],Retenciones!$A$1:$O$25,PROVEEDORES[[#This Row],[indicador de columna]],FALSE)</f>
        <v>#N/A</v>
      </c>
      <c r="Y878" s="152" t="e">
        <f>+VLOOKUP(PROVEEDORES[[#This Row],[ID RETENCION]],Retenciones!$A$1:$O$25,2,FALSE)</f>
        <v>#N/A</v>
      </c>
      <c r="Z878" s="153" t="b">
        <f>+OR(COUNTIF(PROVEEDORES[[#This Row],[PROVEEDOR]],"*"&amp;'Palabra que no opera y Listas d'!$A$2&amp;"*"))</f>
        <v>1</v>
      </c>
    </row>
    <row r="879" spans="1:26" ht="27.75" customHeight="1" x14ac:dyDescent="0.3">
      <c r="A879" s="144" t="str">
        <f>+IF(PROVEEDORES[[#This Row],[FECHA DE PAGO]]=PROVEEDORES[[#This Row],[FECHA DE FACTURACIÓN]],"DE CONTADO","CRÉDITO")</f>
        <v>CRÉDITO</v>
      </c>
      <c r="B879" s="144" t="str">
        <f>+IF((PROVEEDORES[[#This Row],[FECHA DE PAGO]]-PROVEEDORES[[#This Row],[FECHA DE FACTURACIÓN]])&gt;PROVEEDORES[[#This Row],[PLAZO Días]],"PAGO VENCIDO")</f>
        <v>PAGO VENCIDO</v>
      </c>
      <c r="C879" s="144">
        <f>+VLOOKUP(PROVEEDORES[[#This Row],[PROVEEDOR]],TERCEROS_INFO[#All],2,FALSE)</f>
        <v>0</v>
      </c>
      <c r="D879" s="145">
        <f>+SUMIFS(PROVEEDORES[Total],PROVEEDORES[PROVEEDOR],PROVEEDORES[[#This Row],[PROVEEDOR]],PROVEEDORES[FECHA DE PAGO],"")</f>
        <v>7281829.8799999999</v>
      </c>
      <c r="E879" s="146"/>
      <c r="F879" s="144" t="str">
        <f>+VLOOKUP(PROVEEDORES[[#This Row],[PROVEEDOR]],
                       Terceros!$A:$G,
                       5,
                       FALSE)</f>
        <v>2,5% con base</v>
      </c>
      <c r="G879" s="122">
        <v>45244</v>
      </c>
      <c r="H879" s="102" t="s">
        <v>1445</v>
      </c>
      <c r="I879" s="122">
        <v>45196</v>
      </c>
      <c r="J879" s="103" t="s">
        <v>1101</v>
      </c>
      <c r="K879" s="103" t="s">
        <v>1512</v>
      </c>
      <c r="L879" s="103"/>
      <c r="M879" s="105">
        <v>2740335</v>
      </c>
      <c r="N879" s="147">
        <v>520663.65</v>
      </c>
      <c r="O879" s="147">
        <v>0</v>
      </c>
      <c r="P879" s="148">
        <v>2.5000000000000001E-2</v>
      </c>
      <c r="Q879" s="147">
        <v>68508.375</v>
      </c>
      <c r="R879" s="149">
        <v>3192490.2749999999</v>
      </c>
      <c r="S8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9" s="150">
        <f ca="1">+IF(PROVEEDORES[[#This Row],[FECHA DE PAGO]]=0,TODAY()-PROVEEDORES[[#This Row],[FECHA DE FACTURACIÓN]]-PROVEEDORES[[#This Row],[PLAZO Días]],0)</f>
        <v>0</v>
      </c>
      <c r="U879" s="150">
        <f>+VLOOKUP(PROVEEDORES[[#This Row],[PROVEEDOR]],Terceros!$A:$E,4,FALSE)</f>
        <v>0.19</v>
      </c>
      <c r="V879" s="150">
        <f>+YEAR(PROVEEDORES[[#This Row],[FECHA DE FACTURACIÓN]])</f>
        <v>2023</v>
      </c>
      <c r="W879" s="150">
        <f>+MATCH(PROVEEDORES[[#This Row],[año facturado]],Retenciones!$1:$1,0)</f>
        <v>6</v>
      </c>
      <c r="X879" s="151" t="e">
        <f>+VLOOKUP(PROVEEDORES[[#This Row],[ID RETENCION]],Retenciones!$A$1:$O$25,PROVEEDORES[[#This Row],[indicador de columna]],FALSE)</f>
        <v>#N/A</v>
      </c>
      <c r="Y879" s="152" t="e">
        <f>+VLOOKUP(PROVEEDORES[[#This Row],[ID RETENCION]],Retenciones!$A$1:$O$25,2,FALSE)</f>
        <v>#N/A</v>
      </c>
      <c r="Z879" s="153" t="b">
        <f>+OR(COUNTIF(PROVEEDORES[[#This Row],[PROVEEDOR]],"*"&amp;'Palabra que no opera y Listas d'!$A$2&amp;"*"))</f>
        <v>0</v>
      </c>
    </row>
    <row r="880" spans="1:26" ht="27.75" customHeight="1" x14ac:dyDescent="0.3">
      <c r="A880" s="144" t="str">
        <f>+IF(PROVEEDORES[[#This Row],[FECHA DE PAGO]]=PROVEEDORES[[#This Row],[FECHA DE FACTURACIÓN]],"DE CONTADO","CRÉDITO")</f>
        <v>CRÉDITO</v>
      </c>
      <c r="B880" s="144" t="str">
        <f>+IF((PROVEEDORES[[#This Row],[FECHA DE PAGO]]-PROVEEDORES[[#This Row],[FECHA DE FACTURACIÓN]])&gt;PROVEEDORES[[#This Row],[PLAZO Días]],"PAGO VENCIDO")</f>
        <v>PAGO VENCIDO</v>
      </c>
      <c r="C880" s="144">
        <f>+VLOOKUP(PROVEEDORES[[#This Row],[PROVEEDOR]],TERCEROS_INFO[#All],2,FALSE)</f>
        <v>0</v>
      </c>
      <c r="D880" s="145">
        <f>+SUMIFS(PROVEEDORES[Total],PROVEEDORES[PROVEEDOR],PROVEEDORES[[#This Row],[PROVEEDOR]],PROVEEDORES[FECHA DE PAGO],"")</f>
        <v>7281829.8799999999</v>
      </c>
      <c r="E880" s="146"/>
      <c r="F880" s="144" t="str">
        <f>+VLOOKUP(PROVEEDORES[[#This Row],[PROVEEDOR]],
                       Terceros!$A:$G,
                       5,
                       FALSE)</f>
        <v>2,5% con base</v>
      </c>
      <c r="G880" s="122">
        <v>45244</v>
      </c>
      <c r="H880" s="102" t="s">
        <v>1445</v>
      </c>
      <c r="I880" s="122">
        <v>45203</v>
      </c>
      <c r="J880" s="103" t="s">
        <v>1164</v>
      </c>
      <c r="K880" s="103" t="s">
        <v>1512</v>
      </c>
      <c r="L880" s="103"/>
      <c r="M880" s="105">
        <v>168068</v>
      </c>
      <c r="N880" s="147">
        <v>31932.920000000002</v>
      </c>
      <c r="O880" s="147">
        <v>0</v>
      </c>
      <c r="P880" s="148">
        <v>0</v>
      </c>
      <c r="Q880" s="147">
        <v>0</v>
      </c>
      <c r="R880" s="149">
        <v>200000.92</v>
      </c>
      <c r="S8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0" s="150">
        <f ca="1">+IF(PROVEEDORES[[#This Row],[FECHA DE PAGO]]=0,TODAY()-PROVEEDORES[[#This Row],[FECHA DE FACTURACIÓN]]-PROVEEDORES[[#This Row],[PLAZO Días]],0)</f>
        <v>0</v>
      </c>
      <c r="U880" s="150">
        <f>+VLOOKUP(PROVEEDORES[[#This Row],[PROVEEDOR]],Terceros!$A:$E,4,FALSE)</f>
        <v>0.19</v>
      </c>
      <c r="V880" s="150">
        <f>+YEAR(PROVEEDORES[[#This Row],[FECHA DE FACTURACIÓN]])</f>
        <v>2023</v>
      </c>
      <c r="W880" s="150">
        <f>+MATCH(PROVEEDORES[[#This Row],[año facturado]],Retenciones!$1:$1,0)</f>
        <v>6</v>
      </c>
      <c r="X880" s="151" t="e">
        <f>+VLOOKUP(PROVEEDORES[[#This Row],[ID RETENCION]],Retenciones!$A$1:$O$25,PROVEEDORES[[#This Row],[indicador de columna]],FALSE)</f>
        <v>#N/A</v>
      </c>
      <c r="Y880" s="152" t="e">
        <f>+VLOOKUP(PROVEEDORES[[#This Row],[ID RETENCION]],Retenciones!$A$1:$O$25,2,FALSE)</f>
        <v>#N/A</v>
      </c>
      <c r="Z880" s="153" t="b">
        <f>+OR(COUNTIF(PROVEEDORES[[#This Row],[PROVEEDOR]],"*"&amp;'Palabra que no opera y Listas d'!$A$2&amp;"*"))</f>
        <v>0</v>
      </c>
    </row>
    <row r="881" spans="1:26" ht="27.75" customHeight="1" x14ac:dyDescent="0.3">
      <c r="A881" s="144" t="str">
        <f>+IF(PROVEEDORES[[#This Row],[FECHA DE PAGO]]=PROVEEDORES[[#This Row],[FECHA DE FACTURACIÓN]],"DE CONTADO","CRÉDITO")</f>
        <v>CRÉDITO</v>
      </c>
      <c r="B881" s="144" t="str">
        <f>+IF((PROVEEDORES[[#This Row],[FECHA DE PAGO]]-PROVEEDORES[[#This Row],[FECHA DE FACTURACIÓN]])&gt;PROVEEDORES[[#This Row],[PLAZO Días]],"PAGO VENCIDO")</f>
        <v>PAGO VENCIDO</v>
      </c>
      <c r="C881" s="144">
        <f>+VLOOKUP(PROVEEDORES[[#This Row],[PROVEEDOR]],TERCEROS_INFO[#All],2,FALSE)</f>
        <v>0</v>
      </c>
      <c r="D881" s="145">
        <f>+SUMIFS(PROVEEDORES[Total],PROVEEDORES[PROVEEDOR],PROVEEDORES[[#This Row],[PROVEEDOR]],PROVEEDORES[FECHA DE PAGO],"")</f>
        <v>2095000</v>
      </c>
      <c r="E881" s="146"/>
      <c r="F881" s="144">
        <f>+VLOOKUP(PROVEEDORES[[#This Row],[PROVEEDOR]],
                       Terceros!$A:$G,
                       5,
                       FALSE)</f>
        <v>0</v>
      </c>
      <c r="G881" s="122">
        <v>45244</v>
      </c>
      <c r="H881" s="102" t="s">
        <v>1781</v>
      </c>
      <c r="I881" s="122">
        <v>45210</v>
      </c>
      <c r="J881" s="103" t="s">
        <v>1161</v>
      </c>
      <c r="K881" s="103" t="s">
        <v>1512</v>
      </c>
      <c r="L881" s="103"/>
      <c r="M881" s="105">
        <v>986500</v>
      </c>
      <c r="N881" s="147">
        <v>0</v>
      </c>
      <c r="O881" s="147">
        <v>0</v>
      </c>
      <c r="P881" s="148">
        <v>0</v>
      </c>
      <c r="Q881" s="147">
        <v>0</v>
      </c>
      <c r="R881" s="149">
        <v>986500</v>
      </c>
      <c r="S8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1" s="150">
        <f ca="1">+IF(PROVEEDORES[[#This Row],[FECHA DE PAGO]]=0,TODAY()-PROVEEDORES[[#This Row],[FECHA DE FACTURACIÓN]]-PROVEEDORES[[#This Row],[PLAZO Días]],0)</f>
        <v>0</v>
      </c>
      <c r="U881" s="150">
        <f>+VLOOKUP(PROVEEDORES[[#This Row],[PROVEEDOR]],Terceros!$A:$E,4,FALSE)</f>
        <v>0</v>
      </c>
      <c r="V881" s="150">
        <f>+YEAR(PROVEEDORES[[#This Row],[FECHA DE FACTURACIÓN]])</f>
        <v>2023</v>
      </c>
      <c r="W881" s="150">
        <f>+MATCH(PROVEEDORES[[#This Row],[año facturado]],Retenciones!$1:$1,0)</f>
        <v>6</v>
      </c>
      <c r="X881" s="151">
        <f>+VLOOKUP(PROVEEDORES[[#This Row],[ID RETENCION]],Retenciones!$A$1:$O$25,PROVEEDORES[[#This Row],[indicador de columna]],FALSE)</f>
        <v>0</v>
      </c>
      <c r="Y881" s="152">
        <f>+VLOOKUP(PROVEEDORES[[#This Row],[ID RETENCION]],Retenciones!$A$1:$O$25,2,FALSE)</f>
        <v>0</v>
      </c>
      <c r="Z881" s="153" t="b">
        <f>+OR(COUNTIF(PROVEEDORES[[#This Row],[PROVEEDOR]],"*"&amp;'Palabra que no opera y Listas d'!$A$2&amp;"*"))</f>
        <v>0</v>
      </c>
    </row>
    <row r="882" spans="1:26" ht="27.75" customHeight="1" x14ac:dyDescent="0.3">
      <c r="A882" s="144" t="str">
        <f>+IF(PROVEEDORES[[#This Row],[FECHA DE PAGO]]=PROVEEDORES[[#This Row],[FECHA DE FACTURACIÓN]],"DE CONTADO","CRÉDITO")</f>
        <v>DE CONTADO</v>
      </c>
      <c r="B882" s="144" t="b">
        <f>+IF((PROVEEDORES[[#This Row],[FECHA DE PAGO]]-PROVEEDORES[[#This Row],[FECHA DE FACTURACIÓN]])&gt;PROVEEDORES[[#This Row],[PLAZO Días]],"PAGO VENCIDO")</f>
        <v>0</v>
      </c>
      <c r="C882" s="144">
        <f>+VLOOKUP(PROVEEDORES[[#This Row],[PROVEEDOR]],TERCEROS_INFO[#All],2,FALSE)</f>
        <v>0</v>
      </c>
      <c r="D882" s="145">
        <f>+SUMIFS(PROVEEDORES[Total],PROVEEDORES[PROVEEDOR],PROVEEDORES[[#This Row],[PROVEEDOR]],PROVEEDORES[FECHA DE PAGO],"")</f>
        <v>0</v>
      </c>
      <c r="E882" s="146"/>
      <c r="F882" s="144">
        <f>+VLOOKUP(PROVEEDORES[[#This Row],[PROVEEDOR]],
                       Terceros!$A:$G,
                       5,
                       FALSE)</f>
        <v>0</v>
      </c>
      <c r="G882" s="122">
        <v>45244</v>
      </c>
      <c r="H882" s="102" t="s">
        <v>48</v>
      </c>
      <c r="I882" s="122">
        <v>45244</v>
      </c>
      <c r="J882" s="103">
        <v>310278</v>
      </c>
      <c r="K882" s="103" t="s">
        <v>1512</v>
      </c>
      <c r="L882" s="103"/>
      <c r="M882" s="105">
        <v>2296000</v>
      </c>
      <c r="N882" s="147">
        <v>0</v>
      </c>
      <c r="O882" s="147">
        <v>0</v>
      </c>
      <c r="P882" s="148">
        <v>0</v>
      </c>
      <c r="Q882" s="147">
        <v>0</v>
      </c>
      <c r="R882" s="149">
        <v>2296000</v>
      </c>
      <c r="S8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2" s="150">
        <f ca="1">+IF(PROVEEDORES[[#This Row],[FECHA DE PAGO]]=0,TODAY()-PROVEEDORES[[#This Row],[FECHA DE FACTURACIÓN]]-PROVEEDORES[[#This Row],[PLAZO Días]],0)</f>
        <v>0</v>
      </c>
      <c r="U882" s="150">
        <f>+VLOOKUP(PROVEEDORES[[#This Row],[PROVEEDOR]],Terceros!$A:$E,4,FALSE)</f>
        <v>0</v>
      </c>
      <c r="V882" s="150">
        <f>+YEAR(PROVEEDORES[[#This Row],[FECHA DE FACTURACIÓN]])</f>
        <v>2023</v>
      </c>
      <c r="W882" s="150">
        <f>+MATCH(PROVEEDORES[[#This Row],[año facturado]],Retenciones!$1:$1,0)</f>
        <v>6</v>
      </c>
      <c r="X882" s="151">
        <f>+VLOOKUP(PROVEEDORES[[#This Row],[ID RETENCION]],Retenciones!$A$1:$O$25,PROVEEDORES[[#This Row],[indicador de columna]],FALSE)</f>
        <v>0</v>
      </c>
      <c r="Y882" s="152">
        <f>+VLOOKUP(PROVEEDORES[[#This Row],[ID RETENCION]],Retenciones!$A$1:$O$25,2,FALSE)</f>
        <v>0</v>
      </c>
      <c r="Z882" s="153" t="b">
        <f>+OR(COUNTIF(PROVEEDORES[[#This Row],[PROVEEDOR]],"*"&amp;'Palabra que no opera y Listas d'!$A$2&amp;"*"))</f>
        <v>0</v>
      </c>
    </row>
    <row r="883" spans="1:26" ht="27.75" customHeight="1" x14ac:dyDescent="0.3">
      <c r="A883" s="144" t="str">
        <f>+IF(PROVEEDORES[[#This Row],[FECHA DE PAGO]]=PROVEEDORES[[#This Row],[FECHA DE FACTURACIÓN]],"DE CONTADO","CRÉDITO")</f>
        <v>DE CONTADO</v>
      </c>
      <c r="B883" s="144" t="b">
        <f>+IF((PROVEEDORES[[#This Row],[FECHA DE PAGO]]-PROVEEDORES[[#This Row],[FECHA DE FACTURACIÓN]])&gt;PROVEEDORES[[#This Row],[PLAZO Días]],"PAGO VENCIDO")</f>
        <v>0</v>
      </c>
      <c r="C883" s="144">
        <f>+VLOOKUP(PROVEEDORES[[#This Row],[PROVEEDOR]],TERCEROS_INFO[#All],2,FALSE)</f>
        <v>0</v>
      </c>
      <c r="D883" s="145">
        <f>+SUMIFS(PROVEEDORES[Total],PROVEEDORES[PROVEEDOR],PROVEEDORES[[#This Row],[PROVEEDOR]],PROVEEDORES[FECHA DE PAGO],"")</f>
        <v>0</v>
      </c>
      <c r="E883" s="146"/>
      <c r="F883" s="144">
        <f>+VLOOKUP(PROVEEDORES[[#This Row],[PROVEEDOR]],
                       Terceros!$A:$G,
                       5,
                       FALSE)</f>
        <v>0</v>
      </c>
      <c r="G883" s="122">
        <v>45244</v>
      </c>
      <c r="H883" s="102" t="s">
        <v>48</v>
      </c>
      <c r="I883" s="122">
        <v>45244</v>
      </c>
      <c r="J883" s="103">
        <v>310278</v>
      </c>
      <c r="K883" s="103" t="s">
        <v>1512</v>
      </c>
      <c r="L883" s="103"/>
      <c r="M883" s="105">
        <v>1036000</v>
      </c>
      <c r="N883" s="147">
        <v>0</v>
      </c>
      <c r="O883" s="147">
        <v>0</v>
      </c>
      <c r="P883" s="148">
        <v>0</v>
      </c>
      <c r="Q883" s="147">
        <v>0</v>
      </c>
      <c r="R883" s="149">
        <v>1036000</v>
      </c>
      <c r="S8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3" s="150">
        <f ca="1">+IF(PROVEEDORES[[#This Row],[FECHA DE PAGO]]=0,TODAY()-PROVEEDORES[[#This Row],[FECHA DE FACTURACIÓN]]-PROVEEDORES[[#This Row],[PLAZO Días]],0)</f>
        <v>0</v>
      </c>
      <c r="U883" s="150">
        <f>+VLOOKUP(PROVEEDORES[[#This Row],[PROVEEDOR]],Terceros!$A:$E,4,FALSE)</f>
        <v>0</v>
      </c>
      <c r="V883" s="150">
        <f>+YEAR(PROVEEDORES[[#This Row],[FECHA DE FACTURACIÓN]])</f>
        <v>2023</v>
      </c>
      <c r="W883" s="150">
        <f>+MATCH(PROVEEDORES[[#This Row],[año facturado]],Retenciones!$1:$1,0)</f>
        <v>6</v>
      </c>
      <c r="X883" s="151">
        <f>+VLOOKUP(PROVEEDORES[[#This Row],[ID RETENCION]],Retenciones!$A$1:$O$25,PROVEEDORES[[#This Row],[indicador de columna]],FALSE)</f>
        <v>0</v>
      </c>
      <c r="Y883" s="152">
        <f>+VLOOKUP(PROVEEDORES[[#This Row],[ID RETENCION]],Retenciones!$A$1:$O$25,2,FALSE)</f>
        <v>0</v>
      </c>
      <c r="Z883" s="153" t="b">
        <f>+OR(COUNTIF(PROVEEDORES[[#This Row],[PROVEEDOR]],"*"&amp;'Palabra que no opera y Listas d'!$A$2&amp;"*"))</f>
        <v>0</v>
      </c>
    </row>
    <row r="884" spans="1:26" ht="27.75" customHeight="1" x14ac:dyDescent="0.3">
      <c r="A884" s="144" t="str">
        <f>+IF(PROVEEDORES[[#This Row],[FECHA DE PAGO]]=PROVEEDORES[[#This Row],[FECHA DE FACTURACIÓN]],"DE CONTADO","CRÉDITO")</f>
        <v>DE CONTADO</v>
      </c>
      <c r="B884" s="144" t="b">
        <f>+IF((PROVEEDORES[[#This Row],[FECHA DE PAGO]]-PROVEEDORES[[#This Row],[FECHA DE FACTURACIÓN]])&gt;PROVEEDORES[[#This Row],[PLAZO Días]],"PAGO VENCIDO")</f>
        <v>0</v>
      </c>
      <c r="C884" s="144">
        <f>+VLOOKUP(PROVEEDORES[[#This Row],[PROVEEDOR]],TERCEROS_INFO[#All],2,FALSE)</f>
        <v>0</v>
      </c>
      <c r="D884" s="145">
        <f>+SUMIFS(PROVEEDORES[Total],PROVEEDORES[PROVEEDOR],PROVEEDORES[[#This Row],[PROVEEDOR]],PROVEEDORES[FECHA DE PAGO],"")</f>
        <v>0</v>
      </c>
      <c r="E884" s="146"/>
      <c r="F884" s="144">
        <f>+VLOOKUP(PROVEEDORES[[#This Row],[PROVEEDOR]],
                       Terceros!$A:$G,
                       5,
                       FALSE)</f>
        <v>0</v>
      </c>
      <c r="G884" s="122">
        <v>45244</v>
      </c>
      <c r="H884" s="102" t="s">
        <v>191</v>
      </c>
      <c r="I884" s="122">
        <v>45244</v>
      </c>
      <c r="J884" s="103" t="s">
        <v>1233</v>
      </c>
      <c r="K884" s="103" t="s">
        <v>1512</v>
      </c>
      <c r="L884" s="103"/>
      <c r="M884" s="105">
        <v>2313921</v>
      </c>
      <c r="N884" s="147">
        <v>0</v>
      </c>
      <c r="O884" s="147">
        <v>0</v>
      </c>
      <c r="P884" s="148">
        <v>0</v>
      </c>
      <c r="Q884" s="147">
        <v>0</v>
      </c>
      <c r="R884" s="149">
        <v>2313921</v>
      </c>
      <c r="S8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4" s="150">
        <f ca="1">+IF(PROVEEDORES[[#This Row],[FECHA DE PAGO]]=0,TODAY()-PROVEEDORES[[#This Row],[FECHA DE FACTURACIÓN]]-PROVEEDORES[[#This Row],[PLAZO Días]],0)</f>
        <v>0</v>
      </c>
      <c r="U884" s="150">
        <f>+VLOOKUP(PROVEEDORES[[#This Row],[PROVEEDOR]],Terceros!$A:$E,4,FALSE)</f>
        <v>0</v>
      </c>
      <c r="V884" s="150">
        <f>+YEAR(PROVEEDORES[[#This Row],[FECHA DE FACTURACIÓN]])</f>
        <v>2023</v>
      </c>
      <c r="W884" s="150">
        <f>+MATCH(PROVEEDORES[[#This Row],[año facturado]],Retenciones!$1:$1,0)</f>
        <v>6</v>
      </c>
      <c r="X884" s="151">
        <f>+VLOOKUP(PROVEEDORES[[#This Row],[ID RETENCION]],Retenciones!$A$1:$O$25,PROVEEDORES[[#This Row],[indicador de columna]],FALSE)</f>
        <v>0</v>
      </c>
      <c r="Y884" s="152">
        <f>+VLOOKUP(PROVEEDORES[[#This Row],[ID RETENCION]],Retenciones!$A$1:$O$25,2,FALSE)</f>
        <v>0</v>
      </c>
      <c r="Z884" s="153" t="b">
        <f>+OR(COUNTIF(PROVEEDORES[[#This Row],[PROVEEDOR]],"*"&amp;'Palabra que no opera y Listas d'!$A$2&amp;"*"))</f>
        <v>0</v>
      </c>
    </row>
    <row r="885" spans="1:26" ht="27.75" customHeight="1" x14ac:dyDescent="0.3">
      <c r="A885" s="144" t="str">
        <f>+IF(PROVEEDORES[[#This Row],[FECHA DE PAGO]]=PROVEEDORES[[#This Row],[FECHA DE FACTURACIÓN]],"DE CONTADO","CRÉDITO")</f>
        <v>DE CONTADO</v>
      </c>
      <c r="B885" s="144" t="b">
        <f>+IF((PROVEEDORES[[#This Row],[FECHA DE PAGO]]-PROVEEDORES[[#This Row],[FECHA DE FACTURACIÓN]])&gt;PROVEEDORES[[#This Row],[PLAZO Días]],"PAGO VENCIDO")</f>
        <v>0</v>
      </c>
      <c r="C885" s="144">
        <f>+VLOOKUP(PROVEEDORES[[#This Row],[PROVEEDOR]],TERCEROS_INFO[#All],2,FALSE)</f>
        <v>0</v>
      </c>
      <c r="D885" s="145">
        <f>+SUMIFS(PROVEEDORES[Total],PROVEEDORES[PROVEEDOR],PROVEEDORES[[#This Row],[PROVEEDOR]],PROVEEDORES[FECHA DE PAGO],"")</f>
        <v>0</v>
      </c>
      <c r="E885" s="146"/>
      <c r="F885" s="144" t="str">
        <f>+VLOOKUP(PROVEEDORES[[#This Row],[PROVEEDOR]],
                       Terceros!$A:$G,
                       5,
                       FALSE)</f>
        <v>2,5% con base</v>
      </c>
      <c r="G885" s="122">
        <v>45244</v>
      </c>
      <c r="H885" s="102" t="s">
        <v>1192</v>
      </c>
      <c r="I885" s="122">
        <v>45244</v>
      </c>
      <c r="J885" s="103" t="s">
        <v>1254</v>
      </c>
      <c r="K885" s="103" t="s">
        <v>1512</v>
      </c>
      <c r="L885" s="103"/>
      <c r="M885" s="105">
        <v>502938</v>
      </c>
      <c r="N885" s="147">
        <v>95558.22</v>
      </c>
      <c r="O885" s="147">
        <v>0</v>
      </c>
      <c r="P885" s="148">
        <v>0</v>
      </c>
      <c r="Q885" s="147">
        <v>0</v>
      </c>
      <c r="R885" s="149">
        <v>598496.22</v>
      </c>
      <c r="S8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5" s="150">
        <f ca="1">+IF(PROVEEDORES[[#This Row],[FECHA DE PAGO]]=0,TODAY()-PROVEEDORES[[#This Row],[FECHA DE FACTURACIÓN]]-PROVEEDORES[[#This Row],[PLAZO Días]],0)</f>
        <v>0</v>
      </c>
      <c r="U885" s="150">
        <f>+VLOOKUP(PROVEEDORES[[#This Row],[PROVEEDOR]],Terceros!$A:$E,4,FALSE)</f>
        <v>0.19</v>
      </c>
      <c r="V885" s="150">
        <f>+YEAR(PROVEEDORES[[#This Row],[FECHA DE FACTURACIÓN]])</f>
        <v>2023</v>
      </c>
      <c r="W885" s="150">
        <f>+MATCH(PROVEEDORES[[#This Row],[año facturado]],Retenciones!$1:$1,0)</f>
        <v>6</v>
      </c>
      <c r="X885" s="151" t="e">
        <f>+VLOOKUP(PROVEEDORES[[#This Row],[ID RETENCION]],Retenciones!$A$1:$O$25,PROVEEDORES[[#This Row],[indicador de columna]],FALSE)</f>
        <v>#N/A</v>
      </c>
      <c r="Y885" s="152" t="e">
        <f>+VLOOKUP(PROVEEDORES[[#This Row],[ID RETENCION]],Retenciones!$A$1:$O$25,2,FALSE)</f>
        <v>#N/A</v>
      </c>
      <c r="Z885" s="153" t="b">
        <f>+OR(COUNTIF(PROVEEDORES[[#This Row],[PROVEEDOR]],"*"&amp;'Palabra que no opera y Listas d'!$A$2&amp;"*"))</f>
        <v>0</v>
      </c>
    </row>
    <row r="886" spans="1:26" ht="27.75" customHeight="1" x14ac:dyDescent="0.3">
      <c r="A886" s="144" t="str">
        <f>+IF(PROVEEDORES[[#This Row],[FECHA DE PAGO]]=PROVEEDORES[[#This Row],[FECHA DE FACTURACIÓN]],"DE CONTADO","CRÉDITO")</f>
        <v>CRÉDITO</v>
      </c>
      <c r="B886" s="144" t="str">
        <f>+IF((PROVEEDORES[[#This Row],[FECHA DE PAGO]]-PROVEEDORES[[#This Row],[FECHA DE FACTURACIÓN]])&gt;PROVEEDORES[[#This Row],[PLAZO Días]],"PAGO VENCIDO")</f>
        <v>PAGO VENCIDO</v>
      </c>
      <c r="C886" s="144">
        <f>+VLOOKUP(PROVEEDORES[[#This Row],[PROVEEDOR]],TERCEROS_INFO[#All],2,FALSE)</f>
        <v>0</v>
      </c>
      <c r="D886" s="145">
        <f>+SUMIFS(PROVEEDORES[Total],PROVEEDORES[PROVEEDOR],PROVEEDORES[[#This Row],[PROVEEDOR]],PROVEEDORES[FECHA DE PAGO],"")</f>
        <v>0</v>
      </c>
      <c r="E886" s="146"/>
      <c r="F886" s="144">
        <f>+VLOOKUP(PROVEEDORES[[#This Row],[PROVEEDOR]],
                       Terceros!$A:$G,
                       5,
                       FALSE)</f>
        <v>0</v>
      </c>
      <c r="G886" s="122">
        <v>45245</v>
      </c>
      <c r="H886" s="102" t="s">
        <v>404</v>
      </c>
      <c r="I886" s="122">
        <v>45231</v>
      </c>
      <c r="J886" s="103"/>
      <c r="K886" s="103" t="s">
        <v>1512</v>
      </c>
      <c r="L886" s="103"/>
      <c r="M886" s="105">
        <v>959182</v>
      </c>
      <c r="N886" s="147">
        <v>0</v>
      </c>
      <c r="O886" s="147">
        <v>0</v>
      </c>
      <c r="P886" s="148">
        <v>0</v>
      </c>
      <c r="Q886" s="147">
        <v>0</v>
      </c>
      <c r="R886" s="149">
        <v>959182</v>
      </c>
      <c r="S8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6" s="150">
        <f ca="1">+IF(PROVEEDORES[[#This Row],[FECHA DE PAGO]]=0,TODAY()-PROVEEDORES[[#This Row],[FECHA DE FACTURACIÓN]]-PROVEEDORES[[#This Row],[PLAZO Días]],0)</f>
        <v>0</v>
      </c>
      <c r="U886" s="150">
        <f>+VLOOKUP(PROVEEDORES[[#This Row],[PROVEEDOR]],Terceros!$A:$E,4,FALSE)</f>
        <v>0</v>
      </c>
      <c r="V886" s="150">
        <f>+YEAR(PROVEEDORES[[#This Row],[FECHA DE FACTURACIÓN]])</f>
        <v>2023</v>
      </c>
      <c r="W886" s="150">
        <f>+MATCH(PROVEEDORES[[#This Row],[año facturado]],Retenciones!$1:$1,0)</f>
        <v>6</v>
      </c>
      <c r="X886" s="151">
        <f>+VLOOKUP(PROVEEDORES[[#This Row],[ID RETENCION]],Retenciones!$A$1:$O$25,PROVEEDORES[[#This Row],[indicador de columna]],FALSE)</f>
        <v>0</v>
      </c>
      <c r="Y886" s="152">
        <f>+VLOOKUP(PROVEEDORES[[#This Row],[ID RETENCION]],Retenciones!$A$1:$O$25,2,FALSE)</f>
        <v>0</v>
      </c>
      <c r="Z886" s="153" t="b">
        <f>+OR(COUNTIF(PROVEEDORES[[#This Row],[PROVEEDOR]],"*"&amp;'Palabra que no opera y Listas d'!$A$2&amp;"*"))</f>
        <v>1</v>
      </c>
    </row>
    <row r="887" spans="1:26" ht="27.75" customHeight="1" x14ac:dyDescent="0.3">
      <c r="A887" s="144" t="str">
        <f>+IF(PROVEEDORES[[#This Row],[FECHA DE PAGO]]=PROVEEDORES[[#This Row],[FECHA DE FACTURACIÓN]],"DE CONTADO","CRÉDITO")</f>
        <v>DE CONTADO</v>
      </c>
      <c r="B887" s="144" t="b">
        <f>+IF((PROVEEDORES[[#This Row],[FECHA DE PAGO]]-PROVEEDORES[[#This Row],[FECHA DE FACTURACIÓN]])&gt;PROVEEDORES[[#This Row],[PLAZO Días]],"PAGO VENCIDO")</f>
        <v>0</v>
      </c>
      <c r="C887" s="144">
        <f>+VLOOKUP(PROVEEDORES[[#This Row],[PROVEEDOR]],TERCEROS_INFO[#All],2,FALSE)</f>
        <v>0</v>
      </c>
      <c r="D887" s="145">
        <f>+SUMIFS(PROVEEDORES[Total],PROVEEDORES[PROVEEDOR],PROVEEDORES[[#This Row],[PROVEEDOR]],PROVEEDORES[FECHA DE PAGO],"")</f>
        <v>0</v>
      </c>
      <c r="E887" s="146"/>
      <c r="F887" s="144">
        <f>+VLOOKUP(PROVEEDORES[[#This Row],[PROVEEDOR]],
                       Terceros!$A:$G,
                       5,
                       FALSE)</f>
        <v>0</v>
      </c>
      <c r="G887" s="122">
        <v>45245</v>
      </c>
      <c r="H887" s="102" t="s">
        <v>537</v>
      </c>
      <c r="I887" s="122">
        <v>45245</v>
      </c>
      <c r="J887" s="103" t="s">
        <v>1285</v>
      </c>
      <c r="K887" s="103" t="s">
        <v>1512</v>
      </c>
      <c r="L887" s="103"/>
      <c r="M887" s="105">
        <v>600000</v>
      </c>
      <c r="N887" s="147">
        <v>0</v>
      </c>
      <c r="O887" s="147">
        <v>0</v>
      </c>
      <c r="P887" s="148">
        <v>0</v>
      </c>
      <c r="Q887" s="147">
        <v>0</v>
      </c>
      <c r="R887" s="149">
        <v>600000</v>
      </c>
      <c r="S8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7" s="150">
        <f ca="1">+IF(PROVEEDORES[[#This Row],[FECHA DE PAGO]]=0,TODAY()-PROVEEDORES[[#This Row],[FECHA DE FACTURACIÓN]]-PROVEEDORES[[#This Row],[PLAZO Días]],0)</f>
        <v>0</v>
      </c>
      <c r="U887" s="150">
        <f>+VLOOKUP(PROVEEDORES[[#This Row],[PROVEEDOR]],Terceros!$A:$E,4,FALSE)</f>
        <v>0</v>
      </c>
      <c r="V887" s="150">
        <f>+YEAR(PROVEEDORES[[#This Row],[FECHA DE FACTURACIÓN]])</f>
        <v>2023</v>
      </c>
      <c r="W887" s="150">
        <f>+MATCH(PROVEEDORES[[#This Row],[año facturado]],Retenciones!$1:$1,0)</f>
        <v>6</v>
      </c>
      <c r="X887" s="151">
        <f>+VLOOKUP(PROVEEDORES[[#This Row],[ID RETENCION]],Retenciones!$A$1:$O$25,PROVEEDORES[[#This Row],[indicador de columna]],FALSE)</f>
        <v>0</v>
      </c>
      <c r="Y887" s="152">
        <f>+VLOOKUP(PROVEEDORES[[#This Row],[ID RETENCION]],Retenciones!$A$1:$O$25,2,FALSE)</f>
        <v>0</v>
      </c>
      <c r="Z887" s="153" t="b">
        <f>+OR(COUNTIF(PROVEEDORES[[#This Row],[PROVEEDOR]],"*"&amp;'Palabra que no opera y Listas d'!$A$2&amp;"*"))</f>
        <v>0</v>
      </c>
    </row>
    <row r="888" spans="1:26" ht="27.75" customHeight="1" x14ac:dyDescent="0.3">
      <c r="A888" s="144" t="str">
        <f>+IF(PROVEEDORES[[#This Row],[FECHA DE PAGO]]=PROVEEDORES[[#This Row],[FECHA DE FACTURACIÓN]],"DE CONTADO","CRÉDITO")</f>
        <v>DE CONTADO</v>
      </c>
      <c r="B888" s="144" t="b">
        <f>+IF((PROVEEDORES[[#This Row],[FECHA DE PAGO]]-PROVEEDORES[[#This Row],[FECHA DE FACTURACIÓN]])&gt;PROVEEDORES[[#This Row],[PLAZO Días]],"PAGO VENCIDO")</f>
        <v>0</v>
      </c>
      <c r="C888" s="144">
        <f>+VLOOKUP(PROVEEDORES[[#This Row],[PROVEEDOR]],TERCEROS_INFO[#All],2,FALSE)</f>
        <v>0</v>
      </c>
      <c r="D888" s="145">
        <f>+SUMIFS(PROVEEDORES[Total],PROVEEDORES[PROVEEDOR],PROVEEDORES[[#This Row],[PROVEEDOR]],PROVEEDORES[FECHA DE PAGO],"")</f>
        <v>550000</v>
      </c>
      <c r="E888" s="146"/>
      <c r="F888" s="144">
        <f>+VLOOKUP(PROVEEDORES[[#This Row],[PROVEEDOR]],
                       Terceros!$A:$G,
                       5,
                       FALSE)</f>
        <v>0</v>
      </c>
      <c r="G888" s="122">
        <v>45245</v>
      </c>
      <c r="H888" s="102" t="s">
        <v>1784</v>
      </c>
      <c r="I888" s="122">
        <v>45245</v>
      </c>
      <c r="J888" s="103" t="s">
        <v>1282</v>
      </c>
      <c r="K888" s="103" t="s">
        <v>1512</v>
      </c>
      <c r="L888" s="103"/>
      <c r="M888" s="105">
        <v>460000</v>
      </c>
      <c r="N888" s="147">
        <v>0</v>
      </c>
      <c r="O888" s="147">
        <v>0</v>
      </c>
      <c r="P888" s="148">
        <v>0</v>
      </c>
      <c r="Q888" s="147">
        <v>0</v>
      </c>
      <c r="R888" s="149">
        <v>460000</v>
      </c>
      <c r="S8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8" s="150">
        <f ca="1">+IF(PROVEEDORES[[#This Row],[FECHA DE PAGO]]=0,TODAY()-PROVEEDORES[[#This Row],[FECHA DE FACTURACIÓN]]-PROVEEDORES[[#This Row],[PLAZO Días]],0)</f>
        <v>0</v>
      </c>
      <c r="U888" s="150">
        <f>+VLOOKUP(PROVEEDORES[[#This Row],[PROVEEDOR]],Terceros!$A:$E,4,FALSE)</f>
        <v>0</v>
      </c>
      <c r="V888" s="150">
        <f>+YEAR(PROVEEDORES[[#This Row],[FECHA DE FACTURACIÓN]])</f>
        <v>2023</v>
      </c>
      <c r="W888" s="150">
        <f>+MATCH(PROVEEDORES[[#This Row],[año facturado]],Retenciones!$1:$1,0)</f>
        <v>6</v>
      </c>
      <c r="X888" s="151">
        <f>+VLOOKUP(PROVEEDORES[[#This Row],[ID RETENCION]],Retenciones!$A$1:$O$25,PROVEEDORES[[#This Row],[indicador de columna]],FALSE)</f>
        <v>0</v>
      </c>
      <c r="Y888" s="152">
        <f>+VLOOKUP(PROVEEDORES[[#This Row],[ID RETENCION]],Retenciones!$A$1:$O$25,2,FALSE)</f>
        <v>0</v>
      </c>
      <c r="Z888" s="153" t="b">
        <f>+OR(COUNTIF(PROVEEDORES[[#This Row],[PROVEEDOR]],"*"&amp;'Palabra que no opera y Listas d'!$A$2&amp;"*"))</f>
        <v>0</v>
      </c>
    </row>
    <row r="889" spans="1:26" ht="27.75" customHeight="1" x14ac:dyDescent="0.3">
      <c r="A889" s="144" t="str">
        <f>+IF(PROVEEDORES[[#This Row],[FECHA DE PAGO]]=PROVEEDORES[[#This Row],[FECHA DE FACTURACIÓN]],"DE CONTADO","CRÉDITO")</f>
        <v>CRÉDITO</v>
      </c>
      <c r="B889" s="144" t="str">
        <f>+IF((PROVEEDORES[[#This Row],[FECHA DE PAGO]]-PROVEEDORES[[#This Row],[FECHA DE FACTURACIÓN]])&gt;PROVEEDORES[[#This Row],[PLAZO Días]],"PAGO VENCIDO")</f>
        <v>PAGO VENCIDO</v>
      </c>
      <c r="C889" s="144">
        <f>+VLOOKUP(PROVEEDORES[[#This Row],[PROVEEDOR]],TERCEROS_INFO[#All],2,FALSE)</f>
        <v>0</v>
      </c>
      <c r="D889" s="145">
        <f>+SUMIFS(PROVEEDORES[Total],PROVEEDORES[PROVEEDOR],PROVEEDORES[[#This Row],[PROVEEDOR]],PROVEEDORES[FECHA DE PAGO],"")</f>
        <v>1460000.29</v>
      </c>
      <c r="E889" s="146"/>
      <c r="F889" s="144" t="str">
        <f>+VLOOKUP(PROVEEDORES[[#This Row],[PROVEEDOR]],
                       Terceros!$A:$G,
                       5,
                       FALSE)</f>
        <v>2,5% con base</v>
      </c>
      <c r="G889" s="122">
        <v>45246</v>
      </c>
      <c r="H889" s="102" t="s">
        <v>142</v>
      </c>
      <c r="I889" s="122">
        <v>45156</v>
      </c>
      <c r="J889" s="103" t="s">
        <v>513</v>
      </c>
      <c r="K889" s="103" t="s">
        <v>1512</v>
      </c>
      <c r="L889" s="103"/>
      <c r="M889" s="105">
        <v>-537815</v>
      </c>
      <c r="N889" s="147">
        <v>-102184.85</v>
      </c>
      <c r="O889" s="147">
        <v>0</v>
      </c>
      <c r="P889" s="148">
        <v>0</v>
      </c>
      <c r="Q889" s="147">
        <v>0</v>
      </c>
      <c r="R889" s="149">
        <v>-639999.85</v>
      </c>
      <c r="S8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9" s="150">
        <f ca="1">+IF(PROVEEDORES[[#This Row],[FECHA DE PAGO]]=0,TODAY()-PROVEEDORES[[#This Row],[FECHA DE FACTURACIÓN]]-PROVEEDORES[[#This Row],[PLAZO Días]],0)</f>
        <v>0</v>
      </c>
      <c r="U889" s="150">
        <f>+VLOOKUP(PROVEEDORES[[#This Row],[PROVEEDOR]],Terceros!$A:$E,4,FALSE)</f>
        <v>0.19</v>
      </c>
      <c r="V889" s="150">
        <f>+YEAR(PROVEEDORES[[#This Row],[FECHA DE FACTURACIÓN]])</f>
        <v>2023</v>
      </c>
      <c r="W889" s="150">
        <f>+MATCH(PROVEEDORES[[#This Row],[año facturado]],Retenciones!$1:$1,0)</f>
        <v>6</v>
      </c>
      <c r="X889" s="151" t="e">
        <f>+VLOOKUP(PROVEEDORES[[#This Row],[ID RETENCION]],Retenciones!$A$1:$O$25,PROVEEDORES[[#This Row],[indicador de columna]],FALSE)</f>
        <v>#N/A</v>
      </c>
      <c r="Y889" s="152" t="e">
        <f>+VLOOKUP(PROVEEDORES[[#This Row],[ID RETENCION]],Retenciones!$A$1:$O$25,2,FALSE)</f>
        <v>#N/A</v>
      </c>
      <c r="Z889" s="153" t="b">
        <f>+OR(COUNTIF(PROVEEDORES[[#This Row],[PROVEEDOR]],"*"&amp;'Palabra que no opera y Listas d'!$A$2&amp;"*"))</f>
        <v>0</v>
      </c>
    </row>
    <row r="890" spans="1:26" ht="27.75" customHeight="1" x14ac:dyDescent="0.3">
      <c r="A890" s="144" t="str">
        <f>+IF(PROVEEDORES[[#This Row],[FECHA DE PAGO]]=PROVEEDORES[[#This Row],[FECHA DE FACTURACIÓN]],"DE CONTADO","CRÉDITO")</f>
        <v>CRÉDITO</v>
      </c>
      <c r="B890" s="144" t="str">
        <f>+IF((PROVEEDORES[[#This Row],[FECHA DE PAGO]]-PROVEEDORES[[#This Row],[FECHA DE FACTURACIÓN]])&gt;PROVEEDORES[[#This Row],[PLAZO Días]],"PAGO VENCIDO")</f>
        <v>PAGO VENCIDO</v>
      </c>
      <c r="C890" s="144">
        <f>+VLOOKUP(PROVEEDORES[[#This Row],[PROVEEDOR]],TERCEROS_INFO[#All],2,FALSE)</f>
        <v>0</v>
      </c>
      <c r="D890" s="145">
        <f>+SUMIFS(PROVEEDORES[Total],PROVEEDORES[PROVEEDOR],PROVEEDORES[[#This Row],[PROVEEDOR]],PROVEEDORES[FECHA DE PAGO],"")</f>
        <v>1460000.29</v>
      </c>
      <c r="E890" s="146"/>
      <c r="F890" s="144" t="str">
        <f>+VLOOKUP(PROVEEDORES[[#This Row],[PROVEEDOR]],
                       Terceros!$A:$G,
                       5,
                       FALSE)</f>
        <v>2,5% con base</v>
      </c>
      <c r="G890" s="122">
        <v>45246</v>
      </c>
      <c r="H890" s="102" t="s">
        <v>142</v>
      </c>
      <c r="I890" s="122">
        <v>45177</v>
      </c>
      <c r="J890" s="103" t="s">
        <v>1065</v>
      </c>
      <c r="K890" s="103" t="s">
        <v>1512</v>
      </c>
      <c r="L890" s="103"/>
      <c r="M890" s="105">
        <v>3048739</v>
      </c>
      <c r="N890" s="147">
        <v>579260.41</v>
      </c>
      <c r="O890" s="147">
        <v>0</v>
      </c>
      <c r="P890" s="148">
        <v>2.5000000000000001E-2</v>
      </c>
      <c r="Q890" s="147">
        <v>76218.475000000006</v>
      </c>
      <c r="R890" s="149">
        <v>3551780.9350000001</v>
      </c>
      <c r="S8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0" s="150">
        <f ca="1">+IF(PROVEEDORES[[#This Row],[FECHA DE PAGO]]=0,TODAY()-PROVEEDORES[[#This Row],[FECHA DE FACTURACIÓN]]-PROVEEDORES[[#This Row],[PLAZO Días]],0)</f>
        <v>0</v>
      </c>
      <c r="U890" s="150">
        <f>+VLOOKUP(PROVEEDORES[[#This Row],[PROVEEDOR]],Terceros!$A:$E,4,FALSE)</f>
        <v>0.19</v>
      </c>
      <c r="V890" s="150">
        <f>+YEAR(PROVEEDORES[[#This Row],[FECHA DE FACTURACIÓN]])</f>
        <v>2023</v>
      </c>
      <c r="W890" s="150">
        <f>+MATCH(PROVEEDORES[[#This Row],[año facturado]],Retenciones!$1:$1,0)</f>
        <v>6</v>
      </c>
      <c r="X890" s="151" t="e">
        <f>+VLOOKUP(PROVEEDORES[[#This Row],[ID RETENCION]],Retenciones!$A$1:$O$25,PROVEEDORES[[#This Row],[indicador de columna]],FALSE)</f>
        <v>#N/A</v>
      </c>
      <c r="Y890" s="152" t="e">
        <f>+VLOOKUP(PROVEEDORES[[#This Row],[ID RETENCION]],Retenciones!$A$1:$O$25,2,FALSE)</f>
        <v>#N/A</v>
      </c>
      <c r="Z890" s="153" t="b">
        <f>+OR(COUNTIF(PROVEEDORES[[#This Row],[PROVEEDOR]],"*"&amp;'Palabra que no opera y Listas d'!$A$2&amp;"*"))</f>
        <v>0</v>
      </c>
    </row>
    <row r="891" spans="1:26" ht="27.75" customHeight="1" x14ac:dyDescent="0.3">
      <c r="A891" s="144" t="str">
        <f>+IF(PROVEEDORES[[#This Row],[FECHA DE PAGO]]=PROVEEDORES[[#This Row],[FECHA DE FACTURACIÓN]],"DE CONTADO","CRÉDITO")</f>
        <v>CRÉDITO</v>
      </c>
      <c r="B891" s="144" t="str">
        <f>+IF((PROVEEDORES[[#This Row],[FECHA DE PAGO]]-PROVEEDORES[[#This Row],[FECHA DE FACTURACIÓN]])&gt;PROVEEDORES[[#This Row],[PLAZO Días]],"PAGO VENCIDO")</f>
        <v>PAGO VENCIDO</v>
      </c>
      <c r="C891" s="144">
        <f>+VLOOKUP(PROVEEDORES[[#This Row],[PROVEEDOR]],TERCEROS_INFO[#All],2,FALSE)</f>
        <v>0</v>
      </c>
      <c r="D891" s="145">
        <f>+SUMIFS(PROVEEDORES[Total],PROVEEDORES[PROVEEDOR],PROVEEDORES[[#This Row],[PROVEEDOR]],PROVEEDORES[FECHA DE PAGO],"")</f>
        <v>0</v>
      </c>
      <c r="E891" s="146"/>
      <c r="F891" s="144" t="str">
        <f>+VLOOKUP(PROVEEDORES[[#This Row],[PROVEEDOR]],
                       Terceros!$A:$G,
                       5,
                       FALSE)</f>
        <v>2,5% con base</v>
      </c>
      <c r="G891" s="122">
        <v>45246</v>
      </c>
      <c r="H891" s="102" t="s">
        <v>956</v>
      </c>
      <c r="I891" s="122">
        <v>45178</v>
      </c>
      <c r="J891" s="103" t="s">
        <v>1074</v>
      </c>
      <c r="K891" s="103" t="s">
        <v>1512</v>
      </c>
      <c r="L891" s="103"/>
      <c r="M891" s="105">
        <v>1157983</v>
      </c>
      <c r="N891" s="147">
        <v>220016.77</v>
      </c>
      <c r="O891" s="147">
        <v>0</v>
      </c>
      <c r="P891" s="148">
        <v>2.5000000000000001E-2</v>
      </c>
      <c r="Q891" s="147">
        <v>28949.575000000001</v>
      </c>
      <c r="R891" s="149">
        <v>1349050.1950000001</v>
      </c>
      <c r="S8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1" s="150">
        <f ca="1">+IF(PROVEEDORES[[#This Row],[FECHA DE PAGO]]=0,TODAY()-PROVEEDORES[[#This Row],[FECHA DE FACTURACIÓN]]-PROVEEDORES[[#This Row],[PLAZO Días]],0)</f>
        <v>0</v>
      </c>
      <c r="U891" s="150">
        <f>+VLOOKUP(PROVEEDORES[[#This Row],[PROVEEDOR]],Terceros!$A:$E,4,FALSE)</f>
        <v>0.19</v>
      </c>
      <c r="V891" s="150">
        <f>+YEAR(PROVEEDORES[[#This Row],[FECHA DE FACTURACIÓN]])</f>
        <v>2023</v>
      </c>
      <c r="W891" s="150">
        <f>+MATCH(PROVEEDORES[[#This Row],[año facturado]],Retenciones!$1:$1,0)</f>
        <v>6</v>
      </c>
      <c r="X891" s="151" t="e">
        <f>+VLOOKUP(PROVEEDORES[[#This Row],[ID RETENCION]],Retenciones!$A$1:$O$25,PROVEEDORES[[#This Row],[indicador de columna]],FALSE)</f>
        <v>#N/A</v>
      </c>
      <c r="Y891" s="152" t="e">
        <f>+VLOOKUP(PROVEEDORES[[#This Row],[ID RETENCION]],Retenciones!$A$1:$O$25,2,FALSE)</f>
        <v>#N/A</v>
      </c>
      <c r="Z891" s="153" t="b">
        <f>+OR(COUNTIF(PROVEEDORES[[#This Row],[PROVEEDOR]],"*"&amp;'Palabra que no opera y Listas d'!$A$2&amp;"*"))</f>
        <v>0</v>
      </c>
    </row>
    <row r="892" spans="1:26" ht="27.75" customHeight="1" x14ac:dyDescent="0.3">
      <c r="A892" s="144" t="str">
        <f>+IF(PROVEEDORES[[#This Row],[FECHA DE PAGO]]=PROVEEDORES[[#This Row],[FECHA DE FACTURACIÓN]],"DE CONTADO","CRÉDITO")</f>
        <v>CRÉDITO</v>
      </c>
      <c r="B892" s="144" t="str">
        <f>+IF((PROVEEDORES[[#This Row],[FECHA DE PAGO]]-PROVEEDORES[[#This Row],[FECHA DE FACTURACIÓN]])&gt;PROVEEDORES[[#This Row],[PLAZO Días]],"PAGO VENCIDO")</f>
        <v>PAGO VENCIDO</v>
      </c>
      <c r="C892" s="144">
        <f>+VLOOKUP(PROVEEDORES[[#This Row],[PROVEEDOR]],TERCEROS_INFO[#All],2,FALSE)</f>
        <v>0</v>
      </c>
      <c r="D892" s="145">
        <f>+SUMIFS(PROVEEDORES[Total],PROVEEDORES[PROVEEDOR],PROVEEDORES[[#This Row],[PROVEEDOR]],PROVEEDORES[FECHA DE PAGO],"")</f>
        <v>1460000.29</v>
      </c>
      <c r="E892" s="146"/>
      <c r="F892" s="144" t="str">
        <f>+VLOOKUP(PROVEEDORES[[#This Row],[PROVEEDOR]],
                       Terceros!$A:$G,
                       5,
                       FALSE)</f>
        <v>2,5% con base</v>
      </c>
      <c r="G892" s="122">
        <v>45246</v>
      </c>
      <c r="H892" s="102" t="s">
        <v>142</v>
      </c>
      <c r="I892" s="122">
        <v>45184</v>
      </c>
      <c r="J892" s="103" t="s">
        <v>1067</v>
      </c>
      <c r="K892" s="103" t="s">
        <v>1512</v>
      </c>
      <c r="L892" s="103"/>
      <c r="M892" s="105">
        <v>-210084</v>
      </c>
      <c r="N892" s="147">
        <v>-39915.96</v>
      </c>
      <c r="O892" s="147">
        <v>0</v>
      </c>
      <c r="P892" s="148">
        <v>0</v>
      </c>
      <c r="Q892" s="147">
        <v>0</v>
      </c>
      <c r="R892" s="149">
        <v>-249999.96</v>
      </c>
      <c r="S8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2" s="150">
        <f ca="1">+IF(PROVEEDORES[[#This Row],[FECHA DE PAGO]]=0,TODAY()-PROVEEDORES[[#This Row],[FECHA DE FACTURACIÓN]]-PROVEEDORES[[#This Row],[PLAZO Días]],0)</f>
        <v>0</v>
      </c>
      <c r="U892" s="150">
        <f>+VLOOKUP(PROVEEDORES[[#This Row],[PROVEEDOR]],Terceros!$A:$E,4,FALSE)</f>
        <v>0.19</v>
      </c>
      <c r="V892" s="150">
        <f>+YEAR(PROVEEDORES[[#This Row],[FECHA DE FACTURACIÓN]])</f>
        <v>2023</v>
      </c>
      <c r="W892" s="150">
        <f>+MATCH(PROVEEDORES[[#This Row],[año facturado]],Retenciones!$1:$1,0)</f>
        <v>6</v>
      </c>
      <c r="X892" s="151" t="e">
        <f>+VLOOKUP(PROVEEDORES[[#This Row],[ID RETENCION]],Retenciones!$A$1:$O$25,PROVEEDORES[[#This Row],[indicador de columna]],FALSE)</f>
        <v>#N/A</v>
      </c>
      <c r="Y892" s="152" t="e">
        <f>+VLOOKUP(PROVEEDORES[[#This Row],[ID RETENCION]],Retenciones!$A$1:$O$25,2,FALSE)</f>
        <v>#N/A</v>
      </c>
      <c r="Z892" s="153" t="b">
        <f>+OR(COUNTIF(PROVEEDORES[[#This Row],[PROVEEDOR]],"*"&amp;'Palabra que no opera y Listas d'!$A$2&amp;"*"))</f>
        <v>0</v>
      </c>
    </row>
    <row r="893" spans="1:26" ht="27.75" customHeight="1" x14ac:dyDescent="0.3">
      <c r="A893" s="144" t="str">
        <f>+IF(PROVEEDORES[[#This Row],[FECHA DE PAGO]]=PROVEEDORES[[#This Row],[FECHA DE FACTURACIÓN]],"DE CONTADO","CRÉDITO")</f>
        <v>CRÉDITO</v>
      </c>
      <c r="B893" s="144" t="str">
        <f>+IF((PROVEEDORES[[#This Row],[FECHA DE PAGO]]-PROVEEDORES[[#This Row],[FECHA DE FACTURACIÓN]])&gt;PROVEEDORES[[#This Row],[PLAZO Días]],"PAGO VENCIDO")</f>
        <v>PAGO VENCIDO</v>
      </c>
      <c r="C893" s="144">
        <f>+VLOOKUP(PROVEEDORES[[#This Row],[PROVEEDOR]],TERCEROS_INFO[#All],2,FALSE)</f>
        <v>0</v>
      </c>
      <c r="D893" s="145">
        <f>+SUMIFS(PROVEEDORES[Total],PROVEEDORES[PROVEEDOR],PROVEEDORES[[#This Row],[PROVEEDOR]],PROVEEDORES[FECHA DE PAGO],"")</f>
        <v>1460000.29</v>
      </c>
      <c r="E893" s="146"/>
      <c r="F893" s="144" t="str">
        <f>+VLOOKUP(PROVEEDORES[[#This Row],[PROVEEDOR]],
                       Terceros!$A:$G,
                       5,
                       FALSE)</f>
        <v>2,5% con base</v>
      </c>
      <c r="G893" s="122">
        <v>45246</v>
      </c>
      <c r="H893" s="102" t="s">
        <v>142</v>
      </c>
      <c r="I893" s="122">
        <v>45184</v>
      </c>
      <c r="J893" s="103" t="s">
        <v>1066</v>
      </c>
      <c r="K893" s="103" t="s">
        <v>1512</v>
      </c>
      <c r="L893" s="103"/>
      <c r="M893" s="105">
        <v>483193</v>
      </c>
      <c r="N893" s="147">
        <v>91806.67</v>
      </c>
      <c r="O893" s="147">
        <v>0</v>
      </c>
      <c r="P893" s="148">
        <v>0</v>
      </c>
      <c r="Q893" s="147">
        <v>0</v>
      </c>
      <c r="R893" s="149">
        <v>574999.67000000004</v>
      </c>
      <c r="S8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3" s="150">
        <f ca="1">+IF(PROVEEDORES[[#This Row],[FECHA DE PAGO]]=0,TODAY()-PROVEEDORES[[#This Row],[FECHA DE FACTURACIÓN]]-PROVEEDORES[[#This Row],[PLAZO Días]],0)</f>
        <v>0</v>
      </c>
      <c r="U893" s="150">
        <f>+VLOOKUP(PROVEEDORES[[#This Row],[PROVEEDOR]],Terceros!$A:$E,4,FALSE)</f>
        <v>0.19</v>
      </c>
      <c r="V893" s="150">
        <f>+YEAR(PROVEEDORES[[#This Row],[FECHA DE FACTURACIÓN]])</f>
        <v>2023</v>
      </c>
      <c r="W893" s="150">
        <f>+MATCH(PROVEEDORES[[#This Row],[año facturado]],Retenciones!$1:$1,0)</f>
        <v>6</v>
      </c>
      <c r="X893" s="151" t="e">
        <f>+VLOOKUP(PROVEEDORES[[#This Row],[ID RETENCION]],Retenciones!$A$1:$O$25,PROVEEDORES[[#This Row],[indicador de columna]],FALSE)</f>
        <v>#N/A</v>
      </c>
      <c r="Y893" s="152" t="e">
        <f>+VLOOKUP(PROVEEDORES[[#This Row],[ID RETENCION]],Retenciones!$A$1:$O$25,2,FALSE)</f>
        <v>#N/A</v>
      </c>
      <c r="Z893" s="153" t="b">
        <f>+OR(COUNTIF(PROVEEDORES[[#This Row],[PROVEEDOR]],"*"&amp;'Palabra que no opera y Listas d'!$A$2&amp;"*"))</f>
        <v>0</v>
      </c>
    </row>
    <row r="894" spans="1:26" ht="27.75" customHeight="1" x14ac:dyDescent="0.3">
      <c r="A894" s="144" t="str">
        <f>+IF(PROVEEDORES[[#This Row],[FECHA DE PAGO]]=PROVEEDORES[[#This Row],[FECHA DE FACTURACIÓN]],"DE CONTADO","CRÉDITO")</f>
        <v>CRÉDITO</v>
      </c>
      <c r="B894" s="144" t="str">
        <f>+IF((PROVEEDORES[[#This Row],[FECHA DE PAGO]]-PROVEEDORES[[#This Row],[FECHA DE FACTURACIÓN]])&gt;PROVEEDORES[[#This Row],[PLAZO Días]],"PAGO VENCIDO")</f>
        <v>PAGO VENCIDO</v>
      </c>
      <c r="C894" s="144">
        <f>+VLOOKUP(PROVEEDORES[[#This Row],[PROVEEDOR]],TERCEROS_INFO[#All],2,FALSE)</f>
        <v>0</v>
      </c>
      <c r="D894" s="145">
        <f>+SUMIFS(PROVEEDORES[Total],PROVEEDORES[PROVEEDOR],PROVEEDORES[[#This Row],[PROVEEDOR]],PROVEEDORES[FECHA DE PAGO],"")</f>
        <v>28179645.060000002</v>
      </c>
      <c r="E894" s="146"/>
      <c r="F894" s="144">
        <f>+VLOOKUP(PROVEEDORES[[#This Row],[PROVEEDOR]],
                       Terceros!$A:$G,
                       5,
                       FALSE)</f>
        <v>0</v>
      </c>
      <c r="G894" s="122">
        <v>45246</v>
      </c>
      <c r="H894" s="102" t="s">
        <v>18</v>
      </c>
      <c r="I894" s="122">
        <v>45197</v>
      </c>
      <c r="J894" s="103" t="s">
        <v>1081</v>
      </c>
      <c r="K894" s="103" t="s">
        <v>1512</v>
      </c>
      <c r="L894" s="103"/>
      <c r="M894" s="105">
        <v>13085520</v>
      </c>
      <c r="N894" s="147">
        <v>2486248.7999999998</v>
      </c>
      <c r="O894" s="147">
        <v>0</v>
      </c>
      <c r="P894" s="148">
        <v>0</v>
      </c>
      <c r="Q894" s="147">
        <v>0</v>
      </c>
      <c r="R894" s="149">
        <v>15571768.800000001</v>
      </c>
      <c r="S8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4" s="150">
        <f ca="1">+IF(PROVEEDORES[[#This Row],[FECHA DE PAGO]]=0,TODAY()-PROVEEDORES[[#This Row],[FECHA DE FACTURACIÓN]]-PROVEEDORES[[#This Row],[PLAZO Días]],0)</f>
        <v>0</v>
      </c>
      <c r="U894" s="150">
        <f>+VLOOKUP(PROVEEDORES[[#This Row],[PROVEEDOR]],Terceros!$A:$E,4,FALSE)</f>
        <v>0.19</v>
      </c>
      <c r="V894" s="150">
        <f>+YEAR(PROVEEDORES[[#This Row],[FECHA DE FACTURACIÓN]])</f>
        <v>2023</v>
      </c>
      <c r="W894" s="150">
        <f>+MATCH(PROVEEDORES[[#This Row],[año facturado]],Retenciones!$1:$1,0)</f>
        <v>6</v>
      </c>
      <c r="X894" s="151" t="e">
        <f>+VLOOKUP(PROVEEDORES[[#This Row],[ID RETENCION]],Retenciones!$A$1:$O$25,PROVEEDORES[[#This Row],[indicador de columna]],FALSE)</f>
        <v>#N/A</v>
      </c>
      <c r="Y894" s="152" t="e">
        <f>+VLOOKUP(PROVEEDORES[[#This Row],[ID RETENCION]],Retenciones!$A$1:$O$25,2,FALSE)</f>
        <v>#N/A</v>
      </c>
      <c r="Z894" s="153" t="b">
        <f>+OR(COUNTIF(PROVEEDORES[[#This Row],[PROVEEDOR]],"*"&amp;'Palabra que no opera y Listas d'!$A$2&amp;"*"))</f>
        <v>0</v>
      </c>
    </row>
    <row r="895" spans="1:26" ht="27.75" customHeight="1" x14ac:dyDescent="0.3">
      <c r="A895" s="144" t="str">
        <f>+IF(PROVEEDORES[[#This Row],[FECHA DE PAGO]]=PROVEEDORES[[#This Row],[FECHA DE FACTURACIÓN]],"DE CONTADO","CRÉDITO")</f>
        <v>CRÉDITO</v>
      </c>
      <c r="B895" s="144" t="str">
        <f>+IF((PROVEEDORES[[#This Row],[FECHA DE PAGO]]-PROVEEDORES[[#This Row],[FECHA DE FACTURACIÓN]])&gt;PROVEEDORES[[#This Row],[PLAZO Días]],"PAGO VENCIDO")</f>
        <v>PAGO VENCIDO</v>
      </c>
      <c r="C895" s="144">
        <f>+VLOOKUP(PROVEEDORES[[#This Row],[PROVEEDOR]],TERCEROS_INFO[#All],2,FALSE)</f>
        <v>0</v>
      </c>
      <c r="D895" s="145">
        <f>+SUMIFS(PROVEEDORES[Total],PROVEEDORES[PROVEEDOR],PROVEEDORES[[#This Row],[PROVEEDOR]],PROVEEDORES[FECHA DE PAGO],"")</f>
        <v>0</v>
      </c>
      <c r="E895" s="146"/>
      <c r="F895" s="144" t="str">
        <f>+VLOOKUP(PROVEEDORES[[#This Row],[PROVEEDOR]],
                       Terceros!$A:$G,
                       5,
                       FALSE)</f>
        <v>2,5% con base</v>
      </c>
      <c r="G895" s="122">
        <v>45246</v>
      </c>
      <c r="H895" s="102" t="s">
        <v>71</v>
      </c>
      <c r="I895" s="122">
        <v>45218</v>
      </c>
      <c r="J895" s="103" t="s">
        <v>1172</v>
      </c>
      <c r="K895" s="103" t="s">
        <v>1512</v>
      </c>
      <c r="L895" s="103"/>
      <c r="M895" s="105">
        <v>5488200</v>
      </c>
      <c r="N895" s="147">
        <v>1042758</v>
      </c>
      <c r="O895" s="147">
        <v>0</v>
      </c>
      <c r="P895" s="148">
        <v>2.5000000000000001E-2</v>
      </c>
      <c r="Q895" s="147">
        <v>137205</v>
      </c>
      <c r="R895" s="149">
        <v>6393753</v>
      </c>
      <c r="S8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5" s="150">
        <f ca="1">+IF(PROVEEDORES[[#This Row],[FECHA DE PAGO]]=0,TODAY()-PROVEEDORES[[#This Row],[FECHA DE FACTURACIÓN]]-PROVEEDORES[[#This Row],[PLAZO Días]],0)</f>
        <v>0</v>
      </c>
      <c r="U895" s="150">
        <f>+VLOOKUP(PROVEEDORES[[#This Row],[PROVEEDOR]],Terceros!$A:$E,4,FALSE)</f>
        <v>0.19</v>
      </c>
      <c r="V895" s="150">
        <f>+YEAR(PROVEEDORES[[#This Row],[FECHA DE FACTURACIÓN]])</f>
        <v>2023</v>
      </c>
      <c r="W895" s="150">
        <f>+MATCH(PROVEEDORES[[#This Row],[año facturado]],Retenciones!$1:$1,0)</f>
        <v>6</v>
      </c>
      <c r="X895" s="151" t="e">
        <f>+VLOOKUP(PROVEEDORES[[#This Row],[ID RETENCION]],Retenciones!$A$1:$O$25,PROVEEDORES[[#This Row],[indicador de columna]],FALSE)</f>
        <v>#N/A</v>
      </c>
      <c r="Y895" s="152" t="e">
        <f>+VLOOKUP(PROVEEDORES[[#This Row],[ID RETENCION]],Retenciones!$A$1:$O$25,2,FALSE)</f>
        <v>#N/A</v>
      </c>
      <c r="Z895" s="153" t="b">
        <f>+OR(COUNTIF(PROVEEDORES[[#This Row],[PROVEEDOR]],"*"&amp;'Palabra que no opera y Listas d'!$A$2&amp;"*"))</f>
        <v>0</v>
      </c>
    </row>
    <row r="896" spans="1:26" ht="27.75" customHeight="1" x14ac:dyDescent="0.3">
      <c r="A896" s="144" t="str">
        <f>+IF(PROVEEDORES[[#This Row],[FECHA DE PAGO]]=PROVEEDORES[[#This Row],[FECHA DE FACTURACIÓN]],"DE CONTADO","CRÉDITO")</f>
        <v>CRÉDITO</v>
      </c>
      <c r="B896" s="144" t="str">
        <f>+IF((PROVEEDORES[[#This Row],[FECHA DE PAGO]]-PROVEEDORES[[#This Row],[FECHA DE FACTURACIÓN]])&gt;PROVEEDORES[[#This Row],[PLAZO Días]],"PAGO VENCIDO")</f>
        <v>PAGO VENCIDO</v>
      </c>
      <c r="C896" s="144">
        <f>+VLOOKUP(PROVEEDORES[[#This Row],[PROVEEDOR]],TERCEROS_INFO[#All],2,FALSE)</f>
        <v>0</v>
      </c>
      <c r="D896" s="145">
        <f>+SUMIFS(PROVEEDORES[Total],PROVEEDORES[PROVEEDOR],PROVEEDORES[[#This Row],[PROVEEDOR]],PROVEEDORES[FECHA DE PAGO],"")</f>
        <v>0</v>
      </c>
      <c r="E896" s="146"/>
      <c r="F896" s="144" t="str">
        <f>+VLOOKUP(PROVEEDORES[[#This Row],[PROVEEDOR]],
                       Terceros!$A:$G,
                       5,
                       FALSE)</f>
        <v>2,5% con base</v>
      </c>
      <c r="G896" s="122">
        <v>45246</v>
      </c>
      <c r="H896" s="102" t="s">
        <v>71</v>
      </c>
      <c r="I896" s="122">
        <v>45218</v>
      </c>
      <c r="J896" s="103" t="s">
        <v>1173</v>
      </c>
      <c r="K896" s="103" t="s">
        <v>1512</v>
      </c>
      <c r="L896" s="103"/>
      <c r="M896" s="105">
        <v>1478700</v>
      </c>
      <c r="N896" s="147">
        <v>280953</v>
      </c>
      <c r="O896" s="147">
        <v>0</v>
      </c>
      <c r="P896" s="148">
        <v>2.5000000000000001E-2</v>
      </c>
      <c r="Q896" s="147">
        <v>36967.5</v>
      </c>
      <c r="R896" s="149">
        <v>1722685.5</v>
      </c>
      <c r="S8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6" s="150">
        <f ca="1">+IF(PROVEEDORES[[#This Row],[FECHA DE PAGO]]=0,TODAY()-PROVEEDORES[[#This Row],[FECHA DE FACTURACIÓN]]-PROVEEDORES[[#This Row],[PLAZO Días]],0)</f>
        <v>0</v>
      </c>
      <c r="U896" s="150">
        <f>+VLOOKUP(PROVEEDORES[[#This Row],[PROVEEDOR]],Terceros!$A:$E,4,FALSE)</f>
        <v>0.19</v>
      </c>
      <c r="V896" s="150">
        <f>+YEAR(PROVEEDORES[[#This Row],[FECHA DE FACTURACIÓN]])</f>
        <v>2023</v>
      </c>
      <c r="W896" s="150">
        <f>+MATCH(PROVEEDORES[[#This Row],[año facturado]],Retenciones!$1:$1,0)</f>
        <v>6</v>
      </c>
      <c r="X896" s="151" t="e">
        <f>+VLOOKUP(PROVEEDORES[[#This Row],[ID RETENCION]],Retenciones!$A$1:$O$25,PROVEEDORES[[#This Row],[indicador de columna]],FALSE)</f>
        <v>#N/A</v>
      </c>
      <c r="Y896" s="152" t="e">
        <f>+VLOOKUP(PROVEEDORES[[#This Row],[ID RETENCION]],Retenciones!$A$1:$O$25,2,FALSE)</f>
        <v>#N/A</v>
      </c>
      <c r="Z896" s="153" t="b">
        <f>+OR(COUNTIF(PROVEEDORES[[#This Row],[PROVEEDOR]],"*"&amp;'Palabra que no opera y Listas d'!$A$2&amp;"*"))</f>
        <v>0</v>
      </c>
    </row>
    <row r="897" spans="1:26" ht="27.75" customHeight="1" x14ac:dyDescent="0.3">
      <c r="A897" s="144" t="str">
        <f>+IF(PROVEEDORES[[#This Row],[FECHA DE PAGO]]=PROVEEDORES[[#This Row],[FECHA DE FACTURACIÓN]],"DE CONTADO","CRÉDITO")</f>
        <v>CRÉDITO</v>
      </c>
      <c r="B897" s="144" t="str">
        <f>+IF((PROVEEDORES[[#This Row],[FECHA DE PAGO]]-PROVEEDORES[[#This Row],[FECHA DE FACTURACIÓN]])&gt;PROVEEDORES[[#This Row],[PLAZO Días]],"PAGO VENCIDO")</f>
        <v>PAGO VENCIDO</v>
      </c>
      <c r="C897" s="144">
        <f>+VLOOKUP(PROVEEDORES[[#This Row],[PROVEEDOR]],TERCEROS_INFO[#All],2,FALSE)</f>
        <v>0</v>
      </c>
      <c r="D897" s="145">
        <f>+SUMIFS(PROVEEDORES[Total],PROVEEDORES[PROVEEDOR],PROVEEDORES[[#This Row],[PROVEEDOR]],PROVEEDORES[FECHA DE PAGO],"")</f>
        <v>0</v>
      </c>
      <c r="E897" s="146"/>
      <c r="F897" s="144" t="str">
        <f>+VLOOKUP(PROVEEDORES[[#This Row],[PROVEEDOR]],
                       Terceros!$A:$G,
                       5,
                       FALSE)</f>
        <v>3,5% sin base</v>
      </c>
      <c r="G897" s="122">
        <v>45246</v>
      </c>
      <c r="H897" s="102" t="s">
        <v>409</v>
      </c>
      <c r="I897" s="122">
        <v>45231</v>
      </c>
      <c r="J897" s="103" t="s">
        <v>1206</v>
      </c>
      <c r="K897" s="103" t="s">
        <v>1512</v>
      </c>
      <c r="L897" s="103"/>
      <c r="M897" s="105">
        <v>243611</v>
      </c>
      <c r="N897" s="147">
        <v>46286.090000000004</v>
      </c>
      <c r="O897" s="147">
        <v>0</v>
      </c>
      <c r="P897" s="148">
        <v>3.5000000000000003E-2</v>
      </c>
      <c r="Q897" s="147">
        <v>8526.3850000000002</v>
      </c>
      <c r="R897" s="149">
        <v>281370.70500000002</v>
      </c>
      <c r="S8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7" s="150">
        <f ca="1">+IF(PROVEEDORES[[#This Row],[FECHA DE PAGO]]=0,TODAY()-PROVEEDORES[[#This Row],[FECHA DE FACTURACIÓN]]-PROVEEDORES[[#This Row],[PLAZO Días]],0)</f>
        <v>0</v>
      </c>
      <c r="U897" s="150">
        <f>+VLOOKUP(PROVEEDORES[[#This Row],[PROVEEDOR]],Terceros!$A:$E,4,FALSE)</f>
        <v>0.19</v>
      </c>
      <c r="V897" s="150">
        <f>+YEAR(PROVEEDORES[[#This Row],[FECHA DE FACTURACIÓN]])</f>
        <v>2023</v>
      </c>
      <c r="W897" s="150">
        <f>+MATCH(PROVEEDORES[[#This Row],[año facturado]],Retenciones!$1:$1,0)</f>
        <v>6</v>
      </c>
      <c r="X897" s="151" t="e">
        <f>+VLOOKUP(PROVEEDORES[[#This Row],[ID RETENCION]],Retenciones!$A$1:$O$25,PROVEEDORES[[#This Row],[indicador de columna]],FALSE)</f>
        <v>#N/A</v>
      </c>
      <c r="Y897" s="152" t="e">
        <f>+VLOOKUP(PROVEEDORES[[#This Row],[ID RETENCION]],Retenciones!$A$1:$O$25,2,FALSE)</f>
        <v>#N/A</v>
      </c>
      <c r="Z897" s="153" t="b">
        <f>+OR(COUNTIF(PROVEEDORES[[#This Row],[PROVEEDOR]],"*"&amp;'Palabra que no opera y Listas d'!$A$2&amp;"*"))</f>
        <v>1</v>
      </c>
    </row>
    <row r="898" spans="1:26" ht="27.75" customHeight="1" x14ac:dyDescent="0.3">
      <c r="A898" s="144" t="str">
        <f>+IF(PROVEEDORES[[#This Row],[FECHA DE PAGO]]=PROVEEDORES[[#This Row],[FECHA DE FACTURACIÓN]],"DE CONTADO","CRÉDITO")</f>
        <v>CRÉDITO</v>
      </c>
      <c r="B898" s="144" t="str">
        <f>+IF((PROVEEDORES[[#This Row],[FECHA DE PAGO]]-PROVEEDORES[[#This Row],[FECHA DE FACTURACIÓN]])&gt;PROVEEDORES[[#This Row],[PLAZO Días]],"PAGO VENCIDO")</f>
        <v>PAGO VENCIDO</v>
      </c>
      <c r="C898" s="144">
        <f>+VLOOKUP(PROVEEDORES[[#This Row],[PROVEEDOR]],TERCEROS_INFO[#All],2,FALSE)</f>
        <v>0</v>
      </c>
      <c r="D898" s="145">
        <f>+SUMIFS(PROVEEDORES[Total],PROVEEDORES[PROVEEDOR],PROVEEDORES[[#This Row],[PROVEEDOR]],PROVEEDORES[FECHA DE PAGO],"")</f>
        <v>0</v>
      </c>
      <c r="E898" s="146"/>
      <c r="F898" s="144">
        <f>+VLOOKUP(PROVEEDORES[[#This Row],[PROVEEDOR]],
                       Terceros!$A:$G,
                       5,
                       FALSE)</f>
        <v>0</v>
      </c>
      <c r="G898" s="122">
        <v>45246</v>
      </c>
      <c r="H898" s="102" t="s">
        <v>391</v>
      </c>
      <c r="I898" s="122">
        <v>45231</v>
      </c>
      <c r="J898" s="103" t="s">
        <v>1207</v>
      </c>
      <c r="K898" s="103" t="s">
        <v>1512</v>
      </c>
      <c r="L898" s="103"/>
      <c r="M898" s="105">
        <v>318603</v>
      </c>
      <c r="N898" s="147">
        <v>0</v>
      </c>
      <c r="O898" s="147">
        <v>0</v>
      </c>
      <c r="P898" s="148">
        <v>0</v>
      </c>
      <c r="Q898" s="147">
        <v>0</v>
      </c>
      <c r="R898" s="149">
        <v>318603</v>
      </c>
      <c r="S8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8" s="150">
        <f ca="1">+IF(PROVEEDORES[[#This Row],[FECHA DE PAGO]]=0,TODAY()-PROVEEDORES[[#This Row],[FECHA DE FACTURACIÓN]]-PROVEEDORES[[#This Row],[PLAZO Días]],0)</f>
        <v>0</v>
      </c>
      <c r="U898" s="150">
        <f>+VLOOKUP(PROVEEDORES[[#This Row],[PROVEEDOR]],Terceros!$A:$E,4,FALSE)</f>
        <v>0</v>
      </c>
      <c r="V898" s="150">
        <f>+YEAR(PROVEEDORES[[#This Row],[FECHA DE FACTURACIÓN]])</f>
        <v>2023</v>
      </c>
      <c r="W898" s="150">
        <f>+MATCH(PROVEEDORES[[#This Row],[año facturado]],Retenciones!$1:$1,0)</f>
        <v>6</v>
      </c>
      <c r="X898" s="151">
        <f>+VLOOKUP(PROVEEDORES[[#This Row],[ID RETENCION]],Retenciones!$A$1:$O$25,PROVEEDORES[[#This Row],[indicador de columna]],FALSE)</f>
        <v>0</v>
      </c>
      <c r="Y898" s="152">
        <f>+VLOOKUP(PROVEEDORES[[#This Row],[ID RETENCION]],Retenciones!$A$1:$O$25,2,FALSE)</f>
        <v>0</v>
      </c>
      <c r="Z898" s="153" t="b">
        <f>+OR(COUNTIF(PROVEEDORES[[#This Row],[PROVEEDOR]],"*"&amp;'Palabra que no opera y Listas d'!$A$2&amp;"*"))</f>
        <v>1</v>
      </c>
    </row>
    <row r="899" spans="1:26" ht="27.75" customHeight="1" x14ac:dyDescent="0.3">
      <c r="A899" s="144" t="str">
        <f>+IF(PROVEEDORES[[#This Row],[FECHA DE PAGO]]=PROVEEDORES[[#This Row],[FECHA DE FACTURACIÓN]],"DE CONTADO","CRÉDITO")</f>
        <v>CRÉDITO</v>
      </c>
      <c r="B899" s="144" t="str">
        <f>+IF((PROVEEDORES[[#This Row],[FECHA DE PAGO]]-PROVEEDORES[[#This Row],[FECHA DE FACTURACIÓN]])&gt;PROVEEDORES[[#This Row],[PLAZO Días]],"PAGO VENCIDO")</f>
        <v>PAGO VENCIDO</v>
      </c>
      <c r="C899" s="144">
        <f>+VLOOKUP(PROVEEDORES[[#This Row],[PROVEEDOR]],TERCEROS_INFO[#All],2,FALSE)</f>
        <v>0</v>
      </c>
      <c r="D899" s="145">
        <f>+SUMIFS(PROVEEDORES[Total],PROVEEDORES[PROVEEDOR],PROVEEDORES[[#This Row],[PROVEEDOR]],PROVEEDORES[FECHA DE PAGO],"")</f>
        <v>0</v>
      </c>
      <c r="E899" s="146"/>
      <c r="F899" s="144">
        <f>+VLOOKUP(PROVEEDORES[[#This Row],[PROVEEDOR]],
                       Terceros!$A:$G,
                       5,
                       FALSE)</f>
        <v>0</v>
      </c>
      <c r="G899" s="122">
        <v>45246</v>
      </c>
      <c r="H899" s="102" t="s">
        <v>388</v>
      </c>
      <c r="I899" s="122">
        <v>45232</v>
      </c>
      <c r="J899" s="103" t="s">
        <v>1208</v>
      </c>
      <c r="K899" s="103" t="s">
        <v>1512</v>
      </c>
      <c r="L899" s="103"/>
      <c r="M899" s="105">
        <v>1840056</v>
      </c>
      <c r="N899" s="147">
        <v>0</v>
      </c>
      <c r="O899" s="147">
        <v>0</v>
      </c>
      <c r="P899" s="148">
        <v>0</v>
      </c>
      <c r="Q899" s="147">
        <v>0</v>
      </c>
      <c r="R899" s="149">
        <v>1840056</v>
      </c>
      <c r="S8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9" s="150">
        <f ca="1">+IF(PROVEEDORES[[#This Row],[FECHA DE PAGO]]=0,TODAY()-PROVEEDORES[[#This Row],[FECHA DE FACTURACIÓN]]-PROVEEDORES[[#This Row],[PLAZO Días]],0)</f>
        <v>0</v>
      </c>
      <c r="U899" s="150">
        <f>+VLOOKUP(PROVEEDORES[[#This Row],[PROVEEDOR]],Terceros!$A:$E,4,FALSE)</f>
        <v>0</v>
      </c>
      <c r="V899" s="150">
        <f>+YEAR(PROVEEDORES[[#This Row],[FECHA DE FACTURACIÓN]])</f>
        <v>2023</v>
      </c>
      <c r="W899" s="150">
        <f>+MATCH(PROVEEDORES[[#This Row],[año facturado]],Retenciones!$1:$1,0)</f>
        <v>6</v>
      </c>
      <c r="X899" s="151">
        <f>+VLOOKUP(PROVEEDORES[[#This Row],[ID RETENCION]],Retenciones!$A$1:$O$25,PROVEEDORES[[#This Row],[indicador de columna]],FALSE)</f>
        <v>0</v>
      </c>
      <c r="Y899" s="152">
        <f>+VLOOKUP(PROVEEDORES[[#This Row],[ID RETENCION]],Retenciones!$A$1:$O$25,2,FALSE)</f>
        <v>0</v>
      </c>
      <c r="Z899" s="153" t="b">
        <f>+OR(COUNTIF(PROVEEDORES[[#This Row],[PROVEEDOR]],"*"&amp;'Palabra que no opera y Listas d'!$A$2&amp;"*"))</f>
        <v>1</v>
      </c>
    </row>
    <row r="900" spans="1:26" ht="27.75" customHeight="1" x14ac:dyDescent="0.3">
      <c r="A900" s="144" t="str">
        <f>+IF(PROVEEDORES[[#This Row],[FECHA DE PAGO]]=PROVEEDORES[[#This Row],[FECHA DE FACTURACIÓN]],"DE CONTADO","CRÉDITO")</f>
        <v>CRÉDITO</v>
      </c>
      <c r="B900" s="144" t="str">
        <f>+IF((PROVEEDORES[[#This Row],[FECHA DE PAGO]]-PROVEEDORES[[#This Row],[FECHA DE FACTURACIÓN]])&gt;PROVEEDORES[[#This Row],[PLAZO Días]],"PAGO VENCIDO")</f>
        <v>PAGO VENCIDO</v>
      </c>
      <c r="C900" s="144">
        <f>+VLOOKUP(PROVEEDORES[[#This Row],[PROVEEDOR]],TERCEROS_INFO[#All],2,FALSE)</f>
        <v>0</v>
      </c>
      <c r="D900" s="145">
        <f>+SUMIFS(PROVEEDORES[Total],PROVEEDORES[PROVEEDOR],PROVEEDORES[[#This Row],[PROVEEDOR]],PROVEEDORES[FECHA DE PAGO],"")</f>
        <v>0</v>
      </c>
      <c r="E900" s="146"/>
      <c r="F900" s="144">
        <f>+VLOOKUP(PROVEEDORES[[#This Row],[PROVEEDOR]],
                       Terceros!$A:$G,
                       5,
                       FALSE)</f>
        <v>0</v>
      </c>
      <c r="G900" s="122">
        <v>45246</v>
      </c>
      <c r="H900" s="102" t="s">
        <v>496</v>
      </c>
      <c r="I900" s="122">
        <v>45245</v>
      </c>
      <c r="J900" s="103" t="s">
        <v>1289</v>
      </c>
      <c r="K900" s="103" t="s">
        <v>1512</v>
      </c>
      <c r="L900" s="103"/>
      <c r="M900" s="105">
        <v>4811000</v>
      </c>
      <c r="N900" s="147">
        <v>0</v>
      </c>
      <c r="O900" s="147">
        <v>0</v>
      </c>
      <c r="P900" s="148">
        <v>0</v>
      </c>
      <c r="Q900" s="147">
        <v>0</v>
      </c>
      <c r="R900" s="149">
        <v>4811000</v>
      </c>
      <c r="S9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0" s="150">
        <f ca="1">+IF(PROVEEDORES[[#This Row],[FECHA DE PAGO]]=0,TODAY()-PROVEEDORES[[#This Row],[FECHA DE FACTURACIÓN]]-PROVEEDORES[[#This Row],[PLAZO Días]],0)</f>
        <v>0</v>
      </c>
      <c r="U900" s="150">
        <f>+VLOOKUP(PROVEEDORES[[#This Row],[PROVEEDOR]],Terceros!$A:$E,4,FALSE)</f>
        <v>0</v>
      </c>
      <c r="V900" s="150">
        <f>+YEAR(PROVEEDORES[[#This Row],[FECHA DE FACTURACIÓN]])</f>
        <v>2023</v>
      </c>
      <c r="W900" s="150">
        <f>+MATCH(PROVEEDORES[[#This Row],[año facturado]],Retenciones!$1:$1,0)</f>
        <v>6</v>
      </c>
      <c r="X900" s="151">
        <f>+VLOOKUP(PROVEEDORES[[#This Row],[ID RETENCION]],Retenciones!$A$1:$O$25,PROVEEDORES[[#This Row],[indicador de columna]],FALSE)</f>
        <v>0</v>
      </c>
      <c r="Y900" s="152">
        <f>+VLOOKUP(PROVEEDORES[[#This Row],[ID RETENCION]],Retenciones!$A$1:$O$25,2,FALSE)</f>
        <v>0</v>
      </c>
      <c r="Z900" s="153" t="b">
        <f>+OR(COUNTIF(PROVEEDORES[[#This Row],[PROVEEDOR]],"*"&amp;'Palabra que no opera y Listas d'!$A$2&amp;"*"))</f>
        <v>0</v>
      </c>
    </row>
    <row r="901" spans="1:26" ht="27.75" customHeight="1" x14ac:dyDescent="0.3">
      <c r="A901" s="144" t="str">
        <f>+IF(PROVEEDORES[[#This Row],[FECHA DE PAGO]]=PROVEEDORES[[#This Row],[FECHA DE FACTURACIÓN]],"DE CONTADO","CRÉDITO")</f>
        <v>DE CONTADO</v>
      </c>
      <c r="B901" s="144" t="b">
        <f>+IF((PROVEEDORES[[#This Row],[FECHA DE PAGO]]-PROVEEDORES[[#This Row],[FECHA DE FACTURACIÓN]])&gt;PROVEEDORES[[#This Row],[PLAZO Días]],"PAGO VENCIDO")</f>
        <v>0</v>
      </c>
      <c r="C901" s="144">
        <f>+VLOOKUP(PROVEEDORES[[#This Row],[PROVEEDOR]],TERCEROS_INFO[#All],2,FALSE)</f>
        <v>0</v>
      </c>
      <c r="D901" s="145">
        <f>+SUMIFS(PROVEEDORES[Total],PROVEEDORES[PROVEEDOR],PROVEEDORES[[#This Row],[PROVEEDOR]],PROVEEDORES[FECHA DE PAGO],"")</f>
        <v>0</v>
      </c>
      <c r="E901" s="146"/>
      <c r="F901" s="144">
        <f>+VLOOKUP(PROVEEDORES[[#This Row],[PROVEEDOR]],
                       Terceros!$A:$G,
                       5,
                       FALSE)</f>
        <v>0</v>
      </c>
      <c r="G901" s="122">
        <v>45246</v>
      </c>
      <c r="H901" s="102" t="s">
        <v>1128</v>
      </c>
      <c r="I901" s="122">
        <v>45246</v>
      </c>
      <c r="J901" s="103" t="s">
        <v>1239</v>
      </c>
      <c r="K901" s="103" t="s">
        <v>1512</v>
      </c>
      <c r="L901" s="103"/>
      <c r="M901" s="105">
        <v>258800</v>
      </c>
      <c r="N901" s="147">
        <v>0</v>
      </c>
      <c r="O901" s="147">
        <v>0</v>
      </c>
      <c r="P901" s="148">
        <v>0</v>
      </c>
      <c r="Q901" s="147">
        <v>0</v>
      </c>
      <c r="R901" s="149">
        <v>258800</v>
      </c>
      <c r="S9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1" s="150">
        <f ca="1">+IF(PROVEEDORES[[#This Row],[FECHA DE PAGO]]=0,TODAY()-PROVEEDORES[[#This Row],[FECHA DE FACTURACIÓN]]-PROVEEDORES[[#This Row],[PLAZO Días]],0)</f>
        <v>0</v>
      </c>
      <c r="U901" s="150">
        <f>+VLOOKUP(PROVEEDORES[[#This Row],[PROVEEDOR]],Terceros!$A:$E,4,FALSE)</f>
        <v>0</v>
      </c>
      <c r="V901" s="150">
        <f>+YEAR(PROVEEDORES[[#This Row],[FECHA DE FACTURACIÓN]])</f>
        <v>2023</v>
      </c>
      <c r="W901" s="150">
        <f>+MATCH(PROVEEDORES[[#This Row],[año facturado]],Retenciones!$1:$1,0)</f>
        <v>6</v>
      </c>
      <c r="X901" s="151">
        <f>+VLOOKUP(PROVEEDORES[[#This Row],[ID RETENCION]],Retenciones!$A$1:$O$25,PROVEEDORES[[#This Row],[indicador de columna]],FALSE)</f>
        <v>0</v>
      </c>
      <c r="Y901" s="152">
        <f>+VLOOKUP(PROVEEDORES[[#This Row],[ID RETENCION]],Retenciones!$A$1:$O$25,2,FALSE)</f>
        <v>0</v>
      </c>
      <c r="Z901" s="153" t="b">
        <f>+OR(COUNTIF(PROVEEDORES[[#This Row],[PROVEEDOR]],"*"&amp;'Palabra que no opera y Listas d'!$A$2&amp;"*"))</f>
        <v>0</v>
      </c>
    </row>
    <row r="902" spans="1:26" ht="27.75" customHeight="1" x14ac:dyDescent="0.3">
      <c r="A902" s="144" t="str">
        <f>+IF(PROVEEDORES[[#This Row],[FECHA DE PAGO]]=PROVEEDORES[[#This Row],[FECHA DE FACTURACIÓN]],"DE CONTADO","CRÉDITO")</f>
        <v>CRÉDITO</v>
      </c>
      <c r="B902" s="144" t="str">
        <f>+IF((PROVEEDORES[[#This Row],[FECHA DE PAGO]]-PROVEEDORES[[#This Row],[FECHA DE FACTURACIÓN]])&gt;PROVEEDORES[[#This Row],[PLAZO Días]],"PAGO VENCIDO")</f>
        <v>PAGO VENCIDO</v>
      </c>
      <c r="C902" s="144">
        <f>+VLOOKUP(PROVEEDORES[[#This Row],[PROVEEDOR]],TERCEROS_INFO[#All],2,FALSE)</f>
        <v>0</v>
      </c>
      <c r="D902" s="145">
        <f>+SUMIFS(PROVEEDORES[Total],PROVEEDORES[PROVEEDOR],PROVEEDORES[[#This Row],[PROVEEDOR]],PROVEEDORES[FECHA DE PAGO],"")</f>
        <v>0</v>
      </c>
      <c r="E902" s="146"/>
      <c r="F902" s="144">
        <f>+VLOOKUP(PROVEEDORES[[#This Row],[PROVEEDOR]],
                       Terceros!$A:$G,
                       5,
                       FALSE)</f>
        <v>0</v>
      </c>
      <c r="G902" s="122">
        <v>45247</v>
      </c>
      <c r="H902" s="102" t="s">
        <v>460</v>
      </c>
      <c r="I902" s="122">
        <v>45169</v>
      </c>
      <c r="J902" s="103" t="s">
        <v>1026</v>
      </c>
      <c r="K902" s="103" t="s">
        <v>1512</v>
      </c>
      <c r="L902" s="103"/>
      <c r="M902" s="105">
        <v>4550503</v>
      </c>
      <c r="N902" s="147">
        <v>864595.57000000007</v>
      </c>
      <c r="O902" s="147">
        <v>0</v>
      </c>
      <c r="P902" s="148">
        <v>0</v>
      </c>
      <c r="Q902" s="147">
        <v>0</v>
      </c>
      <c r="R902" s="149">
        <v>5415098.5700000003</v>
      </c>
      <c r="S9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2" s="150">
        <f ca="1">+IF(PROVEEDORES[[#This Row],[FECHA DE PAGO]]=0,TODAY()-PROVEEDORES[[#This Row],[FECHA DE FACTURACIÓN]]-PROVEEDORES[[#This Row],[PLAZO Días]],0)</f>
        <v>0</v>
      </c>
      <c r="U902" s="150">
        <f>+VLOOKUP(PROVEEDORES[[#This Row],[PROVEEDOR]],Terceros!$A:$E,4,FALSE)</f>
        <v>0.19</v>
      </c>
      <c r="V902" s="150">
        <f>+YEAR(PROVEEDORES[[#This Row],[FECHA DE FACTURACIÓN]])</f>
        <v>2023</v>
      </c>
      <c r="W902" s="150">
        <f>+MATCH(PROVEEDORES[[#This Row],[año facturado]],Retenciones!$1:$1,0)</f>
        <v>6</v>
      </c>
      <c r="X902" s="151" t="e">
        <f>+VLOOKUP(PROVEEDORES[[#This Row],[ID RETENCION]],Retenciones!$A$1:$O$25,PROVEEDORES[[#This Row],[indicador de columna]],FALSE)</f>
        <v>#N/A</v>
      </c>
      <c r="Y902" s="152" t="e">
        <f>+VLOOKUP(PROVEEDORES[[#This Row],[ID RETENCION]],Retenciones!$A$1:$O$25,2,FALSE)</f>
        <v>#N/A</v>
      </c>
      <c r="Z902" s="153" t="b">
        <f>+OR(COUNTIF(PROVEEDORES[[#This Row],[PROVEEDOR]],"*"&amp;'Palabra que no opera y Listas d'!$A$2&amp;"*"))</f>
        <v>1</v>
      </c>
    </row>
    <row r="903" spans="1:26" ht="27.75" customHeight="1" x14ac:dyDescent="0.3">
      <c r="A903" s="144" t="str">
        <f>+IF(PROVEEDORES[[#This Row],[FECHA DE PAGO]]=PROVEEDORES[[#This Row],[FECHA DE FACTURACIÓN]],"DE CONTADO","CRÉDITO")</f>
        <v>CRÉDITO</v>
      </c>
      <c r="B903" s="144" t="str">
        <f>+IF((PROVEEDORES[[#This Row],[FECHA DE PAGO]]-PROVEEDORES[[#This Row],[FECHA DE FACTURACIÓN]])&gt;PROVEEDORES[[#This Row],[PLAZO Días]],"PAGO VENCIDO")</f>
        <v>PAGO VENCIDO</v>
      </c>
      <c r="C903" s="144">
        <f>+VLOOKUP(PROVEEDORES[[#This Row],[PROVEEDOR]],TERCEROS_INFO[#All],2,FALSE)</f>
        <v>0</v>
      </c>
      <c r="D903" s="145">
        <f>+SUMIFS(PROVEEDORES[Total],PROVEEDORES[PROVEEDOR],PROVEEDORES[[#This Row],[PROVEEDOR]],PROVEEDORES[FECHA DE PAGO],"")</f>
        <v>0</v>
      </c>
      <c r="E903" s="146"/>
      <c r="F903" s="144">
        <f>+VLOOKUP(PROVEEDORES[[#This Row],[PROVEEDOR]],
                       Terceros!$A:$G,
                       5,
                       FALSE)</f>
        <v>0</v>
      </c>
      <c r="G903" s="122">
        <v>45247</v>
      </c>
      <c r="H903" s="102" t="s">
        <v>1788</v>
      </c>
      <c r="I903" s="122">
        <v>45180</v>
      </c>
      <c r="J903" s="103" t="s">
        <v>1105</v>
      </c>
      <c r="K903" s="103" t="s">
        <v>1512</v>
      </c>
      <c r="L903" s="103"/>
      <c r="M903" s="105">
        <v>2720000</v>
      </c>
      <c r="N903" s="147">
        <v>0</v>
      </c>
      <c r="O903" s="147">
        <v>0</v>
      </c>
      <c r="P903" s="148">
        <v>0</v>
      </c>
      <c r="Q903" s="147">
        <v>0</v>
      </c>
      <c r="R903" s="149">
        <v>2720000</v>
      </c>
      <c r="S9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3" s="150">
        <f ca="1">+IF(PROVEEDORES[[#This Row],[FECHA DE PAGO]]=0,TODAY()-PROVEEDORES[[#This Row],[FECHA DE FACTURACIÓN]]-PROVEEDORES[[#This Row],[PLAZO Días]],0)</f>
        <v>0</v>
      </c>
      <c r="U903" s="150">
        <f>+VLOOKUP(PROVEEDORES[[#This Row],[PROVEEDOR]],Terceros!$A:$E,4,FALSE)</f>
        <v>0</v>
      </c>
      <c r="V903" s="150">
        <f>+YEAR(PROVEEDORES[[#This Row],[FECHA DE FACTURACIÓN]])</f>
        <v>2023</v>
      </c>
      <c r="W903" s="150">
        <f>+MATCH(PROVEEDORES[[#This Row],[año facturado]],Retenciones!$1:$1,0)</f>
        <v>6</v>
      </c>
      <c r="X903" s="151">
        <f>+VLOOKUP(PROVEEDORES[[#This Row],[ID RETENCION]],Retenciones!$A$1:$O$25,PROVEEDORES[[#This Row],[indicador de columna]],FALSE)</f>
        <v>0</v>
      </c>
      <c r="Y903" s="152">
        <f>+VLOOKUP(PROVEEDORES[[#This Row],[ID RETENCION]],Retenciones!$A$1:$O$25,2,FALSE)</f>
        <v>0</v>
      </c>
      <c r="Z903" s="153" t="b">
        <f>+OR(COUNTIF(PROVEEDORES[[#This Row],[PROVEEDOR]],"*"&amp;'Palabra que no opera y Listas d'!$A$2&amp;"*"))</f>
        <v>0</v>
      </c>
    </row>
    <row r="904" spans="1:26" ht="27.75" customHeight="1" x14ac:dyDescent="0.3">
      <c r="A904" s="144" t="str">
        <f>+IF(PROVEEDORES[[#This Row],[FECHA DE PAGO]]=PROVEEDORES[[#This Row],[FECHA DE FACTURACIÓN]],"DE CONTADO","CRÉDITO")</f>
        <v>CRÉDITO</v>
      </c>
      <c r="B904" s="144" t="str">
        <f>+IF((PROVEEDORES[[#This Row],[FECHA DE PAGO]]-PROVEEDORES[[#This Row],[FECHA DE FACTURACIÓN]])&gt;PROVEEDORES[[#This Row],[PLAZO Días]],"PAGO VENCIDO")</f>
        <v>PAGO VENCIDO</v>
      </c>
      <c r="C904" s="144">
        <f>+VLOOKUP(PROVEEDORES[[#This Row],[PROVEEDOR]],TERCEROS_INFO[#All],2,FALSE)</f>
        <v>0</v>
      </c>
      <c r="D904" s="145">
        <f>+SUMIFS(PROVEEDORES[Total],PROVEEDORES[PROVEEDOR],PROVEEDORES[[#This Row],[PROVEEDOR]],PROVEEDORES[FECHA DE PAGO],"")</f>
        <v>0</v>
      </c>
      <c r="E904" s="146"/>
      <c r="F904" s="144" t="str">
        <f>+VLOOKUP(PROVEEDORES[[#This Row],[PROVEEDOR]],
                       Terceros!$A:$G,
                       5,
                       FALSE)</f>
        <v>2,5% con base</v>
      </c>
      <c r="G904" s="122">
        <v>45247</v>
      </c>
      <c r="H904" s="102" t="s">
        <v>30</v>
      </c>
      <c r="I904" s="122">
        <v>45210</v>
      </c>
      <c r="J904" s="103" t="s">
        <v>1181</v>
      </c>
      <c r="K904" s="103" t="s">
        <v>1512</v>
      </c>
      <c r="L904" s="103"/>
      <c r="M904" s="105">
        <v>3224873</v>
      </c>
      <c r="N904" s="147">
        <v>612725.87</v>
      </c>
      <c r="O904" s="147">
        <v>0</v>
      </c>
      <c r="P904" s="148">
        <v>2.5000000000000001E-2</v>
      </c>
      <c r="Q904" s="147">
        <v>80621.825000000012</v>
      </c>
      <c r="R904" s="149">
        <v>3756977.0449999999</v>
      </c>
      <c r="S9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4" s="150">
        <f ca="1">+IF(PROVEEDORES[[#This Row],[FECHA DE PAGO]]=0,TODAY()-PROVEEDORES[[#This Row],[FECHA DE FACTURACIÓN]]-PROVEEDORES[[#This Row],[PLAZO Días]],0)</f>
        <v>0</v>
      </c>
      <c r="U904" s="150">
        <f>+VLOOKUP(PROVEEDORES[[#This Row],[PROVEEDOR]],Terceros!$A:$E,4,FALSE)</f>
        <v>0.19</v>
      </c>
      <c r="V904" s="150">
        <f>+YEAR(PROVEEDORES[[#This Row],[FECHA DE FACTURACIÓN]])</f>
        <v>2023</v>
      </c>
      <c r="W904" s="150">
        <f>+MATCH(PROVEEDORES[[#This Row],[año facturado]],Retenciones!$1:$1,0)</f>
        <v>6</v>
      </c>
      <c r="X904" s="151" t="e">
        <f>+VLOOKUP(PROVEEDORES[[#This Row],[ID RETENCION]],Retenciones!$A$1:$O$25,PROVEEDORES[[#This Row],[indicador de columna]],FALSE)</f>
        <v>#N/A</v>
      </c>
      <c r="Y904" s="152" t="e">
        <f>+VLOOKUP(PROVEEDORES[[#This Row],[ID RETENCION]],Retenciones!$A$1:$O$25,2,FALSE)</f>
        <v>#N/A</v>
      </c>
      <c r="Z904" s="153" t="b">
        <f>+OR(COUNTIF(PROVEEDORES[[#This Row],[PROVEEDOR]],"*"&amp;'Palabra que no opera y Listas d'!$A$2&amp;"*"))</f>
        <v>0</v>
      </c>
    </row>
    <row r="905" spans="1:26" ht="27.75" customHeight="1" x14ac:dyDescent="0.3">
      <c r="A905" s="144" t="str">
        <f>+IF(PROVEEDORES[[#This Row],[FECHA DE PAGO]]=PROVEEDORES[[#This Row],[FECHA DE FACTURACIÓN]],"DE CONTADO","CRÉDITO")</f>
        <v>CRÉDITO</v>
      </c>
      <c r="B905" s="144" t="str">
        <f>+IF((PROVEEDORES[[#This Row],[FECHA DE PAGO]]-PROVEEDORES[[#This Row],[FECHA DE FACTURACIÓN]])&gt;PROVEEDORES[[#This Row],[PLAZO Días]],"PAGO VENCIDO")</f>
        <v>PAGO VENCIDO</v>
      </c>
      <c r="C905" s="144">
        <f>+VLOOKUP(PROVEEDORES[[#This Row],[PROVEEDOR]],TERCEROS_INFO[#All],2,FALSE)</f>
        <v>0</v>
      </c>
      <c r="D905" s="145">
        <f>+SUMIFS(PROVEEDORES[Total],PROVEEDORES[PROVEEDOR],PROVEEDORES[[#This Row],[PROVEEDOR]],PROVEEDORES[FECHA DE PAGO],"")</f>
        <v>0</v>
      </c>
      <c r="E905" s="146"/>
      <c r="F905" s="144">
        <f>+VLOOKUP(PROVEEDORES[[#This Row],[PROVEEDOR]],
                       Terceros!$A:$G,
                       5,
                       FALSE)</f>
        <v>0</v>
      </c>
      <c r="G905" s="122">
        <v>45247</v>
      </c>
      <c r="H905" s="102" t="s">
        <v>1789</v>
      </c>
      <c r="I905" s="122">
        <v>45211</v>
      </c>
      <c r="J905" s="103" t="s">
        <v>1162</v>
      </c>
      <c r="K905" s="103" t="s">
        <v>1512</v>
      </c>
      <c r="L905" s="103"/>
      <c r="M905" s="105">
        <v>534000</v>
      </c>
      <c r="N905" s="147">
        <v>0</v>
      </c>
      <c r="O905" s="147">
        <v>0</v>
      </c>
      <c r="P905" s="148">
        <v>0</v>
      </c>
      <c r="Q905" s="147">
        <v>0</v>
      </c>
      <c r="R905" s="149">
        <v>534000</v>
      </c>
      <c r="S9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5" s="150">
        <f ca="1">+IF(PROVEEDORES[[#This Row],[FECHA DE PAGO]]=0,TODAY()-PROVEEDORES[[#This Row],[FECHA DE FACTURACIÓN]]-PROVEEDORES[[#This Row],[PLAZO Días]],0)</f>
        <v>0</v>
      </c>
      <c r="U905" s="150">
        <f>+VLOOKUP(PROVEEDORES[[#This Row],[PROVEEDOR]],Terceros!$A:$E,4,FALSE)</f>
        <v>0</v>
      </c>
      <c r="V905" s="150">
        <f>+YEAR(PROVEEDORES[[#This Row],[FECHA DE FACTURACIÓN]])</f>
        <v>2023</v>
      </c>
      <c r="W905" s="150">
        <f>+MATCH(PROVEEDORES[[#This Row],[año facturado]],Retenciones!$1:$1,0)</f>
        <v>6</v>
      </c>
      <c r="X905" s="151">
        <f>+VLOOKUP(PROVEEDORES[[#This Row],[ID RETENCION]],Retenciones!$A$1:$O$25,PROVEEDORES[[#This Row],[indicador de columna]],FALSE)</f>
        <v>0</v>
      </c>
      <c r="Y905" s="152">
        <f>+VLOOKUP(PROVEEDORES[[#This Row],[ID RETENCION]],Retenciones!$A$1:$O$25,2,FALSE)</f>
        <v>0</v>
      </c>
      <c r="Z905" s="153" t="b">
        <f>+OR(COUNTIF(PROVEEDORES[[#This Row],[PROVEEDOR]],"*"&amp;'Palabra que no opera y Listas d'!$A$2&amp;"*"))</f>
        <v>0</v>
      </c>
    </row>
    <row r="906" spans="1:26" ht="27.75" customHeight="1" x14ac:dyDescent="0.3">
      <c r="A906" s="144" t="str">
        <f>+IF(PROVEEDORES[[#This Row],[FECHA DE PAGO]]=PROVEEDORES[[#This Row],[FECHA DE FACTURACIÓN]],"DE CONTADO","CRÉDITO")</f>
        <v>CRÉDITO</v>
      </c>
      <c r="B906" s="144" t="str">
        <f>+IF((PROVEEDORES[[#This Row],[FECHA DE PAGO]]-PROVEEDORES[[#This Row],[FECHA DE FACTURACIÓN]])&gt;PROVEEDORES[[#This Row],[PLAZO Días]],"PAGO VENCIDO")</f>
        <v>PAGO VENCIDO</v>
      </c>
      <c r="C906" s="144">
        <f>+VLOOKUP(PROVEEDORES[[#This Row],[PROVEEDOR]],TERCEROS_INFO[#All],2,FALSE)</f>
        <v>0</v>
      </c>
      <c r="D906" s="145" t="e">
        <f>+SUMIFS(PROVEEDORES[Total],PROVEEDORES[PROVEEDOR],PROVEEDORES[[#This Row],[PROVEEDOR]],PROVEEDORES[FECHA DE PAGO],"")</f>
        <v>#N/A</v>
      </c>
      <c r="E906" s="146"/>
      <c r="F906" s="144">
        <f>+VLOOKUP(PROVEEDORES[[#This Row],[PROVEEDOR]],
                       Terceros!$A:$G,
                       5,
                       FALSE)</f>
        <v>0</v>
      </c>
      <c r="G906" s="122">
        <v>45247</v>
      </c>
      <c r="H906" s="102" t="s">
        <v>16</v>
      </c>
      <c r="I906" s="122">
        <v>45212</v>
      </c>
      <c r="J906" s="103" t="s">
        <v>1190</v>
      </c>
      <c r="K906" s="103" t="s">
        <v>1512</v>
      </c>
      <c r="L906" s="103"/>
      <c r="M906" s="105">
        <v>267442</v>
      </c>
      <c r="N906" s="147">
        <v>50813.98</v>
      </c>
      <c r="O906" s="147">
        <v>0</v>
      </c>
      <c r="P906" s="148">
        <v>0</v>
      </c>
      <c r="Q906" s="147">
        <v>0</v>
      </c>
      <c r="R906" s="149">
        <v>318255.98</v>
      </c>
      <c r="S9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6" s="150">
        <f ca="1">+IF(PROVEEDORES[[#This Row],[FECHA DE PAGO]]=0,TODAY()-PROVEEDORES[[#This Row],[FECHA DE FACTURACIÓN]]-PROVEEDORES[[#This Row],[PLAZO Días]],0)</f>
        <v>0</v>
      </c>
      <c r="U906" s="150">
        <f>+VLOOKUP(PROVEEDORES[[#This Row],[PROVEEDOR]],Terceros!$A:$E,4,FALSE)</f>
        <v>0.19</v>
      </c>
      <c r="V906" s="150">
        <f>+YEAR(PROVEEDORES[[#This Row],[FECHA DE FACTURACIÓN]])</f>
        <v>2023</v>
      </c>
      <c r="W906" s="150">
        <f>+MATCH(PROVEEDORES[[#This Row],[año facturado]],Retenciones!$1:$1,0)</f>
        <v>6</v>
      </c>
      <c r="X906" s="151" t="e">
        <f>+VLOOKUP(PROVEEDORES[[#This Row],[ID RETENCION]],Retenciones!$A$1:$O$25,PROVEEDORES[[#This Row],[indicador de columna]],FALSE)</f>
        <v>#N/A</v>
      </c>
      <c r="Y906" s="152" t="e">
        <f>+VLOOKUP(PROVEEDORES[[#This Row],[ID RETENCION]],Retenciones!$A$1:$O$25,2,FALSE)</f>
        <v>#N/A</v>
      </c>
      <c r="Z906" s="153" t="b">
        <f>+OR(COUNTIF(PROVEEDORES[[#This Row],[PROVEEDOR]],"*"&amp;'Palabra que no opera y Listas d'!$A$2&amp;"*"))</f>
        <v>0</v>
      </c>
    </row>
    <row r="907" spans="1:26" ht="27.75" customHeight="1" x14ac:dyDescent="0.3">
      <c r="A907" s="144" t="str">
        <f>+IF(PROVEEDORES[[#This Row],[FECHA DE PAGO]]=PROVEEDORES[[#This Row],[FECHA DE FACTURACIÓN]],"DE CONTADO","CRÉDITO")</f>
        <v>DE CONTADO</v>
      </c>
      <c r="B907" s="144" t="b">
        <f>+IF((PROVEEDORES[[#This Row],[FECHA DE PAGO]]-PROVEEDORES[[#This Row],[FECHA DE FACTURACIÓN]])&gt;PROVEEDORES[[#This Row],[PLAZO Días]],"PAGO VENCIDO")</f>
        <v>0</v>
      </c>
      <c r="C907" s="144">
        <f>+VLOOKUP(PROVEEDORES[[#This Row],[PROVEEDOR]],TERCEROS_INFO[#All],2,FALSE)</f>
        <v>0</v>
      </c>
      <c r="D907" s="145">
        <f>+SUMIFS(PROVEEDORES[Total],PROVEEDORES[PROVEEDOR],PROVEEDORES[[#This Row],[PROVEEDOR]],PROVEEDORES[FECHA DE PAGO],"")</f>
        <v>0</v>
      </c>
      <c r="E907" s="146"/>
      <c r="F907" s="144">
        <f>+VLOOKUP(PROVEEDORES[[#This Row],[PROVEEDOR]],
                       Terceros!$A:$G,
                       5,
                       FALSE)</f>
        <v>0</v>
      </c>
      <c r="G907" s="122">
        <v>45247</v>
      </c>
      <c r="H907" s="102" t="s">
        <v>537</v>
      </c>
      <c r="I907" s="122">
        <v>45247</v>
      </c>
      <c r="J907" s="103" t="s">
        <v>1240</v>
      </c>
      <c r="K907" s="103" t="s">
        <v>1512</v>
      </c>
      <c r="L907" s="103"/>
      <c r="M907" s="105">
        <v>200000</v>
      </c>
      <c r="N907" s="147">
        <v>0</v>
      </c>
      <c r="O907" s="147">
        <v>0</v>
      </c>
      <c r="P907" s="148">
        <v>0</v>
      </c>
      <c r="Q907" s="147">
        <v>0</v>
      </c>
      <c r="R907" s="149">
        <v>200000</v>
      </c>
      <c r="S9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7" s="150">
        <f ca="1">+IF(PROVEEDORES[[#This Row],[FECHA DE PAGO]]=0,TODAY()-PROVEEDORES[[#This Row],[FECHA DE FACTURACIÓN]]-PROVEEDORES[[#This Row],[PLAZO Días]],0)</f>
        <v>0</v>
      </c>
      <c r="U907" s="150">
        <f>+VLOOKUP(PROVEEDORES[[#This Row],[PROVEEDOR]],Terceros!$A:$E,4,FALSE)</f>
        <v>0</v>
      </c>
      <c r="V907" s="150">
        <f>+YEAR(PROVEEDORES[[#This Row],[FECHA DE FACTURACIÓN]])</f>
        <v>2023</v>
      </c>
      <c r="W907" s="150">
        <f>+MATCH(PROVEEDORES[[#This Row],[año facturado]],Retenciones!$1:$1,0)</f>
        <v>6</v>
      </c>
      <c r="X907" s="151">
        <f>+VLOOKUP(PROVEEDORES[[#This Row],[ID RETENCION]],Retenciones!$A$1:$O$25,PROVEEDORES[[#This Row],[indicador de columna]],FALSE)</f>
        <v>0</v>
      </c>
      <c r="Y907" s="152">
        <f>+VLOOKUP(PROVEEDORES[[#This Row],[ID RETENCION]],Retenciones!$A$1:$O$25,2,FALSE)</f>
        <v>0</v>
      </c>
      <c r="Z907" s="153" t="b">
        <f>+OR(COUNTIF(PROVEEDORES[[#This Row],[PROVEEDOR]],"*"&amp;'Palabra que no opera y Listas d'!$A$2&amp;"*"))</f>
        <v>0</v>
      </c>
    </row>
    <row r="908" spans="1:26" ht="27.75" customHeight="1" x14ac:dyDescent="0.3">
      <c r="A908" s="144" t="str">
        <f>+IF(PROVEEDORES[[#This Row],[FECHA DE PAGO]]=PROVEEDORES[[#This Row],[FECHA DE FACTURACIÓN]],"DE CONTADO","CRÉDITO")</f>
        <v>DE CONTADO</v>
      </c>
      <c r="B908" s="144" t="b">
        <f>+IF((PROVEEDORES[[#This Row],[FECHA DE PAGO]]-PROVEEDORES[[#This Row],[FECHA DE FACTURACIÓN]])&gt;PROVEEDORES[[#This Row],[PLAZO Días]],"PAGO VENCIDO")</f>
        <v>0</v>
      </c>
      <c r="C908" s="144">
        <f>+VLOOKUP(PROVEEDORES[[#This Row],[PROVEEDOR]],TERCEROS_INFO[#All],2,FALSE)</f>
        <v>0</v>
      </c>
      <c r="D908" s="145">
        <f>+SUMIFS(PROVEEDORES[Total],PROVEEDORES[PROVEEDOR],PROVEEDORES[[#This Row],[PROVEEDOR]],PROVEEDORES[FECHA DE PAGO],"")</f>
        <v>0</v>
      </c>
      <c r="E908" s="146"/>
      <c r="F908" s="144">
        <f>+VLOOKUP(PROVEEDORES[[#This Row],[PROVEEDOR]],
                       Terceros!$A:$G,
                       5,
                       FALSE)</f>
        <v>0</v>
      </c>
      <c r="G908" s="122">
        <v>45247</v>
      </c>
      <c r="H908" s="102" t="s">
        <v>537</v>
      </c>
      <c r="I908" s="122">
        <v>45247</v>
      </c>
      <c r="J908" s="103" t="s">
        <v>1126</v>
      </c>
      <c r="K908" s="103" t="s">
        <v>1512</v>
      </c>
      <c r="L908" s="103"/>
      <c r="M908" s="105">
        <v>200000</v>
      </c>
      <c r="N908" s="147">
        <v>0</v>
      </c>
      <c r="O908" s="147">
        <v>0</v>
      </c>
      <c r="P908" s="148">
        <v>0</v>
      </c>
      <c r="Q908" s="147">
        <v>0</v>
      </c>
      <c r="R908" s="149">
        <v>200000</v>
      </c>
      <c r="S9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8" s="150">
        <f ca="1">+IF(PROVEEDORES[[#This Row],[FECHA DE PAGO]]=0,TODAY()-PROVEEDORES[[#This Row],[FECHA DE FACTURACIÓN]]-PROVEEDORES[[#This Row],[PLAZO Días]],0)</f>
        <v>0</v>
      </c>
      <c r="U908" s="150">
        <f>+VLOOKUP(PROVEEDORES[[#This Row],[PROVEEDOR]],Terceros!$A:$E,4,FALSE)</f>
        <v>0</v>
      </c>
      <c r="V908" s="150">
        <f>+YEAR(PROVEEDORES[[#This Row],[FECHA DE FACTURACIÓN]])</f>
        <v>2023</v>
      </c>
      <c r="W908" s="150">
        <f>+MATCH(PROVEEDORES[[#This Row],[año facturado]],Retenciones!$1:$1,0)</f>
        <v>6</v>
      </c>
      <c r="X908" s="151">
        <f>+VLOOKUP(PROVEEDORES[[#This Row],[ID RETENCION]],Retenciones!$A$1:$O$25,PROVEEDORES[[#This Row],[indicador de columna]],FALSE)</f>
        <v>0</v>
      </c>
      <c r="Y908" s="152">
        <f>+VLOOKUP(PROVEEDORES[[#This Row],[ID RETENCION]],Retenciones!$A$1:$O$25,2,FALSE)</f>
        <v>0</v>
      </c>
      <c r="Z908" s="153" t="b">
        <f>+OR(COUNTIF(PROVEEDORES[[#This Row],[PROVEEDOR]],"*"&amp;'Palabra que no opera y Listas d'!$A$2&amp;"*"))</f>
        <v>0</v>
      </c>
    </row>
    <row r="909" spans="1:26" ht="27.75" customHeight="1" x14ac:dyDescent="0.3">
      <c r="A909" s="144" t="str">
        <f>+IF(PROVEEDORES[[#This Row],[FECHA DE PAGO]]=PROVEEDORES[[#This Row],[FECHA DE FACTURACIÓN]],"DE CONTADO","CRÉDITO")</f>
        <v>DE CONTADO</v>
      </c>
      <c r="B909" s="144" t="b">
        <f>+IF((PROVEEDORES[[#This Row],[FECHA DE PAGO]]-PROVEEDORES[[#This Row],[FECHA DE FACTURACIÓN]])&gt;PROVEEDORES[[#This Row],[PLAZO Días]],"PAGO VENCIDO")</f>
        <v>0</v>
      </c>
      <c r="C909" s="144">
        <f>+VLOOKUP(PROVEEDORES[[#This Row],[PROVEEDOR]],TERCEROS_INFO[#All],2,FALSE)</f>
        <v>0</v>
      </c>
      <c r="D909" s="145">
        <f>+SUMIFS(PROVEEDORES[Total],PROVEEDORES[PROVEEDOR],PROVEEDORES[[#This Row],[PROVEEDOR]],PROVEEDORES[FECHA DE PAGO],"")</f>
        <v>0</v>
      </c>
      <c r="E909" s="146"/>
      <c r="F909" s="144">
        <f>+VLOOKUP(PROVEEDORES[[#This Row],[PROVEEDOR]],
                       Terceros!$A:$G,
                       5,
                       FALSE)</f>
        <v>0</v>
      </c>
      <c r="G909" s="122">
        <v>45247</v>
      </c>
      <c r="H909" s="102" t="s">
        <v>870</v>
      </c>
      <c r="I909" s="122">
        <v>45247</v>
      </c>
      <c r="J909" s="103" t="s">
        <v>1283</v>
      </c>
      <c r="K909" s="103" t="s">
        <v>1512</v>
      </c>
      <c r="L909" s="103"/>
      <c r="M909" s="105">
        <v>438000</v>
      </c>
      <c r="N909" s="147">
        <v>0</v>
      </c>
      <c r="O909" s="147">
        <v>0</v>
      </c>
      <c r="P909" s="148">
        <v>0</v>
      </c>
      <c r="Q909" s="147">
        <v>0</v>
      </c>
      <c r="R909" s="149">
        <v>438000</v>
      </c>
      <c r="S9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9" s="150">
        <f ca="1">+IF(PROVEEDORES[[#This Row],[FECHA DE PAGO]]=0,TODAY()-PROVEEDORES[[#This Row],[FECHA DE FACTURACIÓN]]-PROVEEDORES[[#This Row],[PLAZO Días]],0)</f>
        <v>0</v>
      </c>
      <c r="U909" s="150">
        <f>+VLOOKUP(PROVEEDORES[[#This Row],[PROVEEDOR]],Terceros!$A:$E,4,FALSE)</f>
        <v>0</v>
      </c>
      <c r="V909" s="150">
        <f>+YEAR(PROVEEDORES[[#This Row],[FECHA DE FACTURACIÓN]])</f>
        <v>2023</v>
      </c>
      <c r="W909" s="150">
        <f>+MATCH(PROVEEDORES[[#This Row],[año facturado]],Retenciones!$1:$1,0)</f>
        <v>6</v>
      </c>
      <c r="X909" s="151">
        <f>+VLOOKUP(PROVEEDORES[[#This Row],[ID RETENCION]],Retenciones!$A$1:$O$25,PROVEEDORES[[#This Row],[indicador de columna]],FALSE)</f>
        <v>0</v>
      </c>
      <c r="Y909" s="152">
        <f>+VLOOKUP(PROVEEDORES[[#This Row],[ID RETENCION]],Retenciones!$A$1:$O$25,2,FALSE)</f>
        <v>0</v>
      </c>
      <c r="Z909" s="153" t="b">
        <f>+OR(COUNTIF(PROVEEDORES[[#This Row],[PROVEEDOR]],"*"&amp;'Palabra que no opera y Listas d'!$A$2&amp;"*"))</f>
        <v>0</v>
      </c>
    </row>
    <row r="910" spans="1:26" ht="27.75" customHeight="1" x14ac:dyDescent="0.3">
      <c r="A910" s="144" t="str">
        <f>+IF(PROVEEDORES[[#This Row],[FECHA DE PAGO]]=PROVEEDORES[[#This Row],[FECHA DE FACTURACIÓN]],"DE CONTADO","CRÉDITO")</f>
        <v>DE CONTADO</v>
      </c>
      <c r="B910" s="144" t="b">
        <f>+IF((PROVEEDORES[[#This Row],[FECHA DE PAGO]]-PROVEEDORES[[#This Row],[FECHA DE FACTURACIÓN]])&gt;PROVEEDORES[[#This Row],[PLAZO Días]],"PAGO VENCIDO")</f>
        <v>0</v>
      </c>
      <c r="C910" s="144">
        <f>+VLOOKUP(PROVEEDORES[[#This Row],[PROVEEDOR]],TERCEROS_INFO[#All],2,FALSE)</f>
        <v>0</v>
      </c>
      <c r="D910" s="145">
        <f>+SUMIFS(PROVEEDORES[Total],PROVEEDORES[PROVEEDOR],PROVEEDORES[[#This Row],[PROVEEDOR]],PROVEEDORES[FECHA DE PAGO],"")</f>
        <v>0</v>
      </c>
      <c r="E910" s="146"/>
      <c r="F910" s="144">
        <f>+VLOOKUP(PROVEEDORES[[#This Row],[PROVEEDOR]],
                       Terceros!$A:$G,
                       5,
                       FALSE)</f>
        <v>0</v>
      </c>
      <c r="G910" s="122">
        <v>45247</v>
      </c>
      <c r="H910" s="102" t="s">
        <v>1801</v>
      </c>
      <c r="I910" s="122">
        <v>45247</v>
      </c>
      <c r="J910" s="103"/>
      <c r="K910" s="103" t="s">
        <v>1512</v>
      </c>
      <c r="L910" s="103"/>
      <c r="M910" s="105">
        <v>1000000</v>
      </c>
      <c r="N910" s="147">
        <v>0</v>
      </c>
      <c r="O910" s="147">
        <v>0</v>
      </c>
      <c r="P910" s="148">
        <v>0</v>
      </c>
      <c r="Q910" s="147">
        <v>0</v>
      </c>
      <c r="R910" s="149">
        <v>1000000</v>
      </c>
      <c r="S9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0" s="150">
        <f ca="1">+IF(PROVEEDORES[[#This Row],[FECHA DE PAGO]]=0,TODAY()-PROVEEDORES[[#This Row],[FECHA DE FACTURACIÓN]]-PROVEEDORES[[#This Row],[PLAZO Días]],0)</f>
        <v>0</v>
      </c>
      <c r="U910" s="150">
        <f>+VLOOKUP(PROVEEDORES[[#This Row],[PROVEEDOR]],Terceros!$A:$E,4,FALSE)</f>
        <v>0</v>
      </c>
      <c r="V910" s="150">
        <f>+YEAR(PROVEEDORES[[#This Row],[FECHA DE FACTURACIÓN]])</f>
        <v>2023</v>
      </c>
      <c r="W910" s="150">
        <f>+MATCH(PROVEEDORES[[#This Row],[año facturado]],Retenciones!$1:$1,0)</f>
        <v>6</v>
      </c>
      <c r="X910" s="151">
        <f>+VLOOKUP(PROVEEDORES[[#This Row],[ID RETENCION]],Retenciones!$A$1:$O$25,PROVEEDORES[[#This Row],[indicador de columna]],FALSE)</f>
        <v>0</v>
      </c>
      <c r="Y910" s="152">
        <f>+VLOOKUP(PROVEEDORES[[#This Row],[ID RETENCION]],Retenciones!$A$1:$O$25,2,FALSE)</f>
        <v>0</v>
      </c>
      <c r="Z910" s="153" t="b">
        <f>+OR(COUNTIF(PROVEEDORES[[#This Row],[PROVEEDOR]],"*"&amp;'Palabra que no opera y Listas d'!$A$2&amp;"*"))</f>
        <v>0</v>
      </c>
    </row>
    <row r="911" spans="1:26" ht="27.75" customHeight="1" x14ac:dyDescent="0.3">
      <c r="A911" s="144" t="str">
        <f>+IF(PROVEEDORES[[#This Row],[FECHA DE PAGO]]=PROVEEDORES[[#This Row],[FECHA DE FACTURACIÓN]],"DE CONTADO","CRÉDITO")</f>
        <v>DE CONTADO</v>
      </c>
      <c r="B911" s="144" t="b">
        <f>+IF((PROVEEDORES[[#This Row],[FECHA DE PAGO]]-PROVEEDORES[[#This Row],[FECHA DE FACTURACIÓN]])&gt;PROVEEDORES[[#This Row],[PLAZO Días]],"PAGO VENCIDO")</f>
        <v>0</v>
      </c>
      <c r="C911" s="144">
        <f>+VLOOKUP(PROVEEDORES[[#This Row],[PROVEEDOR]],TERCEROS_INFO[#All],2,FALSE)</f>
        <v>0</v>
      </c>
      <c r="D911" s="145">
        <f>+SUMIFS(PROVEEDORES[Total],PROVEEDORES[PROVEEDOR],PROVEEDORES[[#This Row],[PROVEEDOR]],PROVEEDORES[FECHA DE PAGO],"")</f>
        <v>0</v>
      </c>
      <c r="E911" s="146"/>
      <c r="F911" s="144">
        <f>+VLOOKUP(PROVEEDORES[[#This Row],[PROVEEDOR]],
                       Terceros!$A:$G,
                       5,
                       FALSE)</f>
        <v>0</v>
      </c>
      <c r="G911" s="122">
        <v>45247</v>
      </c>
      <c r="H911" s="102" t="s">
        <v>845</v>
      </c>
      <c r="I911" s="122">
        <v>45247</v>
      </c>
      <c r="J911" s="103"/>
      <c r="K911" s="103" t="s">
        <v>1512</v>
      </c>
      <c r="L911" s="103"/>
      <c r="M911" s="105">
        <v>417000</v>
      </c>
      <c r="N911" s="147">
        <v>0</v>
      </c>
      <c r="O911" s="147">
        <v>0</v>
      </c>
      <c r="P911" s="148">
        <v>0</v>
      </c>
      <c r="Q911" s="147">
        <v>0</v>
      </c>
      <c r="R911" s="149">
        <v>417000</v>
      </c>
      <c r="S9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1" s="150">
        <f ca="1">+IF(PROVEEDORES[[#This Row],[FECHA DE PAGO]]=0,TODAY()-PROVEEDORES[[#This Row],[FECHA DE FACTURACIÓN]]-PROVEEDORES[[#This Row],[PLAZO Días]],0)</f>
        <v>0</v>
      </c>
      <c r="U911" s="150">
        <f>+VLOOKUP(PROVEEDORES[[#This Row],[PROVEEDOR]],Terceros!$A:$E,4,FALSE)</f>
        <v>0</v>
      </c>
      <c r="V911" s="150">
        <f>+YEAR(PROVEEDORES[[#This Row],[FECHA DE FACTURACIÓN]])</f>
        <v>2023</v>
      </c>
      <c r="W911" s="150">
        <f>+MATCH(PROVEEDORES[[#This Row],[año facturado]],Retenciones!$1:$1,0)</f>
        <v>6</v>
      </c>
      <c r="X911" s="151">
        <f>+VLOOKUP(PROVEEDORES[[#This Row],[ID RETENCION]],Retenciones!$A$1:$O$25,PROVEEDORES[[#This Row],[indicador de columna]],FALSE)</f>
        <v>0</v>
      </c>
      <c r="Y911" s="152">
        <f>+VLOOKUP(PROVEEDORES[[#This Row],[ID RETENCION]],Retenciones!$A$1:$O$25,2,FALSE)</f>
        <v>0</v>
      </c>
      <c r="Z911" s="153" t="b">
        <f>+OR(COUNTIF(PROVEEDORES[[#This Row],[PROVEEDOR]],"*"&amp;'Palabra que no opera y Listas d'!$A$2&amp;"*"))</f>
        <v>0</v>
      </c>
    </row>
    <row r="912" spans="1:26" ht="27.75" customHeight="1" x14ac:dyDescent="0.3">
      <c r="A912" s="144" t="str">
        <f>+IF(PROVEEDORES[[#This Row],[FECHA DE PAGO]]=PROVEEDORES[[#This Row],[FECHA DE FACTURACIÓN]],"DE CONTADO","CRÉDITO")</f>
        <v>CRÉDITO</v>
      </c>
      <c r="B912" s="144" t="str">
        <f>+IF((PROVEEDORES[[#This Row],[FECHA DE PAGO]]-PROVEEDORES[[#This Row],[FECHA DE FACTURACIÓN]])&gt;PROVEEDORES[[#This Row],[PLAZO Días]],"PAGO VENCIDO")</f>
        <v>PAGO VENCIDO</v>
      </c>
      <c r="C912" s="144">
        <f>+VLOOKUP(PROVEEDORES[[#This Row],[PROVEEDOR]],TERCEROS_INFO[#All],2,FALSE)</f>
        <v>0</v>
      </c>
      <c r="D912" s="145">
        <f>+SUMIFS(PROVEEDORES[Total],PROVEEDORES[PROVEEDOR],PROVEEDORES[[#This Row],[PROVEEDOR]],PROVEEDORES[FECHA DE PAGO],"")</f>
        <v>0</v>
      </c>
      <c r="E912" s="146"/>
      <c r="F912" s="144" t="str">
        <f>+VLOOKUP(PROVEEDORES[[#This Row],[PROVEEDOR]],
                       Terceros!$A:$G,
                       5,
                       FALSE)</f>
        <v>4% con base</v>
      </c>
      <c r="G912" s="122">
        <v>45250</v>
      </c>
      <c r="H912" s="102" t="s">
        <v>1130</v>
      </c>
      <c r="I912" s="122">
        <v>45210</v>
      </c>
      <c r="J912" s="103" t="s">
        <v>1210</v>
      </c>
      <c r="K912" s="103" t="s">
        <v>1512</v>
      </c>
      <c r="L912" s="103"/>
      <c r="M912" s="105">
        <v>-1168669</v>
      </c>
      <c r="N912" s="147">
        <v>-222047.11000000002</v>
      </c>
      <c r="O912" s="147">
        <v>0</v>
      </c>
      <c r="P912" s="148">
        <v>0</v>
      </c>
      <c r="Q912" s="147">
        <v>0</v>
      </c>
      <c r="R912" s="149">
        <v>-1390716.11</v>
      </c>
      <c r="S9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2" s="150">
        <f ca="1">+IF(PROVEEDORES[[#This Row],[FECHA DE PAGO]]=0,TODAY()-PROVEEDORES[[#This Row],[FECHA DE FACTURACIÓN]]-PROVEEDORES[[#This Row],[PLAZO Días]],0)</f>
        <v>0</v>
      </c>
      <c r="U912" s="150">
        <f>+VLOOKUP(PROVEEDORES[[#This Row],[PROVEEDOR]],Terceros!$A:$E,4,FALSE)</f>
        <v>0.19</v>
      </c>
      <c r="V912" s="150">
        <f>+YEAR(PROVEEDORES[[#This Row],[FECHA DE FACTURACIÓN]])</f>
        <v>2023</v>
      </c>
      <c r="W912" s="150">
        <f>+MATCH(PROVEEDORES[[#This Row],[año facturado]],Retenciones!$1:$1,0)</f>
        <v>6</v>
      </c>
      <c r="X912" s="151" t="e">
        <f>+VLOOKUP(PROVEEDORES[[#This Row],[ID RETENCION]],Retenciones!$A$1:$O$25,PROVEEDORES[[#This Row],[indicador de columna]],FALSE)</f>
        <v>#N/A</v>
      </c>
      <c r="Y912" s="152" t="e">
        <f>+VLOOKUP(PROVEEDORES[[#This Row],[ID RETENCION]],Retenciones!$A$1:$O$25,2,FALSE)</f>
        <v>#N/A</v>
      </c>
      <c r="Z912" s="153" t="b">
        <f>+OR(COUNTIF(PROVEEDORES[[#This Row],[PROVEEDOR]],"*"&amp;'Palabra que no opera y Listas d'!$A$2&amp;"*"))</f>
        <v>0</v>
      </c>
    </row>
    <row r="913" spans="1:26" ht="27.75" customHeight="1" x14ac:dyDescent="0.3">
      <c r="A913" s="144" t="str">
        <f>+IF(PROVEEDORES[[#This Row],[FECHA DE PAGO]]=PROVEEDORES[[#This Row],[FECHA DE FACTURACIÓN]],"DE CONTADO","CRÉDITO")</f>
        <v>CRÉDITO</v>
      </c>
      <c r="B913" s="144" t="str">
        <f>+IF((PROVEEDORES[[#This Row],[FECHA DE PAGO]]-PROVEEDORES[[#This Row],[FECHA DE FACTURACIÓN]])&gt;PROVEEDORES[[#This Row],[PLAZO Días]],"PAGO VENCIDO")</f>
        <v>PAGO VENCIDO</v>
      </c>
      <c r="C913" s="144">
        <f>+VLOOKUP(PROVEEDORES[[#This Row],[PROVEEDOR]],TERCEROS_INFO[#All],2,FALSE)</f>
        <v>0</v>
      </c>
      <c r="D913" s="145">
        <f>+SUMIFS(PROVEEDORES[Total],PROVEEDORES[PROVEEDOR],PROVEEDORES[[#This Row],[PROVEEDOR]],PROVEEDORES[FECHA DE PAGO],"")</f>
        <v>0</v>
      </c>
      <c r="E913" s="146"/>
      <c r="F913" s="144" t="str">
        <f>+VLOOKUP(PROVEEDORES[[#This Row],[PROVEEDOR]],
                       Terceros!$A:$G,
                       5,
                       FALSE)</f>
        <v>4% con base</v>
      </c>
      <c r="G913" s="122">
        <v>45250</v>
      </c>
      <c r="H913" s="102" t="s">
        <v>1130</v>
      </c>
      <c r="I913" s="122">
        <v>45210</v>
      </c>
      <c r="J913" s="103" t="s">
        <v>1209</v>
      </c>
      <c r="K913" s="103" t="s">
        <v>1512</v>
      </c>
      <c r="L913" s="103"/>
      <c r="M913" s="105">
        <v>-759339</v>
      </c>
      <c r="N913" s="147">
        <v>-144274.41</v>
      </c>
      <c r="O913" s="147">
        <v>0</v>
      </c>
      <c r="P913" s="148">
        <v>0</v>
      </c>
      <c r="Q913" s="147">
        <v>0</v>
      </c>
      <c r="R913" s="149">
        <v>-903613.41</v>
      </c>
      <c r="S9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3" s="150">
        <f ca="1">+IF(PROVEEDORES[[#This Row],[FECHA DE PAGO]]=0,TODAY()-PROVEEDORES[[#This Row],[FECHA DE FACTURACIÓN]]-PROVEEDORES[[#This Row],[PLAZO Días]],0)</f>
        <v>0</v>
      </c>
      <c r="U913" s="150">
        <f>+VLOOKUP(PROVEEDORES[[#This Row],[PROVEEDOR]],Terceros!$A:$E,4,FALSE)</f>
        <v>0.19</v>
      </c>
      <c r="V913" s="150">
        <f>+YEAR(PROVEEDORES[[#This Row],[FECHA DE FACTURACIÓN]])</f>
        <v>2023</v>
      </c>
      <c r="W913" s="150">
        <f>+MATCH(PROVEEDORES[[#This Row],[año facturado]],Retenciones!$1:$1,0)</f>
        <v>6</v>
      </c>
      <c r="X913" s="151" t="e">
        <f>+VLOOKUP(PROVEEDORES[[#This Row],[ID RETENCION]],Retenciones!$A$1:$O$25,PROVEEDORES[[#This Row],[indicador de columna]],FALSE)</f>
        <v>#N/A</v>
      </c>
      <c r="Y913" s="152" t="e">
        <f>+VLOOKUP(PROVEEDORES[[#This Row],[ID RETENCION]],Retenciones!$A$1:$O$25,2,FALSE)</f>
        <v>#N/A</v>
      </c>
      <c r="Z913" s="153" t="b">
        <f>+OR(COUNTIF(PROVEEDORES[[#This Row],[PROVEEDOR]],"*"&amp;'Palabra que no opera y Listas d'!$A$2&amp;"*"))</f>
        <v>0</v>
      </c>
    </row>
    <row r="914" spans="1:26" ht="27.75" customHeight="1" x14ac:dyDescent="0.3">
      <c r="A914" s="144" t="str">
        <f>+IF(PROVEEDORES[[#This Row],[FECHA DE PAGO]]=PROVEEDORES[[#This Row],[FECHA DE FACTURACIÓN]],"DE CONTADO","CRÉDITO")</f>
        <v>CRÉDITO</v>
      </c>
      <c r="B914" s="144" t="str">
        <f>+IF((PROVEEDORES[[#This Row],[FECHA DE PAGO]]-PROVEEDORES[[#This Row],[FECHA DE FACTURACIÓN]])&gt;PROVEEDORES[[#This Row],[PLAZO Días]],"PAGO VENCIDO")</f>
        <v>PAGO VENCIDO</v>
      </c>
      <c r="C914" s="144">
        <f>+VLOOKUP(PROVEEDORES[[#This Row],[PROVEEDOR]],TERCEROS_INFO[#All],2,FALSE)</f>
        <v>0</v>
      </c>
      <c r="D914" s="145">
        <f>+SUMIFS(PROVEEDORES[Total],PROVEEDORES[PROVEEDOR],PROVEEDORES[[#This Row],[PROVEEDOR]],PROVEEDORES[FECHA DE PAGO],"")</f>
        <v>455608</v>
      </c>
      <c r="E914" s="146"/>
      <c r="F914" s="144">
        <f>+VLOOKUP(PROVEEDORES[[#This Row],[PROVEEDOR]],
                       Terceros!$A:$G,
                       5,
                       FALSE)</f>
        <v>0</v>
      </c>
      <c r="G914" s="122">
        <v>45250</v>
      </c>
      <c r="H914" s="102" t="s">
        <v>1802</v>
      </c>
      <c r="I914" s="122">
        <v>45218</v>
      </c>
      <c r="J914" s="103" t="s">
        <v>899</v>
      </c>
      <c r="K914" s="103" t="s">
        <v>1512</v>
      </c>
      <c r="L914" s="103"/>
      <c r="M914" s="105">
        <v>445473</v>
      </c>
      <c r="N914" s="147">
        <v>0</v>
      </c>
      <c r="O914" s="147">
        <v>0</v>
      </c>
      <c r="P914" s="148">
        <v>0</v>
      </c>
      <c r="Q914" s="147">
        <v>0</v>
      </c>
      <c r="R914" s="149">
        <v>445473</v>
      </c>
      <c r="S9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4" s="150">
        <f ca="1">+IF(PROVEEDORES[[#This Row],[FECHA DE PAGO]]=0,TODAY()-PROVEEDORES[[#This Row],[FECHA DE FACTURACIÓN]]-PROVEEDORES[[#This Row],[PLAZO Días]],0)</f>
        <v>0</v>
      </c>
      <c r="U914" s="150">
        <f>+VLOOKUP(PROVEEDORES[[#This Row],[PROVEEDOR]],Terceros!$A:$E,4,FALSE)</f>
        <v>0</v>
      </c>
      <c r="V914" s="150">
        <f>+YEAR(PROVEEDORES[[#This Row],[FECHA DE FACTURACIÓN]])</f>
        <v>2023</v>
      </c>
      <c r="W914" s="150">
        <f>+MATCH(PROVEEDORES[[#This Row],[año facturado]],Retenciones!$1:$1,0)</f>
        <v>6</v>
      </c>
      <c r="X914" s="151">
        <f>+VLOOKUP(PROVEEDORES[[#This Row],[ID RETENCION]],Retenciones!$A$1:$O$25,PROVEEDORES[[#This Row],[indicador de columna]],FALSE)</f>
        <v>0</v>
      </c>
      <c r="Y914" s="152">
        <f>+VLOOKUP(PROVEEDORES[[#This Row],[ID RETENCION]],Retenciones!$A$1:$O$25,2,FALSE)</f>
        <v>0</v>
      </c>
      <c r="Z914" s="153" t="b">
        <f>+OR(COUNTIF(PROVEEDORES[[#This Row],[PROVEEDOR]],"*"&amp;'Palabra que no opera y Listas d'!$A$2&amp;"*"))</f>
        <v>0</v>
      </c>
    </row>
    <row r="915" spans="1:26" ht="27.75" customHeight="1" x14ac:dyDescent="0.3">
      <c r="A915" s="144" t="str">
        <f>+IF(PROVEEDORES[[#This Row],[FECHA DE PAGO]]=PROVEEDORES[[#This Row],[FECHA DE FACTURACIÓN]],"DE CONTADO","CRÉDITO")</f>
        <v>CRÉDITO</v>
      </c>
      <c r="B915" s="144" t="str">
        <f>+IF((PROVEEDORES[[#This Row],[FECHA DE PAGO]]-PROVEEDORES[[#This Row],[FECHA DE FACTURACIÓN]])&gt;PROVEEDORES[[#This Row],[PLAZO Días]],"PAGO VENCIDO")</f>
        <v>PAGO VENCIDO</v>
      </c>
      <c r="C915" s="144">
        <f>+VLOOKUP(PROVEEDORES[[#This Row],[PROVEEDOR]],TERCEROS_INFO[#All],2,FALSE)</f>
        <v>0</v>
      </c>
      <c r="D915" s="145">
        <f>+SUMIFS(PROVEEDORES[Total],PROVEEDORES[PROVEEDOR],PROVEEDORES[[#This Row],[PROVEEDOR]],PROVEEDORES[FECHA DE PAGO],"")</f>
        <v>0</v>
      </c>
      <c r="E915" s="146"/>
      <c r="F915" s="144" t="str">
        <f>+VLOOKUP(PROVEEDORES[[#This Row],[PROVEEDOR]],
                       Terceros!$A:$G,
                       5,
                       FALSE)</f>
        <v>3,5% sin base</v>
      </c>
      <c r="G915" s="122">
        <v>45250</v>
      </c>
      <c r="H915" s="102" t="s">
        <v>398</v>
      </c>
      <c r="I915" s="122">
        <v>45231</v>
      </c>
      <c r="J915" s="103" t="s">
        <v>1241</v>
      </c>
      <c r="K915" s="103" t="s">
        <v>1512</v>
      </c>
      <c r="L915" s="103"/>
      <c r="M915" s="105">
        <v>3935776</v>
      </c>
      <c r="N915" s="147">
        <v>747797.44000000006</v>
      </c>
      <c r="O915" s="147">
        <v>0</v>
      </c>
      <c r="P915" s="148">
        <v>3.5000000000000003E-2</v>
      </c>
      <c r="Q915" s="147">
        <v>137752.16</v>
      </c>
      <c r="R915" s="149">
        <v>4545821.28</v>
      </c>
      <c r="S9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5" s="150">
        <f ca="1">+IF(PROVEEDORES[[#This Row],[FECHA DE PAGO]]=0,TODAY()-PROVEEDORES[[#This Row],[FECHA DE FACTURACIÓN]]-PROVEEDORES[[#This Row],[PLAZO Días]],0)</f>
        <v>0</v>
      </c>
      <c r="U915" s="150">
        <f>+VLOOKUP(PROVEEDORES[[#This Row],[PROVEEDOR]],Terceros!$A:$E,4,FALSE)</f>
        <v>0.19</v>
      </c>
      <c r="V915" s="150">
        <f>+YEAR(PROVEEDORES[[#This Row],[FECHA DE FACTURACIÓN]])</f>
        <v>2023</v>
      </c>
      <c r="W915" s="150">
        <f>+MATCH(PROVEEDORES[[#This Row],[año facturado]],Retenciones!$1:$1,0)</f>
        <v>6</v>
      </c>
      <c r="X915" s="151" t="e">
        <f>+VLOOKUP(PROVEEDORES[[#This Row],[ID RETENCION]],Retenciones!$A$1:$O$25,PROVEEDORES[[#This Row],[indicador de columna]],FALSE)</f>
        <v>#N/A</v>
      </c>
      <c r="Y915" s="152" t="e">
        <f>+VLOOKUP(PROVEEDORES[[#This Row],[ID RETENCION]],Retenciones!$A$1:$O$25,2,FALSE)</f>
        <v>#N/A</v>
      </c>
      <c r="Z915" s="153" t="b">
        <f>+OR(COUNTIF(PROVEEDORES[[#This Row],[PROVEEDOR]],"*"&amp;'Palabra que no opera y Listas d'!$A$2&amp;"*"))</f>
        <v>1</v>
      </c>
    </row>
    <row r="916" spans="1:26" ht="27.75" customHeight="1" x14ac:dyDescent="0.3">
      <c r="A916" s="144" t="str">
        <f>+IF(PROVEEDORES[[#This Row],[FECHA DE PAGO]]=PROVEEDORES[[#This Row],[FECHA DE FACTURACIÓN]],"DE CONTADO","CRÉDITO")</f>
        <v>CRÉDITO</v>
      </c>
      <c r="B916" s="144" t="str">
        <f>+IF((PROVEEDORES[[#This Row],[FECHA DE PAGO]]-PROVEEDORES[[#This Row],[FECHA DE FACTURACIÓN]])&gt;PROVEEDORES[[#This Row],[PLAZO Días]],"PAGO VENCIDO")</f>
        <v>PAGO VENCIDO</v>
      </c>
      <c r="C916" s="144">
        <f>+VLOOKUP(PROVEEDORES[[#This Row],[PROVEEDOR]],TERCEROS_INFO[#All],2,FALSE)</f>
        <v>0</v>
      </c>
      <c r="D916" s="145">
        <f>+SUMIFS(PROVEEDORES[Total],PROVEEDORES[PROVEEDOR],PROVEEDORES[[#This Row],[PROVEEDOR]],PROVEEDORES[FECHA DE PAGO],"")</f>
        <v>0</v>
      </c>
      <c r="E916" s="146"/>
      <c r="F916" s="144">
        <f>+VLOOKUP(PROVEEDORES[[#This Row],[PROVEEDOR]],
                       Terceros!$A:$G,
                       5,
                       FALSE)</f>
        <v>0</v>
      </c>
      <c r="G916" s="122">
        <v>45250</v>
      </c>
      <c r="H916" s="102" t="s">
        <v>397</v>
      </c>
      <c r="I916" s="122">
        <v>45231</v>
      </c>
      <c r="J916" s="103" t="s">
        <v>1213</v>
      </c>
      <c r="K916" s="103" t="s">
        <v>1512</v>
      </c>
      <c r="L916" s="103"/>
      <c r="M916" s="105">
        <v>934363</v>
      </c>
      <c r="N916" s="147">
        <v>0</v>
      </c>
      <c r="O916" s="147">
        <v>0</v>
      </c>
      <c r="P916" s="148">
        <v>0</v>
      </c>
      <c r="Q916" s="147">
        <v>0</v>
      </c>
      <c r="R916" s="149">
        <v>934363</v>
      </c>
      <c r="S9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6" s="150">
        <f ca="1">+IF(PROVEEDORES[[#This Row],[FECHA DE PAGO]]=0,TODAY()-PROVEEDORES[[#This Row],[FECHA DE FACTURACIÓN]]-PROVEEDORES[[#This Row],[PLAZO Días]],0)</f>
        <v>0</v>
      </c>
      <c r="U916" s="150">
        <f>+VLOOKUP(PROVEEDORES[[#This Row],[PROVEEDOR]],Terceros!$A:$E,4,FALSE)</f>
        <v>0</v>
      </c>
      <c r="V916" s="150">
        <f>+YEAR(PROVEEDORES[[#This Row],[FECHA DE FACTURACIÓN]])</f>
        <v>2023</v>
      </c>
      <c r="W916" s="150">
        <f>+MATCH(PROVEEDORES[[#This Row],[año facturado]],Retenciones!$1:$1,0)</f>
        <v>6</v>
      </c>
      <c r="X916" s="151">
        <f>+VLOOKUP(PROVEEDORES[[#This Row],[ID RETENCION]],Retenciones!$A$1:$O$25,PROVEEDORES[[#This Row],[indicador de columna]],FALSE)</f>
        <v>0</v>
      </c>
      <c r="Y916" s="152">
        <f>+VLOOKUP(PROVEEDORES[[#This Row],[ID RETENCION]],Retenciones!$A$1:$O$25,2,FALSE)</f>
        <v>0</v>
      </c>
      <c r="Z916" s="153" t="b">
        <f>+OR(COUNTIF(PROVEEDORES[[#This Row],[PROVEEDOR]],"*"&amp;'Palabra que no opera y Listas d'!$A$2&amp;"*"))</f>
        <v>1</v>
      </c>
    </row>
    <row r="917" spans="1:26" ht="27.75" customHeight="1" x14ac:dyDescent="0.3">
      <c r="A917" s="144" t="str">
        <f>+IF(PROVEEDORES[[#This Row],[FECHA DE PAGO]]=PROVEEDORES[[#This Row],[FECHA DE FACTURACIÓN]],"DE CONTADO","CRÉDITO")</f>
        <v>CRÉDITO</v>
      </c>
      <c r="B917" s="144" t="str">
        <f>+IF((PROVEEDORES[[#This Row],[FECHA DE PAGO]]-PROVEEDORES[[#This Row],[FECHA DE FACTURACIÓN]])&gt;PROVEEDORES[[#This Row],[PLAZO Días]],"PAGO VENCIDO")</f>
        <v>PAGO VENCIDO</v>
      </c>
      <c r="C917" s="144">
        <f>+VLOOKUP(PROVEEDORES[[#This Row],[PROVEEDOR]],TERCEROS_INFO[#All],2,FALSE)</f>
        <v>0</v>
      </c>
      <c r="D917" s="145">
        <f>+SUMIFS(PROVEEDORES[Total],PROVEEDORES[PROVEEDOR],PROVEEDORES[[#This Row],[PROVEEDOR]],PROVEEDORES[FECHA DE PAGO],"")</f>
        <v>0</v>
      </c>
      <c r="E917" s="146"/>
      <c r="F917" s="144">
        <f>+VLOOKUP(PROVEEDORES[[#This Row],[PROVEEDOR]],
                       Terceros!$A:$G,
                       5,
                       FALSE)</f>
        <v>0</v>
      </c>
      <c r="G917" s="122">
        <v>45250</v>
      </c>
      <c r="H917" s="102" t="s">
        <v>397</v>
      </c>
      <c r="I917" s="122">
        <v>45231</v>
      </c>
      <c r="J917" s="103" t="s">
        <v>1214</v>
      </c>
      <c r="K917" s="103" t="s">
        <v>1512</v>
      </c>
      <c r="L917" s="103"/>
      <c r="M917" s="105">
        <v>914023</v>
      </c>
      <c r="N917" s="147">
        <v>0</v>
      </c>
      <c r="O917" s="147">
        <v>0</v>
      </c>
      <c r="P917" s="148">
        <v>0</v>
      </c>
      <c r="Q917" s="147">
        <v>0</v>
      </c>
      <c r="R917" s="149">
        <v>914023</v>
      </c>
      <c r="S9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7" s="150">
        <f ca="1">+IF(PROVEEDORES[[#This Row],[FECHA DE PAGO]]=0,TODAY()-PROVEEDORES[[#This Row],[FECHA DE FACTURACIÓN]]-PROVEEDORES[[#This Row],[PLAZO Días]],0)</f>
        <v>0</v>
      </c>
      <c r="U917" s="150">
        <f>+VLOOKUP(PROVEEDORES[[#This Row],[PROVEEDOR]],Terceros!$A:$E,4,FALSE)</f>
        <v>0</v>
      </c>
      <c r="V917" s="150">
        <f>+YEAR(PROVEEDORES[[#This Row],[FECHA DE FACTURACIÓN]])</f>
        <v>2023</v>
      </c>
      <c r="W917" s="150">
        <f>+MATCH(PROVEEDORES[[#This Row],[año facturado]],Retenciones!$1:$1,0)</f>
        <v>6</v>
      </c>
      <c r="X917" s="151">
        <f>+VLOOKUP(PROVEEDORES[[#This Row],[ID RETENCION]],Retenciones!$A$1:$O$25,PROVEEDORES[[#This Row],[indicador de columna]],FALSE)</f>
        <v>0</v>
      </c>
      <c r="Y917" s="152">
        <f>+VLOOKUP(PROVEEDORES[[#This Row],[ID RETENCION]],Retenciones!$A$1:$O$25,2,FALSE)</f>
        <v>0</v>
      </c>
      <c r="Z917" s="153" t="b">
        <f>+OR(COUNTIF(PROVEEDORES[[#This Row],[PROVEEDOR]],"*"&amp;'Palabra que no opera y Listas d'!$A$2&amp;"*"))</f>
        <v>1</v>
      </c>
    </row>
    <row r="918" spans="1:26" ht="27.75" customHeight="1" x14ac:dyDescent="0.3">
      <c r="A918" s="144" t="str">
        <f>+IF(PROVEEDORES[[#This Row],[FECHA DE PAGO]]=PROVEEDORES[[#This Row],[FECHA DE FACTURACIÓN]],"DE CONTADO","CRÉDITO")</f>
        <v>CRÉDITO</v>
      </c>
      <c r="B918" s="144" t="str">
        <f>+IF((PROVEEDORES[[#This Row],[FECHA DE PAGO]]-PROVEEDORES[[#This Row],[FECHA DE FACTURACIÓN]])&gt;PROVEEDORES[[#This Row],[PLAZO Días]],"PAGO VENCIDO")</f>
        <v>PAGO VENCIDO</v>
      </c>
      <c r="C918" s="144">
        <f>+VLOOKUP(PROVEEDORES[[#This Row],[PROVEEDOR]],TERCEROS_INFO[#All],2,FALSE)</f>
        <v>0</v>
      </c>
      <c r="D918" s="145">
        <f>+SUMIFS(PROVEEDORES[Total],PROVEEDORES[PROVEEDOR],PROVEEDORES[[#This Row],[PROVEEDOR]],PROVEEDORES[FECHA DE PAGO],"")</f>
        <v>353983.35</v>
      </c>
      <c r="E918" s="146"/>
      <c r="F918" s="144" t="str">
        <f>+VLOOKUP(PROVEEDORES[[#This Row],[PROVEEDOR]],
                       Terceros!$A:$G,
                       5,
                       FALSE)</f>
        <v>2,5% con base</v>
      </c>
      <c r="G918" s="122">
        <v>45250</v>
      </c>
      <c r="H918" s="102" t="s">
        <v>385</v>
      </c>
      <c r="I918" s="122">
        <v>45231</v>
      </c>
      <c r="J918" s="103" t="s">
        <v>1243</v>
      </c>
      <c r="K918" s="103" t="s">
        <v>1512</v>
      </c>
      <c r="L918" s="103"/>
      <c r="M918" s="105">
        <v>442906</v>
      </c>
      <c r="N918" s="147">
        <v>22145.300000000003</v>
      </c>
      <c r="O918" s="147">
        <v>0</v>
      </c>
      <c r="P918" s="148">
        <v>0</v>
      </c>
      <c r="Q918" s="147">
        <v>0</v>
      </c>
      <c r="R918" s="149">
        <v>465051.3</v>
      </c>
      <c r="S9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8" s="150">
        <f ca="1">+IF(PROVEEDORES[[#This Row],[FECHA DE PAGO]]=0,TODAY()-PROVEEDORES[[#This Row],[FECHA DE FACTURACIÓN]]-PROVEEDORES[[#This Row],[PLAZO Días]],0)</f>
        <v>0</v>
      </c>
      <c r="U918" s="150">
        <f>+VLOOKUP(PROVEEDORES[[#This Row],[PROVEEDOR]],Terceros!$A:$E,4,FALSE)</f>
        <v>0.05</v>
      </c>
      <c r="V918" s="150">
        <f>+YEAR(PROVEEDORES[[#This Row],[FECHA DE FACTURACIÓN]])</f>
        <v>2023</v>
      </c>
      <c r="W918" s="150">
        <f>+MATCH(PROVEEDORES[[#This Row],[año facturado]],Retenciones!$1:$1,0)</f>
        <v>6</v>
      </c>
      <c r="X918" s="151" t="e">
        <f>+VLOOKUP(PROVEEDORES[[#This Row],[ID RETENCION]],Retenciones!$A$1:$O$25,PROVEEDORES[[#This Row],[indicador de columna]],FALSE)</f>
        <v>#N/A</v>
      </c>
      <c r="Y918" s="152" t="e">
        <f>+VLOOKUP(PROVEEDORES[[#This Row],[ID RETENCION]],Retenciones!$A$1:$O$25,2,FALSE)</f>
        <v>#N/A</v>
      </c>
      <c r="Z918" s="153" t="b">
        <f>+OR(COUNTIF(PROVEEDORES[[#This Row],[PROVEEDOR]],"*"&amp;'Palabra que no opera y Listas d'!$A$2&amp;"*"))</f>
        <v>1</v>
      </c>
    </row>
    <row r="919" spans="1:26" ht="27.75" customHeight="1" x14ac:dyDescent="0.3">
      <c r="A919" s="144" t="str">
        <f>+IF(PROVEEDORES[[#This Row],[FECHA DE PAGO]]=PROVEEDORES[[#This Row],[FECHA DE FACTURACIÓN]],"DE CONTADO","CRÉDITO")</f>
        <v>DE CONTADO</v>
      </c>
      <c r="B919" s="144" t="b">
        <f>+IF((PROVEEDORES[[#This Row],[FECHA DE PAGO]]-PROVEEDORES[[#This Row],[FECHA DE FACTURACIÓN]])&gt;PROVEEDORES[[#This Row],[PLAZO Días]],"PAGO VENCIDO")</f>
        <v>0</v>
      </c>
      <c r="C919" s="144">
        <f>+VLOOKUP(PROVEEDORES[[#This Row],[PROVEEDOR]],TERCEROS_INFO[#All],2,FALSE)</f>
        <v>0</v>
      </c>
      <c r="D919" s="145">
        <f>+SUMIFS(PROVEEDORES[Total],PROVEEDORES[PROVEEDOR],PROVEEDORES[[#This Row],[PROVEEDOR]],PROVEEDORES[FECHA DE PAGO],"")</f>
        <v>0</v>
      </c>
      <c r="E919" s="146"/>
      <c r="F919" s="144" t="str">
        <f>+VLOOKUP(PROVEEDORES[[#This Row],[PROVEEDOR]],
                       Terceros!$A:$G,
                       5,
                       FALSE)</f>
        <v>3,5% sin base</v>
      </c>
      <c r="G919" s="122">
        <v>45250</v>
      </c>
      <c r="H919" s="102" t="s">
        <v>395</v>
      </c>
      <c r="I919" s="122">
        <v>45250</v>
      </c>
      <c r="J919" s="103" t="s">
        <v>1238</v>
      </c>
      <c r="K919" s="103" t="s">
        <v>1512</v>
      </c>
      <c r="L919" s="103"/>
      <c r="M919" s="105">
        <v>3456200</v>
      </c>
      <c r="N919" s="147">
        <v>0</v>
      </c>
      <c r="O919" s="147">
        <v>0</v>
      </c>
      <c r="P919" s="148">
        <v>3.5000000000000003E-2</v>
      </c>
      <c r="Q919" s="147">
        <v>120967.00000000001</v>
      </c>
      <c r="R919" s="149">
        <v>3335233</v>
      </c>
      <c r="S9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9" s="150">
        <f ca="1">+IF(PROVEEDORES[[#This Row],[FECHA DE PAGO]]=0,TODAY()-PROVEEDORES[[#This Row],[FECHA DE FACTURACIÓN]]-PROVEEDORES[[#This Row],[PLAZO Días]],0)</f>
        <v>0</v>
      </c>
      <c r="U919" s="150">
        <f>+VLOOKUP(PROVEEDORES[[#This Row],[PROVEEDOR]],Terceros!$A:$E,4,FALSE)</f>
        <v>0</v>
      </c>
      <c r="V919" s="150">
        <f>+YEAR(PROVEEDORES[[#This Row],[FECHA DE FACTURACIÓN]])</f>
        <v>2023</v>
      </c>
      <c r="W919" s="150">
        <f>+MATCH(PROVEEDORES[[#This Row],[año facturado]],Retenciones!$1:$1,0)</f>
        <v>6</v>
      </c>
      <c r="X919" s="151">
        <f>+VLOOKUP(PROVEEDORES[[#This Row],[ID RETENCION]],Retenciones!$A$1:$O$25,PROVEEDORES[[#This Row],[indicador de columna]],FALSE)</f>
        <v>0</v>
      </c>
      <c r="Y919" s="152">
        <f>+VLOOKUP(PROVEEDORES[[#This Row],[ID RETENCION]],Retenciones!$A$1:$O$25,2,FALSE)</f>
        <v>0</v>
      </c>
      <c r="Z919" s="153" t="b">
        <f>+OR(COUNTIF(PROVEEDORES[[#This Row],[PROVEEDOR]],"*"&amp;'Palabra que no opera y Listas d'!$A$2&amp;"*"))</f>
        <v>1</v>
      </c>
    </row>
    <row r="920" spans="1:26" ht="27.75" customHeight="1" x14ac:dyDescent="0.3">
      <c r="A920" s="144" t="str">
        <f>+IF(PROVEEDORES[[#This Row],[FECHA DE PAGO]]=PROVEEDORES[[#This Row],[FECHA DE FACTURACIÓN]],"DE CONTADO","CRÉDITO")</f>
        <v>DE CONTADO</v>
      </c>
      <c r="B920" s="144" t="b">
        <f>+IF((PROVEEDORES[[#This Row],[FECHA DE PAGO]]-PROVEEDORES[[#This Row],[FECHA DE FACTURACIÓN]])&gt;PROVEEDORES[[#This Row],[PLAZO Días]],"PAGO VENCIDO")</f>
        <v>0</v>
      </c>
      <c r="C920" s="144">
        <f>+VLOOKUP(PROVEEDORES[[#This Row],[PROVEEDOR]],TERCEROS_INFO[#All],2,FALSE)</f>
        <v>0</v>
      </c>
      <c r="D920" s="145">
        <f>+SUMIFS(PROVEEDORES[Total],PROVEEDORES[PROVEEDOR],PROVEEDORES[[#This Row],[PROVEEDOR]],PROVEEDORES[FECHA DE PAGO],"")</f>
        <v>0</v>
      </c>
      <c r="E920" s="146"/>
      <c r="F920" s="144" t="str">
        <f>+VLOOKUP(PROVEEDORES[[#This Row],[PROVEEDOR]],
                       Terceros!$A:$G,
                       5,
                       FALSE)</f>
        <v>4% con base</v>
      </c>
      <c r="G920" s="122">
        <v>45250</v>
      </c>
      <c r="H920" s="102" t="s">
        <v>1130</v>
      </c>
      <c r="I920" s="122">
        <v>45250</v>
      </c>
      <c r="J920" s="103" t="s">
        <v>1211</v>
      </c>
      <c r="K920" s="103" t="s">
        <v>1512</v>
      </c>
      <c r="L920" s="103"/>
      <c r="M920" s="105">
        <v>1964150</v>
      </c>
      <c r="N920" s="147">
        <v>373188.5</v>
      </c>
      <c r="O920" s="147">
        <v>0</v>
      </c>
      <c r="P920" s="148">
        <v>0.04</v>
      </c>
      <c r="Q920" s="147">
        <v>78566</v>
      </c>
      <c r="R920" s="149">
        <v>2258772.5</v>
      </c>
      <c r="S9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0" s="150">
        <f ca="1">+IF(PROVEEDORES[[#This Row],[FECHA DE PAGO]]=0,TODAY()-PROVEEDORES[[#This Row],[FECHA DE FACTURACIÓN]]-PROVEEDORES[[#This Row],[PLAZO Días]],0)</f>
        <v>0</v>
      </c>
      <c r="U920" s="150">
        <f>+VLOOKUP(PROVEEDORES[[#This Row],[PROVEEDOR]],Terceros!$A:$E,4,FALSE)</f>
        <v>0.19</v>
      </c>
      <c r="V920" s="150">
        <f>+YEAR(PROVEEDORES[[#This Row],[FECHA DE FACTURACIÓN]])</f>
        <v>2023</v>
      </c>
      <c r="W920" s="150">
        <f>+MATCH(PROVEEDORES[[#This Row],[año facturado]],Retenciones!$1:$1,0)</f>
        <v>6</v>
      </c>
      <c r="X920" s="151" t="e">
        <f>+VLOOKUP(PROVEEDORES[[#This Row],[ID RETENCION]],Retenciones!$A$1:$O$25,PROVEEDORES[[#This Row],[indicador de columna]],FALSE)</f>
        <v>#N/A</v>
      </c>
      <c r="Y920" s="152" t="e">
        <f>+VLOOKUP(PROVEEDORES[[#This Row],[ID RETENCION]],Retenciones!$A$1:$O$25,2,FALSE)</f>
        <v>#N/A</v>
      </c>
      <c r="Z920" s="153" t="b">
        <f>+OR(COUNTIF(PROVEEDORES[[#This Row],[PROVEEDOR]],"*"&amp;'Palabra que no opera y Listas d'!$A$2&amp;"*"))</f>
        <v>0</v>
      </c>
    </row>
    <row r="921" spans="1:26" ht="27.75" customHeight="1" x14ac:dyDescent="0.3">
      <c r="A921" s="144" t="str">
        <f>+IF(PROVEEDORES[[#This Row],[FECHA DE PAGO]]=PROVEEDORES[[#This Row],[FECHA DE FACTURACIÓN]],"DE CONTADO","CRÉDITO")</f>
        <v>DE CONTADO</v>
      </c>
      <c r="B921" s="144" t="b">
        <f>+IF((PROVEEDORES[[#This Row],[FECHA DE PAGO]]-PROVEEDORES[[#This Row],[FECHA DE FACTURACIÓN]])&gt;PROVEEDORES[[#This Row],[PLAZO Días]],"PAGO VENCIDO")</f>
        <v>0</v>
      </c>
      <c r="C921" s="144">
        <f>+VLOOKUP(PROVEEDORES[[#This Row],[PROVEEDOR]],TERCEROS_INFO[#All],2,FALSE)</f>
        <v>0</v>
      </c>
      <c r="D921" s="145">
        <f>+SUMIFS(PROVEEDORES[Total],PROVEEDORES[PROVEEDOR],PROVEEDORES[[#This Row],[PROVEEDOR]],PROVEEDORES[FECHA DE PAGO],"")</f>
        <v>0</v>
      </c>
      <c r="E921" s="146"/>
      <c r="F921" s="144" t="str">
        <f>+VLOOKUP(PROVEEDORES[[#This Row],[PROVEEDOR]],
                       Terceros!$A:$G,
                       5,
                       FALSE)</f>
        <v>4% con base</v>
      </c>
      <c r="G921" s="122">
        <v>45250</v>
      </c>
      <c r="H921" s="102" t="s">
        <v>1130</v>
      </c>
      <c r="I921" s="122">
        <v>45250</v>
      </c>
      <c r="J921" s="103" t="s">
        <v>1212</v>
      </c>
      <c r="K921" s="103" t="s">
        <v>1512</v>
      </c>
      <c r="L921" s="103"/>
      <c r="M921" s="105">
        <v>1276200</v>
      </c>
      <c r="N921" s="147">
        <v>242478</v>
      </c>
      <c r="O921" s="147">
        <v>0</v>
      </c>
      <c r="P921" s="148">
        <v>0.04</v>
      </c>
      <c r="Q921" s="147">
        <v>51048</v>
      </c>
      <c r="R921" s="149">
        <v>1467630</v>
      </c>
      <c r="S9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1" s="150">
        <f ca="1">+IF(PROVEEDORES[[#This Row],[FECHA DE PAGO]]=0,TODAY()-PROVEEDORES[[#This Row],[FECHA DE FACTURACIÓN]]-PROVEEDORES[[#This Row],[PLAZO Días]],0)</f>
        <v>0</v>
      </c>
      <c r="U921" s="150">
        <f>+VLOOKUP(PROVEEDORES[[#This Row],[PROVEEDOR]],Terceros!$A:$E,4,FALSE)</f>
        <v>0.19</v>
      </c>
      <c r="V921" s="150">
        <f>+YEAR(PROVEEDORES[[#This Row],[FECHA DE FACTURACIÓN]])</f>
        <v>2023</v>
      </c>
      <c r="W921" s="150">
        <f>+MATCH(PROVEEDORES[[#This Row],[año facturado]],Retenciones!$1:$1,0)</f>
        <v>6</v>
      </c>
      <c r="X921" s="151" t="e">
        <f>+VLOOKUP(PROVEEDORES[[#This Row],[ID RETENCION]],Retenciones!$A$1:$O$25,PROVEEDORES[[#This Row],[indicador de columna]],FALSE)</f>
        <v>#N/A</v>
      </c>
      <c r="Y921" s="152" t="e">
        <f>+VLOOKUP(PROVEEDORES[[#This Row],[ID RETENCION]],Retenciones!$A$1:$O$25,2,FALSE)</f>
        <v>#N/A</v>
      </c>
      <c r="Z921" s="153" t="b">
        <f>+OR(COUNTIF(PROVEEDORES[[#This Row],[PROVEEDOR]],"*"&amp;'Palabra que no opera y Listas d'!$A$2&amp;"*"))</f>
        <v>0</v>
      </c>
    </row>
    <row r="922" spans="1:26" ht="27.75" customHeight="1" x14ac:dyDescent="0.3">
      <c r="A922" s="144" t="str">
        <f>+IF(PROVEEDORES[[#This Row],[FECHA DE PAGO]]=PROVEEDORES[[#This Row],[FECHA DE FACTURACIÓN]],"DE CONTADO","CRÉDITO")</f>
        <v>DE CONTADO</v>
      </c>
      <c r="B922" s="144" t="b">
        <f>+IF((PROVEEDORES[[#This Row],[FECHA DE PAGO]]-PROVEEDORES[[#This Row],[FECHA DE FACTURACIÓN]])&gt;PROVEEDORES[[#This Row],[PLAZO Días]],"PAGO VENCIDO")</f>
        <v>0</v>
      </c>
      <c r="C922" s="144">
        <f>+VLOOKUP(PROVEEDORES[[#This Row],[PROVEEDOR]],TERCEROS_INFO[#All],2,FALSE)</f>
        <v>0</v>
      </c>
      <c r="D922" s="145">
        <f>+SUMIFS(PROVEEDORES[Total],PROVEEDORES[PROVEEDOR],PROVEEDORES[[#This Row],[PROVEEDOR]],PROVEEDORES[FECHA DE PAGO],"")</f>
        <v>0</v>
      </c>
      <c r="E922" s="146"/>
      <c r="F922" s="144">
        <f>+VLOOKUP(PROVEEDORES[[#This Row],[PROVEEDOR]],
                       Terceros!$A:$G,
                       5,
                       FALSE)</f>
        <v>0</v>
      </c>
      <c r="G922" s="122">
        <v>45250</v>
      </c>
      <c r="H922" s="102" t="s">
        <v>537</v>
      </c>
      <c r="I922" s="122">
        <v>45250</v>
      </c>
      <c r="J922" s="103" t="s">
        <v>1284</v>
      </c>
      <c r="K922" s="103" t="s">
        <v>1512</v>
      </c>
      <c r="L922" s="103"/>
      <c r="M922" s="105">
        <v>190000</v>
      </c>
      <c r="N922" s="147">
        <v>0</v>
      </c>
      <c r="O922" s="147">
        <v>0</v>
      </c>
      <c r="P922" s="148">
        <v>0</v>
      </c>
      <c r="Q922" s="147">
        <v>0</v>
      </c>
      <c r="R922" s="149">
        <v>190000</v>
      </c>
      <c r="S9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2" s="150">
        <f ca="1">+IF(PROVEEDORES[[#This Row],[FECHA DE PAGO]]=0,TODAY()-PROVEEDORES[[#This Row],[FECHA DE FACTURACIÓN]]-PROVEEDORES[[#This Row],[PLAZO Días]],0)</f>
        <v>0</v>
      </c>
      <c r="U922" s="150">
        <f>+VLOOKUP(PROVEEDORES[[#This Row],[PROVEEDOR]],Terceros!$A:$E,4,FALSE)</f>
        <v>0</v>
      </c>
      <c r="V922" s="150">
        <f>+YEAR(PROVEEDORES[[#This Row],[FECHA DE FACTURACIÓN]])</f>
        <v>2023</v>
      </c>
      <c r="W922" s="150">
        <f>+MATCH(PROVEEDORES[[#This Row],[año facturado]],Retenciones!$1:$1,0)</f>
        <v>6</v>
      </c>
      <c r="X922" s="151">
        <f>+VLOOKUP(PROVEEDORES[[#This Row],[ID RETENCION]],Retenciones!$A$1:$O$25,PROVEEDORES[[#This Row],[indicador de columna]],FALSE)</f>
        <v>0</v>
      </c>
      <c r="Y922" s="152">
        <f>+VLOOKUP(PROVEEDORES[[#This Row],[ID RETENCION]],Retenciones!$A$1:$O$25,2,FALSE)</f>
        <v>0</v>
      </c>
      <c r="Z922" s="153" t="b">
        <f>+OR(COUNTIF(PROVEEDORES[[#This Row],[PROVEEDOR]],"*"&amp;'Palabra que no opera y Listas d'!$A$2&amp;"*"))</f>
        <v>0</v>
      </c>
    </row>
    <row r="923" spans="1:26" ht="27.75" customHeight="1" x14ac:dyDescent="0.3">
      <c r="A923" s="144" t="str">
        <f>+IF(PROVEEDORES[[#This Row],[FECHA DE PAGO]]=PROVEEDORES[[#This Row],[FECHA DE FACTURACIÓN]],"DE CONTADO","CRÉDITO")</f>
        <v>CRÉDITO</v>
      </c>
      <c r="B923" s="144" t="str">
        <f>+IF((PROVEEDORES[[#This Row],[FECHA DE PAGO]]-PROVEEDORES[[#This Row],[FECHA DE FACTURACIÓN]])&gt;PROVEEDORES[[#This Row],[PLAZO Días]],"PAGO VENCIDO")</f>
        <v>PAGO VENCIDO</v>
      </c>
      <c r="C923" s="144">
        <f>+VLOOKUP(PROVEEDORES[[#This Row],[PROVEEDOR]],TERCEROS_INFO[#All],2,FALSE)</f>
        <v>0</v>
      </c>
      <c r="D923" s="145">
        <f>+SUMIFS(PROVEEDORES[Total],PROVEEDORES[PROVEEDOR],PROVEEDORES[[#This Row],[PROVEEDOR]],PROVEEDORES[FECHA DE PAGO],"")</f>
        <v>0</v>
      </c>
      <c r="E923" s="146"/>
      <c r="F923" s="144">
        <f>+VLOOKUP(PROVEEDORES[[#This Row],[PROVEEDOR]],
                       Terceros!$A:$G,
                       5,
                       FALSE)</f>
        <v>0</v>
      </c>
      <c r="G923" s="122">
        <v>45251</v>
      </c>
      <c r="H923" s="102" t="s">
        <v>460</v>
      </c>
      <c r="I923" s="122">
        <v>45169</v>
      </c>
      <c r="J923" s="103" t="s">
        <v>1027</v>
      </c>
      <c r="K923" s="103" t="s">
        <v>1512</v>
      </c>
      <c r="L923" s="103"/>
      <c r="M923" s="105">
        <v>2318282</v>
      </c>
      <c r="N923" s="147">
        <v>440473.58</v>
      </c>
      <c r="O923" s="147">
        <v>0</v>
      </c>
      <c r="P923" s="148">
        <v>0</v>
      </c>
      <c r="Q923" s="147">
        <v>0</v>
      </c>
      <c r="R923" s="149">
        <v>2758755.58</v>
      </c>
      <c r="S9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3" s="150">
        <f ca="1">+IF(PROVEEDORES[[#This Row],[FECHA DE PAGO]]=0,TODAY()-PROVEEDORES[[#This Row],[FECHA DE FACTURACIÓN]]-PROVEEDORES[[#This Row],[PLAZO Días]],0)</f>
        <v>0</v>
      </c>
      <c r="U923" s="150">
        <f>+VLOOKUP(PROVEEDORES[[#This Row],[PROVEEDOR]],Terceros!$A:$E,4,FALSE)</f>
        <v>0.19</v>
      </c>
      <c r="V923" s="150">
        <f>+YEAR(PROVEEDORES[[#This Row],[FECHA DE FACTURACIÓN]])</f>
        <v>2023</v>
      </c>
      <c r="W923" s="150">
        <f>+MATCH(PROVEEDORES[[#This Row],[año facturado]],Retenciones!$1:$1,0)</f>
        <v>6</v>
      </c>
      <c r="X923" s="151" t="e">
        <f>+VLOOKUP(PROVEEDORES[[#This Row],[ID RETENCION]],Retenciones!$A$1:$O$25,PROVEEDORES[[#This Row],[indicador de columna]],FALSE)</f>
        <v>#N/A</v>
      </c>
      <c r="Y923" s="152" t="e">
        <f>+VLOOKUP(PROVEEDORES[[#This Row],[ID RETENCION]],Retenciones!$A$1:$O$25,2,FALSE)</f>
        <v>#N/A</v>
      </c>
      <c r="Z923" s="153" t="b">
        <f>+OR(COUNTIF(PROVEEDORES[[#This Row],[PROVEEDOR]],"*"&amp;'Palabra que no opera y Listas d'!$A$2&amp;"*"))</f>
        <v>1</v>
      </c>
    </row>
    <row r="924" spans="1:26" ht="27.75" customHeight="1" x14ac:dyDescent="0.3">
      <c r="A924" s="144" t="str">
        <f>+IF(PROVEEDORES[[#This Row],[FECHA DE PAGO]]=PROVEEDORES[[#This Row],[FECHA DE FACTURACIÓN]],"DE CONTADO","CRÉDITO")</f>
        <v>CRÉDITO</v>
      </c>
      <c r="B924" s="144" t="str">
        <f>+IF((PROVEEDORES[[#This Row],[FECHA DE PAGO]]-PROVEEDORES[[#This Row],[FECHA DE FACTURACIÓN]])&gt;PROVEEDORES[[#This Row],[PLAZO Días]],"PAGO VENCIDO")</f>
        <v>PAGO VENCIDO</v>
      </c>
      <c r="C924" s="144">
        <f>+VLOOKUP(PROVEEDORES[[#This Row],[PROVEEDOR]],TERCEROS_INFO[#All],2,FALSE)</f>
        <v>0</v>
      </c>
      <c r="D924" s="145">
        <f>+SUMIFS(PROVEEDORES[Total],PROVEEDORES[PROVEEDOR],PROVEEDORES[[#This Row],[PROVEEDOR]],PROVEEDORES[FECHA DE PAGO],"")</f>
        <v>0</v>
      </c>
      <c r="E924" s="146"/>
      <c r="F924" s="144">
        <f>+VLOOKUP(PROVEEDORES[[#This Row],[PROVEEDOR]],
                       Terceros!$A:$G,
                       5,
                       FALSE)</f>
        <v>0</v>
      </c>
      <c r="G924" s="122">
        <v>45251</v>
      </c>
      <c r="H924" s="102" t="s">
        <v>191</v>
      </c>
      <c r="I924" s="122">
        <v>45190</v>
      </c>
      <c r="J924" s="103">
        <v>677</v>
      </c>
      <c r="K924" s="103" t="s">
        <v>1512</v>
      </c>
      <c r="L924" s="103"/>
      <c r="M924" s="105">
        <v>329080</v>
      </c>
      <c r="N924" s="147">
        <v>0</v>
      </c>
      <c r="O924" s="147">
        <v>0</v>
      </c>
      <c r="P924" s="148">
        <v>0</v>
      </c>
      <c r="Q924" s="147">
        <v>0</v>
      </c>
      <c r="R924" s="149">
        <v>329080</v>
      </c>
      <c r="S9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4" s="150">
        <f ca="1">+IF(PROVEEDORES[[#This Row],[FECHA DE PAGO]]=0,TODAY()-PROVEEDORES[[#This Row],[FECHA DE FACTURACIÓN]]-PROVEEDORES[[#This Row],[PLAZO Días]],0)</f>
        <v>0</v>
      </c>
      <c r="U924" s="150">
        <f>+VLOOKUP(PROVEEDORES[[#This Row],[PROVEEDOR]],Terceros!$A:$E,4,FALSE)</f>
        <v>0</v>
      </c>
      <c r="V924" s="150">
        <f>+YEAR(PROVEEDORES[[#This Row],[FECHA DE FACTURACIÓN]])</f>
        <v>2023</v>
      </c>
      <c r="W924" s="150">
        <f>+MATCH(PROVEEDORES[[#This Row],[año facturado]],Retenciones!$1:$1,0)</f>
        <v>6</v>
      </c>
      <c r="X924" s="151">
        <f>+VLOOKUP(PROVEEDORES[[#This Row],[ID RETENCION]],Retenciones!$A$1:$O$25,PROVEEDORES[[#This Row],[indicador de columna]],FALSE)</f>
        <v>0</v>
      </c>
      <c r="Y924" s="152">
        <f>+VLOOKUP(PROVEEDORES[[#This Row],[ID RETENCION]],Retenciones!$A$1:$O$25,2,FALSE)</f>
        <v>0</v>
      </c>
      <c r="Z924" s="153" t="b">
        <f>+OR(COUNTIF(PROVEEDORES[[#This Row],[PROVEEDOR]],"*"&amp;'Palabra que no opera y Listas d'!$A$2&amp;"*"))</f>
        <v>0</v>
      </c>
    </row>
    <row r="925" spans="1:26" ht="27.75" customHeight="1" x14ac:dyDescent="0.3">
      <c r="A925" s="144" t="str">
        <f>+IF(PROVEEDORES[[#This Row],[FECHA DE PAGO]]=PROVEEDORES[[#This Row],[FECHA DE FACTURACIÓN]],"DE CONTADO","CRÉDITO")</f>
        <v>CRÉDITO</v>
      </c>
      <c r="B925" s="144" t="str">
        <f>+IF((PROVEEDORES[[#This Row],[FECHA DE PAGO]]-PROVEEDORES[[#This Row],[FECHA DE FACTURACIÓN]])&gt;PROVEEDORES[[#This Row],[PLAZO Días]],"PAGO VENCIDO")</f>
        <v>PAGO VENCIDO</v>
      </c>
      <c r="C925" s="144">
        <f>+VLOOKUP(PROVEEDORES[[#This Row],[PROVEEDOR]],TERCEROS_INFO[#All],2,FALSE)</f>
        <v>0</v>
      </c>
      <c r="D925" s="145">
        <f>+SUMIFS(PROVEEDORES[Total],PROVEEDORES[PROVEEDOR],PROVEEDORES[[#This Row],[PROVEEDOR]],PROVEEDORES[FECHA DE PAGO],"")</f>
        <v>0</v>
      </c>
      <c r="E925" s="146"/>
      <c r="F925" s="144">
        <f>+VLOOKUP(PROVEEDORES[[#This Row],[PROVEEDOR]],
                       Terceros!$A:$G,
                       5,
                       FALSE)</f>
        <v>0</v>
      </c>
      <c r="G925" s="122">
        <v>45251</v>
      </c>
      <c r="H925" s="102" t="s">
        <v>191</v>
      </c>
      <c r="I925" s="122">
        <v>45190</v>
      </c>
      <c r="J925" s="103">
        <v>673</v>
      </c>
      <c r="K925" s="103" t="s">
        <v>1512</v>
      </c>
      <c r="L925" s="103"/>
      <c r="M925" s="105">
        <v>64581</v>
      </c>
      <c r="N925" s="147">
        <v>0</v>
      </c>
      <c r="O925" s="147">
        <v>0</v>
      </c>
      <c r="P925" s="148">
        <v>0</v>
      </c>
      <c r="Q925" s="147">
        <v>0</v>
      </c>
      <c r="R925" s="149">
        <v>64581</v>
      </c>
      <c r="S9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5" s="150">
        <f ca="1">+IF(PROVEEDORES[[#This Row],[FECHA DE PAGO]]=0,TODAY()-PROVEEDORES[[#This Row],[FECHA DE FACTURACIÓN]]-PROVEEDORES[[#This Row],[PLAZO Días]],0)</f>
        <v>0</v>
      </c>
      <c r="U925" s="150">
        <f>+VLOOKUP(PROVEEDORES[[#This Row],[PROVEEDOR]],Terceros!$A:$E,4,FALSE)</f>
        <v>0</v>
      </c>
      <c r="V925" s="150">
        <f>+YEAR(PROVEEDORES[[#This Row],[FECHA DE FACTURACIÓN]])</f>
        <v>2023</v>
      </c>
      <c r="W925" s="150">
        <f>+MATCH(PROVEEDORES[[#This Row],[año facturado]],Retenciones!$1:$1,0)</f>
        <v>6</v>
      </c>
      <c r="X925" s="151">
        <f>+VLOOKUP(PROVEEDORES[[#This Row],[ID RETENCION]],Retenciones!$A$1:$O$25,PROVEEDORES[[#This Row],[indicador de columna]],FALSE)</f>
        <v>0</v>
      </c>
      <c r="Y925" s="152">
        <f>+VLOOKUP(PROVEEDORES[[#This Row],[ID RETENCION]],Retenciones!$A$1:$O$25,2,FALSE)</f>
        <v>0</v>
      </c>
      <c r="Z925" s="153" t="b">
        <f>+OR(COUNTIF(PROVEEDORES[[#This Row],[PROVEEDOR]],"*"&amp;'Palabra que no opera y Listas d'!$A$2&amp;"*"))</f>
        <v>0</v>
      </c>
    </row>
    <row r="926" spans="1:26" ht="27.75" customHeight="1" x14ac:dyDescent="0.3">
      <c r="A926" s="144" t="str">
        <f>+IF(PROVEEDORES[[#This Row],[FECHA DE PAGO]]=PROVEEDORES[[#This Row],[FECHA DE FACTURACIÓN]],"DE CONTADO","CRÉDITO")</f>
        <v>CRÉDITO</v>
      </c>
      <c r="B926" s="144" t="str">
        <f>+IF((PROVEEDORES[[#This Row],[FECHA DE PAGO]]-PROVEEDORES[[#This Row],[FECHA DE FACTURACIÓN]])&gt;PROVEEDORES[[#This Row],[PLAZO Días]],"PAGO VENCIDO")</f>
        <v>PAGO VENCIDO</v>
      </c>
      <c r="C926" s="144">
        <f>+VLOOKUP(PROVEEDORES[[#This Row],[PROVEEDOR]],TERCEROS_INFO[#All],2,FALSE)</f>
        <v>0</v>
      </c>
      <c r="D926" s="145">
        <f>+SUMIFS(PROVEEDORES[Total],PROVEEDORES[PROVEEDOR],PROVEEDORES[[#This Row],[PROVEEDOR]],PROVEEDORES[FECHA DE PAGO],"")</f>
        <v>0</v>
      </c>
      <c r="E926" s="146"/>
      <c r="F926" s="144">
        <f>+VLOOKUP(PROVEEDORES[[#This Row],[PROVEEDOR]],
                       Terceros!$A:$G,
                       5,
                       FALSE)</f>
        <v>0</v>
      </c>
      <c r="G926" s="122">
        <v>45251</v>
      </c>
      <c r="H926" s="102" t="s">
        <v>191</v>
      </c>
      <c r="I926" s="122">
        <v>45190</v>
      </c>
      <c r="J926" s="103">
        <v>674</v>
      </c>
      <c r="K926" s="103" t="s">
        <v>1512</v>
      </c>
      <c r="L926" s="103"/>
      <c r="M926" s="105">
        <v>169907</v>
      </c>
      <c r="N926" s="147">
        <v>0</v>
      </c>
      <c r="O926" s="147">
        <v>0</v>
      </c>
      <c r="P926" s="148">
        <v>0</v>
      </c>
      <c r="Q926" s="147">
        <v>0</v>
      </c>
      <c r="R926" s="149">
        <v>169907</v>
      </c>
      <c r="S9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6" s="150">
        <f ca="1">+IF(PROVEEDORES[[#This Row],[FECHA DE PAGO]]=0,TODAY()-PROVEEDORES[[#This Row],[FECHA DE FACTURACIÓN]]-PROVEEDORES[[#This Row],[PLAZO Días]],0)</f>
        <v>0</v>
      </c>
      <c r="U926" s="150">
        <f>+VLOOKUP(PROVEEDORES[[#This Row],[PROVEEDOR]],Terceros!$A:$E,4,FALSE)</f>
        <v>0</v>
      </c>
      <c r="V926" s="150">
        <f>+YEAR(PROVEEDORES[[#This Row],[FECHA DE FACTURACIÓN]])</f>
        <v>2023</v>
      </c>
      <c r="W926" s="150">
        <f>+MATCH(PROVEEDORES[[#This Row],[año facturado]],Retenciones!$1:$1,0)</f>
        <v>6</v>
      </c>
      <c r="X926" s="151">
        <f>+VLOOKUP(PROVEEDORES[[#This Row],[ID RETENCION]],Retenciones!$A$1:$O$25,PROVEEDORES[[#This Row],[indicador de columna]],FALSE)</f>
        <v>0</v>
      </c>
      <c r="Y926" s="152">
        <f>+VLOOKUP(PROVEEDORES[[#This Row],[ID RETENCION]],Retenciones!$A$1:$O$25,2,FALSE)</f>
        <v>0</v>
      </c>
      <c r="Z926" s="153" t="b">
        <f>+OR(COUNTIF(PROVEEDORES[[#This Row],[PROVEEDOR]],"*"&amp;'Palabra que no opera y Listas d'!$A$2&amp;"*"))</f>
        <v>0</v>
      </c>
    </row>
    <row r="927" spans="1:26" ht="27.75" customHeight="1" x14ac:dyDescent="0.3">
      <c r="A927" s="144" t="str">
        <f>+IF(PROVEEDORES[[#This Row],[FECHA DE PAGO]]=PROVEEDORES[[#This Row],[FECHA DE FACTURACIÓN]],"DE CONTADO","CRÉDITO")</f>
        <v>CRÉDITO</v>
      </c>
      <c r="B927" s="144" t="str">
        <f>+IF((PROVEEDORES[[#This Row],[FECHA DE PAGO]]-PROVEEDORES[[#This Row],[FECHA DE FACTURACIÓN]])&gt;PROVEEDORES[[#This Row],[PLAZO Días]],"PAGO VENCIDO")</f>
        <v>PAGO VENCIDO</v>
      </c>
      <c r="C927" s="144">
        <f>+VLOOKUP(PROVEEDORES[[#This Row],[PROVEEDOR]],TERCEROS_INFO[#All],2,FALSE)</f>
        <v>0</v>
      </c>
      <c r="D927" s="145">
        <f>+SUMIFS(PROVEEDORES[Total],PROVEEDORES[PROVEEDOR],PROVEEDORES[[#This Row],[PROVEEDOR]],PROVEEDORES[FECHA DE PAGO],"")</f>
        <v>0</v>
      </c>
      <c r="E927" s="146"/>
      <c r="F927" s="144">
        <f>+VLOOKUP(PROVEEDORES[[#This Row],[PROVEEDOR]],
                       Terceros!$A:$G,
                       5,
                       FALSE)</f>
        <v>0</v>
      </c>
      <c r="G927" s="122">
        <v>45251</v>
      </c>
      <c r="H927" s="102" t="s">
        <v>1779</v>
      </c>
      <c r="I927" s="122">
        <v>45195</v>
      </c>
      <c r="J927" s="103" t="s">
        <v>1111</v>
      </c>
      <c r="K927" s="103" t="s">
        <v>1512</v>
      </c>
      <c r="L927" s="103"/>
      <c r="M927" s="105">
        <v>4316750</v>
      </c>
      <c r="N927" s="147">
        <v>0</v>
      </c>
      <c r="O927" s="147">
        <v>0</v>
      </c>
      <c r="P927" s="148">
        <v>0</v>
      </c>
      <c r="Q927" s="147">
        <v>0</v>
      </c>
      <c r="R927" s="149">
        <v>4316750</v>
      </c>
      <c r="S9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7" s="150">
        <f ca="1">+IF(PROVEEDORES[[#This Row],[FECHA DE PAGO]]=0,TODAY()-PROVEEDORES[[#This Row],[FECHA DE FACTURACIÓN]]-PROVEEDORES[[#This Row],[PLAZO Días]],0)</f>
        <v>0</v>
      </c>
      <c r="U927" s="150">
        <f>+VLOOKUP(PROVEEDORES[[#This Row],[PROVEEDOR]],Terceros!$A:$E,4,FALSE)</f>
        <v>0</v>
      </c>
      <c r="V927" s="150">
        <f>+YEAR(PROVEEDORES[[#This Row],[FECHA DE FACTURACIÓN]])</f>
        <v>2023</v>
      </c>
      <c r="W927" s="150">
        <f>+MATCH(PROVEEDORES[[#This Row],[año facturado]],Retenciones!$1:$1,0)</f>
        <v>6</v>
      </c>
      <c r="X927" s="151">
        <f>+VLOOKUP(PROVEEDORES[[#This Row],[ID RETENCION]],Retenciones!$A$1:$O$25,PROVEEDORES[[#This Row],[indicador de columna]],FALSE)</f>
        <v>0</v>
      </c>
      <c r="Y927" s="152">
        <f>+VLOOKUP(PROVEEDORES[[#This Row],[ID RETENCION]],Retenciones!$A$1:$O$25,2,FALSE)</f>
        <v>0</v>
      </c>
      <c r="Z927" s="153" t="b">
        <f>+OR(COUNTIF(PROVEEDORES[[#This Row],[PROVEEDOR]],"*"&amp;'Palabra que no opera y Listas d'!$A$2&amp;"*"))</f>
        <v>0</v>
      </c>
    </row>
    <row r="928" spans="1:26" ht="27.75" customHeight="1" x14ac:dyDescent="0.3">
      <c r="A928" s="144" t="str">
        <f>+IF(PROVEEDORES[[#This Row],[FECHA DE PAGO]]=PROVEEDORES[[#This Row],[FECHA DE FACTURACIÓN]],"DE CONTADO","CRÉDITO")</f>
        <v>CRÉDITO</v>
      </c>
      <c r="B928" s="144" t="str">
        <f>+IF((PROVEEDORES[[#This Row],[FECHA DE PAGO]]-PROVEEDORES[[#This Row],[FECHA DE FACTURACIÓN]])&gt;PROVEEDORES[[#This Row],[PLAZO Días]],"PAGO VENCIDO")</f>
        <v>PAGO VENCIDO</v>
      </c>
      <c r="C928" s="144">
        <f>+VLOOKUP(PROVEEDORES[[#This Row],[PROVEEDOR]],TERCEROS_INFO[#All],2,FALSE)</f>
        <v>0</v>
      </c>
      <c r="D928" s="145">
        <f>+SUMIFS(PROVEEDORES[Total],PROVEEDORES[PROVEEDOR],PROVEEDORES[[#This Row],[PROVEEDOR]],PROVEEDORES[FECHA DE PAGO],"")</f>
        <v>0</v>
      </c>
      <c r="E928" s="146"/>
      <c r="F928" s="144" t="str">
        <f>+VLOOKUP(PROVEEDORES[[#This Row],[PROVEEDOR]],
                       Terceros!$A:$G,
                       5,
                       FALSE)</f>
        <v>2,5% con base</v>
      </c>
      <c r="G928" s="122">
        <v>45251</v>
      </c>
      <c r="H928" s="102" t="s">
        <v>42</v>
      </c>
      <c r="I928" s="122">
        <v>45196</v>
      </c>
      <c r="J928" s="103" t="s">
        <v>1097</v>
      </c>
      <c r="K928" s="103" t="s">
        <v>1512</v>
      </c>
      <c r="L928" s="103"/>
      <c r="M928" s="105">
        <v>3669700</v>
      </c>
      <c r="N928" s="147">
        <v>697243</v>
      </c>
      <c r="O928" s="147">
        <v>0</v>
      </c>
      <c r="P928" s="148">
        <v>2.5000000000000001E-2</v>
      </c>
      <c r="Q928" s="147">
        <v>91742.5</v>
      </c>
      <c r="R928" s="149">
        <v>4275200.5</v>
      </c>
      <c r="S9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8" s="150">
        <f ca="1">+IF(PROVEEDORES[[#This Row],[FECHA DE PAGO]]=0,TODAY()-PROVEEDORES[[#This Row],[FECHA DE FACTURACIÓN]]-PROVEEDORES[[#This Row],[PLAZO Días]],0)</f>
        <v>0</v>
      </c>
      <c r="U928" s="150">
        <f>+VLOOKUP(PROVEEDORES[[#This Row],[PROVEEDOR]],Terceros!$A:$E,4,FALSE)</f>
        <v>0.19</v>
      </c>
      <c r="V928" s="150">
        <f>+YEAR(PROVEEDORES[[#This Row],[FECHA DE FACTURACIÓN]])</f>
        <v>2023</v>
      </c>
      <c r="W928" s="150">
        <f>+MATCH(PROVEEDORES[[#This Row],[año facturado]],Retenciones!$1:$1,0)</f>
        <v>6</v>
      </c>
      <c r="X928" s="151" t="e">
        <f>+VLOOKUP(PROVEEDORES[[#This Row],[ID RETENCION]],Retenciones!$A$1:$O$25,PROVEEDORES[[#This Row],[indicador de columna]],FALSE)</f>
        <v>#N/A</v>
      </c>
      <c r="Y928" s="152" t="e">
        <f>+VLOOKUP(PROVEEDORES[[#This Row],[ID RETENCION]],Retenciones!$A$1:$O$25,2,FALSE)</f>
        <v>#N/A</v>
      </c>
      <c r="Z928" s="153" t="b">
        <f>+OR(COUNTIF(PROVEEDORES[[#This Row],[PROVEEDOR]],"*"&amp;'Palabra que no opera y Listas d'!$A$2&amp;"*"))</f>
        <v>0</v>
      </c>
    </row>
    <row r="929" spans="1:26" ht="27.75" customHeight="1" x14ac:dyDescent="0.3">
      <c r="A929" s="144" t="str">
        <f>+IF(PROVEEDORES[[#This Row],[FECHA DE PAGO]]=PROVEEDORES[[#This Row],[FECHA DE FACTURACIÓN]],"DE CONTADO","CRÉDITO")</f>
        <v>CRÉDITO</v>
      </c>
      <c r="B929" s="144" t="str">
        <f>+IF((PROVEEDORES[[#This Row],[FECHA DE PAGO]]-PROVEEDORES[[#This Row],[FECHA DE FACTURACIÓN]])&gt;PROVEEDORES[[#This Row],[PLAZO Días]],"PAGO VENCIDO")</f>
        <v>PAGO VENCIDO</v>
      </c>
      <c r="C929" s="144">
        <f>+VLOOKUP(PROVEEDORES[[#This Row],[PROVEEDOR]],TERCEROS_INFO[#All],2,FALSE)</f>
        <v>0</v>
      </c>
      <c r="D929" s="145">
        <f>+SUMIFS(PROVEEDORES[Total],PROVEEDORES[PROVEEDOR],PROVEEDORES[[#This Row],[PROVEEDOR]],PROVEEDORES[FECHA DE PAGO],"")</f>
        <v>0</v>
      </c>
      <c r="E929" s="146"/>
      <c r="F929" s="144" t="str">
        <f>+VLOOKUP(PROVEEDORES[[#This Row],[PROVEEDOR]],
                       Terceros!$A:$G,
                       5,
                       FALSE)</f>
        <v>2,5% con base</v>
      </c>
      <c r="G929" s="122">
        <v>45251</v>
      </c>
      <c r="H929" s="102" t="s">
        <v>208</v>
      </c>
      <c r="I929" s="122">
        <v>45197</v>
      </c>
      <c r="J929" s="103" t="s">
        <v>1096</v>
      </c>
      <c r="K929" s="103" t="s">
        <v>1512</v>
      </c>
      <c r="L929" s="103"/>
      <c r="M929" s="105">
        <v>2637500</v>
      </c>
      <c r="N929" s="147">
        <v>501125</v>
      </c>
      <c r="O929" s="147">
        <v>0</v>
      </c>
      <c r="P929" s="148">
        <v>2.5000000000000001E-2</v>
      </c>
      <c r="Q929" s="147">
        <v>65937.5</v>
      </c>
      <c r="R929" s="149">
        <v>3072687.5</v>
      </c>
      <c r="S9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9" s="150">
        <f ca="1">+IF(PROVEEDORES[[#This Row],[FECHA DE PAGO]]=0,TODAY()-PROVEEDORES[[#This Row],[FECHA DE FACTURACIÓN]]-PROVEEDORES[[#This Row],[PLAZO Días]],0)</f>
        <v>0</v>
      </c>
      <c r="U929" s="150">
        <f>+VLOOKUP(PROVEEDORES[[#This Row],[PROVEEDOR]],Terceros!$A:$E,4,FALSE)</f>
        <v>0.19</v>
      </c>
      <c r="V929" s="150">
        <f>+YEAR(PROVEEDORES[[#This Row],[FECHA DE FACTURACIÓN]])</f>
        <v>2023</v>
      </c>
      <c r="W929" s="150">
        <f>+MATCH(PROVEEDORES[[#This Row],[año facturado]],Retenciones!$1:$1,0)</f>
        <v>6</v>
      </c>
      <c r="X929" s="151" t="e">
        <f>+VLOOKUP(PROVEEDORES[[#This Row],[ID RETENCION]],Retenciones!$A$1:$O$25,PROVEEDORES[[#This Row],[indicador de columna]],FALSE)</f>
        <v>#N/A</v>
      </c>
      <c r="Y929" s="152" t="e">
        <f>+VLOOKUP(PROVEEDORES[[#This Row],[ID RETENCION]],Retenciones!$A$1:$O$25,2,FALSE)</f>
        <v>#N/A</v>
      </c>
      <c r="Z929" s="153" t="b">
        <f>+OR(COUNTIF(PROVEEDORES[[#This Row],[PROVEEDOR]],"*"&amp;'Palabra que no opera y Listas d'!$A$2&amp;"*"))</f>
        <v>0</v>
      </c>
    </row>
    <row r="930" spans="1:26" ht="27.75" customHeight="1" x14ac:dyDescent="0.3">
      <c r="A930" s="144" t="str">
        <f>+IF(PROVEEDORES[[#This Row],[FECHA DE PAGO]]=PROVEEDORES[[#This Row],[FECHA DE FACTURACIÓN]],"DE CONTADO","CRÉDITO")</f>
        <v>CRÉDITO</v>
      </c>
      <c r="B930" s="144" t="str">
        <f>+IF((PROVEEDORES[[#This Row],[FECHA DE PAGO]]-PROVEEDORES[[#This Row],[FECHA DE FACTURACIÓN]])&gt;PROVEEDORES[[#This Row],[PLAZO Días]],"PAGO VENCIDO")</f>
        <v>PAGO VENCIDO</v>
      </c>
      <c r="C930" s="144">
        <f>+VLOOKUP(PROVEEDORES[[#This Row],[PROVEEDOR]],TERCEROS_INFO[#All],2,FALSE)</f>
        <v>0</v>
      </c>
      <c r="D930" s="145">
        <f>+SUMIFS(PROVEEDORES[Total],PROVEEDORES[PROVEEDOR],PROVEEDORES[[#This Row],[PROVEEDOR]],PROVEEDORES[FECHA DE PAGO],"")</f>
        <v>28179645.060000002</v>
      </c>
      <c r="E930" s="146"/>
      <c r="F930" s="144">
        <f>+VLOOKUP(PROVEEDORES[[#This Row],[PROVEEDOR]],
                       Terceros!$A:$G,
                       5,
                       FALSE)</f>
        <v>0</v>
      </c>
      <c r="G930" s="122">
        <v>45251</v>
      </c>
      <c r="H930" s="102" t="s">
        <v>18</v>
      </c>
      <c r="I930" s="122">
        <v>45197</v>
      </c>
      <c r="J930" s="103" t="s">
        <v>1080</v>
      </c>
      <c r="K930" s="103" t="s">
        <v>1512</v>
      </c>
      <c r="L930" s="103"/>
      <c r="M930" s="105">
        <v>12678160</v>
      </c>
      <c r="N930" s="147">
        <v>2408850.4</v>
      </c>
      <c r="O930" s="147">
        <v>0</v>
      </c>
      <c r="P930" s="148">
        <v>0</v>
      </c>
      <c r="Q930" s="147">
        <v>0</v>
      </c>
      <c r="R930" s="149">
        <v>15087010.4</v>
      </c>
      <c r="S9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0" s="150">
        <f ca="1">+IF(PROVEEDORES[[#This Row],[FECHA DE PAGO]]=0,TODAY()-PROVEEDORES[[#This Row],[FECHA DE FACTURACIÓN]]-PROVEEDORES[[#This Row],[PLAZO Días]],0)</f>
        <v>0</v>
      </c>
      <c r="U930" s="150">
        <f>+VLOOKUP(PROVEEDORES[[#This Row],[PROVEEDOR]],Terceros!$A:$E,4,FALSE)</f>
        <v>0.19</v>
      </c>
      <c r="V930" s="150">
        <f>+YEAR(PROVEEDORES[[#This Row],[FECHA DE FACTURACIÓN]])</f>
        <v>2023</v>
      </c>
      <c r="W930" s="150">
        <f>+MATCH(PROVEEDORES[[#This Row],[año facturado]],Retenciones!$1:$1,0)</f>
        <v>6</v>
      </c>
      <c r="X930" s="151" t="e">
        <f>+VLOOKUP(PROVEEDORES[[#This Row],[ID RETENCION]],Retenciones!$A$1:$O$25,PROVEEDORES[[#This Row],[indicador de columna]],FALSE)</f>
        <v>#N/A</v>
      </c>
      <c r="Y930" s="152" t="e">
        <f>+VLOOKUP(PROVEEDORES[[#This Row],[ID RETENCION]],Retenciones!$A$1:$O$25,2,FALSE)</f>
        <v>#N/A</v>
      </c>
      <c r="Z930" s="153" t="b">
        <f>+OR(COUNTIF(PROVEEDORES[[#This Row],[PROVEEDOR]],"*"&amp;'Palabra que no opera y Listas d'!$A$2&amp;"*"))</f>
        <v>0</v>
      </c>
    </row>
    <row r="931" spans="1:26" ht="27.75" customHeight="1" x14ac:dyDescent="0.3">
      <c r="A931" s="144" t="str">
        <f>+IF(PROVEEDORES[[#This Row],[FECHA DE PAGO]]=PROVEEDORES[[#This Row],[FECHA DE FACTURACIÓN]],"DE CONTADO","CRÉDITO")</f>
        <v>CRÉDITO</v>
      </c>
      <c r="B931" s="144" t="str">
        <f>+IF((PROVEEDORES[[#This Row],[FECHA DE PAGO]]-PROVEEDORES[[#This Row],[FECHA DE FACTURACIÓN]])&gt;PROVEEDORES[[#This Row],[PLAZO Días]],"PAGO VENCIDO")</f>
        <v>PAGO VENCIDO</v>
      </c>
      <c r="C931" s="144">
        <f>+VLOOKUP(PROVEEDORES[[#This Row],[PROVEEDOR]],TERCEROS_INFO[#All],2,FALSE)</f>
        <v>0</v>
      </c>
      <c r="D931" s="145">
        <f>+SUMIFS(PROVEEDORES[Total],PROVEEDORES[PROVEEDOR],PROVEEDORES[[#This Row],[PROVEEDOR]],PROVEEDORES[FECHA DE PAGO],"")</f>
        <v>0</v>
      </c>
      <c r="E931" s="146"/>
      <c r="F931" s="144">
        <f>+VLOOKUP(PROVEEDORES[[#This Row],[PROVEEDOR]],
                       Terceros!$A:$G,
                       5,
                       FALSE)</f>
        <v>0</v>
      </c>
      <c r="G931" s="122">
        <v>45251</v>
      </c>
      <c r="H931" s="102" t="s">
        <v>191</v>
      </c>
      <c r="I931" s="122">
        <v>45198</v>
      </c>
      <c r="J931" s="103" t="s">
        <v>1084</v>
      </c>
      <c r="K931" s="103" t="s">
        <v>1512</v>
      </c>
      <c r="L931" s="103"/>
      <c r="M931" s="105">
        <v>287350</v>
      </c>
      <c r="N931" s="147">
        <v>0</v>
      </c>
      <c r="O931" s="147">
        <v>0</v>
      </c>
      <c r="P931" s="148">
        <v>0</v>
      </c>
      <c r="Q931" s="147">
        <v>0</v>
      </c>
      <c r="R931" s="149">
        <v>287350</v>
      </c>
      <c r="S9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1" s="150">
        <f ca="1">+IF(PROVEEDORES[[#This Row],[FECHA DE PAGO]]=0,TODAY()-PROVEEDORES[[#This Row],[FECHA DE FACTURACIÓN]]-PROVEEDORES[[#This Row],[PLAZO Días]],0)</f>
        <v>0</v>
      </c>
      <c r="U931" s="150">
        <f>+VLOOKUP(PROVEEDORES[[#This Row],[PROVEEDOR]],Terceros!$A:$E,4,FALSE)</f>
        <v>0</v>
      </c>
      <c r="V931" s="150">
        <f>+YEAR(PROVEEDORES[[#This Row],[FECHA DE FACTURACIÓN]])</f>
        <v>2023</v>
      </c>
      <c r="W931" s="150">
        <f>+MATCH(PROVEEDORES[[#This Row],[año facturado]],Retenciones!$1:$1,0)</f>
        <v>6</v>
      </c>
      <c r="X931" s="151">
        <f>+VLOOKUP(PROVEEDORES[[#This Row],[ID RETENCION]],Retenciones!$A$1:$O$25,PROVEEDORES[[#This Row],[indicador de columna]],FALSE)</f>
        <v>0</v>
      </c>
      <c r="Y931" s="152">
        <f>+VLOOKUP(PROVEEDORES[[#This Row],[ID RETENCION]],Retenciones!$A$1:$O$25,2,FALSE)</f>
        <v>0</v>
      </c>
      <c r="Z931" s="153" t="b">
        <f>+OR(COUNTIF(PROVEEDORES[[#This Row],[PROVEEDOR]],"*"&amp;'Palabra que no opera y Listas d'!$A$2&amp;"*"))</f>
        <v>0</v>
      </c>
    </row>
    <row r="932" spans="1:26" ht="27.75" customHeight="1" x14ac:dyDescent="0.3">
      <c r="A932" s="144" t="str">
        <f>+IF(PROVEEDORES[[#This Row],[FECHA DE PAGO]]=PROVEEDORES[[#This Row],[FECHA DE FACTURACIÓN]],"DE CONTADO","CRÉDITO")</f>
        <v>CRÉDITO</v>
      </c>
      <c r="B932" s="144" t="str">
        <f>+IF((PROVEEDORES[[#This Row],[FECHA DE PAGO]]-PROVEEDORES[[#This Row],[FECHA DE FACTURACIÓN]])&gt;PROVEEDORES[[#This Row],[PLAZO Días]],"PAGO VENCIDO")</f>
        <v>PAGO VENCIDO</v>
      </c>
      <c r="C932" s="144">
        <f>+VLOOKUP(PROVEEDORES[[#This Row],[PROVEEDOR]],TERCEROS_INFO[#All],2,FALSE)</f>
        <v>0</v>
      </c>
      <c r="D932" s="145">
        <f>+SUMIFS(PROVEEDORES[Total],PROVEEDORES[PROVEEDOR],PROVEEDORES[[#This Row],[PROVEEDOR]],PROVEEDORES[FECHA DE PAGO],"")</f>
        <v>0</v>
      </c>
      <c r="E932" s="146"/>
      <c r="F932" s="144">
        <f>+VLOOKUP(PROVEEDORES[[#This Row],[PROVEEDOR]],
                       Terceros!$A:$G,
                       5,
                       FALSE)</f>
        <v>0</v>
      </c>
      <c r="G932" s="122">
        <v>45251</v>
      </c>
      <c r="H932" s="102" t="s">
        <v>191</v>
      </c>
      <c r="I932" s="122">
        <v>45198</v>
      </c>
      <c r="J932" s="103" t="s">
        <v>1086</v>
      </c>
      <c r="K932" s="103" t="s">
        <v>1512</v>
      </c>
      <c r="L932" s="103"/>
      <c r="M932" s="105">
        <v>7823</v>
      </c>
      <c r="N932" s="147">
        <v>0</v>
      </c>
      <c r="O932" s="147">
        <v>0</v>
      </c>
      <c r="P932" s="148">
        <v>0</v>
      </c>
      <c r="Q932" s="147">
        <v>0</v>
      </c>
      <c r="R932" s="149">
        <v>7823</v>
      </c>
      <c r="S9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2" s="150">
        <f ca="1">+IF(PROVEEDORES[[#This Row],[FECHA DE PAGO]]=0,TODAY()-PROVEEDORES[[#This Row],[FECHA DE FACTURACIÓN]]-PROVEEDORES[[#This Row],[PLAZO Días]],0)</f>
        <v>0</v>
      </c>
      <c r="U932" s="150">
        <f>+VLOOKUP(PROVEEDORES[[#This Row],[PROVEEDOR]],Terceros!$A:$E,4,FALSE)</f>
        <v>0</v>
      </c>
      <c r="V932" s="150">
        <f>+YEAR(PROVEEDORES[[#This Row],[FECHA DE FACTURACIÓN]])</f>
        <v>2023</v>
      </c>
      <c r="W932" s="150">
        <f>+MATCH(PROVEEDORES[[#This Row],[año facturado]],Retenciones!$1:$1,0)</f>
        <v>6</v>
      </c>
      <c r="X932" s="151">
        <f>+VLOOKUP(PROVEEDORES[[#This Row],[ID RETENCION]],Retenciones!$A$1:$O$25,PROVEEDORES[[#This Row],[indicador de columna]],FALSE)</f>
        <v>0</v>
      </c>
      <c r="Y932" s="152">
        <f>+VLOOKUP(PROVEEDORES[[#This Row],[ID RETENCION]],Retenciones!$A$1:$O$25,2,FALSE)</f>
        <v>0</v>
      </c>
      <c r="Z932" s="153" t="b">
        <f>+OR(COUNTIF(PROVEEDORES[[#This Row],[PROVEEDOR]],"*"&amp;'Palabra que no opera y Listas d'!$A$2&amp;"*"))</f>
        <v>0</v>
      </c>
    </row>
    <row r="933" spans="1:26" ht="27.75" customHeight="1" x14ac:dyDescent="0.3">
      <c r="A933" s="144" t="str">
        <f>+IF(PROVEEDORES[[#This Row],[FECHA DE PAGO]]=PROVEEDORES[[#This Row],[FECHA DE FACTURACIÓN]],"DE CONTADO","CRÉDITO")</f>
        <v>CRÉDITO</v>
      </c>
      <c r="B933" s="144" t="str">
        <f>+IF((PROVEEDORES[[#This Row],[FECHA DE PAGO]]-PROVEEDORES[[#This Row],[FECHA DE FACTURACIÓN]])&gt;PROVEEDORES[[#This Row],[PLAZO Días]],"PAGO VENCIDO")</f>
        <v>PAGO VENCIDO</v>
      </c>
      <c r="C933" s="144">
        <f>+VLOOKUP(PROVEEDORES[[#This Row],[PROVEEDOR]],TERCEROS_INFO[#All],2,FALSE)</f>
        <v>0</v>
      </c>
      <c r="D933" s="145">
        <f>+SUMIFS(PROVEEDORES[Total],PROVEEDORES[PROVEEDOR],PROVEEDORES[[#This Row],[PROVEEDOR]],PROVEEDORES[FECHA DE PAGO],"")</f>
        <v>28179645.060000002</v>
      </c>
      <c r="E933" s="146"/>
      <c r="F933" s="144">
        <f>+VLOOKUP(PROVEEDORES[[#This Row],[PROVEEDOR]],
                       Terceros!$A:$G,
                       5,
                       FALSE)</f>
        <v>0</v>
      </c>
      <c r="G933" s="122">
        <v>45251</v>
      </c>
      <c r="H933" s="102" t="s">
        <v>18</v>
      </c>
      <c r="I933" s="122">
        <v>45198</v>
      </c>
      <c r="J933" s="103" t="s">
        <v>1078</v>
      </c>
      <c r="K933" s="103" t="s">
        <v>1512</v>
      </c>
      <c r="L933" s="103"/>
      <c r="M933" s="105">
        <v>814720</v>
      </c>
      <c r="N933" s="147">
        <v>154796.79999999999</v>
      </c>
      <c r="O933" s="147">
        <v>0</v>
      </c>
      <c r="P933" s="148">
        <v>0</v>
      </c>
      <c r="Q933" s="147">
        <v>0</v>
      </c>
      <c r="R933" s="149">
        <v>969516.8</v>
      </c>
      <c r="S9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3" s="150">
        <f ca="1">+IF(PROVEEDORES[[#This Row],[FECHA DE PAGO]]=0,TODAY()-PROVEEDORES[[#This Row],[FECHA DE FACTURACIÓN]]-PROVEEDORES[[#This Row],[PLAZO Días]],0)</f>
        <v>0</v>
      </c>
      <c r="U933" s="150">
        <f>+VLOOKUP(PROVEEDORES[[#This Row],[PROVEEDOR]],Terceros!$A:$E,4,FALSE)</f>
        <v>0.19</v>
      </c>
      <c r="V933" s="150">
        <f>+YEAR(PROVEEDORES[[#This Row],[FECHA DE FACTURACIÓN]])</f>
        <v>2023</v>
      </c>
      <c r="W933" s="150">
        <f>+MATCH(PROVEEDORES[[#This Row],[año facturado]],Retenciones!$1:$1,0)</f>
        <v>6</v>
      </c>
      <c r="X933" s="151" t="e">
        <f>+VLOOKUP(PROVEEDORES[[#This Row],[ID RETENCION]],Retenciones!$A$1:$O$25,PROVEEDORES[[#This Row],[indicador de columna]],FALSE)</f>
        <v>#N/A</v>
      </c>
      <c r="Y933" s="152" t="e">
        <f>+VLOOKUP(PROVEEDORES[[#This Row],[ID RETENCION]],Retenciones!$A$1:$O$25,2,FALSE)</f>
        <v>#N/A</v>
      </c>
      <c r="Z933" s="153" t="b">
        <f>+OR(COUNTIF(PROVEEDORES[[#This Row],[PROVEEDOR]],"*"&amp;'Palabra que no opera y Listas d'!$A$2&amp;"*"))</f>
        <v>0</v>
      </c>
    </row>
    <row r="934" spans="1:26" ht="27.75" customHeight="1" x14ac:dyDescent="0.3">
      <c r="A934" s="144" t="str">
        <f>+IF(PROVEEDORES[[#This Row],[FECHA DE PAGO]]=PROVEEDORES[[#This Row],[FECHA DE FACTURACIÓN]],"DE CONTADO","CRÉDITO")</f>
        <v>CRÉDITO</v>
      </c>
      <c r="B934" s="144" t="str">
        <f>+IF((PROVEEDORES[[#This Row],[FECHA DE PAGO]]-PROVEEDORES[[#This Row],[FECHA DE FACTURACIÓN]])&gt;PROVEEDORES[[#This Row],[PLAZO Días]],"PAGO VENCIDO")</f>
        <v>PAGO VENCIDO</v>
      </c>
      <c r="C934" s="144">
        <f>+VLOOKUP(PROVEEDORES[[#This Row],[PROVEEDOR]],TERCEROS_INFO[#All],2,FALSE)</f>
        <v>0</v>
      </c>
      <c r="D934" s="145">
        <f>+SUMIFS(PROVEEDORES[Total],PROVEEDORES[PROVEEDOR],PROVEEDORES[[#This Row],[PROVEEDOR]],PROVEEDORES[FECHA DE PAGO],"")</f>
        <v>0</v>
      </c>
      <c r="E934" s="146"/>
      <c r="F934" s="144" t="str">
        <f>+VLOOKUP(PROVEEDORES[[#This Row],[PROVEEDOR]],
                       Terceros!$A:$G,
                       5,
                       FALSE)</f>
        <v>2,5% con base</v>
      </c>
      <c r="G934" s="122">
        <v>45251</v>
      </c>
      <c r="H934" s="102" t="s">
        <v>42</v>
      </c>
      <c r="I934" s="122">
        <v>45201</v>
      </c>
      <c r="J934" s="103" t="s">
        <v>1098</v>
      </c>
      <c r="K934" s="103" t="s">
        <v>1512</v>
      </c>
      <c r="L934" s="103"/>
      <c r="M934" s="105">
        <v>1664650</v>
      </c>
      <c r="N934" s="147">
        <v>316283.5</v>
      </c>
      <c r="O934" s="147">
        <v>0</v>
      </c>
      <c r="P934" s="148">
        <v>2.5000000000000001E-2</v>
      </c>
      <c r="Q934" s="147">
        <v>41616.25</v>
      </c>
      <c r="R934" s="149">
        <v>1939317.25</v>
      </c>
      <c r="S9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4" s="150">
        <f ca="1">+IF(PROVEEDORES[[#This Row],[FECHA DE PAGO]]=0,TODAY()-PROVEEDORES[[#This Row],[FECHA DE FACTURACIÓN]]-PROVEEDORES[[#This Row],[PLAZO Días]],0)</f>
        <v>0</v>
      </c>
      <c r="U934" s="150">
        <f>+VLOOKUP(PROVEEDORES[[#This Row],[PROVEEDOR]],Terceros!$A:$E,4,FALSE)</f>
        <v>0.19</v>
      </c>
      <c r="V934" s="150">
        <f>+YEAR(PROVEEDORES[[#This Row],[FECHA DE FACTURACIÓN]])</f>
        <v>2023</v>
      </c>
      <c r="W934" s="150">
        <f>+MATCH(PROVEEDORES[[#This Row],[año facturado]],Retenciones!$1:$1,0)</f>
        <v>6</v>
      </c>
      <c r="X934" s="151" t="e">
        <f>+VLOOKUP(PROVEEDORES[[#This Row],[ID RETENCION]],Retenciones!$A$1:$O$25,PROVEEDORES[[#This Row],[indicador de columna]],FALSE)</f>
        <v>#N/A</v>
      </c>
      <c r="Y934" s="152" t="e">
        <f>+VLOOKUP(PROVEEDORES[[#This Row],[ID RETENCION]],Retenciones!$A$1:$O$25,2,FALSE)</f>
        <v>#N/A</v>
      </c>
      <c r="Z934" s="153" t="b">
        <f>+OR(COUNTIF(PROVEEDORES[[#This Row],[PROVEEDOR]],"*"&amp;'Palabra que no opera y Listas d'!$A$2&amp;"*"))</f>
        <v>0</v>
      </c>
    </row>
    <row r="935" spans="1:26" ht="27.75" customHeight="1" x14ac:dyDescent="0.3">
      <c r="A935" s="144" t="str">
        <f>+IF(PROVEEDORES[[#This Row],[FECHA DE PAGO]]=PROVEEDORES[[#This Row],[FECHA DE FACTURACIÓN]],"DE CONTADO","CRÉDITO")</f>
        <v>CRÉDITO</v>
      </c>
      <c r="B935" s="144" t="str">
        <f>+IF((PROVEEDORES[[#This Row],[FECHA DE PAGO]]-PROVEEDORES[[#This Row],[FECHA DE FACTURACIÓN]])&gt;PROVEEDORES[[#This Row],[PLAZO Días]],"PAGO VENCIDO")</f>
        <v>PAGO VENCIDO</v>
      </c>
      <c r="C935" s="144">
        <f>+VLOOKUP(PROVEEDORES[[#This Row],[PROVEEDOR]],TERCEROS_INFO[#All],2,FALSE)</f>
        <v>0</v>
      </c>
      <c r="D935" s="145">
        <f>+SUMIFS(PROVEEDORES[Total],PROVEEDORES[PROVEEDOR],PROVEEDORES[[#This Row],[PROVEEDOR]],PROVEEDORES[FECHA DE PAGO],"")</f>
        <v>26134091.5</v>
      </c>
      <c r="E935" s="146"/>
      <c r="F935" s="144">
        <f>+VLOOKUP(PROVEEDORES[[#This Row],[PROVEEDOR]],
                       Terceros!$A:$G,
                       5,
                       FALSE)</f>
        <v>0</v>
      </c>
      <c r="G935" s="122">
        <v>45251</v>
      </c>
      <c r="H935" s="102" t="s">
        <v>238</v>
      </c>
      <c r="I935" s="122">
        <v>45215</v>
      </c>
      <c r="J935" s="103">
        <v>1805</v>
      </c>
      <c r="K935" s="103" t="s">
        <v>1512</v>
      </c>
      <c r="L935" s="103"/>
      <c r="M935" s="105">
        <v>619200</v>
      </c>
      <c r="N935" s="147">
        <v>0</v>
      </c>
      <c r="O935" s="147">
        <v>0</v>
      </c>
      <c r="P935" s="148">
        <v>0</v>
      </c>
      <c r="Q935" s="147">
        <v>0</v>
      </c>
      <c r="R935" s="149">
        <v>619200</v>
      </c>
      <c r="S9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5" s="150">
        <f ca="1">+IF(PROVEEDORES[[#This Row],[FECHA DE PAGO]]=0,TODAY()-PROVEEDORES[[#This Row],[FECHA DE FACTURACIÓN]]-PROVEEDORES[[#This Row],[PLAZO Días]],0)</f>
        <v>0</v>
      </c>
      <c r="U935" s="150">
        <f>+VLOOKUP(PROVEEDORES[[#This Row],[PROVEEDOR]],Terceros!$A:$E,4,FALSE)</f>
        <v>0</v>
      </c>
      <c r="V935" s="150">
        <f>+YEAR(PROVEEDORES[[#This Row],[FECHA DE FACTURACIÓN]])</f>
        <v>2023</v>
      </c>
      <c r="W935" s="150">
        <f>+MATCH(PROVEEDORES[[#This Row],[año facturado]],Retenciones!$1:$1,0)</f>
        <v>6</v>
      </c>
      <c r="X935" s="151">
        <f>+VLOOKUP(PROVEEDORES[[#This Row],[ID RETENCION]],Retenciones!$A$1:$O$25,PROVEEDORES[[#This Row],[indicador de columna]],FALSE)</f>
        <v>0</v>
      </c>
      <c r="Y935" s="152">
        <f>+VLOOKUP(PROVEEDORES[[#This Row],[ID RETENCION]],Retenciones!$A$1:$O$25,2,FALSE)</f>
        <v>0</v>
      </c>
      <c r="Z935" s="153" t="b">
        <f>+OR(COUNTIF(PROVEEDORES[[#This Row],[PROVEEDOR]],"*"&amp;'Palabra que no opera y Listas d'!$A$2&amp;"*"))</f>
        <v>0</v>
      </c>
    </row>
    <row r="936" spans="1:26" ht="27.75" customHeight="1" x14ac:dyDescent="0.3">
      <c r="A936" s="144" t="str">
        <f>+IF(PROVEEDORES[[#This Row],[FECHA DE PAGO]]=PROVEEDORES[[#This Row],[FECHA DE FACTURACIÓN]],"DE CONTADO","CRÉDITO")</f>
        <v>CRÉDITO</v>
      </c>
      <c r="B936" s="144" t="str">
        <f>+IF((PROVEEDORES[[#This Row],[FECHA DE PAGO]]-PROVEEDORES[[#This Row],[FECHA DE FACTURACIÓN]])&gt;PROVEEDORES[[#This Row],[PLAZO Días]],"PAGO VENCIDO")</f>
        <v>PAGO VENCIDO</v>
      </c>
      <c r="C936" s="144">
        <f>+VLOOKUP(PROVEEDORES[[#This Row],[PROVEEDOR]],TERCEROS_INFO[#All],2,FALSE)</f>
        <v>0</v>
      </c>
      <c r="D936" s="145">
        <f>+SUMIFS(PROVEEDORES[Total],PROVEEDORES[PROVEEDOR],PROVEEDORES[[#This Row],[PROVEEDOR]],PROVEEDORES[FECHA DE PAGO],"")</f>
        <v>0</v>
      </c>
      <c r="E936" s="146"/>
      <c r="F936" s="144" t="str">
        <f>+VLOOKUP(PROVEEDORES[[#This Row],[PROVEEDOR]],
                       Terceros!$A:$G,
                       5,
                       FALSE)</f>
        <v>2,5% con base</v>
      </c>
      <c r="G936" s="122">
        <v>45251</v>
      </c>
      <c r="H936" s="102" t="s">
        <v>467</v>
      </c>
      <c r="I936" s="122">
        <v>45216</v>
      </c>
      <c r="J936" s="103" t="s">
        <v>1187</v>
      </c>
      <c r="K936" s="103" t="s">
        <v>1512</v>
      </c>
      <c r="L936" s="103"/>
      <c r="M936" s="105">
        <v>884121</v>
      </c>
      <c r="N936" s="147">
        <v>167982.99</v>
      </c>
      <c r="O936" s="147">
        <v>0</v>
      </c>
      <c r="P936" s="148">
        <v>0</v>
      </c>
      <c r="Q936" s="147">
        <v>0</v>
      </c>
      <c r="R936" s="149">
        <v>1052103.99</v>
      </c>
      <c r="S9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6" s="150">
        <f ca="1">+IF(PROVEEDORES[[#This Row],[FECHA DE PAGO]]=0,TODAY()-PROVEEDORES[[#This Row],[FECHA DE FACTURACIÓN]]-PROVEEDORES[[#This Row],[PLAZO Días]],0)</f>
        <v>0</v>
      </c>
      <c r="U936" s="150">
        <f>+VLOOKUP(PROVEEDORES[[#This Row],[PROVEEDOR]],Terceros!$A:$E,4,FALSE)</f>
        <v>0.19</v>
      </c>
      <c r="V936" s="150">
        <f>+YEAR(PROVEEDORES[[#This Row],[FECHA DE FACTURACIÓN]])</f>
        <v>2023</v>
      </c>
      <c r="W936" s="150">
        <f>+MATCH(PROVEEDORES[[#This Row],[año facturado]],Retenciones!$1:$1,0)</f>
        <v>6</v>
      </c>
      <c r="X936" s="151" t="e">
        <f>+VLOOKUP(PROVEEDORES[[#This Row],[ID RETENCION]],Retenciones!$A$1:$O$25,PROVEEDORES[[#This Row],[indicador de columna]],FALSE)</f>
        <v>#N/A</v>
      </c>
      <c r="Y936" s="152" t="e">
        <f>+VLOOKUP(PROVEEDORES[[#This Row],[ID RETENCION]],Retenciones!$A$1:$O$25,2,FALSE)</f>
        <v>#N/A</v>
      </c>
      <c r="Z936" s="153" t="b">
        <f>+OR(COUNTIF(PROVEEDORES[[#This Row],[PROVEEDOR]],"*"&amp;'Palabra que no opera y Listas d'!$A$2&amp;"*"))</f>
        <v>0</v>
      </c>
    </row>
    <row r="937" spans="1:26" ht="27.75" customHeight="1" x14ac:dyDescent="0.3">
      <c r="A937" s="144" t="str">
        <f>+IF(PROVEEDORES[[#This Row],[FECHA DE PAGO]]=PROVEEDORES[[#This Row],[FECHA DE FACTURACIÓN]],"DE CONTADO","CRÉDITO")</f>
        <v>CRÉDITO</v>
      </c>
      <c r="B937" s="144" t="str">
        <f>+IF((PROVEEDORES[[#This Row],[FECHA DE PAGO]]-PROVEEDORES[[#This Row],[FECHA DE FACTURACIÓN]])&gt;PROVEEDORES[[#This Row],[PLAZO Días]],"PAGO VENCIDO")</f>
        <v>PAGO VENCIDO</v>
      </c>
      <c r="C937" s="144">
        <f>+VLOOKUP(PROVEEDORES[[#This Row],[PROVEEDOR]],TERCEROS_INFO[#All],2,FALSE)</f>
        <v>0</v>
      </c>
      <c r="D937" s="145">
        <f>+SUMIFS(PROVEEDORES[Total],PROVEEDORES[PROVEEDOR],PROVEEDORES[[#This Row],[PROVEEDOR]],PROVEEDORES[FECHA DE PAGO],"")</f>
        <v>26134091.5</v>
      </c>
      <c r="E937" s="146"/>
      <c r="F937" s="144">
        <f>+VLOOKUP(PROVEEDORES[[#This Row],[PROVEEDOR]],
                       Terceros!$A:$G,
                       5,
                       FALSE)</f>
        <v>0</v>
      </c>
      <c r="G937" s="122">
        <v>45251</v>
      </c>
      <c r="H937" s="102" t="s">
        <v>238</v>
      </c>
      <c r="I937" s="122">
        <v>45217</v>
      </c>
      <c r="J937" s="103">
        <v>1812</v>
      </c>
      <c r="K937" s="103" t="s">
        <v>1512</v>
      </c>
      <c r="L937" s="103"/>
      <c r="M937" s="105">
        <v>533200</v>
      </c>
      <c r="N937" s="147">
        <v>0</v>
      </c>
      <c r="O937" s="147">
        <v>0</v>
      </c>
      <c r="P937" s="148">
        <v>0</v>
      </c>
      <c r="Q937" s="147">
        <v>0</v>
      </c>
      <c r="R937" s="149">
        <v>533200</v>
      </c>
      <c r="S9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7" s="150">
        <f ca="1">+IF(PROVEEDORES[[#This Row],[FECHA DE PAGO]]=0,TODAY()-PROVEEDORES[[#This Row],[FECHA DE FACTURACIÓN]]-PROVEEDORES[[#This Row],[PLAZO Días]],0)</f>
        <v>0</v>
      </c>
      <c r="U937" s="150">
        <f>+VLOOKUP(PROVEEDORES[[#This Row],[PROVEEDOR]],Terceros!$A:$E,4,FALSE)</f>
        <v>0</v>
      </c>
      <c r="V937" s="150">
        <f>+YEAR(PROVEEDORES[[#This Row],[FECHA DE FACTURACIÓN]])</f>
        <v>2023</v>
      </c>
      <c r="W937" s="150">
        <f>+MATCH(PROVEEDORES[[#This Row],[año facturado]],Retenciones!$1:$1,0)</f>
        <v>6</v>
      </c>
      <c r="X937" s="151">
        <f>+VLOOKUP(PROVEEDORES[[#This Row],[ID RETENCION]],Retenciones!$A$1:$O$25,PROVEEDORES[[#This Row],[indicador de columna]],FALSE)</f>
        <v>0</v>
      </c>
      <c r="Y937" s="152">
        <f>+VLOOKUP(PROVEEDORES[[#This Row],[ID RETENCION]],Retenciones!$A$1:$O$25,2,FALSE)</f>
        <v>0</v>
      </c>
      <c r="Z937" s="153" t="b">
        <f>+OR(COUNTIF(PROVEEDORES[[#This Row],[PROVEEDOR]],"*"&amp;'Palabra que no opera y Listas d'!$A$2&amp;"*"))</f>
        <v>0</v>
      </c>
    </row>
    <row r="938" spans="1:26" ht="27.75" customHeight="1" x14ac:dyDescent="0.3">
      <c r="A938" s="144" t="str">
        <f>+IF(PROVEEDORES[[#This Row],[FECHA DE PAGO]]=PROVEEDORES[[#This Row],[FECHA DE FACTURACIÓN]],"DE CONTADO","CRÉDITO")</f>
        <v>CRÉDITO</v>
      </c>
      <c r="B938" s="144" t="str">
        <f>+IF((PROVEEDORES[[#This Row],[FECHA DE PAGO]]-PROVEEDORES[[#This Row],[FECHA DE FACTURACIÓN]])&gt;PROVEEDORES[[#This Row],[PLAZO Días]],"PAGO VENCIDO")</f>
        <v>PAGO VENCIDO</v>
      </c>
      <c r="C938" s="144">
        <f>+VLOOKUP(PROVEEDORES[[#This Row],[PROVEEDOR]],TERCEROS_INFO[#All],2,FALSE)</f>
        <v>0</v>
      </c>
      <c r="D938" s="145">
        <f>+SUMIFS(PROVEEDORES[Total],PROVEEDORES[PROVEEDOR],PROVEEDORES[[#This Row],[PROVEEDOR]],PROVEEDORES[FECHA DE PAGO],"")</f>
        <v>26134091.5</v>
      </c>
      <c r="E938" s="146"/>
      <c r="F938" s="144">
        <f>+VLOOKUP(PROVEEDORES[[#This Row],[PROVEEDOR]],
                       Terceros!$A:$G,
                       5,
                       FALSE)</f>
        <v>0</v>
      </c>
      <c r="G938" s="122">
        <v>45251</v>
      </c>
      <c r="H938" s="102" t="s">
        <v>238</v>
      </c>
      <c r="I938" s="122">
        <v>45226</v>
      </c>
      <c r="J938" s="103">
        <v>1814</v>
      </c>
      <c r="K938" s="103" t="s">
        <v>1512</v>
      </c>
      <c r="L938" s="103"/>
      <c r="M938" s="105">
        <v>430000</v>
      </c>
      <c r="N938" s="147">
        <v>0</v>
      </c>
      <c r="O938" s="147">
        <v>0</v>
      </c>
      <c r="P938" s="148">
        <v>0</v>
      </c>
      <c r="Q938" s="147">
        <v>0</v>
      </c>
      <c r="R938" s="149">
        <v>430000</v>
      </c>
      <c r="S9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8" s="150">
        <f ca="1">+IF(PROVEEDORES[[#This Row],[FECHA DE PAGO]]=0,TODAY()-PROVEEDORES[[#This Row],[FECHA DE FACTURACIÓN]]-PROVEEDORES[[#This Row],[PLAZO Días]],0)</f>
        <v>0</v>
      </c>
      <c r="U938" s="150">
        <f>+VLOOKUP(PROVEEDORES[[#This Row],[PROVEEDOR]],Terceros!$A:$E,4,FALSE)</f>
        <v>0</v>
      </c>
      <c r="V938" s="150">
        <f>+YEAR(PROVEEDORES[[#This Row],[FECHA DE FACTURACIÓN]])</f>
        <v>2023</v>
      </c>
      <c r="W938" s="150">
        <f>+MATCH(PROVEEDORES[[#This Row],[año facturado]],Retenciones!$1:$1,0)</f>
        <v>6</v>
      </c>
      <c r="X938" s="151">
        <f>+VLOOKUP(PROVEEDORES[[#This Row],[ID RETENCION]],Retenciones!$A$1:$O$25,PROVEEDORES[[#This Row],[indicador de columna]],FALSE)</f>
        <v>0</v>
      </c>
      <c r="Y938" s="152">
        <f>+VLOOKUP(PROVEEDORES[[#This Row],[ID RETENCION]],Retenciones!$A$1:$O$25,2,FALSE)</f>
        <v>0</v>
      </c>
      <c r="Z938" s="153" t="b">
        <f>+OR(COUNTIF(PROVEEDORES[[#This Row],[PROVEEDOR]],"*"&amp;'Palabra que no opera y Listas d'!$A$2&amp;"*"))</f>
        <v>0</v>
      </c>
    </row>
    <row r="939" spans="1:26" ht="27.75" customHeight="1" x14ac:dyDescent="0.3">
      <c r="A939" s="144" t="str">
        <f>+IF(PROVEEDORES[[#This Row],[FECHA DE PAGO]]=PROVEEDORES[[#This Row],[FECHA DE FACTURACIÓN]],"DE CONTADO","CRÉDITO")</f>
        <v>CRÉDITO</v>
      </c>
      <c r="B939" s="144" t="str">
        <f>+IF((PROVEEDORES[[#This Row],[FECHA DE PAGO]]-PROVEEDORES[[#This Row],[FECHA DE FACTURACIÓN]])&gt;PROVEEDORES[[#This Row],[PLAZO Días]],"PAGO VENCIDO")</f>
        <v>PAGO VENCIDO</v>
      </c>
      <c r="C939" s="144">
        <f>+VLOOKUP(PROVEEDORES[[#This Row],[PROVEEDOR]],TERCEROS_INFO[#All],2,FALSE)</f>
        <v>0</v>
      </c>
      <c r="D939" s="145">
        <f>+SUMIFS(PROVEEDORES[Total],PROVEEDORES[PROVEEDOR],PROVEEDORES[[#This Row],[PROVEEDOR]],PROVEEDORES[FECHA DE PAGO],"")</f>
        <v>0</v>
      </c>
      <c r="E939" s="146"/>
      <c r="F939" s="144">
        <f>+VLOOKUP(PROVEEDORES[[#This Row],[PROVEEDOR]],
                       Terceros!$A:$G,
                       5,
                       FALSE)</f>
        <v>0</v>
      </c>
      <c r="G939" s="122">
        <v>45251</v>
      </c>
      <c r="H939" s="102" t="s">
        <v>240</v>
      </c>
      <c r="I939" s="122">
        <v>45230</v>
      </c>
      <c r="J939" s="103">
        <v>1819</v>
      </c>
      <c r="K939" s="103" t="s">
        <v>1512</v>
      </c>
      <c r="L939" s="103"/>
      <c r="M939" s="105">
        <v>3074500</v>
      </c>
      <c r="N939" s="147">
        <v>0</v>
      </c>
      <c r="O939" s="147">
        <v>0</v>
      </c>
      <c r="P939" s="148">
        <v>0</v>
      </c>
      <c r="Q939" s="147">
        <v>0</v>
      </c>
      <c r="R939" s="149">
        <v>3074500</v>
      </c>
      <c r="S9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9" s="150">
        <f ca="1">+IF(PROVEEDORES[[#This Row],[FECHA DE PAGO]]=0,TODAY()-PROVEEDORES[[#This Row],[FECHA DE FACTURACIÓN]]-PROVEEDORES[[#This Row],[PLAZO Días]],0)</f>
        <v>0</v>
      </c>
      <c r="U939" s="150">
        <f>+VLOOKUP(PROVEEDORES[[#This Row],[PROVEEDOR]],Terceros!$A:$E,4,FALSE)</f>
        <v>0</v>
      </c>
      <c r="V939" s="150">
        <f>+YEAR(PROVEEDORES[[#This Row],[FECHA DE FACTURACIÓN]])</f>
        <v>2023</v>
      </c>
      <c r="W939" s="150">
        <f>+MATCH(PROVEEDORES[[#This Row],[año facturado]],Retenciones!$1:$1,0)</f>
        <v>6</v>
      </c>
      <c r="X939" s="151">
        <f>+VLOOKUP(PROVEEDORES[[#This Row],[ID RETENCION]],Retenciones!$A$1:$O$25,PROVEEDORES[[#This Row],[indicador de columna]],FALSE)</f>
        <v>0</v>
      </c>
      <c r="Y939" s="152">
        <f>+VLOOKUP(PROVEEDORES[[#This Row],[ID RETENCION]],Retenciones!$A$1:$O$25,2,FALSE)</f>
        <v>0</v>
      </c>
      <c r="Z939" s="153" t="b">
        <f>+OR(COUNTIF(PROVEEDORES[[#This Row],[PROVEEDOR]],"*"&amp;'Palabra que no opera y Listas d'!$A$2&amp;"*"))</f>
        <v>0</v>
      </c>
    </row>
    <row r="940" spans="1:26" ht="27.75" customHeight="1" x14ac:dyDescent="0.3">
      <c r="A940" s="144" t="str">
        <f>+IF(PROVEEDORES[[#This Row],[FECHA DE PAGO]]=PROVEEDORES[[#This Row],[FECHA DE FACTURACIÓN]],"DE CONTADO","CRÉDITO")</f>
        <v>CRÉDITO</v>
      </c>
      <c r="B940" s="144" t="str">
        <f>+IF((PROVEEDORES[[#This Row],[FECHA DE PAGO]]-PROVEEDORES[[#This Row],[FECHA DE FACTURACIÓN]])&gt;PROVEEDORES[[#This Row],[PLAZO Días]],"PAGO VENCIDO")</f>
        <v>PAGO VENCIDO</v>
      </c>
      <c r="C940" s="144">
        <f>+VLOOKUP(PROVEEDORES[[#This Row],[PROVEEDOR]],TERCEROS_INFO[#All],2,FALSE)</f>
        <v>0</v>
      </c>
      <c r="D940" s="145">
        <f>+SUMIFS(PROVEEDORES[Total],PROVEEDORES[PROVEEDOR],PROVEEDORES[[#This Row],[PROVEEDOR]],PROVEEDORES[FECHA DE PAGO],"")</f>
        <v>26134091.5</v>
      </c>
      <c r="E940" s="146"/>
      <c r="F940" s="144">
        <f>+VLOOKUP(PROVEEDORES[[#This Row],[PROVEEDOR]],
                       Terceros!$A:$G,
                       5,
                       FALSE)</f>
        <v>0</v>
      </c>
      <c r="G940" s="122">
        <v>45251</v>
      </c>
      <c r="H940" s="102" t="s">
        <v>238</v>
      </c>
      <c r="I940" s="122">
        <v>45233</v>
      </c>
      <c r="J940" s="103">
        <v>1822</v>
      </c>
      <c r="K940" s="103" t="s">
        <v>1512</v>
      </c>
      <c r="L940" s="103"/>
      <c r="M940" s="105">
        <v>344000</v>
      </c>
      <c r="N940" s="147">
        <v>0</v>
      </c>
      <c r="O940" s="147">
        <v>0</v>
      </c>
      <c r="P940" s="148">
        <v>0</v>
      </c>
      <c r="Q940" s="147">
        <v>0</v>
      </c>
      <c r="R940" s="149">
        <v>344000</v>
      </c>
      <c r="S9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0" s="150">
        <f ca="1">+IF(PROVEEDORES[[#This Row],[FECHA DE PAGO]]=0,TODAY()-PROVEEDORES[[#This Row],[FECHA DE FACTURACIÓN]]-PROVEEDORES[[#This Row],[PLAZO Días]],0)</f>
        <v>0</v>
      </c>
      <c r="U940" s="150">
        <f>+VLOOKUP(PROVEEDORES[[#This Row],[PROVEEDOR]],Terceros!$A:$E,4,FALSE)</f>
        <v>0</v>
      </c>
      <c r="V940" s="150">
        <f>+YEAR(PROVEEDORES[[#This Row],[FECHA DE FACTURACIÓN]])</f>
        <v>2023</v>
      </c>
      <c r="W940" s="150">
        <f>+MATCH(PROVEEDORES[[#This Row],[año facturado]],Retenciones!$1:$1,0)</f>
        <v>6</v>
      </c>
      <c r="X940" s="151">
        <f>+VLOOKUP(PROVEEDORES[[#This Row],[ID RETENCION]],Retenciones!$A$1:$O$25,PROVEEDORES[[#This Row],[indicador de columna]],FALSE)</f>
        <v>0</v>
      </c>
      <c r="Y940" s="152">
        <f>+VLOOKUP(PROVEEDORES[[#This Row],[ID RETENCION]],Retenciones!$A$1:$O$25,2,FALSE)</f>
        <v>0</v>
      </c>
      <c r="Z940" s="153" t="b">
        <f>+OR(COUNTIF(PROVEEDORES[[#This Row],[PROVEEDOR]],"*"&amp;'Palabra que no opera y Listas d'!$A$2&amp;"*"))</f>
        <v>0</v>
      </c>
    </row>
    <row r="941" spans="1:26" ht="27.75" customHeight="1" x14ac:dyDescent="0.3">
      <c r="A941" s="144" t="str">
        <f>+IF(PROVEEDORES[[#This Row],[FECHA DE PAGO]]=PROVEEDORES[[#This Row],[FECHA DE FACTURACIÓN]],"DE CONTADO","CRÉDITO")</f>
        <v>CRÉDITO</v>
      </c>
      <c r="B941" s="144" t="str">
        <f>+IF((PROVEEDORES[[#This Row],[FECHA DE PAGO]]-PROVEEDORES[[#This Row],[FECHA DE FACTURACIÓN]])&gt;PROVEEDORES[[#This Row],[PLAZO Días]],"PAGO VENCIDO")</f>
        <v>PAGO VENCIDO</v>
      </c>
      <c r="C941" s="144">
        <f>+VLOOKUP(PROVEEDORES[[#This Row],[PROVEEDOR]],TERCEROS_INFO[#All],2,FALSE)</f>
        <v>0</v>
      </c>
      <c r="D941" s="145">
        <f>+SUMIFS(PROVEEDORES[Total],PROVEEDORES[PROVEEDOR],PROVEEDORES[[#This Row],[PROVEEDOR]],PROVEEDORES[FECHA DE PAGO],"")</f>
        <v>26134091.5</v>
      </c>
      <c r="E941" s="146"/>
      <c r="F941" s="144">
        <f>+VLOOKUP(PROVEEDORES[[#This Row],[PROVEEDOR]],
                       Terceros!$A:$G,
                       5,
                       FALSE)</f>
        <v>0</v>
      </c>
      <c r="G941" s="122">
        <v>45251</v>
      </c>
      <c r="H941" s="102" t="s">
        <v>238</v>
      </c>
      <c r="I941" s="122">
        <v>45233</v>
      </c>
      <c r="J941" s="103">
        <v>1826</v>
      </c>
      <c r="K941" s="103" t="s">
        <v>1512</v>
      </c>
      <c r="L941" s="103"/>
      <c r="M941" s="105">
        <v>395600</v>
      </c>
      <c r="N941" s="147">
        <v>0</v>
      </c>
      <c r="O941" s="147">
        <v>0</v>
      </c>
      <c r="P941" s="148">
        <v>0</v>
      </c>
      <c r="Q941" s="147">
        <v>0</v>
      </c>
      <c r="R941" s="149">
        <v>395600</v>
      </c>
      <c r="S9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1" s="150">
        <f ca="1">+IF(PROVEEDORES[[#This Row],[FECHA DE PAGO]]=0,TODAY()-PROVEEDORES[[#This Row],[FECHA DE FACTURACIÓN]]-PROVEEDORES[[#This Row],[PLAZO Días]],0)</f>
        <v>0</v>
      </c>
      <c r="U941" s="150">
        <f>+VLOOKUP(PROVEEDORES[[#This Row],[PROVEEDOR]],Terceros!$A:$E,4,FALSE)</f>
        <v>0</v>
      </c>
      <c r="V941" s="150">
        <f>+YEAR(PROVEEDORES[[#This Row],[FECHA DE FACTURACIÓN]])</f>
        <v>2023</v>
      </c>
      <c r="W941" s="150">
        <f>+MATCH(PROVEEDORES[[#This Row],[año facturado]],Retenciones!$1:$1,0)</f>
        <v>6</v>
      </c>
      <c r="X941" s="151">
        <f>+VLOOKUP(PROVEEDORES[[#This Row],[ID RETENCION]],Retenciones!$A$1:$O$25,PROVEEDORES[[#This Row],[indicador de columna]],FALSE)</f>
        <v>0</v>
      </c>
      <c r="Y941" s="152">
        <f>+VLOOKUP(PROVEEDORES[[#This Row],[ID RETENCION]],Retenciones!$A$1:$O$25,2,FALSE)</f>
        <v>0</v>
      </c>
      <c r="Z941" s="153" t="b">
        <f>+OR(COUNTIF(PROVEEDORES[[#This Row],[PROVEEDOR]],"*"&amp;'Palabra que no opera y Listas d'!$A$2&amp;"*"))</f>
        <v>0</v>
      </c>
    </row>
    <row r="942" spans="1:26" ht="27.75" customHeight="1" x14ac:dyDescent="0.3">
      <c r="A942" s="144" t="str">
        <f>+IF(PROVEEDORES[[#This Row],[FECHA DE PAGO]]=PROVEEDORES[[#This Row],[FECHA DE FACTURACIÓN]],"DE CONTADO","CRÉDITO")</f>
        <v>CRÉDITO</v>
      </c>
      <c r="B942" s="144" t="str">
        <f>+IF((PROVEEDORES[[#This Row],[FECHA DE PAGO]]-PROVEEDORES[[#This Row],[FECHA DE FACTURACIÓN]])&gt;PROVEEDORES[[#This Row],[PLAZO Días]],"PAGO VENCIDO")</f>
        <v>PAGO VENCIDO</v>
      </c>
      <c r="C942" s="144">
        <f>+VLOOKUP(PROVEEDORES[[#This Row],[PROVEEDOR]],TERCEROS_INFO[#All],2,FALSE)</f>
        <v>0</v>
      </c>
      <c r="D942" s="145">
        <f>+SUMIFS(PROVEEDORES[Total],PROVEEDORES[PROVEEDOR],PROVEEDORES[[#This Row],[PROVEEDOR]],PROVEEDORES[FECHA DE PAGO],"")</f>
        <v>0</v>
      </c>
      <c r="E942" s="146"/>
      <c r="F942" s="144">
        <f>+VLOOKUP(PROVEEDORES[[#This Row],[PROVEEDOR]],
                       Terceros!$A:$G,
                       5,
                       FALSE)</f>
        <v>0</v>
      </c>
      <c r="G942" s="122">
        <v>45251</v>
      </c>
      <c r="H942" s="102" t="s">
        <v>240</v>
      </c>
      <c r="I942" s="122">
        <v>45237</v>
      </c>
      <c r="J942" s="103">
        <v>1827</v>
      </c>
      <c r="K942" s="103" t="s">
        <v>1512</v>
      </c>
      <c r="L942" s="103"/>
      <c r="M942" s="105">
        <v>1885550</v>
      </c>
      <c r="N942" s="147">
        <v>0</v>
      </c>
      <c r="O942" s="147">
        <v>0</v>
      </c>
      <c r="P942" s="148">
        <v>0</v>
      </c>
      <c r="Q942" s="147">
        <v>0</v>
      </c>
      <c r="R942" s="149">
        <v>1885550</v>
      </c>
      <c r="S9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2" s="150">
        <f ca="1">+IF(PROVEEDORES[[#This Row],[FECHA DE PAGO]]=0,TODAY()-PROVEEDORES[[#This Row],[FECHA DE FACTURACIÓN]]-PROVEEDORES[[#This Row],[PLAZO Días]],0)</f>
        <v>0</v>
      </c>
      <c r="U942" s="150">
        <f>+VLOOKUP(PROVEEDORES[[#This Row],[PROVEEDOR]],Terceros!$A:$E,4,FALSE)</f>
        <v>0</v>
      </c>
      <c r="V942" s="150">
        <f>+YEAR(PROVEEDORES[[#This Row],[FECHA DE FACTURACIÓN]])</f>
        <v>2023</v>
      </c>
      <c r="W942" s="150">
        <f>+MATCH(PROVEEDORES[[#This Row],[año facturado]],Retenciones!$1:$1,0)</f>
        <v>6</v>
      </c>
      <c r="X942" s="151">
        <f>+VLOOKUP(PROVEEDORES[[#This Row],[ID RETENCION]],Retenciones!$A$1:$O$25,PROVEEDORES[[#This Row],[indicador de columna]],FALSE)</f>
        <v>0</v>
      </c>
      <c r="Y942" s="152">
        <f>+VLOOKUP(PROVEEDORES[[#This Row],[ID RETENCION]],Retenciones!$A$1:$O$25,2,FALSE)</f>
        <v>0</v>
      </c>
      <c r="Z942" s="153" t="b">
        <f>+OR(COUNTIF(PROVEEDORES[[#This Row],[PROVEEDOR]],"*"&amp;'Palabra que no opera y Listas d'!$A$2&amp;"*"))</f>
        <v>0</v>
      </c>
    </row>
    <row r="943" spans="1:26" ht="27.75" customHeight="1" x14ac:dyDescent="0.3">
      <c r="A943" s="144" t="str">
        <f>+IF(PROVEEDORES[[#This Row],[FECHA DE PAGO]]=PROVEEDORES[[#This Row],[FECHA DE FACTURACIÓN]],"DE CONTADO","CRÉDITO")</f>
        <v>CRÉDITO</v>
      </c>
      <c r="B943" s="144" t="str">
        <f>+IF((PROVEEDORES[[#This Row],[FECHA DE PAGO]]-PROVEEDORES[[#This Row],[FECHA DE FACTURACIÓN]])&gt;PROVEEDORES[[#This Row],[PLAZO Días]],"PAGO VENCIDO")</f>
        <v>PAGO VENCIDO</v>
      </c>
      <c r="C943" s="144">
        <f>+VLOOKUP(PROVEEDORES[[#This Row],[PROVEEDOR]],TERCEROS_INFO[#All],2,FALSE)</f>
        <v>0</v>
      </c>
      <c r="D943" s="145">
        <f>+SUMIFS(PROVEEDORES[Total],PROVEEDORES[PROVEEDOR],PROVEEDORES[[#This Row],[PROVEEDOR]],PROVEEDORES[FECHA DE PAGO],"")</f>
        <v>0</v>
      </c>
      <c r="E943" s="146"/>
      <c r="F943" s="144">
        <f>+VLOOKUP(PROVEEDORES[[#This Row],[PROVEEDOR]],
                       Terceros!$A:$G,
                       5,
                       FALSE)</f>
        <v>0</v>
      </c>
      <c r="G943" s="122">
        <v>45251</v>
      </c>
      <c r="H943" s="102" t="s">
        <v>191</v>
      </c>
      <c r="I943" s="122">
        <v>45238</v>
      </c>
      <c r="J943" s="103" t="s">
        <v>1198</v>
      </c>
      <c r="K943" s="103" t="s">
        <v>1512</v>
      </c>
      <c r="L943" s="103"/>
      <c r="M943" s="105">
        <v>129550</v>
      </c>
      <c r="N943" s="147">
        <v>0</v>
      </c>
      <c r="O943" s="147">
        <v>0</v>
      </c>
      <c r="P943" s="148">
        <v>0</v>
      </c>
      <c r="Q943" s="147">
        <v>0</v>
      </c>
      <c r="R943" s="149">
        <v>129550</v>
      </c>
      <c r="S9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3" s="150">
        <f ca="1">+IF(PROVEEDORES[[#This Row],[FECHA DE PAGO]]=0,TODAY()-PROVEEDORES[[#This Row],[FECHA DE FACTURACIÓN]]-PROVEEDORES[[#This Row],[PLAZO Días]],0)</f>
        <v>0</v>
      </c>
      <c r="U943" s="150">
        <f>+VLOOKUP(PROVEEDORES[[#This Row],[PROVEEDOR]],Terceros!$A:$E,4,FALSE)</f>
        <v>0</v>
      </c>
      <c r="V943" s="150">
        <f>+YEAR(PROVEEDORES[[#This Row],[FECHA DE FACTURACIÓN]])</f>
        <v>2023</v>
      </c>
      <c r="W943" s="150">
        <f>+MATCH(PROVEEDORES[[#This Row],[año facturado]],Retenciones!$1:$1,0)</f>
        <v>6</v>
      </c>
      <c r="X943" s="151">
        <f>+VLOOKUP(PROVEEDORES[[#This Row],[ID RETENCION]],Retenciones!$A$1:$O$25,PROVEEDORES[[#This Row],[indicador de columna]],FALSE)</f>
        <v>0</v>
      </c>
      <c r="Y943" s="152">
        <f>+VLOOKUP(PROVEEDORES[[#This Row],[ID RETENCION]],Retenciones!$A$1:$O$25,2,FALSE)</f>
        <v>0</v>
      </c>
      <c r="Z943" s="153" t="b">
        <f>+OR(COUNTIF(PROVEEDORES[[#This Row],[PROVEEDOR]],"*"&amp;'Palabra que no opera y Listas d'!$A$2&amp;"*"))</f>
        <v>0</v>
      </c>
    </row>
    <row r="944" spans="1:26" ht="27.75" customHeight="1" x14ac:dyDescent="0.3">
      <c r="A944" s="144" t="str">
        <f>+IF(PROVEEDORES[[#This Row],[FECHA DE PAGO]]=PROVEEDORES[[#This Row],[FECHA DE FACTURACIÓN]],"DE CONTADO","CRÉDITO")</f>
        <v>CRÉDITO</v>
      </c>
      <c r="B944" s="144" t="str">
        <f>+IF((PROVEEDORES[[#This Row],[FECHA DE PAGO]]-PROVEEDORES[[#This Row],[FECHA DE FACTURACIÓN]])&gt;PROVEEDORES[[#This Row],[PLAZO Días]],"PAGO VENCIDO")</f>
        <v>PAGO VENCIDO</v>
      </c>
      <c r="C944" s="144">
        <f>+VLOOKUP(PROVEEDORES[[#This Row],[PROVEEDOR]],TERCEROS_INFO[#All],2,FALSE)</f>
        <v>0</v>
      </c>
      <c r="D944" s="145">
        <f>+SUMIFS(PROVEEDORES[Total],PROVEEDORES[PROVEEDOR],PROVEEDORES[[#This Row],[PROVEEDOR]],PROVEEDORES[FECHA DE PAGO],"")</f>
        <v>0</v>
      </c>
      <c r="E944" s="146"/>
      <c r="F944" s="144">
        <f>+VLOOKUP(PROVEEDORES[[#This Row],[PROVEEDOR]],
                       Terceros!$A:$G,
                       5,
                       FALSE)</f>
        <v>0</v>
      </c>
      <c r="G944" s="122">
        <v>45251</v>
      </c>
      <c r="H944" s="102" t="s">
        <v>191</v>
      </c>
      <c r="I944" s="122">
        <v>45247</v>
      </c>
      <c r="J944" s="103" t="s">
        <v>1232</v>
      </c>
      <c r="K944" s="103" t="s">
        <v>1512</v>
      </c>
      <c r="L944" s="103"/>
      <c r="M944" s="105">
        <v>7880</v>
      </c>
      <c r="N944" s="147">
        <v>0</v>
      </c>
      <c r="O944" s="147">
        <v>0</v>
      </c>
      <c r="P944" s="148">
        <v>0</v>
      </c>
      <c r="Q944" s="147">
        <v>0</v>
      </c>
      <c r="R944" s="149">
        <v>7880</v>
      </c>
      <c r="S9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4" s="150">
        <f ca="1">+IF(PROVEEDORES[[#This Row],[FECHA DE PAGO]]=0,TODAY()-PROVEEDORES[[#This Row],[FECHA DE FACTURACIÓN]]-PROVEEDORES[[#This Row],[PLAZO Días]],0)</f>
        <v>0</v>
      </c>
      <c r="U944" s="150">
        <f>+VLOOKUP(PROVEEDORES[[#This Row],[PROVEEDOR]],Terceros!$A:$E,4,FALSE)</f>
        <v>0</v>
      </c>
      <c r="V944" s="150">
        <f>+YEAR(PROVEEDORES[[#This Row],[FECHA DE FACTURACIÓN]])</f>
        <v>2023</v>
      </c>
      <c r="W944" s="150">
        <f>+MATCH(PROVEEDORES[[#This Row],[año facturado]],Retenciones!$1:$1,0)</f>
        <v>6</v>
      </c>
      <c r="X944" s="151">
        <f>+VLOOKUP(PROVEEDORES[[#This Row],[ID RETENCION]],Retenciones!$A$1:$O$25,PROVEEDORES[[#This Row],[indicador de columna]],FALSE)</f>
        <v>0</v>
      </c>
      <c r="Y944" s="152">
        <f>+VLOOKUP(PROVEEDORES[[#This Row],[ID RETENCION]],Retenciones!$A$1:$O$25,2,FALSE)</f>
        <v>0</v>
      </c>
      <c r="Z944" s="153" t="b">
        <f>+OR(COUNTIF(PROVEEDORES[[#This Row],[PROVEEDOR]],"*"&amp;'Palabra que no opera y Listas d'!$A$2&amp;"*"))</f>
        <v>0</v>
      </c>
    </row>
    <row r="945" spans="1:26" ht="27.75" customHeight="1" x14ac:dyDescent="0.3">
      <c r="A945" s="144" t="str">
        <f>+IF(PROVEEDORES[[#This Row],[FECHA DE PAGO]]=PROVEEDORES[[#This Row],[FECHA DE FACTURACIÓN]],"DE CONTADO","CRÉDITO")</f>
        <v>CRÉDITO</v>
      </c>
      <c r="B945" s="144" t="str">
        <f>+IF((PROVEEDORES[[#This Row],[FECHA DE PAGO]]-PROVEEDORES[[#This Row],[FECHA DE FACTURACIÓN]])&gt;PROVEEDORES[[#This Row],[PLAZO Días]],"PAGO VENCIDO")</f>
        <v>PAGO VENCIDO</v>
      </c>
      <c r="C945" s="144">
        <f>+VLOOKUP(PROVEEDORES[[#This Row],[PROVEEDOR]],TERCEROS_INFO[#All],2,FALSE)</f>
        <v>0</v>
      </c>
      <c r="D945" s="145">
        <f>+SUMIFS(PROVEEDORES[Total],PROVEEDORES[PROVEEDOR],PROVEEDORES[[#This Row],[PROVEEDOR]],PROVEEDORES[FECHA DE PAGO],"")</f>
        <v>0</v>
      </c>
      <c r="E945" s="146"/>
      <c r="F945" s="144">
        <f>+VLOOKUP(PROVEEDORES[[#This Row],[PROVEEDOR]],
                       Terceros!$A:$G,
                       5,
                       FALSE)</f>
        <v>0</v>
      </c>
      <c r="G945" s="122">
        <v>45251</v>
      </c>
      <c r="H945" s="102" t="s">
        <v>572</v>
      </c>
      <c r="I945" s="122">
        <v>45250</v>
      </c>
      <c r="J945" s="103">
        <v>2077</v>
      </c>
      <c r="K945" s="103" t="s">
        <v>1512</v>
      </c>
      <c r="L945" s="103"/>
      <c r="M945" s="105">
        <v>600000</v>
      </c>
      <c r="N945" s="147">
        <v>0</v>
      </c>
      <c r="O945" s="147">
        <v>0</v>
      </c>
      <c r="P945" s="148">
        <v>0</v>
      </c>
      <c r="Q945" s="147">
        <v>0</v>
      </c>
      <c r="R945" s="149">
        <v>600000</v>
      </c>
      <c r="S9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5" s="150">
        <f ca="1">+IF(PROVEEDORES[[#This Row],[FECHA DE PAGO]]=0,TODAY()-PROVEEDORES[[#This Row],[FECHA DE FACTURACIÓN]]-PROVEEDORES[[#This Row],[PLAZO Días]],0)</f>
        <v>0</v>
      </c>
      <c r="U945" s="150">
        <f>+VLOOKUP(PROVEEDORES[[#This Row],[PROVEEDOR]],Terceros!$A:$E,4,FALSE)</f>
        <v>0</v>
      </c>
      <c r="V945" s="150">
        <f>+YEAR(PROVEEDORES[[#This Row],[FECHA DE FACTURACIÓN]])</f>
        <v>2023</v>
      </c>
      <c r="W945" s="150">
        <f>+MATCH(PROVEEDORES[[#This Row],[año facturado]],Retenciones!$1:$1,0)</f>
        <v>6</v>
      </c>
      <c r="X945" s="151">
        <f>+VLOOKUP(PROVEEDORES[[#This Row],[ID RETENCION]],Retenciones!$A$1:$O$25,PROVEEDORES[[#This Row],[indicador de columna]],FALSE)</f>
        <v>0</v>
      </c>
      <c r="Y945" s="152">
        <f>+VLOOKUP(PROVEEDORES[[#This Row],[ID RETENCION]],Retenciones!$A$1:$O$25,2,FALSE)</f>
        <v>0</v>
      </c>
      <c r="Z945" s="153" t="b">
        <f>+OR(COUNTIF(PROVEEDORES[[#This Row],[PROVEEDOR]],"*"&amp;'Palabra que no opera y Listas d'!$A$2&amp;"*"))</f>
        <v>1</v>
      </c>
    </row>
    <row r="946" spans="1:26" ht="27.75" customHeight="1" x14ac:dyDescent="0.3">
      <c r="A946" s="144" t="str">
        <f>+IF(PROVEEDORES[[#This Row],[FECHA DE PAGO]]=PROVEEDORES[[#This Row],[FECHA DE FACTURACIÓN]],"DE CONTADO","CRÉDITO")</f>
        <v>DE CONTADO</v>
      </c>
      <c r="B946" s="144" t="b">
        <f>+IF((PROVEEDORES[[#This Row],[FECHA DE PAGO]]-PROVEEDORES[[#This Row],[FECHA DE FACTURACIÓN]])&gt;PROVEEDORES[[#This Row],[PLAZO Días]],"PAGO VENCIDO")</f>
        <v>0</v>
      </c>
      <c r="C946" s="144">
        <f>+VLOOKUP(PROVEEDORES[[#This Row],[PROVEEDOR]],TERCEROS_INFO[#All],2,FALSE)</f>
        <v>0</v>
      </c>
      <c r="D946" s="145">
        <f>+SUMIFS(PROVEEDORES[Total],PROVEEDORES[PROVEEDOR],PROVEEDORES[[#This Row],[PROVEEDOR]],PROVEEDORES[FECHA DE PAGO],"")</f>
        <v>0</v>
      </c>
      <c r="E946" s="146"/>
      <c r="F946" s="144" t="str">
        <f>+VLOOKUP(PROVEEDORES[[#This Row],[PROVEEDOR]],
                       Terceros!$A:$G,
                       5,
                       FALSE)</f>
        <v>2,5% con base</v>
      </c>
      <c r="G946" s="122">
        <v>45251</v>
      </c>
      <c r="H946" s="102" t="s">
        <v>71</v>
      </c>
      <c r="I946" s="122">
        <v>45251</v>
      </c>
      <c r="J946" s="103" t="s">
        <v>1509</v>
      </c>
      <c r="K946" s="103" t="s">
        <v>1512</v>
      </c>
      <c r="L946" s="103"/>
      <c r="M946" s="105">
        <v>-3100000</v>
      </c>
      <c r="N946" s="147">
        <v>-589000</v>
      </c>
      <c r="O946" s="147">
        <v>0</v>
      </c>
      <c r="P946" s="148">
        <v>0</v>
      </c>
      <c r="Q946" s="147">
        <v>0</v>
      </c>
      <c r="R946" s="149">
        <v>0</v>
      </c>
      <c r="S9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6" s="150">
        <f ca="1">+IF(PROVEEDORES[[#This Row],[FECHA DE PAGO]]=0,TODAY()-PROVEEDORES[[#This Row],[FECHA DE FACTURACIÓN]]-PROVEEDORES[[#This Row],[PLAZO Días]],0)</f>
        <v>0</v>
      </c>
      <c r="U946" s="150">
        <f>+VLOOKUP(PROVEEDORES[[#This Row],[PROVEEDOR]],Terceros!$A:$E,4,FALSE)</f>
        <v>0.19</v>
      </c>
      <c r="V946" s="150">
        <f>+YEAR(PROVEEDORES[[#This Row],[FECHA DE FACTURACIÓN]])</f>
        <v>2023</v>
      </c>
      <c r="W946" s="150">
        <f>+MATCH(PROVEEDORES[[#This Row],[año facturado]],Retenciones!$1:$1,0)</f>
        <v>6</v>
      </c>
      <c r="X946" s="151" t="e">
        <f>+VLOOKUP(PROVEEDORES[[#This Row],[ID RETENCION]],Retenciones!$A$1:$O$25,PROVEEDORES[[#This Row],[indicador de columna]],FALSE)</f>
        <v>#N/A</v>
      </c>
      <c r="Y946" s="152" t="e">
        <f>+VLOOKUP(PROVEEDORES[[#This Row],[ID RETENCION]],Retenciones!$A$1:$O$25,2,FALSE)</f>
        <v>#N/A</v>
      </c>
      <c r="Z946" s="153" t="b">
        <f>+OR(COUNTIF(PROVEEDORES[[#This Row],[PROVEEDOR]],"*"&amp;'Palabra que no opera y Listas d'!$A$2&amp;"*"))</f>
        <v>0</v>
      </c>
    </row>
    <row r="947" spans="1:26" ht="27.75" customHeight="1" x14ac:dyDescent="0.3">
      <c r="A947" s="144" t="str">
        <f>+IF(PROVEEDORES[[#This Row],[FECHA DE PAGO]]=PROVEEDORES[[#This Row],[FECHA DE FACTURACIÓN]],"DE CONTADO","CRÉDITO")</f>
        <v>DE CONTADO</v>
      </c>
      <c r="B947" s="144" t="b">
        <f>+IF((PROVEEDORES[[#This Row],[FECHA DE PAGO]]-PROVEEDORES[[#This Row],[FECHA DE FACTURACIÓN]])&gt;PROVEEDORES[[#This Row],[PLAZO Días]],"PAGO VENCIDO")</f>
        <v>0</v>
      </c>
      <c r="C947" s="144">
        <f>+VLOOKUP(PROVEEDORES[[#This Row],[PROVEEDOR]],TERCEROS_INFO[#All],2,FALSE)</f>
        <v>0</v>
      </c>
      <c r="D947" s="145">
        <f>+SUMIFS(PROVEEDORES[Total],PROVEEDORES[PROVEEDOR],PROVEEDORES[[#This Row],[PROVEEDOR]],PROVEEDORES[FECHA DE PAGO],"")</f>
        <v>0</v>
      </c>
      <c r="E947" s="146"/>
      <c r="F947" s="144" t="str">
        <f>+VLOOKUP(PROVEEDORES[[#This Row],[PROVEEDOR]],
                       Terceros!$A:$G,
                       5,
                       FALSE)</f>
        <v>2,5% con base</v>
      </c>
      <c r="G947" s="122">
        <v>45252</v>
      </c>
      <c r="H947" s="102" t="s">
        <v>71</v>
      </c>
      <c r="I947" s="122">
        <v>45252</v>
      </c>
      <c r="J947" s="103" t="s">
        <v>1436</v>
      </c>
      <c r="K947" s="103" t="s">
        <v>1512</v>
      </c>
      <c r="L947" s="103"/>
      <c r="M947" s="105">
        <v>-2100840</v>
      </c>
      <c r="N947" s="147">
        <v>-399159.6</v>
      </c>
      <c r="O947" s="147">
        <v>0</v>
      </c>
      <c r="P947" s="148">
        <v>0</v>
      </c>
      <c r="Q947" s="147">
        <v>0</v>
      </c>
      <c r="R947" s="149">
        <v>-2499999.6</v>
      </c>
      <c r="S9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7" s="150">
        <f ca="1">+IF(PROVEEDORES[[#This Row],[FECHA DE PAGO]]=0,TODAY()-PROVEEDORES[[#This Row],[FECHA DE FACTURACIÓN]]-PROVEEDORES[[#This Row],[PLAZO Días]],0)</f>
        <v>0</v>
      </c>
      <c r="U947" s="150">
        <f>+VLOOKUP(PROVEEDORES[[#This Row],[PROVEEDOR]],Terceros!$A:$E,4,FALSE)</f>
        <v>0.19</v>
      </c>
      <c r="V947" s="150">
        <f>+YEAR(PROVEEDORES[[#This Row],[FECHA DE FACTURACIÓN]])</f>
        <v>2023</v>
      </c>
      <c r="W947" s="150">
        <f>+MATCH(PROVEEDORES[[#This Row],[año facturado]],Retenciones!$1:$1,0)</f>
        <v>6</v>
      </c>
      <c r="X947" s="151" t="e">
        <f>+VLOOKUP(PROVEEDORES[[#This Row],[ID RETENCION]],Retenciones!$A$1:$O$25,PROVEEDORES[[#This Row],[indicador de columna]],FALSE)</f>
        <v>#N/A</v>
      </c>
      <c r="Y947" s="152" t="e">
        <f>+VLOOKUP(PROVEEDORES[[#This Row],[ID RETENCION]],Retenciones!$A$1:$O$25,2,FALSE)</f>
        <v>#N/A</v>
      </c>
      <c r="Z947" s="153" t="b">
        <f>+OR(COUNTIF(PROVEEDORES[[#This Row],[PROVEEDOR]],"*"&amp;'Palabra que no opera y Listas d'!$A$2&amp;"*"))</f>
        <v>0</v>
      </c>
    </row>
    <row r="948" spans="1:26" ht="27.75" customHeight="1" x14ac:dyDescent="0.3">
      <c r="A948" s="144" t="str">
        <f>+IF(PROVEEDORES[[#This Row],[FECHA DE PAGO]]=PROVEEDORES[[#This Row],[FECHA DE FACTURACIÓN]],"DE CONTADO","CRÉDITO")</f>
        <v>CRÉDITO</v>
      </c>
      <c r="B948" s="144" t="str">
        <f>+IF((PROVEEDORES[[#This Row],[FECHA DE PAGO]]-PROVEEDORES[[#This Row],[FECHA DE FACTURACIÓN]])&gt;PROVEEDORES[[#This Row],[PLAZO Días]],"PAGO VENCIDO")</f>
        <v>PAGO VENCIDO</v>
      </c>
      <c r="C948" s="144">
        <f>+VLOOKUP(PROVEEDORES[[#This Row],[PROVEEDOR]],TERCEROS_INFO[#All],2,FALSE)</f>
        <v>0</v>
      </c>
      <c r="D948" s="145">
        <f>+SUMIFS(PROVEEDORES[Total],PROVEEDORES[PROVEEDOR],PROVEEDORES[[#This Row],[PROVEEDOR]],PROVEEDORES[FECHA DE PAGO],"")</f>
        <v>856185.96</v>
      </c>
      <c r="E948" s="146"/>
      <c r="F948" s="144">
        <f>+VLOOKUP(PROVEEDORES[[#This Row],[PROVEEDOR]],
                       Terceros!$A:$G,
                       5,
                       FALSE)</f>
        <v>0</v>
      </c>
      <c r="G948" s="122">
        <v>45253</v>
      </c>
      <c r="H948" s="102" t="s">
        <v>209</v>
      </c>
      <c r="I948" s="122">
        <v>45213</v>
      </c>
      <c r="J948" s="103" t="s">
        <v>1183</v>
      </c>
      <c r="K948" s="103" t="s">
        <v>1512</v>
      </c>
      <c r="L948" s="103"/>
      <c r="M948" s="105">
        <v>3001258</v>
      </c>
      <c r="N948" s="147">
        <v>570239.02</v>
      </c>
      <c r="O948" s="147">
        <v>0</v>
      </c>
      <c r="P948" s="148">
        <v>0</v>
      </c>
      <c r="Q948" s="147">
        <v>0</v>
      </c>
      <c r="R948" s="149">
        <v>3571497.02</v>
      </c>
      <c r="S9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8" s="150">
        <f ca="1">+IF(PROVEEDORES[[#This Row],[FECHA DE PAGO]]=0,TODAY()-PROVEEDORES[[#This Row],[FECHA DE FACTURACIÓN]]-PROVEEDORES[[#This Row],[PLAZO Días]],0)</f>
        <v>0</v>
      </c>
      <c r="U948" s="150">
        <f>+VLOOKUP(PROVEEDORES[[#This Row],[PROVEEDOR]],Terceros!$A:$E,4,FALSE)</f>
        <v>0.19</v>
      </c>
      <c r="V948" s="150">
        <f>+YEAR(PROVEEDORES[[#This Row],[FECHA DE FACTURACIÓN]])</f>
        <v>2023</v>
      </c>
      <c r="W948" s="150">
        <f>+MATCH(PROVEEDORES[[#This Row],[año facturado]],Retenciones!$1:$1,0)</f>
        <v>6</v>
      </c>
      <c r="X948" s="151" t="e">
        <f>+VLOOKUP(PROVEEDORES[[#This Row],[ID RETENCION]],Retenciones!$A$1:$O$25,PROVEEDORES[[#This Row],[indicador de columna]],FALSE)</f>
        <v>#N/A</v>
      </c>
      <c r="Y948" s="152" t="e">
        <f>+VLOOKUP(PROVEEDORES[[#This Row],[ID RETENCION]],Retenciones!$A$1:$O$25,2,FALSE)</f>
        <v>#N/A</v>
      </c>
      <c r="Z948" s="153" t="b">
        <f>+OR(COUNTIF(PROVEEDORES[[#This Row],[PROVEEDOR]],"*"&amp;'Palabra que no opera y Listas d'!$A$2&amp;"*"))</f>
        <v>0</v>
      </c>
    </row>
    <row r="949" spans="1:26" ht="27.75" customHeight="1" x14ac:dyDescent="0.3">
      <c r="A949" s="144" t="str">
        <f>+IF(PROVEEDORES[[#This Row],[FECHA DE PAGO]]=PROVEEDORES[[#This Row],[FECHA DE FACTURACIÓN]],"DE CONTADO","CRÉDITO")</f>
        <v>CRÉDITO</v>
      </c>
      <c r="B949" s="144" t="str">
        <f>+IF((PROVEEDORES[[#This Row],[FECHA DE PAGO]]-PROVEEDORES[[#This Row],[FECHA DE FACTURACIÓN]])&gt;PROVEEDORES[[#This Row],[PLAZO Días]],"PAGO VENCIDO")</f>
        <v>PAGO VENCIDO</v>
      </c>
      <c r="C949" s="144">
        <f>+VLOOKUP(PROVEEDORES[[#This Row],[PROVEEDOR]],TERCEROS_INFO[#All],2,FALSE)</f>
        <v>0</v>
      </c>
      <c r="D949" s="145">
        <f>+SUMIFS(PROVEEDORES[Total],PROVEEDORES[PROVEEDOR],PROVEEDORES[[#This Row],[PROVEEDOR]],PROVEEDORES[FECHA DE PAGO],"")</f>
        <v>0</v>
      </c>
      <c r="E949" s="146"/>
      <c r="F949" s="144" t="str">
        <f>+VLOOKUP(PROVEEDORES[[#This Row],[PROVEEDOR]],
                       Terceros!$A:$G,
                       5,
                       FALSE)</f>
        <v>2,5% con base</v>
      </c>
      <c r="G949" s="122">
        <v>45253</v>
      </c>
      <c r="H949" s="102" t="s">
        <v>1136</v>
      </c>
      <c r="I949" s="122">
        <v>45252</v>
      </c>
      <c r="J949" s="103" t="s">
        <v>1245</v>
      </c>
      <c r="K949" s="103" t="s">
        <v>1512</v>
      </c>
      <c r="L949" s="103"/>
      <c r="M949" s="105">
        <v>41008</v>
      </c>
      <c r="N949" s="147">
        <v>7791.52</v>
      </c>
      <c r="O949" s="147">
        <v>0</v>
      </c>
      <c r="P949" s="148">
        <v>0</v>
      </c>
      <c r="Q949" s="147">
        <v>0</v>
      </c>
      <c r="R949" s="149">
        <v>48799.520000000004</v>
      </c>
      <c r="S9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9" s="150">
        <f ca="1">+IF(PROVEEDORES[[#This Row],[FECHA DE PAGO]]=0,TODAY()-PROVEEDORES[[#This Row],[FECHA DE FACTURACIÓN]]-PROVEEDORES[[#This Row],[PLAZO Días]],0)</f>
        <v>0</v>
      </c>
      <c r="U949" s="150">
        <f>+VLOOKUP(PROVEEDORES[[#This Row],[PROVEEDOR]],Terceros!$A:$E,4,FALSE)</f>
        <v>0.19</v>
      </c>
      <c r="V949" s="150">
        <f>+YEAR(PROVEEDORES[[#This Row],[FECHA DE FACTURACIÓN]])</f>
        <v>2023</v>
      </c>
      <c r="W949" s="150">
        <f>+MATCH(PROVEEDORES[[#This Row],[año facturado]],Retenciones!$1:$1,0)</f>
        <v>6</v>
      </c>
      <c r="X949" s="151" t="e">
        <f>+VLOOKUP(PROVEEDORES[[#This Row],[ID RETENCION]],Retenciones!$A$1:$O$25,PROVEEDORES[[#This Row],[indicador de columna]],FALSE)</f>
        <v>#N/A</v>
      </c>
      <c r="Y949" s="152" t="e">
        <f>+VLOOKUP(PROVEEDORES[[#This Row],[ID RETENCION]],Retenciones!$A$1:$O$25,2,FALSE)</f>
        <v>#N/A</v>
      </c>
      <c r="Z949" s="153" t="b">
        <f>+OR(COUNTIF(PROVEEDORES[[#This Row],[PROVEEDOR]],"*"&amp;'Palabra que no opera y Listas d'!$A$2&amp;"*"))</f>
        <v>0</v>
      </c>
    </row>
    <row r="950" spans="1:26" ht="27.75" customHeight="1" x14ac:dyDescent="0.3">
      <c r="A950" s="144" t="str">
        <f>+IF(PROVEEDORES[[#This Row],[FECHA DE PAGO]]=PROVEEDORES[[#This Row],[FECHA DE FACTURACIÓN]],"DE CONTADO","CRÉDITO")</f>
        <v>CRÉDITO</v>
      </c>
      <c r="B950" s="144" t="str">
        <f>+IF((PROVEEDORES[[#This Row],[FECHA DE PAGO]]-PROVEEDORES[[#This Row],[FECHA DE FACTURACIÓN]])&gt;PROVEEDORES[[#This Row],[PLAZO Días]],"PAGO VENCIDO")</f>
        <v>PAGO VENCIDO</v>
      </c>
      <c r="C950" s="144">
        <f>+VLOOKUP(PROVEEDORES[[#This Row],[PROVEEDOR]],TERCEROS_INFO[#All],2,FALSE)</f>
        <v>0</v>
      </c>
      <c r="D950" s="145">
        <f>+SUMIFS(PROVEEDORES[Total],PROVEEDORES[PROVEEDOR],PROVEEDORES[[#This Row],[PROVEEDOR]],PROVEEDORES[FECHA DE PAGO],"")</f>
        <v>0</v>
      </c>
      <c r="E950" s="146"/>
      <c r="F950" s="144" t="str">
        <f>+VLOOKUP(PROVEEDORES[[#This Row],[PROVEEDOR]],
                       Terceros!$A:$G,
                       5,
                       FALSE)</f>
        <v>2,5% con base</v>
      </c>
      <c r="G950" s="122">
        <v>45253</v>
      </c>
      <c r="H950" s="102" t="s">
        <v>1136</v>
      </c>
      <c r="I950" s="122">
        <v>45252</v>
      </c>
      <c r="J950" s="103" t="s">
        <v>1244</v>
      </c>
      <c r="K950" s="103" t="s">
        <v>1512</v>
      </c>
      <c r="L950" s="103"/>
      <c r="M950" s="105">
        <v>897647</v>
      </c>
      <c r="N950" s="147">
        <v>170552.93</v>
      </c>
      <c r="O950" s="147">
        <v>0</v>
      </c>
      <c r="P950" s="148">
        <v>0</v>
      </c>
      <c r="Q950" s="147">
        <v>0</v>
      </c>
      <c r="R950" s="149">
        <v>1068199.93</v>
      </c>
      <c r="S9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0" s="150">
        <f ca="1">+IF(PROVEEDORES[[#This Row],[FECHA DE PAGO]]=0,TODAY()-PROVEEDORES[[#This Row],[FECHA DE FACTURACIÓN]]-PROVEEDORES[[#This Row],[PLAZO Días]],0)</f>
        <v>0</v>
      </c>
      <c r="U950" s="150">
        <f>+VLOOKUP(PROVEEDORES[[#This Row],[PROVEEDOR]],Terceros!$A:$E,4,FALSE)</f>
        <v>0.19</v>
      </c>
      <c r="V950" s="150">
        <f>+YEAR(PROVEEDORES[[#This Row],[FECHA DE FACTURACIÓN]])</f>
        <v>2023</v>
      </c>
      <c r="W950" s="150">
        <f>+MATCH(PROVEEDORES[[#This Row],[año facturado]],Retenciones!$1:$1,0)</f>
        <v>6</v>
      </c>
      <c r="X950" s="151" t="e">
        <f>+VLOOKUP(PROVEEDORES[[#This Row],[ID RETENCION]],Retenciones!$A$1:$O$25,PROVEEDORES[[#This Row],[indicador de columna]],FALSE)</f>
        <v>#N/A</v>
      </c>
      <c r="Y950" s="152" t="e">
        <f>+VLOOKUP(PROVEEDORES[[#This Row],[ID RETENCION]],Retenciones!$A$1:$O$25,2,FALSE)</f>
        <v>#N/A</v>
      </c>
      <c r="Z950" s="153" t="b">
        <f>+OR(COUNTIF(PROVEEDORES[[#This Row],[PROVEEDOR]],"*"&amp;'Palabra que no opera y Listas d'!$A$2&amp;"*"))</f>
        <v>0</v>
      </c>
    </row>
    <row r="951" spans="1:26" ht="27.75" customHeight="1" x14ac:dyDescent="0.3">
      <c r="A951" s="144" t="str">
        <f>+IF(PROVEEDORES[[#This Row],[FECHA DE PAGO]]=PROVEEDORES[[#This Row],[FECHA DE FACTURACIÓN]],"DE CONTADO","CRÉDITO")</f>
        <v>DE CONTADO</v>
      </c>
      <c r="B951" s="144" t="b">
        <f>+IF((PROVEEDORES[[#This Row],[FECHA DE PAGO]]-PROVEEDORES[[#This Row],[FECHA DE FACTURACIÓN]])&gt;PROVEEDORES[[#This Row],[PLAZO Días]],"PAGO VENCIDO")</f>
        <v>0</v>
      </c>
      <c r="C951" s="144">
        <f>+VLOOKUP(PROVEEDORES[[#This Row],[PROVEEDOR]],TERCEROS_INFO[#All],2,FALSE)</f>
        <v>0</v>
      </c>
      <c r="D951" s="145">
        <f>+SUMIFS(PROVEEDORES[Total],PROVEEDORES[PROVEEDOR],PROVEEDORES[[#This Row],[PROVEEDOR]],PROVEEDORES[FECHA DE PAGO],"")</f>
        <v>0</v>
      </c>
      <c r="E951" s="146"/>
      <c r="F951" s="144">
        <f>+VLOOKUP(PROVEEDORES[[#This Row],[PROVEEDOR]],
                       Terceros!$A:$G,
                       5,
                       FALSE)</f>
        <v>0</v>
      </c>
      <c r="G951" s="122">
        <v>45253</v>
      </c>
      <c r="H951" s="102" t="s">
        <v>496</v>
      </c>
      <c r="I951" s="122">
        <v>45253</v>
      </c>
      <c r="J951" s="103" t="s">
        <v>1290</v>
      </c>
      <c r="K951" s="103" t="s">
        <v>1512</v>
      </c>
      <c r="L951" s="103"/>
      <c r="M951" s="105">
        <v>730000</v>
      </c>
      <c r="N951" s="147">
        <v>0</v>
      </c>
      <c r="O951" s="147">
        <v>0</v>
      </c>
      <c r="P951" s="148">
        <v>0</v>
      </c>
      <c r="Q951" s="147">
        <v>0</v>
      </c>
      <c r="R951" s="149">
        <v>730000</v>
      </c>
      <c r="S9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1" s="150">
        <f ca="1">+IF(PROVEEDORES[[#This Row],[FECHA DE PAGO]]=0,TODAY()-PROVEEDORES[[#This Row],[FECHA DE FACTURACIÓN]]-PROVEEDORES[[#This Row],[PLAZO Días]],0)</f>
        <v>0</v>
      </c>
      <c r="U951" s="150">
        <f>+VLOOKUP(PROVEEDORES[[#This Row],[PROVEEDOR]],Terceros!$A:$E,4,FALSE)</f>
        <v>0</v>
      </c>
      <c r="V951" s="150">
        <f>+YEAR(PROVEEDORES[[#This Row],[FECHA DE FACTURACIÓN]])</f>
        <v>2023</v>
      </c>
      <c r="W951" s="150">
        <f>+MATCH(PROVEEDORES[[#This Row],[año facturado]],Retenciones!$1:$1,0)</f>
        <v>6</v>
      </c>
      <c r="X951" s="151">
        <f>+VLOOKUP(PROVEEDORES[[#This Row],[ID RETENCION]],Retenciones!$A$1:$O$25,PROVEEDORES[[#This Row],[indicador de columna]],FALSE)</f>
        <v>0</v>
      </c>
      <c r="Y951" s="152">
        <f>+VLOOKUP(PROVEEDORES[[#This Row],[ID RETENCION]],Retenciones!$A$1:$O$25,2,FALSE)</f>
        <v>0</v>
      </c>
      <c r="Z951" s="153" t="b">
        <f>+OR(COUNTIF(PROVEEDORES[[#This Row],[PROVEEDOR]],"*"&amp;'Palabra que no opera y Listas d'!$A$2&amp;"*"))</f>
        <v>0</v>
      </c>
    </row>
    <row r="952" spans="1:26" ht="27.75" customHeight="1" x14ac:dyDescent="0.3">
      <c r="A952" s="144" t="str">
        <f>+IF(PROVEEDORES[[#This Row],[FECHA DE PAGO]]=PROVEEDORES[[#This Row],[FECHA DE FACTURACIÓN]],"DE CONTADO","CRÉDITO")</f>
        <v>CRÉDITO</v>
      </c>
      <c r="B952" s="144" t="str">
        <f>+IF((PROVEEDORES[[#This Row],[FECHA DE PAGO]]-PROVEEDORES[[#This Row],[FECHA DE FACTURACIÓN]])&gt;PROVEEDORES[[#This Row],[PLAZO Días]],"PAGO VENCIDO")</f>
        <v>PAGO VENCIDO</v>
      </c>
      <c r="C952" s="144">
        <f>+VLOOKUP(PROVEEDORES[[#This Row],[PROVEEDOR]],TERCEROS_INFO[#All],2,FALSE)</f>
        <v>0</v>
      </c>
      <c r="D952" s="145">
        <f>+SUMIFS(PROVEEDORES[Total],PROVEEDORES[PROVEEDOR],PROVEEDORES[[#This Row],[PROVEEDOR]],PROVEEDORES[FECHA DE PAGO],"")</f>
        <v>9343197</v>
      </c>
      <c r="E952" s="146"/>
      <c r="F952" s="144" t="str">
        <f>+VLOOKUP(PROVEEDORES[[#This Row],[PROVEEDOR]],
                       Terceros!$A:$G,
                       5,
                       FALSE)</f>
        <v>2,5% con base</v>
      </c>
      <c r="G952" s="122">
        <v>45257</v>
      </c>
      <c r="H952" s="102" t="s">
        <v>466</v>
      </c>
      <c r="I952" s="122">
        <v>45200</v>
      </c>
      <c r="J952" s="103" t="s">
        <v>506</v>
      </c>
      <c r="K952" s="103" t="s">
        <v>1512</v>
      </c>
      <c r="L952" s="103"/>
      <c r="M952" s="105">
        <v>-310017</v>
      </c>
      <c r="N952" s="147">
        <v>-58903.23</v>
      </c>
      <c r="O952" s="147">
        <v>0</v>
      </c>
      <c r="P952" s="148">
        <v>0</v>
      </c>
      <c r="Q952" s="147">
        <v>0</v>
      </c>
      <c r="R952" s="149">
        <v>-368920.23</v>
      </c>
      <c r="S9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2" s="150">
        <f ca="1">+IF(PROVEEDORES[[#This Row],[FECHA DE PAGO]]=0,TODAY()-PROVEEDORES[[#This Row],[FECHA DE FACTURACIÓN]]-PROVEEDORES[[#This Row],[PLAZO Días]],0)</f>
        <v>0</v>
      </c>
      <c r="U952" s="150">
        <f>+VLOOKUP(PROVEEDORES[[#This Row],[PROVEEDOR]],Terceros!$A:$E,4,FALSE)</f>
        <v>0.19</v>
      </c>
      <c r="V952" s="150">
        <f>+YEAR(PROVEEDORES[[#This Row],[FECHA DE FACTURACIÓN]])</f>
        <v>2023</v>
      </c>
      <c r="W952" s="150">
        <f>+MATCH(PROVEEDORES[[#This Row],[año facturado]],Retenciones!$1:$1,0)</f>
        <v>6</v>
      </c>
      <c r="X952" s="151" t="e">
        <f>+VLOOKUP(PROVEEDORES[[#This Row],[ID RETENCION]],Retenciones!$A$1:$O$25,PROVEEDORES[[#This Row],[indicador de columna]],FALSE)</f>
        <v>#N/A</v>
      </c>
      <c r="Y952" s="152" t="e">
        <f>+VLOOKUP(PROVEEDORES[[#This Row],[ID RETENCION]],Retenciones!$A$1:$O$25,2,FALSE)</f>
        <v>#N/A</v>
      </c>
      <c r="Z952" s="153" t="b">
        <f>+OR(COUNTIF(PROVEEDORES[[#This Row],[PROVEEDOR]],"*"&amp;'Palabra que no opera y Listas d'!$A$2&amp;"*"))</f>
        <v>0</v>
      </c>
    </row>
    <row r="953" spans="1:26" ht="27.75" customHeight="1" x14ac:dyDescent="0.3">
      <c r="A953" s="144" t="str">
        <f>+IF(PROVEEDORES[[#This Row],[FECHA DE PAGO]]=PROVEEDORES[[#This Row],[FECHA DE FACTURACIÓN]],"DE CONTADO","CRÉDITO")</f>
        <v>CRÉDITO</v>
      </c>
      <c r="B953" s="144" t="str">
        <f>+IF((PROVEEDORES[[#This Row],[FECHA DE PAGO]]-PROVEEDORES[[#This Row],[FECHA DE FACTURACIÓN]])&gt;PROVEEDORES[[#This Row],[PLAZO Días]],"PAGO VENCIDO")</f>
        <v>PAGO VENCIDO</v>
      </c>
      <c r="C953" s="144">
        <f>+VLOOKUP(PROVEEDORES[[#This Row],[PROVEEDOR]],TERCEROS_INFO[#All],2,FALSE)</f>
        <v>0</v>
      </c>
      <c r="D953" s="145">
        <f>+SUMIFS(PROVEEDORES[Total],PROVEEDORES[PROVEEDOR],PROVEEDORES[[#This Row],[PROVEEDOR]],PROVEEDORES[FECHA DE PAGO],"")</f>
        <v>9343197</v>
      </c>
      <c r="E953" s="146"/>
      <c r="F953" s="144" t="str">
        <f>+VLOOKUP(PROVEEDORES[[#This Row],[PROVEEDOR]],
                       Terceros!$A:$G,
                       5,
                       FALSE)</f>
        <v>2,5% con base</v>
      </c>
      <c r="G953" s="122">
        <v>45257</v>
      </c>
      <c r="H953" s="102" t="s">
        <v>466</v>
      </c>
      <c r="I953" s="122">
        <v>45203</v>
      </c>
      <c r="J953" s="103" t="s">
        <v>1095</v>
      </c>
      <c r="K953" s="103" t="s">
        <v>1512</v>
      </c>
      <c r="L953" s="103"/>
      <c r="M953" s="105">
        <v>4116710</v>
      </c>
      <c r="N953" s="147">
        <v>782174.9</v>
      </c>
      <c r="O953" s="147">
        <v>0</v>
      </c>
      <c r="P953" s="148">
        <v>2.5000000000000001E-2</v>
      </c>
      <c r="Q953" s="147">
        <v>102917.75</v>
      </c>
      <c r="R953" s="149">
        <v>4795967.1500000004</v>
      </c>
      <c r="S9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3" s="150">
        <f ca="1">+IF(PROVEEDORES[[#This Row],[FECHA DE PAGO]]=0,TODAY()-PROVEEDORES[[#This Row],[FECHA DE FACTURACIÓN]]-PROVEEDORES[[#This Row],[PLAZO Días]],0)</f>
        <v>0</v>
      </c>
      <c r="U953" s="150">
        <f>+VLOOKUP(PROVEEDORES[[#This Row],[PROVEEDOR]],Terceros!$A:$E,4,FALSE)</f>
        <v>0.19</v>
      </c>
      <c r="V953" s="150">
        <f>+YEAR(PROVEEDORES[[#This Row],[FECHA DE FACTURACIÓN]])</f>
        <v>2023</v>
      </c>
      <c r="W953" s="150">
        <f>+MATCH(PROVEEDORES[[#This Row],[año facturado]],Retenciones!$1:$1,0)</f>
        <v>6</v>
      </c>
      <c r="X953" s="151" t="e">
        <f>+VLOOKUP(PROVEEDORES[[#This Row],[ID RETENCION]],Retenciones!$A$1:$O$25,PROVEEDORES[[#This Row],[indicador de columna]],FALSE)</f>
        <v>#N/A</v>
      </c>
      <c r="Y953" s="152" t="e">
        <f>+VLOOKUP(PROVEEDORES[[#This Row],[ID RETENCION]],Retenciones!$A$1:$O$25,2,FALSE)</f>
        <v>#N/A</v>
      </c>
      <c r="Z953" s="153" t="b">
        <f>+OR(COUNTIF(PROVEEDORES[[#This Row],[PROVEEDOR]],"*"&amp;'Palabra que no opera y Listas d'!$A$2&amp;"*"))</f>
        <v>0</v>
      </c>
    </row>
    <row r="954" spans="1:26" ht="27.75" customHeight="1" x14ac:dyDescent="0.3">
      <c r="A954" s="144" t="str">
        <f>+IF(PROVEEDORES[[#This Row],[FECHA DE PAGO]]=PROVEEDORES[[#This Row],[FECHA DE FACTURACIÓN]],"DE CONTADO","CRÉDITO")</f>
        <v>CRÉDITO</v>
      </c>
      <c r="B954" s="144" t="str">
        <f>+IF((PROVEEDORES[[#This Row],[FECHA DE PAGO]]-PROVEEDORES[[#This Row],[FECHA DE FACTURACIÓN]])&gt;PROVEEDORES[[#This Row],[PLAZO Días]],"PAGO VENCIDO")</f>
        <v>PAGO VENCIDO</v>
      </c>
      <c r="C954" s="144">
        <f>+VLOOKUP(PROVEEDORES[[#This Row],[PROVEEDOR]],TERCEROS_INFO[#All],2,FALSE)</f>
        <v>0</v>
      </c>
      <c r="D954" s="145">
        <f>+SUMIFS(PROVEEDORES[Total],PROVEEDORES[PROVEEDOR],PROVEEDORES[[#This Row],[PROVEEDOR]],PROVEEDORES[FECHA DE PAGO],"")</f>
        <v>0</v>
      </c>
      <c r="E954" s="146"/>
      <c r="F954" s="144" t="str">
        <f>+VLOOKUP(PROVEEDORES[[#This Row],[PROVEEDOR]],
                       Terceros!$A:$G,
                       5,
                       FALSE)</f>
        <v>2,5% con base</v>
      </c>
      <c r="G954" s="122">
        <v>45257</v>
      </c>
      <c r="H954" s="102" t="s">
        <v>19</v>
      </c>
      <c r="I954" s="122">
        <v>45208</v>
      </c>
      <c r="J954" s="103" t="s">
        <v>1177</v>
      </c>
      <c r="K954" s="103" t="s">
        <v>1512</v>
      </c>
      <c r="L954" s="103"/>
      <c r="M954" s="105">
        <v>647990</v>
      </c>
      <c r="N954" s="147">
        <v>123118.1</v>
      </c>
      <c r="O954" s="147">
        <v>0</v>
      </c>
      <c r="P954" s="148">
        <v>0</v>
      </c>
      <c r="Q954" s="147">
        <v>0</v>
      </c>
      <c r="R954" s="149">
        <v>771108.1</v>
      </c>
      <c r="S9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4" s="150">
        <f ca="1">+IF(PROVEEDORES[[#This Row],[FECHA DE PAGO]]=0,TODAY()-PROVEEDORES[[#This Row],[FECHA DE FACTURACIÓN]]-PROVEEDORES[[#This Row],[PLAZO Días]],0)</f>
        <v>0</v>
      </c>
      <c r="U954" s="150">
        <f>+VLOOKUP(PROVEEDORES[[#This Row],[PROVEEDOR]],Terceros!$A:$E,4,FALSE)</f>
        <v>0.19</v>
      </c>
      <c r="V954" s="150">
        <f>+YEAR(PROVEEDORES[[#This Row],[FECHA DE FACTURACIÓN]])</f>
        <v>2023</v>
      </c>
      <c r="W954" s="150">
        <f>+MATCH(PROVEEDORES[[#This Row],[año facturado]],Retenciones!$1:$1,0)</f>
        <v>6</v>
      </c>
      <c r="X954" s="151" t="e">
        <f>+VLOOKUP(PROVEEDORES[[#This Row],[ID RETENCION]],Retenciones!$A$1:$O$25,PROVEEDORES[[#This Row],[indicador de columna]],FALSE)</f>
        <v>#N/A</v>
      </c>
      <c r="Y954" s="152" t="e">
        <f>+VLOOKUP(PROVEEDORES[[#This Row],[ID RETENCION]],Retenciones!$A$1:$O$25,2,FALSE)</f>
        <v>#N/A</v>
      </c>
      <c r="Z954" s="153" t="b">
        <f>+OR(COUNTIF(PROVEEDORES[[#This Row],[PROVEEDOR]],"*"&amp;'Palabra que no opera y Listas d'!$A$2&amp;"*"))</f>
        <v>0</v>
      </c>
    </row>
    <row r="955" spans="1:26" ht="27.75" customHeight="1" x14ac:dyDescent="0.3">
      <c r="A955" s="144" t="str">
        <f>+IF(PROVEEDORES[[#This Row],[FECHA DE PAGO]]=PROVEEDORES[[#This Row],[FECHA DE FACTURACIÓN]],"DE CONTADO","CRÉDITO")</f>
        <v>CRÉDITO</v>
      </c>
      <c r="B955" s="144" t="str">
        <f>+IF((PROVEEDORES[[#This Row],[FECHA DE PAGO]]-PROVEEDORES[[#This Row],[FECHA DE FACTURACIÓN]])&gt;PROVEEDORES[[#This Row],[PLAZO Días]],"PAGO VENCIDO")</f>
        <v>PAGO VENCIDO</v>
      </c>
      <c r="C955" s="144">
        <f>+VLOOKUP(PROVEEDORES[[#This Row],[PROVEEDOR]],TERCEROS_INFO[#All],2,FALSE)</f>
        <v>0</v>
      </c>
      <c r="D955" s="145">
        <f>+SUMIFS(PROVEEDORES[Total],PROVEEDORES[PROVEEDOR],PROVEEDORES[[#This Row],[PROVEEDOR]],PROVEEDORES[FECHA DE PAGO],"")</f>
        <v>0</v>
      </c>
      <c r="E955" s="146"/>
      <c r="F955" s="144" t="str">
        <f>+VLOOKUP(PROVEEDORES[[#This Row],[PROVEEDOR]],
                       Terceros!$A:$G,
                       5,
                       FALSE)</f>
        <v>2,5% con base</v>
      </c>
      <c r="G955" s="122">
        <v>45257</v>
      </c>
      <c r="H955" s="102" t="s">
        <v>19</v>
      </c>
      <c r="I955" s="122">
        <v>45208</v>
      </c>
      <c r="J955" s="103" t="s">
        <v>1178</v>
      </c>
      <c r="K955" s="103" t="s">
        <v>1512</v>
      </c>
      <c r="L955" s="103"/>
      <c r="M955" s="105">
        <v>944000</v>
      </c>
      <c r="N955" s="147">
        <v>179360</v>
      </c>
      <c r="O955" s="147">
        <v>0</v>
      </c>
      <c r="P955" s="148">
        <v>0</v>
      </c>
      <c r="Q955" s="147">
        <v>0</v>
      </c>
      <c r="R955" s="149">
        <v>1123360</v>
      </c>
      <c r="S9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5" s="150">
        <f ca="1">+IF(PROVEEDORES[[#This Row],[FECHA DE PAGO]]=0,TODAY()-PROVEEDORES[[#This Row],[FECHA DE FACTURACIÓN]]-PROVEEDORES[[#This Row],[PLAZO Días]],0)</f>
        <v>0</v>
      </c>
      <c r="U955" s="150">
        <f>+VLOOKUP(PROVEEDORES[[#This Row],[PROVEEDOR]],Terceros!$A:$E,4,FALSE)</f>
        <v>0.19</v>
      </c>
      <c r="V955" s="150">
        <f>+YEAR(PROVEEDORES[[#This Row],[FECHA DE FACTURACIÓN]])</f>
        <v>2023</v>
      </c>
      <c r="W955" s="150">
        <f>+MATCH(PROVEEDORES[[#This Row],[año facturado]],Retenciones!$1:$1,0)</f>
        <v>6</v>
      </c>
      <c r="X955" s="151" t="e">
        <f>+VLOOKUP(PROVEEDORES[[#This Row],[ID RETENCION]],Retenciones!$A$1:$O$25,PROVEEDORES[[#This Row],[indicador de columna]],FALSE)</f>
        <v>#N/A</v>
      </c>
      <c r="Y955" s="152" t="e">
        <f>+VLOOKUP(PROVEEDORES[[#This Row],[ID RETENCION]],Retenciones!$A$1:$O$25,2,FALSE)</f>
        <v>#N/A</v>
      </c>
      <c r="Z955" s="153" t="b">
        <f>+OR(COUNTIF(PROVEEDORES[[#This Row],[PROVEEDOR]],"*"&amp;'Palabra que no opera y Listas d'!$A$2&amp;"*"))</f>
        <v>0</v>
      </c>
    </row>
    <row r="956" spans="1:26" ht="27.75" customHeight="1" x14ac:dyDescent="0.3">
      <c r="A956" s="144" t="str">
        <f>+IF(PROVEEDORES[[#This Row],[FECHA DE PAGO]]=PROVEEDORES[[#This Row],[FECHA DE FACTURACIÓN]],"DE CONTADO","CRÉDITO")</f>
        <v>CRÉDITO</v>
      </c>
      <c r="B956" s="144" t="str">
        <f>+IF((PROVEEDORES[[#This Row],[FECHA DE PAGO]]-PROVEEDORES[[#This Row],[FECHA DE FACTURACIÓN]])&gt;PROVEEDORES[[#This Row],[PLAZO Días]],"PAGO VENCIDO")</f>
        <v>PAGO VENCIDO</v>
      </c>
      <c r="C956" s="144">
        <f>+VLOOKUP(PROVEEDORES[[#This Row],[PROVEEDOR]],TERCEROS_INFO[#All],2,FALSE)</f>
        <v>0</v>
      </c>
      <c r="D956" s="145">
        <f>+SUMIFS(PROVEEDORES[Total],PROVEEDORES[PROVEEDOR],PROVEEDORES[[#This Row],[PROVEEDOR]],PROVEEDORES[FECHA DE PAGO],"")</f>
        <v>0</v>
      </c>
      <c r="E956" s="146"/>
      <c r="F956" s="144">
        <f>+VLOOKUP(PROVEEDORES[[#This Row],[PROVEEDOR]],
                       Terceros!$A:$G,
                       5,
                       FALSE)</f>
        <v>0</v>
      </c>
      <c r="G956" s="122">
        <v>45257</v>
      </c>
      <c r="H956" s="102" t="s">
        <v>1176</v>
      </c>
      <c r="I956" s="122">
        <v>45209</v>
      </c>
      <c r="J956" s="103" t="s">
        <v>1160</v>
      </c>
      <c r="K956" s="103" t="s">
        <v>1512</v>
      </c>
      <c r="L956" s="103"/>
      <c r="M956" s="105">
        <v>2224000</v>
      </c>
      <c r="N956" s="147">
        <v>0</v>
      </c>
      <c r="O956" s="147">
        <v>0</v>
      </c>
      <c r="P956" s="148">
        <v>0</v>
      </c>
      <c r="Q956" s="147">
        <v>0</v>
      </c>
      <c r="R956" s="149">
        <v>2224000</v>
      </c>
      <c r="S9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6" s="150">
        <f ca="1">+IF(PROVEEDORES[[#This Row],[FECHA DE PAGO]]=0,TODAY()-PROVEEDORES[[#This Row],[FECHA DE FACTURACIÓN]]-PROVEEDORES[[#This Row],[PLAZO Días]],0)</f>
        <v>0</v>
      </c>
      <c r="U956" s="150">
        <f>+VLOOKUP(PROVEEDORES[[#This Row],[PROVEEDOR]],Terceros!$A:$E,4,FALSE)</f>
        <v>0</v>
      </c>
      <c r="V956" s="150">
        <f>+YEAR(PROVEEDORES[[#This Row],[FECHA DE FACTURACIÓN]])</f>
        <v>2023</v>
      </c>
      <c r="W956" s="150">
        <f>+MATCH(PROVEEDORES[[#This Row],[año facturado]],Retenciones!$1:$1,0)</f>
        <v>6</v>
      </c>
      <c r="X956" s="151">
        <f>+VLOOKUP(PROVEEDORES[[#This Row],[ID RETENCION]],Retenciones!$A$1:$O$25,PROVEEDORES[[#This Row],[indicador de columna]],FALSE)</f>
        <v>0</v>
      </c>
      <c r="Y956" s="152">
        <f>+VLOOKUP(PROVEEDORES[[#This Row],[ID RETENCION]],Retenciones!$A$1:$O$25,2,FALSE)</f>
        <v>0</v>
      </c>
      <c r="Z956" s="153" t="b">
        <f>+OR(COUNTIF(PROVEEDORES[[#This Row],[PROVEEDOR]],"*"&amp;'Palabra que no opera y Listas d'!$A$2&amp;"*"))</f>
        <v>0</v>
      </c>
    </row>
    <row r="957" spans="1:26" ht="27.75" customHeight="1" x14ac:dyDescent="0.3">
      <c r="A957" s="144" t="str">
        <f>+IF(PROVEEDORES[[#This Row],[FECHA DE PAGO]]=PROVEEDORES[[#This Row],[FECHA DE FACTURACIÓN]],"DE CONTADO","CRÉDITO")</f>
        <v>CRÉDITO</v>
      </c>
      <c r="B957" s="144" t="str">
        <f>+IF((PROVEEDORES[[#This Row],[FECHA DE PAGO]]-PROVEEDORES[[#This Row],[FECHA DE FACTURACIÓN]])&gt;PROVEEDORES[[#This Row],[PLAZO Días]],"PAGO VENCIDO")</f>
        <v>PAGO VENCIDO</v>
      </c>
      <c r="C957" s="144">
        <f>+VLOOKUP(PROVEEDORES[[#This Row],[PROVEEDOR]],TERCEROS_INFO[#All],2,FALSE)</f>
        <v>0</v>
      </c>
      <c r="D957" s="145">
        <f>+SUMIFS(PROVEEDORES[Total],PROVEEDORES[PROVEEDOR],PROVEEDORES[[#This Row],[PROVEEDOR]],PROVEEDORES[FECHA DE PAGO],"")</f>
        <v>0</v>
      </c>
      <c r="E957" s="146"/>
      <c r="F957" s="144">
        <f>+VLOOKUP(PROVEEDORES[[#This Row],[PROVEEDOR]],
                       Terceros!$A:$G,
                       5,
                       FALSE)</f>
        <v>0</v>
      </c>
      <c r="G957" s="122">
        <v>45257</v>
      </c>
      <c r="H957" s="102" t="s">
        <v>537</v>
      </c>
      <c r="I957" s="122">
        <v>45210</v>
      </c>
      <c r="J957" s="103" t="s">
        <v>1157</v>
      </c>
      <c r="K957" s="103" t="s">
        <v>1512</v>
      </c>
      <c r="L957" s="103"/>
      <c r="M957" s="105">
        <v>3841000</v>
      </c>
      <c r="N957" s="147">
        <v>0</v>
      </c>
      <c r="O957" s="147">
        <v>0</v>
      </c>
      <c r="P957" s="148">
        <v>0</v>
      </c>
      <c r="Q957" s="147">
        <v>0</v>
      </c>
      <c r="R957" s="149">
        <v>3841000</v>
      </c>
      <c r="S9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7" s="150">
        <f ca="1">+IF(PROVEEDORES[[#This Row],[FECHA DE PAGO]]=0,TODAY()-PROVEEDORES[[#This Row],[FECHA DE FACTURACIÓN]]-PROVEEDORES[[#This Row],[PLAZO Días]],0)</f>
        <v>0</v>
      </c>
      <c r="U957" s="150">
        <f>+VLOOKUP(PROVEEDORES[[#This Row],[PROVEEDOR]],Terceros!$A:$E,4,FALSE)</f>
        <v>0</v>
      </c>
      <c r="V957" s="150">
        <f>+YEAR(PROVEEDORES[[#This Row],[FECHA DE FACTURACIÓN]])</f>
        <v>2023</v>
      </c>
      <c r="W957" s="150">
        <f>+MATCH(PROVEEDORES[[#This Row],[año facturado]],Retenciones!$1:$1,0)</f>
        <v>6</v>
      </c>
      <c r="X957" s="151">
        <f>+VLOOKUP(PROVEEDORES[[#This Row],[ID RETENCION]],Retenciones!$A$1:$O$25,PROVEEDORES[[#This Row],[indicador de columna]],FALSE)</f>
        <v>0</v>
      </c>
      <c r="Y957" s="152">
        <f>+VLOOKUP(PROVEEDORES[[#This Row],[ID RETENCION]],Retenciones!$A$1:$O$25,2,FALSE)</f>
        <v>0</v>
      </c>
      <c r="Z957" s="153" t="b">
        <f>+OR(COUNTIF(PROVEEDORES[[#This Row],[PROVEEDOR]],"*"&amp;'Palabra que no opera y Listas d'!$A$2&amp;"*"))</f>
        <v>0</v>
      </c>
    </row>
    <row r="958" spans="1:26" ht="27.75" customHeight="1" x14ac:dyDescent="0.3">
      <c r="A958" s="144" t="str">
        <f>+IF(PROVEEDORES[[#This Row],[FECHA DE PAGO]]=PROVEEDORES[[#This Row],[FECHA DE FACTURACIÓN]],"DE CONTADO","CRÉDITO")</f>
        <v>CRÉDITO</v>
      </c>
      <c r="B958" s="144" t="str">
        <f>+IF((PROVEEDORES[[#This Row],[FECHA DE PAGO]]-PROVEEDORES[[#This Row],[FECHA DE FACTURACIÓN]])&gt;PROVEEDORES[[#This Row],[PLAZO Días]],"PAGO VENCIDO")</f>
        <v>PAGO VENCIDO</v>
      </c>
      <c r="C958" s="144">
        <f>+VLOOKUP(PROVEEDORES[[#This Row],[PROVEEDOR]],TERCEROS_INFO[#All],2,FALSE)</f>
        <v>0</v>
      </c>
      <c r="D958" s="145">
        <f>+SUMIFS(PROVEEDORES[Total],PROVEEDORES[PROVEEDOR],PROVEEDORES[[#This Row],[PROVEEDOR]],PROVEEDORES[FECHA DE PAGO],"")</f>
        <v>0</v>
      </c>
      <c r="E958" s="146"/>
      <c r="F958" s="144">
        <f>+VLOOKUP(PROVEEDORES[[#This Row],[PROVEEDOR]],
                       Terceros!$A:$G,
                       5,
                       FALSE)</f>
        <v>0</v>
      </c>
      <c r="G958" s="122">
        <v>45257</v>
      </c>
      <c r="H958" s="102" t="s">
        <v>1788</v>
      </c>
      <c r="I958" s="122">
        <v>45218</v>
      </c>
      <c r="J958" s="103" t="s">
        <v>1153</v>
      </c>
      <c r="K958" s="103" t="s">
        <v>1512</v>
      </c>
      <c r="L958" s="103"/>
      <c r="M958" s="105">
        <v>425000</v>
      </c>
      <c r="N958" s="147">
        <v>0</v>
      </c>
      <c r="O958" s="147">
        <v>0</v>
      </c>
      <c r="P958" s="148">
        <v>0</v>
      </c>
      <c r="Q958" s="147">
        <v>0</v>
      </c>
      <c r="R958" s="149">
        <v>425000</v>
      </c>
      <c r="S9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8" s="150">
        <f ca="1">+IF(PROVEEDORES[[#This Row],[FECHA DE PAGO]]=0,TODAY()-PROVEEDORES[[#This Row],[FECHA DE FACTURACIÓN]]-PROVEEDORES[[#This Row],[PLAZO Días]],0)</f>
        <v>0</v>
      </c>
      <c r="U958" s="150">
        <f>+VLOOKUP(PROVEEDORES[[#This Row],[PROVEEDOR]],Terceros!$A:$E,4,FALSE)</f>
        <v>0</v>
      </c>
      <c r="V958" s="150">
        <f>+YEAR(PROVEEDORES[[#This Row],[FECHA DE FACTURACIÓN]])</f>
        <v>2023</v>
      </c>
      <c r="W958" s="150">
        <f>+MATCH(PROVEEDORES[[#This Row],[año facturado]],Retenciones!$1:$1,0)</f>
        <v>6</v>
      </c>
      <c r="X958" s="151">
        <f>+VLOOKUP(PROVEEDORES[[#This Row],[ID RETENCION]],Retenciones!$A$1:$O$25,PROVEEDORES[[#This Row],[indicador de columna]],FALSE)</f>
        <v>0</v>
      </c>
      <c r="Y958" s="152">
        <f>+VLOOKUP(PROVEEDORES[[#This Row],[ID RETENCION]],Retenciones!$A$1:$O$25,2,FALSE)</f>
        <v>0</v>
      </c>
      <c r="Z958" s="153" t="b">
        <f>+OR(COUNTIF(PROVEEDORES[[#This Row],[PROVEEDOR]],"*"&amp;'Palabra que no opera y Listas d'!$A$2&amp;"*"))</f>
        <v>0</v>
      </c>
    </row>
    <row r="959" spans="1:26" ht="27.75" customHeight="1" x14ac:dyDescent="0.3">
      <c r="A959" s="144" t="str">
        <f>+IF(PROVEEDORES[[#This Row],[FECHA DE PAGO]]=PROVEEDORES[[#This Row],[FECHA DE FACTURACIÓN]],"DE CONTADO","CRÉDITO")</f>
        <v>CRÉDITO</v>
      </c>
      <c r="B959" s="144" t="str">
        <f>+IF((PROVEEDORES[[#This Row],[FECHA DE PAGO]]-PROVEEDORES[[#This Row],[FECHA DE FACTURACIÓN]])&gt;PROVEEDORES[[#This Row],[PLAZO Días]],"PAGO VENCIDO")</f>
        <v>PAGO VENCIDO</v>
      </c>
      <c r="C959" s="144">
        <f>+VLOOKUP(PROVEEDORES[[#This Row],[PROVEEDOR]],TERCEROS_INFO[#All],2,FALSE)</f>
        <v>0</v>
      </c>
      <c r="D959" s="145">
        <f>+SUMIFS(PROVEEDORES[Total],PROVEEDORES[PROVEEDOR],PROVEEDORES[[#This Row],[PROVEEDOR]],PROVEEDORES[FECHA DE PAGO],"")</f>
        <v>0</v>
      </c>
      <c r="E959" s="146"/>
      <c r="F959" s="144" t="str">
        <f>+VLOOKUP(PROVEEDORES[[#This Row],[PROVEEDOR]],
                       Terceros!$A:$G,
                       5,
                       FALSE)</f>
        <v>2,5% con base</v>
      </c>
      <c r="G959" s="122">
        <v>45257</v>
      </c>
      <c r="H959" s="102" t="s">
        <v>19</v>
      </c>
      <c r="I959" s="122">
        <v>45219</v>
      </c>
      <c r="J959" s="103" t="s">
        <v>1179</v>
      </c>
      <c r="K959" s="103" t="s">
        <v>1512</v>
      </c>
      <c r="L959" s="103"/>
      <c r="M959" s="105">
        <v>1442750</v>
      </c>
      <c r="N959" s="147">
        <v>274122.5</v>
      </c>
      <c r="O959" s="147">
        <v>0</v>
      </c>
      <c r="P959" s="148">
        <v>2.5000000000000001E-2</v>
      </c>
      <c r="Q959" s="147">
        <v>36068.75</v>
      </c>
      <c r="R959" s="149">
        <v>1680803.75</v>
      </c>
      <c r="S9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9" s="150">
        <f ca="1">+IF(PROVEEDORES[[#This Row],[FECHA DE PAGO]]=0,TODAY()-PROVEEDORES[[#This Row],[FECHA DE FACTURACIÓN]]-PROVEEDORES[[#This Row],[PLAZO Días]],0)</f>
        <v>0</v>
      </c>
      <c r="U959" s="150">
        <f>+VLOOKUP(PROVEEDORES[[#This Row],[PROVEEDOR]],Terceros!$A:$E,4,FALSE)</f>
        <v>0.19</v>
      </c>
      <c r="V959" s="150">
        <f>+YEAR(PROVEEDORES[[#This Row],[FECHA DE FACTURACIÓN]])</f>
        <v>2023</v>
      </c>
      <c r="W959" s="150">
        <f>+MATCH(PROVEEDORES[[#This Row],[año facturado]],Retenciones!$1:$1,0)</f>
        <v>6</v>
      </c>
      <c r="X959" s="151" t="e">
        <f>+VLOOKUP(PROVEEDORES[[#This Row],[ID RETENCION]],Retenciones!$A$1:$O$25,PROVEEDORES[[#This Row],[indicador de columna]],FALSE)</f>
        <v>#N/A</v>
      </c>
      <c r="Y959" s="152" t="e">
        <f>+VLOOKUP(PROVEEDORES[[#This Row],[ID RETENCION]],Retenciones!$A$1:$O$25,2,FALSE)</f>
        <v>#N/A</v>
      </c>
      <c r="Z959" s="153" t="b">
        <f>+OR(COUNTIF(PROVEEDORES[[#This Row],[PROVEEDOR]],"*"&amp;'Palabra que no opera y Listas d'!$A$2&amp;"*"))</f>
        <v>0</v>
      </c>
    </row>
    <row r="960" spans="1:26" ht="27.75" customHeight="1" x14ac:dyDescent="0.3">
      <c r="A960" s="144" t="str">
        <f>+IF(PROVEEDORES[[#This Row],[FECHA DE PAGO]]=PROVEEDORES[[#This Row],[FECHA DE FACTURACIÓN]],"DE CONTADO","CRÉDITO")</f>
        <v>CRÉDITO</v>
      </c>
      <c r="B960" s="144" t="str">
        <f>+IF((PROVEEDORES[[#This Row],[FECHA DE PAGO]]-PROVEEDORES[[#This Row],[FECHA DE FACTURACIÓN]])&gt;PROVEEDORES[[#This Row],[PLAZO Días]],"PAGO VENCIDO")</f>
        <v>PAGO VENCIDO</v>
      </c>
      <c r="C960" s="144">
        <f>+VLOOKUP(PROVEEDORES[[#This Row],[PROVEEDOR]],TERCEROS_INFO[#All],2,FALSE)</f>
        <v>0</v>
      </c>
      <c r="D960" s="145">
        <f>+SUMIFS(PROVEEDORES[Total],PROVEEDORES[PROVEEDOR],PROVEEDORES[[#This Row],[PROVEEDOR]],PROVEEDORES[FECHA DE PAGO],"")</f>
        <v>0</v>
      </c>
      <c r="E960" s="146"/>
      <c r="F960" s="144">
        <f>+VLOOKUP(PROVEEDORES[[#This Row],[PROVEEDOR]],
                       Terceros!$A:$G,
                       5,
                       FALSE)</f>
        <v>0</v>
      </c>
      <c r="G960" s="122">
        <v>45257</v>
      </c>
      <c r="H960" s="102" t="s">
        <v>1792</v>
      </c>
      <c r="I960" s="122">
        <v>45231</v>
      </c>
      <c r="J960" s="103" t="s">
        <v>1216</v>
      </c>
      <c r="K960" s="103" t="s">
        <v>1512</v>
      </c>
      <c r="L960" s="103"/>
      <c r="M960" s="105">
        <v>440000</v>
      </c>
      <c r="N960" s="147">
        <v>0</v>
      </c>
      <c r="O960" s="147">
        <v>0</v>
      </c>
      <c r="P960" s="148">
        <v>0</v>
      </c>
      <c r="Q960" s="147">
        <v>0</v>
      </c>
      <c r="R960" s="149">
        <v>440000</v>
      </c>
      <c r="S9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0" s="150">
        <f ca="1">+IF(PROVEEDORES[[#This Row],[FECHA DE PAGO]]=0,TODAY()-PROVEEDORES[[#This Row],[FECHA DE FACTURACIÓN]]-PROVEEDORES[[#This Row],[PLAZO Días]],0)</f>
        <v>0</v>
      </c>
      <c r="U960" s="150">
        <f>+VLOOKUP(PROVEEDORES[[#This Row],[PROVEEDOR]],Terceros!$A:$E,4,FALSE)</f>
        <v>0</v>
      </c>
      <c r="V960" s="150">
        <f>+YEAR(PROVEEDORES[[#This Row],[FECHA DE FACTURACIÓN]])</f>
        <v>2023</v>
      </c>
      <c r="W960" s="150">
        <f>+MATCH(PROVEEDORES[[#This Row],[año facturado]],Retenciones!$1:$1,0)</f>
        <v>6</v>
      </c>
      <c r="X960" s="151">
        <f>+VLOOKUP(PROVEEDORES[[#This Row],[ID RETENCION]],Retenciones!$A$1:$O$25,PROVEEDORES[[#This Row],[indicador de columna]],FALSE)</f>
        <v>0</v>
      </c>
      <c r="Y960" s="152">
        <f>+VLOOKUP(PROVEEDORES[[#This Row],[ID RETENCION]],Retenciones!$A$1:$O$25,2,FALSE)</f>
        <v>0</v>
      </c>
      <c r="Z960" s="153" t="b">
        <f>+OR(COUNTIF(PROVEEDORES[[#This Row],[PROVEEDOR]],"*"&amp;'Palabra que no opera y Listas d'!$A$2&amp;"*"))</f>
        <v>0</v>
      </c>
    </row>
    <row r="961" spans="1:26" ht="27.75" customHeight="1" x14ac:dyDescent="0.3">
      <c r="A961" s="144" t="str">
        <f>+IF(PROVEEDORES[[#This Row],[FECHA DE PAGO]]=PROVEEDORES[[#This Row],[FECHA DE FACTURACIÓN]],"DE CONTADO","CRÉDITO")</f>
        <v>DE CONTADO</v>
      </c>
      <c r="B961" s="144" t="b">
        <f>+IF((PROVEEDORES[[#This Row],[FECHA DE PAGO]]-PROVEEDORES[[#This Row],[FECHA DE FACTURACIÓN]])&gt;PROVEEDORES[[#This Row],[PLAZO Días]],"PAGO VENCIDO")</f>
        <v>0</v>
      </c>
      <c r="C961" s="144">
        <f>+VLOOKUP(PROVEEDORES[[#This Row],[PROVEEDOR]],TERCEROS_INFO[#All],2,FALSE)</f>
        <v>0</v>
      </c>
      <c r="D961" s="145">
        <f>+SUMIFS(PROVEEDORES[Total],PROVEEDORES[PROVEEDOR],PROVEEDORES[[#This Row],[PROVEEDOR]],PROVEEDORES[FECHA DE PAGO],"")</f>
        <v>0</v>
      </c>
      <c r="E961" s="146"/>
      <c r="F961" s="144">
        <f>+VLOOKUP(PROVEEDORES[[#This Row],[PROVEEDOR]],
                       Terceros!$A:$G,
                       5,
                       FALSE)</f>
        <v>0</v>
      </c>
      <c r="G961" s="122">
        <v>45259</v>
      </c>
      <c r="H961" s="102" t="s">
        <v>50</v>
      </c>
      <c r="I961" s="122">
        <v>45259</v>
      </c>
      <c r="J961" s="103" t="s">
        <v>1292</v>
      </c>
      <c r="K961" s="103" t="s">
        <v>1512</v>
      </c>
      <c r="L961" s="103"/>
      <c r="M961" s="105">
        <v>247000</v>
      </c>
      <c r="N961" s="147">
        <v>0</v>
      </c>
      <c r="O961" s="147">
        <v>0</v>
      </c>
      <c r="P961" s="148">
        <v>0</v>
      </c>
      <c r="Q961" s="147">
        <v>0</v>
      </c>
      <c r="R961" s="149">
        <v>247000</v>
      </c>
      <c r="S9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1" s="150">
        <f ca="1">+IF(PROVEEDORES[[#This Row],[FECHA DE PAGO]]=0,TODAY()-PROVEEDORES[[#This Row],[FECHA DE FACTURACIÓN]]-PROVEEDORES[[#This Row],[PLAZO Días]],0)</f>
        <v>0</v>
      </c>
      <c r="U961" s="150">
        <f>+VLOOKUP(PROVEEDORES[[#This Row],[PROVEEDOR]],Terceros!$A:$E,4,FALSE)</f>
        <v>0</v>
      </c>
      <c r="V961" s="150">
        <f>+YEAR(PROVEEDORES[[#This Row],[FECHA DE FACTURACIÓN]])</f>
        <v>2023</v>
      </c>
      <c r="W961" s="150">
        <f>+MATCH(PROVEEDORES[[#This Row],[año facturado]],Retenciones!$1:$1,0)</f>
        <v>6</v>
      </c>
      <c r="X961" s="151">
        <f>+VLOOKUP(PROVEEDORES[[#This Row],[ID RETENCION]],Retenciones!$A$1:$O$25,PROVEEDORES[[#This Row],[indicador de columna]],FALSE)</f>
        <v>0</v>
      </c>
      <c r="Y961" s="152">
        <f>+VLOOKUP(PROVEEDORES[[#This Row],[ID RETENCION]],Retenciones!$A$1:$O$25,2,FALSE)</f>
        <v>0</v>
      </c>
      <c r="Z961" s="153" t="b">
        <f>+OR(COUNTIF(PROVEEDORES[[#This Row],[PROVEEDOR]],"*"&amp;'Palabra que no opera y Listas d'!$A$2&amp;"*"))</f>
        <v>0</v>
      </c>
    </row>
    <row r="962" spans="1:26" ht="27.75" customHeight="1" x14ac:dyDescent="0.3">
      <c r="A962" s="144" t="str">
        <f>+IF(PROVEEDORES[[#This Row],[FECHA DE PAGO]]=PROVEEDORES[[#This Row],[FECHA DE FACTURACIÓN]],"DE CONTADO","CRÉDITO")</f>
        <v>DE CONTADO</v>
      </c>
      <c r="B962" s="144" t="b">
        <f>+IF((PROVEEDORES[[#This Row],[FECHA DE PAGO]]-PROVEEDORES[[#This Row],[FECHA DE FACTURACIÓN]])&gt;PROVEEDORES[[#This Row],[PLAZO Días]],"PAGO VENCIDO")</f>
        <v>0</v>
      </c>
      <c r="C962" s="144">
        <f>+VLOOKUP(PROVEEDORES[[#This Row],[PROVEEDOR]],TERCEROS_INFO[#All],2,FALSE)</f>
        <v>0</v>
      </c>
      <c r="D962" s="145">
        <f>+SUMIFS(PROVEEDORES[Total],PROVEEDORES[PROVEEDOR],PROVEEDORES[[#This Row],[PROVEEDOR]],PROVEEDORES[FECHA DE PAGO],"")</f>
        <v>0</v>
      </c>
      <c r="E962" s="146"/>
      <c r="F962" s="144">
        <f>+VLOOKUP(PROVEEDORES[[#This Row],[PROVEEDOR]],
                       Terceros!$A:$G,
                       5,
                       FALSE)</f>
        <v>0</v>
      </c>
      <c r="G962" s="122">
        <v>45259</v>
      </c>
      <c r="H962" s="102" t="s">
        <v>50</v>
      </c>
      <c r="I962" s="122">
        <v>45259</v>
      </c>
      <c r="J962" s="103" t="s">
        <v>1292</v>
      </c>
      <c r="K962" s="103" t="s">
        <v>1512</v>
      </c>
      <c r="L962" s="103"/>
      <c r="M962" s="105">
        <v>25180000</v>
      </c>
      <c r="N962" s="147">
        <v>0</v>
      </c>
      <c r="O962" s="147">
        <v>0</v>
      </c>
      <c r="P962" s="148">
        <v>0</v>
      </c>
      <c r="Q962" s="147">
        <v>0</v>
      </c>
      <c r="R962" s="149">
        <v>25180000</v>
      </c>
      <c r="S9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2" s="150">
        <f ca="1">+IF(PROVEEDORES[[#This Row],[FECHA DE PAGO]]=0,TODAY()-PROVEEDORES[[#This Row],[FECHA DE FACTURACIÓN]]-PROVEEDORES[[#This Row],[PLAZO Días]],0)</f>
        <v>0</v>
      </c>
      <c r="U962" s="150">
        <f>+VLOOKUP(PROVEEDORES[[#This Row],[PROVEEDOR]],Terceros!$A:$E,4,FALSE)</f>
        <v>0</v>
      </c>
      <c r="V962" s="150">
        <f>+YEAR(PROVEEDORES[[#This Row],[FECHA DE FACTURACIÓN]])</f>
        <v>2023</v>
      </c>
      <c r="W962" s="150">
        <f>+MATCH(PROVEEDORES[[#This Row],[año facturado]],Retenciones!$1:$1,0)</f>
        <v>6</v>
      </c>
      <c r="X962" s="151">
        <f>+VLOOKUP(PROVEEDORES[[#This Row],[ID RETENCION]],Retenciones!$A$1:$O$25,PROVEEDORES[[#This Row],[indicador de columna]],FALSE)</f>
        <v>0</v>
      </c>
      <c r="Y962" s="152">
        <f>+VLOOKUP(PROVEEDORES[[#This Row],[ID RETENCION]],Retenciones!$A$1:$O$25,2,FALSE)</f>
        <v>0</v>
      </c>
      <c r="Z962" s="153" t="b">
        <f>+OR(COUNTIF(PROVEEDORES[[#This Row],[PROVEEDOR]],"*"&amp;'Palabra que no opera y Listas d'!$A$2&amp;"*"))</f>
        <v>0</v>
      </c>
    </row>
    <row r="963" spans="1:26" ht="27.75" customHeight="1" x14ac:dyDescent="0.3">
      <c r="A963" s="144" t="str">
        <f>+IF(PROVEEDORES[[#This Row],[FECHA DE PAGO]]=PROVEEDORES[[#This Row],[FECHA DE FACTURACIÓN]],"DE CONTADO","CRÉDITO")</f>
        <v>DE CONTADO</v>
      </c>
      <c r="B963" s="144" t="b">
        <f>+IF((PROVEEDORES[[#This Row],[FECHA DE PAGO]]-PROVEEDORES[[#This Row],[FECHA DE FACTURACIÓN]])&gt;PROVEEDORES[[#This Row],[PLAZO Días]],"PAGO VENCIDO")</f>
        <v>0</v>
      </c>
      <c r="C963" s="144">
        <f>+VLOOKUP(PROVEEDORES[[#This Row],[PROVEEDOR]],TERCEROS_INFO[#All],2,FALSE)</f>
        <v>0</v>
      </c>
      <c r="D963" s="145">
        <f>+SUMIFS(PROVEEDORES[Total],PROVEEDORES[PROVEEDOR],PROVEEDORES[[#This Row],[PROVEEDOR]],PROVEEDORES[FECHA DE PAGO],"")</f>
        <v>0</v>
      </c>
      <c r="E963" s="146"/>
      <c r="F963" s="144">
        <f>+VLOOKUP(PROVEEDORES[[#This Row],[PROVEEDOR]],
                       Terceros!$A:$G,
                       5,
                       FALSE)</f>
        <v>0</v>
      </c>
      <c r="G963" s="122">
        <v>45259</v>
      </c>
      <c r="H963" s="102" t="s">
        <v>50</v>
      </c>
      <c r="I963" s="122">
        <v>45259</v>
      </c>
      <c r="J963" s="103" t="s">
        <v>1292</v>
      </c>
      <c r="K963" s="103" t="s">
        <v>1512</v>
      </c>
      <c r="L963" s="103"/>
      <c r="M963" s="105">
        <v>437000</v>
      </c>
      <c r="N963" s="147">
        <v>0</v>
      </c>
      <c r="O963" s="147">
        <v>0</v>
      </c>
      <c r="P963" s="148">
        <v>0</v>
      </c>
      <c r="Q963" s="147">
        <v>0</v>
      </c>
      <c r="R963" s="149">
        <v>437000</v>
      </c>
      <c r="S9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3" s="150">
        <f ca="1">+IF(PROVEEDORES[[#This Row],[FECHA DE PAGO]]=0,TODAY()-PROVEEDORES[[#This Row],[FECHA DE FACTURACIÓN]]-PROVEEDORES[[#This Row],[PLAZO Días]],0)</f>
        <v>0</v>
      </c>
      <c r="U963" s="150">
        <f>+VLOOKUP(PROVEEDORES[[#This Row],[PROVEEDOR]],Terceros!$A:$E,4,FALSE)</f>
        <v>0</v>
      </c>
      <c r="V963" s="150">
        <f>+YEAR(PROVEEDORES[[#This Row],[FECHA DE FACTURACIÓN]])</f>
        <v>2023</v>
      </c>
      <c r="W963" s="150">
        <f>+MATCH(PROVEEDORES[[#This Row],[año facturado]],Retenciones!$1:$1,0)</f>
        <v>6</v>
      </c>
      <c r="X963" s="151">
        <f>+VLOOKUP(PROVEEDORES[[#This Row],[ID RETENCION]],Retenciones!$A$1:$O$25,PROVEEDORES[[#This Row],[indicador de columna]],FALSE)</f>
        <v>0</v>
      </c>
      <c r="Y963" s="152">
        <f>+VLOOKUP(PROVEEDORES[[#This Row],[ID RETENCION]],Retenciones!$A$1:$O$25,2,FALSE)</f>
        <v>0</v>
      </c>
      <c r="Z963" s="153" t="b">
        <f>+OR(COUNTIF(PROVEEDORES[[#This Row],[PROVEEDOR]],"*"&amp;'Palabra que no opera y Listas d'!$A$2&amp;"*"))</f>
        <v>0</v>
      </c>
    </row>
    <row r="964" spans="1:26" ht="27.75" customHeight="1" x14ac:dyDescent="0.3">
      <c r="A964" s="144" t="str">
        <f>+IF(PROVEEDORES[[#This Row],[FECHA DE PAGO]]=PROVEEDORES[[#This Row],[FECHA DE FACTURACIÓN]],"DE CONTADO","CRÉDITO")</f>
        <v>DE CONTADO</v>
      </c>
      <c r="B964" s="144" t="b">
        <f>+IF((PROVEEDORES[[#This Row],[FECHA DE PAGO]]-PROVEEDORES[[#This Row],[FECHA DE FACTURACIÓN]])&gt;PROVEEDORES[[#This Row],[PLAZO Días]],"PAGO VENCIDO")</f>
        <v>0</v>
      </c>
      <c r="C964" s="144">
        <f>+VLOOKUP(PROVEEDORES[[#This Row],[PROVEEDOR]],TERCEROS_INFO[#All],2,FALSE)</f>
        <v>0</v>
      </c>
      <c r="D964" s="145">
        <f>+SUMIFS(PROVEEDORES[Total],PROVEEDORES[PROVEEDOR],PROVEEDORES[[#This Row],[PROVEEDOR]],PROVEEDORES[FECHA DE PAGO],"")</f>
        <v>0</v>
      </c>
      <c r="E964" s="146"/>
      <c r="F964" s="144">
        <f>+VLOOKUP(PROVEEDORES[[#This Row],[PROVEEDOR]],
                       Terceros!$A:$G,
                       5,
                       FALSE)</f>
        <v>0</v>
      </c>
      <c r="G964" s="122">
        <v>45259</v>
      </c>
      <c r="H964" s="102" t="s">
        <v>50</v>
      </c>
      <c r="I964" s="122">
        <v>45259</v>
      </c>
      <c r="J964" s="103" t="s">
        <v>1292</v>
      </c>
      <c r="K964" s="103" t="s">
        <v>1512</v>
      </c>
      <c r="L964" s="103"/>
      <c r="M964" s="105">
        <v>2974000</v>
      </c>
      <c r="N964" s="147">
        <v>0</v>
      </c>
      <c r="O964" s="147">
        <v>0</v>
      </c>
      <c r="P964" s="148">
        <v>0</v>
      </c>
      <c r="Q964" s="147">
        <v>0</v>
      </c>
      <c r="R964" s="149">
        <v>2974000</v>
      </c>
      <c r="S9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4" s="150">
        <f ca="1">+IF(PROVEEDORES[[#This Row],[FECHA DE PAGO]]=0,TODAY()-PROVEEDORES[[#This Row],[FECHA DE FACTURACIÓN]]-PROVEEDORES[[#This Row],[PLAZO Días]],0)</f>
        <v>0</v>
      </c>
      <c r="U964" s="150">
        <f>+VLOOKUP(PROVEEDORES[[#This Row],[PROVEEDOR]],Terceros!$A:$E,4,FALSE)</f>
        <v>0</v>
      </c>
      <c r="V964" s="150">
        <f>+YEAR(PROVEEDORES[[#This Row],[FECHA DE FACTURACIÓN]])</f>
        <v>2023</v>
      </c>
      <c r="W964" s="150">
        <f>+MATCH(PROVEEDORES[[#This Row],[año facturado]],Retenciones!$1:$1,0)</f>
        <v>6</v>
      </c>
      <c r="X964" s="151">
        <f>+VLOOKUP(PROVEEDORES[[#This Row],[ID RETENCION]],Retenciones!$A$1:$O$25,PROVEEDORES[[#This Row],[indicador de columna]],FALSE)</f>
        <v>0</v>
      </c>
      <c r="Y964" s="152">
        <f>+VLOOKUP(PROVEEDORES[[#This Row],[ID RETENCION]],Retenciones!$A$1:$O$25,2,FALSE)</f>
        <v>0</v>
      </c>
      <c r="Z964" s="153" t="b">
        <f>+OR(COUNTIF(PROVEEDORES[[#This Row],[PROVEEDOR]],"*"&amp;'Palabra que no opera y Listas d'!$A$2&amp;"*"))</f>
        <v>0</v>
      </c>
    </row>
    <row r="965" spans="1:26" ht="27.75" customHeight="1" x14ac:dyDescent="0.3">
      <c r="A965" s="144" t="str">
        <f>+IF(PROVEEDORES[[#This Row],[FECHA DE PAGO]]=PROVEEDORES[[#This Row],[FECHA DE FACTURACIÓN]],"DE CONTADO","CRÉDITO")</f>
        <v>DE CONTADO</v>
      </c>
      <c r="B965" s="144" t="b">
        <f>+IF((PROVEEDORES[[#This Row],[FECHA DE PAGO]]-PROVEEDORES[[#This Row],[FECHA DE FACTURACIÓN]])&gt;PROVEEDORES[[#This Row],[PLAZO Días]],"PAGO VENCIDO")</f>
        <v>0</v>
      </c>
      <c r="C965" s="144">
        <f>+VLOOKUP(PROVEEDORES[[#This Row],[PROVEEDOR]],TERCEROS_INFO[#All],2,FALSE)</f>
        <v>0</v>
      </c>
      <c r="D965" s="145">
        <f>+SUMIFS(PROVEEDORES[Total],PROVEEDORES[PROVEEDOR],PROVEEDORES[[#This Row],[PROVEEDOR]],PROVEEDORES[FECHA DE PAGO],"")</f>
        <v>0</v>
      </c>
      <c r="E965" s="146"/>
      <c r="F965" s="144">
        <f>+VLOOKUP(PROVEEDORES[[#This Row],[PROVEEDOR]],
                       Terceros!$A:$G,
                       5,
                       FALSE)</f>
        <v>0</v>
      </c>
      <c r="G965" s="122">
        <v>45259</v>
      </c>
      <c r="H965" s="102" t="s">
        <v>85</v>
      </c>
      <c r="I965" s="122">
        <v>45259</v>
      </c>
      <c r="J965" s="103" t="s">
        <v>1291</v>
      </c>
      <c r="K965" s="103" t="s">
        <v>1512</v>
      </c>
      <c r="L965" s="103"/>
      <c r="M965" s="105">
        <v>2992242</v>
      </c>
      <c r="N965" s="147">
        <v>0</v>
      </c>
      <c r="O965" s="147">
        <v>0</v>
      </c>
      <c r="P965" s="148">
        <v>0</v>
      </c>
      <c r="Q965" s="147">
        <v>0</v>
      </c>
      <c r="R965" s="149">
        <v>2992242</v>
      </c>
      <c r="S9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5" s="150">
        <f ca="1">+IF(PROVEEDORES[[#This Row],[FECHA DE PAGO]]=0,TODAY()-PROVEEDORES[[#This Row],[FECHA DE FACTURACIÓN]]-PROVEEDORES[[#This Row],[PLAZO Días]],0)</f>
        <v>0</v>
      </c>
      <c r="U965" s="150">
        <f>+VLOOKUP(PROVEEDORES[[#This Row],[PROVEEDOR]],Terceros!$A:$E,4,FALSE)</f>
        <v>0</v>
      </c>
      <c r="V965" s="150">
        <f>+YEAR(PROVEEDORES[[#This Row],[FECHA DE FACTURACIÓN]])</f>
        <v>2023</v>
      </c>
      <c r="W965" s="150">
        <f>+MATCH(PROVEEDORES[[#This Row],[año facturado]],Retenciones!$1:$1,0)</f>
        <v>6</v>
      </c>
      <c r="X965" s="151">
        <f>+VLOOKUP(PROVEEDORES[[#This Row],[ID RETENCION]],Retenciones!$A$1:$O$25,PROVEEDORES[[#This Row],[indicador de columna]],FALSE)</f>
        <v>0</v>
      </c>
      <c r="Y965" s="152">
        <f>+VLOOKUP(PROVEEDORES[[#This Row],[ID RETENCION]],Retenciones!$A$1:$O$25,2,FALSE)</f>
        <v>0</v>
      </c>
      <c r="Z965" s="153" t="b">
        <f>+OR(COUNTIF(PROVEEDORES[[#This Row],[PROVEEDOR]],"*"&amp;'Palabra que no opera y Listas d'!$A$2&amp;"*"))</f>
        <v>0</v>
      </c>
    </row>
    <row r="966" spans="1:26" ht="27.75" customHeight="1" x14ac:dyDescent="0.3">
      <c r="A966" s="144" t="str">
        <f>+IF(PROVEEDORES[[#This Row],[FECHA DE PAGO]]=PROVEEDORES[[#This Row],[FECHA DE FACTURACIÓN]],"DE CONTADO","CRÉDITO")</f>
        <v>DE CONTADO</v>
      </c>
      <c r="B966" s="144" t="b">
        <f>+IF((PROVEEDORES[[#This Row],[FECHA DE PAGO]]-PROVEEDORES[[#This Row],[FECHA DE FACTURACIÓN]])&gt;PROVEEDORES[[#This Row],[PLAZO Días]],"PAGO VENCIDO")</f>
        <v>0</v>
      </c>
      <c r="C966" s="144">
        <f>+VLOOKUP(PROVEEDORES[[#This Row],[PROVEEDOR]],TERCEROS_INFO[#All],2,FALSE)</f>
        <v>0</v>
      </c>
      <c r="D966" s="145">
        <f>+SUMIFS(PROVEEDORES[Total],PROVEEDORES[PROVEEDOR],PROVEEDORES[[#This Row],[PROVEEDOR]],PROVEEDORES[FECHA DE PAGO],"")</f>
        <v>0</v>
      </c>
      <c r="E966" s="146"/>
      <c r="F966" s="144">
        <f>+VLOOKUP(PROVEEDORES[[#This Row],[PROVEEDOR]],
                       Terceros!$A:$G,
                       5,
                       FALSE)</f>
        <v>0</v>
      </c>
      <c r="G966" s="122">
        <v>45260</v>
      </c>
      <c r="H966" s="102" t="s">
        <v>537</v>
      </c>
      <c r="I966" s="122">
        <v>45260</v>
      </c>
      <c r="J966" s="103" t="s">
        <v>1513</v>
      </c>
      <c r="K966" s="103" t="s">
        <v>1512</v>
      </c>
      <c r="L966" s="103"/>
      <c r="M966" s="105">
        <v>32000</v>
      </c>
      <c r="N966" s="147">
        <v>0</v>
      </c>
      <c r="O966" s="147">
        <v>0</v>
      </c>
      <c r="P966" s="148">
        <v>0</v>
      </c>
      <c r="Q966" s="147">
        <v>0</v>
      </c>
      <c r="R966" s="149">
        <v>32000</v>
      </c>
      <c r="S9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6" s="150">
        <f ca="1">+IF(PROVEEDORES[[#This Row],[FECHA DE PAGO]]=0,TODAY()-PROVEEDORES[[#This Row],[FECHA DE FACTURACIÓN]]-PROVEEDORES[[#This Row],[PLAZO Días]],0)</f>
        <v>0</v>
      </c>
      <c r="U966" s="150">
        <f>+VLOOKUP(PROVEEDORES[[#This Row],[PROVEEDOR]],Terceros!$A:$E,4,FALSE)</f>
        <v>0</v>
      </c>
      <c r="V966" s="150">
        <f>+YEAR(PROVEEDORES[[#This Row],[FECHA DE FACTURACIÓN]])</f>
        <v>2023</v>
      </c>
      <c r="W966" s="150">
        <f>+MATCH(PROVEEDORES[[#This Row],[año facturado]],Retenciones!$1:$1,0)</f>
        <v>6</v>
      </c>
      <c r="X966" s="151">
        <f>+VLOOKUP(PROVEEDORES[[#This Row],[ID RETENCION]],Retenciones!$A$1:$O$25,PROVEEDORES[[#This Row],[indicador de columna]],FALSE)</f>
        <v>0</v>
      </c>
      <c r="Y966" s="152">
        <f>+VLOOKUP(PROVEEDORES[[#This Row],[ID RETENCION]],Retenciones!$A$1:$O$25,2,FALSE)</f>
        <v>0</v>
      </c>
      <c r="Z966" s="153" t="b">
        <f>+OR(COUNTIF(PROVEEDORES[[#This Row],[PROVEEDOR]],"*"&amp;'Palabra que no opera y Listas d'!$A$2&amp;"*"))</f>
        <v>0</v>
      </c>
    </row>
    <row r="967" spans="1:26" ht="27.75" customHeight="1" x14ac:dyDescent="0.3">
      <c r="A967" s="144" t="str">
        <f>+IF(PROVEEDORES[[#This Row],[FECHA DE PAGO]]=PROVEEDORES[[#This Row],[FECHA DE FACTURACIÓN]],"DE CONTADO","CRÉDITO")</f>
        <v>DE CONTADO</v>
      </c>
      <c r="B967" s="144" t="b">
        <f>+IF((PROVEEDORES[[#This Row],[FECHA DE PAGO]]-PROVEEDORES[[#This Row],[FECHA DE FACTURACIÓN]])&gt;PROVEEDORES[[#This Row],[PLAZO Días]],"PAGO VENCIDO")</f>
        <v>0</v>
      </c>
      <c r="C967" s="144">
        <f>+VLOOKUP(PROVEEDORES[[#This Row],[PROVEEDOR]],TERCEROS_INFO[#All],2,FALSE)</f>
        <v>0</v>
      </c>
      <c r="D967" s="145">
        <f>+SUMIFS(PROVEEDORES[Total],PROVEEDORES[PROVEEDOR],PROVEEDORES[[#This Row],[PROVEEDOR]],PROVEEDORES[FECHA DE PAGO],"")</f>
        <v>0</v>
      </c>
      <c r="E967" s="146"/>
      <c r="F967" s="144">
        <f>+VLOOKUP(PROVEEDORES[[#This Row],[PROVEEDOR]],
                       Terceros!$A:$G,
                       5,
                       FALSE)</f>
        <v>0</v>
      </c>
      <c r="G967" s="122">
        <v>45260</v>
      </c>
      <c r="H967" s="102" t="s">
        <v>537</v>
      </c>
      <c r="I967" s="122">
        <v>45260</v>
      </c>
      <c r="J967" s="103" t="s">
        <v>495</v>
      </c>
      <c r="K967" s="103" t="s">
        <v>1512</v>
      </c>
      <c r="L967" s="103"/>
      <c r="M967" s="105">
        <v>269600</v>
      </c>
      <c r="N967" s="147">
        <v>0</v>
      </c>
      <c r="O967" s="147">
        <v>0</v>
      </c>
      <c r="P967" s="148">
        <v>0</v>
      </c>
      <c r="Q967" s="147">
        <v>0</v>
      </c>
      <c r="R967" s="149">
        <v>269600</v>
      </c>
      <c r="S9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7" s="150">
        <f ca="1">+IF(PROVEEDORES[[#This Row],[FECHA DE PAGO]]=0,TODAY()-PROVEEDORES[[#This Row],[FECHA DE FACTURACIÓN]]-PROVEEDORES[[#This Row],[PLAZO Días]],0)</f>
        <v>0</v>
      </c>
      <c r="U967" s="150">
        <f>+VLOOKUP(PROVEEDORES[[#This Row],[PROVEEDOR]],Terceros!$A:$E,4,FALSE)</f>
        <v>0</v>
      </c>
      <c r="V967" s="150">
        <f>+YEAR(PROVEEDORES[[#This Row],[FECHA DE FACTURACIÓN]])</f>
        <v>2023</v>
      </c>
      <c r="W967" s="150">
        <f>+MATCH(PROVEEDORES[[#This Row],[año facturado]],Retenciones!$1:$1,0)</f>
        <v>6</v>
      </c>
      <c r="X967" s="151">
        <f>+VLOOKUP(PROVEEDORES[[#This Row],[ID RETENCION]],Retenciones!$A$1:$O$25,PROVEEDORES[[#This Row],[indicador de columna]],FALSE)</f>
        <v>0</v>
      </c>
      <c r="Y967" s="152">
        <f>+VLOOKUP(PROVEEDORES[[#This Row],[ID RETENCION]],Retenciones!$A$1:$O$25,2,FALSE)</f>
        <v>0</v>
      </c>
      <c r="Z967" s="153" t="b">
        <f>+OR(COUNTIF(PROVEEDORES[[#This Row],[PROVEEDOR]],"*"&amp;'Palabra que no opera y Listas d'!$A$2&amp;"*"))</f>
        <v>0</v>
      </c>
    </row>
    <row r="968" spans="1:26" ht="27.75" customHeight="1" x14ac:dyDescent="0.3">
      <c r="A968" s="144" t="str">
        <f>+IF(PROVEEDORES[[#This Row],[FECHA DE PAGO]]=PROVEEDORES[[#This Row],[FECHA DE FACTURACIÓN]],"DE CONTADO","CRÉDITO")</f>
        <v>DE CONTADO</v>
      </c>
      <c r="B968" s="144" t="b">
        <f>+IF((PROVEEDORES[[#This Row],[FECHA DE PAGO]]-PROVEEDORES[[#This Row],[FECHA DE FACTURACIÓN]])&gt;PROVEEDORES[[#This Row],[PLAZO Días]],"PAGO VENCIDO")</f>
        <v>0</v>
      </c>
      <c r="C968" s="144">
        <f>+VLOOKUP(PROVEEDORES[[#This Row],[PROVEEDOR]],TERCEROS_INFO[#All],2,FALSE)</f>
        <v>0</v>
      </c>
      <c r="D968" s="145">
        <f>+SUMIFS(PROVEEDORES[Total],PROVEEDORES[PROVEEDOR],PROVEEDORES[[#This Row],[PROVEEDOR]],PROVEEDORES[FECHA DE PAGO],"")</f>
        <v>0</v>
      </c>
      <c r="E968" s="146"/>
      <c r="F968" s="144">
        <f>+VLOOKUP(PROVEEDORES[[#This Row],[PROVEEDOR]],
                       Terceros!$A:$G,
                       5,
                       FALSE)</f>
        <v>0</v>
      </c>
      <c r="G968" s="122">
        <v>45260</v>
      </c>
      <c r="H968" s="102" t="s">
        <v>537</v>
      </c>
      <c r="I968" s="122">
        <v>45260</v>
      </c>
      <c r="J968" s="103" t="s">
        <v>494</v>
      </c>
      <c r="K968" s="103" t="s">
        <v>1512</v>
      </c>
      <c r="L968" s="103"/>
      <c r="M968" s="105">
        <v>313000</v>
      </c>
      <c r="N968" s="147">
        <v>0</v>
      </c>
      <c r="O968" s="147">
        <v>0</v>
      </c>
      <c r="P968" s="148">
        <v>0</v>
      </c>
      <c r="Q968" s="147">
        <v>0</v>
      </c>
      <c r="R968" s="149">
        <v>313000</v>
      </c>
      <c r="S9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8" s="150">
        <f ca="1">+IF(PROVEEDORES[[#This Row],[FECHA DE PAGO]]=0,TODAY()-PROVEEDORES[[#This Row],[FECHA DE FACTURACIÓN]]-PROVEEDORES[[#This Row],[PLAZO Días]],0)</f>
        <v>0</v>
      </c>
      <c r="U968" s="150">
        <f>+VLOOKUP(PROVEEDORES[[#This Row],[PROVEEDOR]],Terceros!$A:$E,4,FALSE)</f>
        <v>0</v>
      </c>
      <c r="V968" s="150">
        <f>+YEAR(PROVEEDORES[[#This Row],[FECHA DE FACTURACIÓN]])</f>
        <v>2023</v>
      </c>
      <c r="W968" s="150">
        <f>+MATCH(PROVEEDORES[[#This Row],[año facturado]],Retenciones!$1:$1,0)</f>
        <v>6</v>
      </c>
      <c r="X968" s="151">
        <f>+VLOOKUP(PROVEEDORES[[#This Row],[ID RETENCION]],Retenciones!$A$1:$O$25,PROVEEDORES[[#This Row],[indicador de columna]],FALSE)</f>
        <v>0</v>
      </c>
      <c r="Y968" s="152">
        <f>+VLOOKUP(PROVEEDORES[[#This Row],[ID RETENCION]],Retenciones!$A$1:$O$25,2,FALSE)</f>
        <v>0</v>
      </c>
      <c r="Z968" s="153" t="b">
        <f>+OR(COUNTIF(PROVEEDORES[[#This Row],[PROVEEDOR]],"*"&amp;'Palabra que no opera y Listas d'!$A$2&amp;"*"))</f>
        <v>0</v>
      </c>
    </row>
    <row r="969" spans="1:26" ht="27.75" customHeight="1" x14ac:dyDescent="0.3">
      <c r="A969" s="144" t="str">
        <f>+IF(PROVEEDORES[[#This Row],[FECHA DE PAGO]]=PROVEEDORES[[#This Row],[FECHA DE FACTURACIÓN]],"DE CONTADO","CRÉDITO")</f>
        <v>DE CONTADO</v>
      </c>
      <c r="B969" s="144" t="b">
        <f>+IF((PROVEEDORES[[#This Row],[FECHA DE PAGO]]-PROVEEDORES[[#This Row],[FECHA DE FACTURACIÓN]])&gt;PROVEEDORES[[#This Row],[PLAZO Días]],"PAGO VENCIDO")</f>
        <v>0</v>
      </c>
      <c r="C969" s="144">
        <f>+VLOOKUP(PROVEEDORES[[#This Row],[PROVEEDOR]],TERCEROS_INFO[#All],2,FALSE)</f>
        <v>0</v>
      </c>
      <c r="D969" s="145">
        <f>+SUMIFS(PROVEEDORES[Total],PROVEEDORES[PROVEEDOR],PROVEEDORES[[#This Row],[PROVEEDOR]],PROVEEDORES[FECHA DE PAGO],"")</f>
        <v>0</v>
      </c>
      <c r="E969" s="146"/>
      <c r="F969" s="144">
        <f>+VLOOKUP(PROVEEDORES[[#This Row],[PROVEEDOR]],
                       Terceros!$A:$G,
                       5,
                       FALSE)</f>
        <v>0</v>
      </c>
      <c r="G969" s="122">
        <v>45260</v>
      </c>
      <c r="H969" s="102" t="s">
        <v>537</v>
      </c>
      <c r="I969" s="122">
        <v>45260</v>
      </c>
      <c r="J969" s="103" t="s">
        <v>493</v>
      </c>
      <c r="K969" s="103" t="s">
        <v>1512</v>
      </c>
      <c r="L969" s="103"/>
      <c r="M969" s="105">
        <v>452200</v>
      </c>
      <c r="N969" s="147">
        <v>0</v>
      </c>
      <c r="O969" s="147">
        <v>0</v>
      </c>
      <c r="P969" s="148">
        <v>0</v>
      </c>
      <c r="Q969" s="147">
        <v>0</v>
      </c>
      <c r="R969" s="149">
        <v>452200</v>
      </c>
      <c r="S9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9" s="150">
        <f ca="1">+IF(PROVEEDORES[[#This Row],[FECHA DE PAGO]]=0,TODAY()-PROVEEDORES[[#This Row],[FECHA DE FACTURACIÓN]]-PROVEEDORES[[#This Row],[PLAZO Días]],0)</f>
        <v>0</v>
      </c>
      <c r="U969" s="150">
        <f>+VLOOKUP(PROVEEDORES[[#This Row],[PROVEEDOR]],Terceros!$A:$E,4,FALSE)</f>
        <v>0</v>
      </c>
      <c r="V969" s="150">
        <f>+YEAR(PROVEEDORES[[#This Row],[FECHA DE FACTURACIÓN]])</f>
        <v>2023</v>
      </c>
      <c r="W969" s="150">
        <f>+MATCH(PROVEEDORES[[#This Row],[año facturado]],Retenciones!$1:$1,0)</f>
        <v>6</v>
      </c>
      <c r="X969" s="151">
        <f>+VLOOKUP(PROVEEDORES[[#This Row],[ID RETENCION]],Retenciones!$A$1:$O$25,PROVEEDORES[[#This Row],[indicador de columna]],FALSE)</f>
        <v>0</v>
      </c>
      <c r="Y969" s="152">
        <f>+VLOOKUP(PROVEEDORES[[#This Row],[ID RETENCION]],Retenciones!$A$1:$O$25,2,FALSE)</f>
        <v>0</v>
      </c>
      <c r="Z969" s="153" t="b">
        <f>+OR(COUNTIF(PROVEEDORES[[#This Row],[PROVEEDOR]],"*"&amp;'Palabra que no opera y Listas d'!$A$2&amp;"*"))</f>
        <v>0</v>
      </c>
    </row>
    <row r="970" spans="1:26" ht="27.75" customHeight="1" x14ac:dyDescent="0.3">
      <c r="A970" s="144" t="str">
        <f>+IF(PROVEEDORES[[#This Row],[FECHA DE PAGO]]=PROVEEDORES[[#This Row],[FECHA DE FACTURACIÓN]],"DE CONTADO","CRÉDITO")</f>
        <v>DE CONTADO</v>
      </c>
      <c r="B970" s="144" t="b">
        <f>+IF((PROVEEDORES[[#This Row],[FECHA DE PAGO]]-PROVEEDORES[[#This Row],[FECHA DE FACTURACIÓN]])&gt;PROVEEDORES[[#This Row],[PLAZO Días]],"PAGO VENCIDO")</f>
        <v>0</v>
      </c>
      <c r="C970" s="144">
        <f>+VLOOKUP(PROVEEDORES[[#This Row],[PROVEEDOR]],TERCEROS_INFO[#All],2,FALSE)</f>
        <v>0</v>
      </c>
      <c r="D970" s="145">
        <f>+SUMIFS(PROVEEDORES[Total],PROVEEDORES[PROVEEDOR],PROVEEDORES[[#This Row],[PROVEEDOR]],PROVEEDORES[FECHA DE PAGO],"")</f>
        <v>0</v>
      </c>
      <c r="E970" s="146"/>
      <c r="F970" s="144">
        <f>+VLOOKUP(PROVEEDORES[[#This Row],[PROVEEDOR]],
                       Terceros!$A:$G,
                       5,
                       FALSE)</f>
        <v>0</v>
      </c>
      <c r="G970" s="122">
        <v>45260</v>
      </c>
      <c r="H970" s="102" t="s">
        <v>537</v>
      </c>
      <c r="I970" s="122">
        <v>45260</v>
      </c>
      <c r="J970" s="103" t="s">
        <v>491</v>
      </c>
      <c r="K970" s="103" t="s">
        <v>1512</v>
      </c>
      <c r="L970" s="103"/>
      <c r="M970" s="105">
        <v>556000</v>
      </c>
      <c r="N970" s="147">
        <v>0</v>
      </c>
      <c r="O970" s="147">
        <v>0</v>
      </c>
      <c r="P970" s="148">
        <v>0</v>
      </c>
      <c r="Q970" s="147">
        <v>0</v>
      </c>
      <c r="R970" s="149">
        <v>556000</v>
      </c>
      <c r="S9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0" s="150">
        <f ca="1">+IF(PROVEEDORES[[#This Row],[FECHA DE PAGO]]=0,TODAY()-PROVEEDORES[[#This Row],[FECHA DE FACTURACIÓN]]-PROVEEDORES[[#This Row],[PLAZO Días]],0)</f>
        <v>0</v>
      </c>
      <c r="U970" s="150">
        <f>+VLOOKUP(PROVEEDORES[[#This Row],[PROVEEDOR]],Terceros!$A:$E,4,FALSE)</f>
        <v>0</v>
      </c>
      <c r="V970" s="150">
        <f>+YEAR(PROVEEDORES[[#This Row],[FECHA DE FACTURACIÓN]])</f>
        <v>2023</v>
      </c>
      <c r="W970" s="150">
        <f>+MATCH(PROVEEDORES[[#This Row],[año facturado]],Retenciones!$1:$1,0)</f>
        <v>6</v>
      </c>
      <c r="X970" s="151">
        <f>+VLOOKUP(PROVEEDORES[[#This Row],[ID RETENCION]],Retenciones!$A$1:$O$25,PROVEEDORES[[#This Row],[indicador de columna]],FALSE)</f>
        <v>0</v>
      </c>
      <c r="Y970" s="152">
        <f>+VLOOKUP(PROVEEDORES[[#This Row],[ID RETENCION]],Retenciones!$A$1:$O$25,2,FALSE)</f>
        <v>0</v>
      </c>
      <c r="Z970" s="153" t="b">
        <f>+OR(COUNTIF(PROVEEDORES[[#This Row],[PROVEEDOR]],"*"&amp;'Palabra que no opera y Listas d'!$A$2&amp;"*"))</f>
        <v>0</v>
      </c>
    </row>
    <row r="971" spans="1:26" ht="27.75" customHeight="1" x14ac:dyDescent="0.3">
      <c r="A971" s="144" t="str">
        <f>+IF(PROVEEDORES[[#This Row],[FECHA DE PAGO]]=PROVEEDORES[[#This Row],[FECHA DE FACTURACIÓN]],"DE CONTADO","CRÉDITO")</f>
        <v>DE CONTADO</v>
      </c>
      <c r="B971" s="144" t="b">
        <f>+IF((PROVEEDORES[[#This Row],[FECHA DE PAGO]]-PROVEEDORES[[#This Row],[FECHA DE FACTURACIÓN]])&gt;PROVEEDORES[[#This Row],[PLAZO Días]],"PAGO VENCIDO")</f>
        <v>0</v>
      </c>
      <c r="C971" s="144">
        <f>+VLOOKUP(PROVEEDORES[[#This Row],[PROVEEDOR]],TERCEROS_INFO[#All],2,FALSE)</f>
        <v>0</v>
      </c>
      <c r="D971" s="145">
        <f>+SUMIFS(PROVEEDORES[Total],PROVEEDORES[PROVEEDOR],PROVEEDORES[[#This Row],[PROVEEDOR]],PROVEEDORES[FECHA DE PAGO],"")</f>
        <v>0</v>
      </c>
      <c r="E971" s="146"/>
      <c r="F971" s="144">
        <f>+VLOOKUP(PROVEEDORES[[#This Row],[PROVEEDOR]],
                       Terceros!$A:$G,
                       5,
                       FALSE)</f>
        <v>0</v>
      </c>
      <c r="G971" s="122">
        <v>45260</v>
      </c>
      <c r="H971" s="102" t="s">
        <v>537</v>
      </c>
      <c r="I971" s="122">
        <v>45260</v>
      </c>
      <c r="J971" s="103" t="s">
        <v>492</v>
      </c>
      <c r="K971" s="103" t="s">
        <v>1512</v>
      </c>
      <c r="L971" s="103"/>
      <c r="M971" s="105">
        <v>1599800</v>
      </c>
      <c r="N971" s="147">
        <v>0</v>
      </c>
      <c r="O971" s="147">
        <v>0</v>
      </c>
      <c r="P971" s="148">
        <v>0</v>
      </c>
      <c r="Q971" s="147">
        <v>0</v>
      </c>
      <c r="R971" s="149">
        <v>1599800</v>
      </c>
      <c r="S9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1" s="150">
        <f ca="1">+IF(PROVEEDORES[[#This Row],[FECHA DE PAGO]]=0,TODAY()-PROVEEDORES[[#This Row],[FECHA DE FACTURACIÓN]]-PROVEEDORES[[#This Row],[PLAZO Días]],0)</f>
        <v>0</v>
      </c>
      <c r="U971" s="150">
        <f>+VLOOKUP(PROVEEDORES[[#This Row],[PROVEEDOR]],Terceros!$A:$E,4,FALSE)</f>
        <v>0</v>
      </c>
      <c r="V971" s="150">
        <f>+YEAR(PROVEEDORES[[#This Row],[FECHA DE FACTURACIÓN]])</f>
        <v>2023</v>
      </c>
      <c r="W971" s="150">
        <f>+MATCH(PROVEEDORES[[#This Row],[año facturado]],Retenciones!$1:$1,0)</f>
        <v>6</v>
      </c>
      <c r="X971" s="151">
        <f>+VLOOKUP(PROVEEDORES[[#This Row],[ID RETENCION]],Retenciones!$A$1:$O$25,PROVEEDORES[[#This Row],[indicador de columna]],FALSE)</f>
        <v>0</v>
      </c>
      <c r="Y971" s="152">
        <f>+VLOOKUP(PROVEEDORES[[#This Row],[ID RETENCION]],Retenciones!$A$1:$O$25,2,FALSE)</f>
        <v>0</v>
      </c>
      <c r="Z971" s="153" t="b">
        <f>+OR(COUNTIF(PROVEEDORES[[#This Row],[PROVEEDOR]],"*"&amp;'Palabra que no opera y Listas d'!$A$2&amp;"*"))</f>
        <v>0</v>
      </c>
    </row>
    <row r="972" spans="1:26" ht="27.75" customHeight="1" x14ac:dyDescent="0.3">
      <c r="A972" s="144" t="str">
        <f>+IF(PROVEEDORES[[#This Row],[FECHA DE PAGO]]=PROVEEDORES[[#This Row],[FECHA DE FACTURACIÓN]],"DE CONTADO","CRÉDITO")</f>
        <v>CRÉDITO</v>
      </c>
      <c r="B972" s="144" t="str">
        <f>+IF((PROVEEDORES[[#This Row],[FECHA DE PAGO]]-PROVEEDORES[[#This Row],[FECHA DE FACTURACIÓN]])&gt;PROVEEDORES[[#This Row],[PLAZO Días]],"PAGO VENCIDO")</f>
        <v>PAGO VENCIDO</v>
      </c>
      <c r="C972" s="144">
        <f>+VLOOKUP(PROVEEDORES[[#This Row],[PROVEEDOR]],TERCEROS_INFO[#All],2,FALSE)</f>
        <v>0</v>
      </c>
      <c r="D972" s="145">
        <f>+SUMIFS(PROVEEDORES[Total],PROVEEDORES[PROVEEDOR],PROVEEDORES[[#This Row],[PROVEEDOR]],PROVEEDORES[FECHA DE PAGO],"")</f>
        <v>1503120</v>
      </c>
      <c r="E972" s="146"/>
      <c r="F972" s="144">
        <f>+VLOOKUP(PROVEEDORES[[#This Row],[PROVEEDOR]],
                       Terceros!$A:$G,
                       5,
                       FALSE)</f>
        <v>0</v>
      </c>
      <c r="G972" s="122">
        <v>45261</v>
      </c>
      <c r="H972" s="102" t="s">
        <v>1780</v>
      </c>
      <c r="I972" s="122">
        <v>45257</v>
      </c>
      <c r="J972" s="103" t="s">
        <v>1318</v>
      </c>
      <c r="K972" s="103" t="s">
        <v>1512</v>
      </c>
      <c r="L972" s="103"/>
      <c r="M972" s="105">
        <v>1865344</v>
      </c>
      <c r="N972" s="147">
        <v>0</v>
      </c>
      <c r="O972" s="147">
        <v>0</v>
      </c>
      <c r="P972" s="148">
        <v>0</v>
      </c>
      <c r="Q972" s="147">
        <v>0</v>
      </c>
      <c r="R972" s="149">
        <v>1865344</v>
      </c>
      <c r="S9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2" s="150">
        <f ca="1">+IF(PROVEEDORES[[#This Row],[FECHA DE PAGO]]=0,TODAY()-PROVEEDORES[[#This Row],[FECHA DE FACTURACIÓN]]-PROVEEDORES[[#This Row],[PLAZO Días]],0)</f>
        <v>0</v>
      </c>
      <c r="U972" s="150">
        <f>+VLOOKUP(PROVEEDORES[[#This Row],[PROVEEDOR]],Terceros!$A:$E,4,FALSE)</f>
        <v>0</v>
      </c>
      <c r="V972" s="150">
        <f>+YEAR(PROVEEDORES[[#This Row],[FECHA DE FACTURACIÓN]])</f>
        <v>2023</v>
      </c>
      <c r="W972" s="150">
        <f>+MATCH(PROVEEDORES[[#This Row],[año facturado]],Retenciones!$1:$1,0)</f>
        <v>6</v>
      </c>
      <c r="X972" s="151">
        <f>+VLOOKUP(PROVEEDORES[[#This Row],[ID RETENCION]],Retenciones!$A$1:$O$25,PROVEEDORES[[#This Row],[indicador de columna]],FALSE)</f>
        <v>0</v>
      </c>
      <c r="Y972" s="152">
        <f>+VLOOKUP(PROVEEDORES[[#This Row],[ID RETENCION]],Retenciones!$A$1:$O$25,2,FALSE)</f>
        <v>0</v>
      </c>
      <c r="Z972" s="153" t="b">
        <f>+OR(COUNTIF(PROVEEDORES[[#This Row],[PROVEEDOR]],"*"&amp;'Palabra que no opera y Listas d'!$A$2&amp;"*"))</f>
        <v>0</v>
      </c>
    </row>
    <row r="973" spans="1:26" ht="27.75" customHeight="1" x14ac:dyDescent="0.3">
      <c r="A973" s="144" t="str">
        <f>+IF(PROVEEDORES[[#This Row],[FECHA DE PAGO]]=PROVEEDORES[[#This Row],[FECHA DE FACTURACIÓN]],"DE CONTADO","CRÉDITO")</f>
        <v>DE CONTADO</v>
      </c>
      <c r="B973" s="144" t="b">
        <f>+IF((PROVEEDORES[[#This Row],[FECHA DE PAGO]]-PROVEEDORES[[#This Row],[FECHA DE FACTURACIÓN]])&gt;PROVEEDORES[[#This Row],[PLAZO Días]],"PAGO VENCIDO")</f>
        <v>0</v>
      </c>
      <c r="C973" s="144">
        <f>+VLOOKUP(PROVEEDORES[[#This Row],[PROVEEDOR]],TERCEROS_INFO[#All],2,FALSE)</f>
        <v>0</v>
      </c>
      <c r="D973" s="145">
        <f>+SUMIFS(PROVEEDORES[Total],PROVEEDORES[PROVEEDOR],PROVEEDORES[[#This Row],[PROVEEDOR]],PROVEEDORES[FECHA DE PAGO],"")</f>
        <v>0</v>
      </c>
      <c r="E973" s="146"/>
      <c r="F973" s="144">
        <f>+VLOOKUP(PROVEEDORES[[#This Row],[PROVEEDOR]],
                       Terceros!$A:$G,
                       5,
                       FALSE)</f>
        <v>0</v>
      </c>
      <c r="G973" s="122">
        <v>45261</v>
      </c>
      <c r="H973" s="102" t="s">
        <v>537</v>
      </c>
      <c r="I973" s="122">
        <v>45261</v>
      </c>
      <c r="J973" s="103" t="s">
        <v>1240</v>
      </c>
      <c r="K973" s="103" t="s">
        <v>1512</v>
      </c>
      <c r="L973" s="103"/>
      <c r="M973" s="105">
        <v>200000</v>
      </c>
      <c r="N973" s="147">
        <v>0</v>
      </c>
      <c r="O973" s="147">
        <v>0</v>
      </c>
      <c r="P973" s="148">
        <v>0</v>
      </c>
      <c r="Q973" s="147">
        <v>0</v>
      </c>
      <c r="R973" s="149">
        <v>200000</v>
      </c>
      <c r="S9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3" s="150">
        <f ca="1">+IF(PROVEEDORES[[#This Row],[FECHA DE PAGO]]=0,TODAY()-PROVEEDORES[[#This Row],[FECHA DE FACTURACIÓN]]-PROVEEDORES[[#This Row],[PLAZO Días]],0)</f>
        <v>0</v>
      </c>
      <c r="U973" s="150">
        <f>+VLOOKUP(PROVEEDORES[[#This Row],[PROVEEDOR]],Terceros!$A:$E,4,FALSE)</f>
        <v>0</v>
      </c>
      <c r="V973" s="150">
        <f>+YEAR(PROVEEDORES[[#This Row],[FECHA DE FACTURACIÓN]])</f>
        <v>2023</v>
      </c>
      <c r="W973" s="150">
        <f>+MATCH(PROVEEDORES[[#This Row],[año facturado]],Retenciones!$1:$1,0)</f>
        <v>6</v>
      </c>
      <c r="X973" s="151">
        <f>+VLOOKUP(PROVEEDORES[[#This Row],[ID RETENCION]],Retenciones!$A$1:$O$25,PROVEEDORES[[#This Row],[indicador de columna]],FALSE)</f>
        <v>0</v>
      </c>
      <c r="Y973" s="152">
        <f>+VLOOKUP(PROVEEDORES[[#This Row],[ID RETENCION]],Retenciones!$A$1:$O$25,2,FALSE)</f>
        <v>0</v>
      </c>
      <c r="Z973" s="153" t="b">
        <f>+OR(COUNTIF(PROVEEDORES[[#This Row],[PROVEEDOR]],"*"&amp;'Palabra que no opera y Listas d'!$A$2&amp;"*"))</f>
        <v>0</v>
      </c>
    </row>
    <row r="974" spans="1:26" ht="27.75" customHeight="1" x14ac:dyDescent="0.3">
      <c r="A974" s="144" t="str">
        <f>+IF(PROVEEDORES[[#This Row],[FECHA DE PAGO]]=PROVEEDORES[[#This Row],[FECHA DE FACTURACIÓN]],"DE CONTADO","CRÉDITO")</f>
        <v>DE CONTADO</v>
      </c>
      <c r="B974" s="144" t="b">
        <f>+IF((PROVEEDORES[[#This Row],[FECHA DE PAGO]]-PROVEEDORES[[#This Row],[FECHA DE FACTURACIÓN]])&gt;PROVEEDORES[[#This Row],[PLAZO Días]],"PAGO VENCIDO")</f>
        <v>0</v>
      </c>
      <c r="C974" s="144">
        <f>+VLOOKUP(PROVEEDORES[[#This Row],[PROVEEDOR]],TERCEROS_INFO[#All],2,FALSE)</f>
        <v>0</v>
      </c>
      <c r="D974" s="145">
        <f>+SUMIFS(PROVEEDORES[Total],PROVEEDORES[PROVEEDOR],PROVEEDORES[[#This Row],[PROVEEDOR]],PROVEEDORES[FECHA DE PAGO],"")</f>
        <v>0</v>
      </c>
      <c r="E974" s="146"/>
      <c r="F974" s="144">
        <f>+VLOOKUP(PROVEEDORES[[#This Row],[PROVEEDOR]],
                       Terceros!$A:$G,
                       5,
                       FALSE)</f>
        <v>0</v>
      </c>
      <c r="G974" s="122">
        <v>45261</v>
      </c>
      <c r="H974" s="102" t="s">
        <v>1801</v>
      </c>
      <c r="I974" s="122">
        <v>45261</v>
      </c>
      <c r="J974" s="103"/>
      <c r="K974" s="103" t="s">
        <v>1512</v>
      </c>
      <c r="L974" s="103"/>
      <c r="M974" s="105">
        <v>1000000</v>
      </c>
      <c r="N974" s="147">
        <v>0</v>
      </c>
      <c r="O974" s="147">
        <v>0</v>
      </c>
      <c r="P974" s="148">
        <v>0</v>
      </c>
      <c r="Q974" s="147">
        <v>0</v>
      </c>
      <c r="R974" s="149">
        <v>1000000</v>
      </c>
      <c r="S9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4" s="150">
        <f ca="1">+IF(PROVEEDORES[[#This Row],[FECHA DE PAGO]]=0,TODAY()-PROVEEDORES[[#This Row],[FECHA DE FACTURACIÓN]]-PROVEEDORES[[#This Row],[PLAZO Días]],0)</f>
        <v>0</v>
      </c>
      <c r="U974" s="150">
        <f>+VLOOKUP(PROVEEDORES[[#This Row],[PROVEEDOR]],Terceros!$A:$E,4,FALSE)</f>
        <v>0</v>
      </c>
      <c r="V974" s="150">
        <f>+YEAR(PROVEEDORES[[#This Row],[FECHA DE FACTURACIÓN]])</f>
        <v>2023</v>
      </c>
      <c r="W974" s="150">
        <f>+MATCH(PROVEEDORES[[#This Row],[año facturado]],Retenciones!$1:$1,0)</f>
        <v>6</v>
      </c>
      <c r="X974" s="151">
        <f>+VLOOKUP(PROVEEDORES[[#This Row],[ID RETENCION]],Retenciones!$A$1:$O$25,PROVEEDORES[[#This Row],[indicador de columna]],FALSE)</f>
        <v>0</v>
      </c>
      <c r="Y974" s="152">
        <f>+VLOOKUP(PROVEEDORES[[#This Row],[ID RETENCION]],Retenciones!$A$1:$O$25,2,FALSE)</f>
        <v>0</v>
      </c>
      <c r="Z974" s="153" t="b">
        <f>+OR(COUNTIF(PROVEEDORES[[#This Row],[PROVEEDOR]],"*"&amp;'Palabra que no opera y Listas d'!$A$2&amp;"*"))</f>
        <v>0</v>
      </c>
    </row>
    <row r="975" spans="1:26" ht="27.75" customHeight="1" x14ac:dyDescent="0.3">
      <c r="A975" s="144" t="str">
        <f>+IF(PROVEEDORES[[#This Row],[FECHA DE PAGO]]=PROVEEDORES[[#This Row],[FECHA DE FACTURACIÓN]],"DE CONTADO","CRÉDITO")</f>
        <v>DE CONTADO</v>
      </c>
      <c r="B975" s="144" t="b">
        <f>+IF((PROVEEDORES[[#This Row],[FECHA DE PAGO]]-PROVEEDORES[[#This Row],[FECHA DE FACTURACIÓN]])&gt;PROVEEDORES[[#This Row],[PLAZO Días]],"PAGO VENCIDO")</f>
        <v>0</v>
      </c>
      <c r="C975" s="144">
        <f>+VLOOKUP(PROVEEDORES[[#This Row],[PROVEEDOR]],TERCEROS_INFO[#All],2,FALSE)</f>
        <v>0</v>
      </c>
      <c r="D975" s="145">
        <f>+SUMIFS(PROVEEDORES[Total],PROVEEDORES[PROVEEDOR],PROVEEDORES[[#This Row],[PROVEEDOR]],PROVEEDORES[FECHA DE PAGO],"")</f>
        <v>0</v>
      </c>
      <c r="E975" s="146"/>
      <c r="F975" s="144">
        <f>+VLOOKUP(PROVEEDORES[[#This Row],[PROVEEDOR]],
                       Terceros!$A:$G,
                       5,
                       FALSE)</f>
        <v>0</v>
      </c>
      <c r="G975" s="122">
        <v>45261</v>
      </c>
      <c r="H975" s="102" t="s">
        <v>471</v>
      </c>
      <c r="I975" s="122">
        <v>45261</v>
      </c>
      <c r="J975" s="103" t="s">
        <v>1297</v>
      </c>
      <c r="K975" s="103" t="s">
        <v>1512</v>
      </c>
      <c r="L975" s="103"/>
      <c r="M975" s="105">
        <v>300000</v>
      </c>
      <c r="N975" s="147">
        <v>0</v>
      </c>
      <c r="O975" s="147">
        <v>0</v>
      </c>
      <c r="P975" s="148">
        <v>0</v>
      </c>
      <c r="Q975" s="147">
        <v>0</v>
      </c>
      <c r="R975" s="149">
        <v>300000</v>
      </c>
      <c r="S9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5" s="150">
        <f ca="1">+IF(PROVEEDORES[[#This Row],[FECHA DE PAGO]]=0,TODAY()-PROVEEDORES[[#This Row],[FECHA DE FACTURACIÓN]]-PROVEEDORES[[#This Row],[PLAZO Días]],0)</f>
        <v>0</v>
      </c>
      <c r="U975" s="150">
        <f>+VLOOKUP(PROVEEDORES[[#This Row],[PROVEEDOR]],Terceros!$A:$E,4,FALSE)</f>
        <v>0</v>
      </c>
      <c r="V975" s="150">
        <f>+YEAR(PROVEEDORES[[#This Row],[FECHA DE FACTURACIÓN]])</f>
        <v>2023</v>
      </c>
      <c r="W975" s="150">
        <f>+MATCH(PROVEEDORES[[#This Row],[año facturado]],Retenciones!$1:$1,0)</f>
        <v>6</v>
      </c>
      <c r="X975" s="151">
        <f>+VLOOKUP(PROVEEDORES[[#This Row],[ID RETENCION]],Retenciones!$A$1:$O$25,PROVEEDORES[[#This Row],[indicador de columna]],FALSE)</f>
        <v>0</v>
      </c>
      <c r="Y975" s="152">
        <f>+VLOOKUP(PROVEEDORES[[#This Row],[ID RETENCION]],Retenciones!$A$1:$O$25,2,FALSE)</f>
        <v>0</v>
      </c>
      <c r="Z975" s="153" t="b">
        <f>+OR(COUNTIF(PROVEEDORES[[#This Row],[PROVEEDOR]],"*"&amp;'Palabra que no opera y Listas d'!$A$2&amp;"*"))</f>
        <v>1</v>
      </c>
    </row>
    <row r="976" spans="1:26" ht="27.75" customHeight="1" x14ac:dyDescent="0.3">
      <c r="A976" s="144" t="str">
        <f>+IF(PROVEEDORES[[#This Row],[FECHA DE PAGO]]=PROVEEDORES[[#This Row],[FECHA DE FACTURACIÓN]],"DE CONTADO","CRÉDITO")</f>
        <v>CRÉDITO</v>
      </c>
      <c r="B976" s="144" t="str">
        <f>+IF((PROVEEDORES[[#This Row],[FECHA DE PAGO]]-PROVEEDORES[[#This Row],[FECHA DE FACTURACIÓN]])&gt;PROVEEDORES[[#This Row],[PLAZO Días]],"PAGO VENCIDO")</f>
        <v>PAGO VENCIDO</v>
      </c>
      <c r="C976" s="144">
        <f>+VLOOKUP(PROVEEDORES[[#This Row],[PROVEEDOR]],TERCEROS_INFO[#All],2,FALSE)</f>
        <v>0</v>
      </c>
      <c r="D976" s="145">
        <f>+SUMIFS(PROVEEDORES[Total],PROVEEDORES[PROVEEDOR],PROVEEDORES[[#This Row],[PROVEEDOR]],PROVEEDORES[FECHA DE PAGO],"")</f>
        <v>0</v>
      </c>
      <c r="E976" s="146"/>
      <c r="F976" s="144">
        <f>+VLOOKUP(PROVEEDORES[[#This Row],[PROVEEDOR]],
                       Terceros!$A:$G,
                       5,
                       FALSE)</f>
        <v>0</v>
      </c>
      <c r="G976" s="122">
        <v>45262</v>
      </c>
      <c r="H976" s="102" t="s">
        <v>402</v>
      </c>
      <c r="I976" s="122">
        <v>45261</v>
      </c>
      <c r="J976" s="103" t="s">
        <v>184</v>
      </c>
      <c r="K976" s="103" t="s">
        <v>1512</v>
      </c>
      <c r="L976" s="103"/>
      <c r="M976" s="105">
        <v>411454</v>
      </c>
      <c r="N976" s="147">
        <v>0</v>
      </c>
      <c r="O976" s="147">
        <v>0</v>
      </c>
      <c r="P976" s="148">
        <v>0</v>
      </c>
      <c r="Q976" s="147">
        <v>0</v>
      </c>
      <c r="R976" s="149">
        <v>411454</v>
      </c>
      <c r="S9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6" s="150">
        <f ca="1">+IF(PROVEEDORES[[#This Row],[FECHA DE PAGO]]=0,TODAY()-PROVEEDORES[[#This Row],[FECHA DE FACTURACIÓN]]-PROVEEDORES[[#This Row],[PLAZO Días]],0)</f>
        <v>0</v>
      </c>
      <c r="U976" s="150">
        <f>+VLOOKUP(PROVEEDORES[[#This Row],[PROVEEDOR]],Terceros!$A:$E,4,FALSE)</f>
        <v>0</v>
      </c>
      <c r="V976" s="150">
        <f>+YEAR(PROVEEDORES[[#This Row],[FECHA DE FACTURACIÓN]])</f>
        <v>2023</v>
      </c>
      <c r="W976" s="150">
        <f>+MATCH(PROVEEDORES[[#This Row],[año facturado]],Retenciones!$1:$1,0)</f>
        <v>6</v>
      </c>
      <c r="X976" s="151">
        <f>+VLOOKUP(PROVEEDORES[[#This Row],[ID RETENCION]],Retenciones!$A$1:$O$25,PROVEEDORES[[#This Row],[indicador de columna]],FALSE)</f>
        <v>0</v>
      </c>
      <c r="Y976" s="152">
        <f>+VLOOKUP(PROVEEDORES[[#This Row],[ID RETENCION]],Retenciones!$A$1:$O$25,2,FALSE)</f>
        <v>0</v>
      </c>
      <c r="Z976" s="153" t="b">
        <f>+OR(COUNTIF(PROVEEDORES[[#This Row],[PROVEEDOR]],"*"&amp;'Palabra que no opera y Listas d'!$A$2&amp;"*"))</f>
        <v>1</v>
      </c>
    </row>
    <row r="977" spans="1:26" ht="27.75" customHeight="1" x14ac:dyDescent="0.3">
      <c r="A977" s="144" t="str">
        <f>+IF(PROVEEDORES[[#This Row],[FECHA DE PAGO]]=PROVEEDORES[[#This Row],[FECHA DE FACTURACIÓN]],"DE CONTADO","CRÉDITO")</f>
        <v>CRÉDITO</v>
      </c>
      <c r="B977" s="144" t="str">
        <f>+IF((PROVEEDORES[[#This Row],[FECHA DE PAGO]]-PROVEEDORES[[#This Row],[FECHA DE FACTURACIÓN]])&gt;PROVEEDORES[[#This Row],[PLAZO Días]],"PAGO VENCIDO")</f>
        <v>PAGO VENCIDO</v>
      </c>
      <c r="C977" s="144">
        <f>+VLOOKUP(PROVEEDORES[[#This Row],[PROVEEDOR]],TERCEROS_INFO[#All],2,FALSE)</f>
        <v>0</v>
      </c>
      <c r="D977" s="145">
        <f>+SUMIFS(PROVEEDORES[Total],PROVEEDORES[PROVEEDOR],PROVEEDORES[[#This Row],[PROVEEDOR]],PROVEEDORES[FECHA DE PAGO],"")</f>
        <v>0</v>
      </c>
      <c r="E977" s="146"/>
      <c r="F977" s="144">
        <f>+VLOOKUP(PROVEEDORES[[#This Row],[PROVEEDOR]],
                       Terceros!$A:$G,
                       5,
                       FALSE)</f>
        <v>0</v>
      </c>
      <c r="G977" s="122">
        <v>45262</v>
      </c>
      <c r="H977" s="102" t="s">
        <v>405</v>
      </c>
      <c r="I977" s="122">
        <v>45261</v>
      </c>
      <c r="J977" s="103"/>
      <c r="K977" s="103" t="s">
        <v>1512</v>
      </c>
      <c r="L977" s="103"/>
      <c r="M977" s="105">
        <v>707697</v>
      </c>
      <c r="N977" s="147">
        <v>0</v>
      </c>
      <c r="O977" s="147">
        <v>0</v>
      </c>
      <c r="P977" s="148">
        <v>0</v>
      </c>
      <c r="Q977" s="147">
        <v>0</v>
      </c>
      <c r="R977" s="149">
        <v>707697</v>
      </c>
      <c r="S9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7" s="150">
        <f ca="1">+IF(PROVEEDORES[[#This Row],[FECHA DE PAGO]]=0,TODAY()-PROVEEDORES[[#This Row],[FECHA DE FACTURACIÓN]]-PROVEEDORES[[#This Row],[PLAZO Días]],0)</f>
        <v>0</v>
      </c>
      <c r="U977" s="150">
        <f>+VLOOKUP(PROVEEDORES[[#This Row],[PROVEEDOR]],Terceros!$A:$E,4,FALSE)</f>
        <v>0</v>
      </c>
      <c r="V977" s="150">
        <f>+YEAR(PROVEEDORES[[#This Row],[FECHA DE FACTURACIÓN]])</f>
        <v>2023</v>
      </c>
      <c r="W977" s="150">
        <f>+MATCH(PROVEEDORES[[#This Row],[año facturado]],Retenciones!$1:$1,0)</f>
        <v>6</v>
      </c>
      <c r="X977" s="151">
        <f>+VLOOKUP(PROVEEDORES[[#This Row],[ID RETENCION]],Retenciones!$A$1:$O$25,PROVEEDORES[[#This Row],[indicador de columna]],FALSE)</f>
        <v>0</v>
      </c>
      <c r="Y977" s="152">
        <f>+VLOOKUP(PROVEEDORES[[#This Row],[ID RETENCION]],Retenciones!$A$1:$O$25,2,FALSE)</f>
        <v>0</v>
      </c>
      <c r="Z977" s="153" t="b">
        <f>+OR(COUNTIF(PROVEEDORES[[#This Row],[PROVEEDOR]],"*"&amp;'Palabra que no opera y Listas d'!$A$2&amp;"*"))</f>
        <v>1</v>
      </c>
    </row>
    <row r="978" spans="1:26" ht="27.75" customHeight="1" x14ac:dyDescent="0.3">
      <c r="A978" s="144" t="str">
        <f>+IF(PROVEEDORES[[#This Row],[FECHA DE PAGO]]=PROVEEDORES[[#This Row],[FECHA DE FACTURACIÓN]],"DE CONTADO","CRÉDITO")</f>
        <v>DE CONTADO</v>
      </c>
      <c r="B978" s="144" t="b">
        <f>+IF((PROVEEDORES[[#This Row],[FECHA DE PAGO]]-PROVEEDORES[[#This Row],[FECHA DE FACTURACIÓN]])&gt;PROVEEDORES[[#This Row],[PLAZO Días]],"PAGO VENCIDO")</f>
        <v>0</v>
      </c>
      <c r="C978" s="144">
        <f>+VLOOKUP(PROVEEDORES[[#This Row],[PROVEEDOR]],TERCEROS_INFO[#All],2,FALSE)</f>
        <v>0</v>
      </c>
      <c r="D978" s="145">
        <f>+SUMIFS(PROVEEDORES[Total],PROVEEDORES[PROVEEDOR],PROVEEDORES[[#This Row],[PROVEEDOR]],PROVEEDORES[FECHA DE PAGO],"")</f>
        <v>0</v>
      </c>
      <c r="E978" s="146"/>
      <c r="F978" s="144">
        <f>+VLOOKUP(PROVEEDORES[[#This Row],[PROVEEDOR]],
                       Terceros!$A:$G,
                       5,
                       FALSE)</f>
        <v>0</v>
      </c>
      <c r="G978" s="122">
        <v>45262</v>
      </c>
      <c r="H978" s="102" t="s">
        <v>537</v>
      </c>
      <c r="I978" s="122">
        <v>45262</v>
      </c>
      <c r="J978" s="103" t="s">
        <v>1126</v>
      </c>
      <c r="K978" s="103" t="s">
        <v>1512</v>
      </c>
      <c r="L978" s="103"/>
      <c r="M978" s="105">
        <v>200000</v>
      </c>
      <c r="N978" s="147">
        <v>0</v>
      </c>
      <c r="O978" s="147">
        <v>0</v>
      </c>
      <c r="P978" s="148">
        <v>0</v>
      </c>
      <c r="Q978" s="147">
        <v>0</v>
      </c>
      <c r="R978" s="149">
        <v>200000</v>
      </c>
      <c r="S9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8" s="150">
        <f ca="1">+IF(PROVEEDORES[[#This Row],[FECHA DE PAGO]]=0,TODAY()-PROVEEDORES[[#This Row],[FECHA DE FACTURACIÓN]]-PROVEEDORES[[#This Row],[PLAZO Días]],0)</f>
        <v>0</v>
      </c>
      <c r="U978" s="150">
        <f>+VLOOKUP(PROVEEDORES[[#This Row],[PROVEEDOR]],Terceros!$A:$E,4,FALSE)</f>
        <v>0</v>
      </c>
      <c r="V978" s="150">
        <f>+YEAR(PROVEEDORES[[#This Row],[FECHA DE FACTURACIÓN]])</f>
        <v>2023</v>
      </c>
      <c r="W978" s="150">
        <f>+MATCH(PROVEEDORES[[#This Row],[año facturado]],Retenciones!$1:$1,0)</f>
        <v>6</v>
      </c>
      <c r="X978" s="151">
        <f>+VLOOKUP(PROVEEDORES[[#This Row],[ID RETENCION]],Retenciones!$A$1:$O$25,PROVEEDORES[[#This Row],[indicador de columna]],FALSE)</f>
        <v>0</v>
      </c>
      <c r="Y978" s="152">
        <f>+VLOOKUP(PROVEEDORES[[#This Row],[ID RETENCION]],Retenciones!$A$1:$O$25,2,FALSE)</f>
        <v>0</v>
      </c>
      <c r="Z978" s="153" t="b">
        <f>+OR(COUNTIF(PROVEEDORES[[#This Row],[PROVEEDOR]],"*"&amp;'Palabra que no opera y Listas d'!$A$2&amp;"*"))</f>
        <v>0</v>
      </c>
    </row>
    <row r="979" spans="1:26" ht="27.75" customHeight="1" x14ac:dyDescent="0.3">
      <c r="A979" s="144" t="str">
        <f>+IF(PROVEEDORES[[#This Row],[FECHA DE PAGO]]=PROVEEDORES[[#This Row],[FECHA DE FACTURACIÓN]],"DE CONTADO","CRÉDITO")</f>
        <v>CRÉDITO</v>
      </c>
      <c r="B979" s="144" t="b">
        <f>+IF((PROVEEDORES[[#This Row],[FECHA DE PAGO]]-PROVEEDORES[[#This Row],[FECHA DE FACTURACIÓN]])&gt;PROVEEDORES[[#This Row],[PLAZO Días]],"PAGO VENCIDO")</f>
        <v>0</v>
      </c>
      <c r="C979" s="144">
        <f>+VLOOKUP(PROVEEDORES[[#This Row],[PROVEEDOR]],TERCEROS_INFO[#All],2,FALSE)</f>
        <v>0</v>
      </c>
      <c r="D979" s="145">
        <f>+SUMIFS(PROVEEDORES[Total],PROVEEDORES[PROVEEDOR],PROVEEDORES[[#This Row],[PROVEEDOR]],PROVEEDORES[FECHA DE PAGO],"")</f>
        <v>0</v>
      </c>
      <c r="E979" s="146"/>
      <c r="F979" s="144">
        <f>+VLOOKUP(PROVEEDORES[[#This Row],[PROVEEDOR]],
                       Terceros!$A:$G,
                       5,
                       FALSE)</f>
        <v>0</v>
      </c>
      <c r="G979" s="122">
        <v>45262</v>
      </c>
      <c r="H979" s="102" t="s">
        <v>1804</v>
      </c>
      <c r="I979" s="122">
        <v>45288</v>
      </c>
      <c r="J979" s="103" t="s">
        <v>27</v>
      </c>
      <c r="K979" s="103" t="s">
        <v>1512</v>
      </c>
      <c r="L979" s="103"/>
      <c r="M979" s="105">
        <v>500000</v>
      </c>
      <c r="N979" s="147">
        <v>0</v>
      </c>
      <c r="O979" s="147">
        <v>0</v>
      </c>
      <c r="P979" s="148">
        <v>0</v>
      </c>
      <c r="Q979" s="147">
        <v>0</v>
      </c>
      <c r="R979" s="149">
        <v>500000</v>
      </c>
      <c r="S9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9" s="150">
        <f ca="1">+IF(PROVEEDORES[[#This Row],[FECHA DE PAGO]]=0,TODAY()-PROVEEDORES[[#This Row],[FECHA DE FACTURACIÓN]]-PROVEEDORES[[#This Row],[PLAZO Días]],0)</f>
        <v>0</v>
      </c>
      <c r="U979" s="150">
        <f>+VLOOKUP(PROVEEDORES[[#This Row],[PROVEEDOR]],Terceros!$A:$E,4,FALSE)</f>
        <v>0</v>
      </c>
      <c r="V979" s="150">
        <f>+YEAR(PROVEEDORES[[#This Row],[FECHA DE FACTURACIÓN]])</f>
        <v>2023</v>
      </c>
      <c r="W979" s="150">
        <f>+MATCH(PROVEEDORES[[#This Row],[año facturado]],Retenciones!$1:$1,0)</f>
        <v>6</v>
      </c>
      <c r="X979" s="151">
        <f>+VLOOKUP(PROVEEDORES[[#This Row],[ID RETENCION]],Retenciones!$A$1:$O$25,PROVEEDORES[[#This Row],[indicador de columna]],FALSE)</f>
        <v>0</v>
      </c>
      <c r="Y979" s="152">
        <f>+VLOOKUP(PROVEEDORES[[#This Row],[ID RETENCION]],Retenciones!$A$1:$O$25,2,FALSE)</f>
        <v>0</v>
      </c>
      <c r="Z979" s="153" t="b">
        <f>+OR(COUNTIF(PROVEEDORES[[#This Row],[PROVEEDOR]],"*"&amp;'Palabra que no opera y Listas d'!$A$2&amp;"*"))</f>
        <v>0</v>
      </c>
    </row>
    <row r="980" spans="1:26" ht="27.75" customHeight="1" x14ac:dyDescent="0.3">
      <c r="A980" s="144" t="str">
        <f>+IF(PROVEEDORES[[#This Row],[FECHA DE PAGO]]=PROVEEDORES[[#This Row],[FECHA DE FACTURACIÓN]],"DE CONTADO","CRÉDITO")</f>
        <v>CRÉDITO</v>
      </c>
      <c r="B980" s="144" t="str">
        <f>+IF((PROVEEDORES[[#This Row],[FECHA DE PAGO]]-PROVEEDORES[[#This Row],[FECHA DE FACTURACIÓN]])&gt;PROVEEDORES[[#This Row],[PLAZO Días]],"PAGO VENCIDO")</f>
        <v>PAGO VENCIDO</v>
      </c>
      <c r="C980" s="144">
        <f>+VLOOKUP(PROVEEDORES[[#This Row],[PROVEEDOR]],TERCEROS_INFO[#All],2,FALSE)</f>
        <v>0</v>
      </c>
      <c r="D980" s="145">
        <f>+SUMIFS(PROVEEDORES[Total],PROVEEDORES[PROVEEDOR],PROVEEDORES[[#This Row],[PROVEEDOR]],PROVEEDORES[FECHA DE PAGO],"")</f>
        <v>0</v>
      </c>
      <c r="E980" s="146"/>
      <c r="F980" s="144">
        <f>+VLOOKUP(PROVEEDORES[[#This Row],[PROVEEDOR]],
                       Terceros!$A:$G,
                       5,
                       FALSE)</f>
        <v>0</v>
      </c>
      <c r="G980" s="122">
        <v>45264</v>
      </c>
      <c r="H980" s="102" t="s">
        <v>1155</v>
      </c>
      <c r="I980" s="122">
        <v>45209</v>
      </c>
      <c r="J980" s="103" t="s">
        <v>1156</v>
      </c>
      <c r="K980" s="103" t="s">
        <v>1512</v>
      </c>
      <c r="L980" s="103"/>
      <c r="M980" s="105">
        <v>4438500</v>
      </c>
      <c r="N980" s="147">
        <v>0</v>
      </c>
      <c r="O980" s="147">
        <v>0</v>
      </c>
      <c r="P980" s="148">
        <v>0</v>
      </c>
      <c r="Q980" s="147">
        <v>0</v>
      </c>
      <c r="R980" s="149">
        <v>4438500</v>
      </c>
      <c r="S9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0" s="150">
        <f ca="1">+IF(PROVEEDORES[[#This Row],[FECHA DE PAGO]]=0,TODAY()-PROVEEDORES[[#This Row],[FECHA DE FACTURACIÓN]]-PROVEEDORES[[#This Row],[PLAZO Días]],0)</f>
        <v>0</v>
      </c>
      <c r="U980" s="150">
        <f>+VLOOKUP(PROVEEDORES[[#This Row],[PROVEEDOR]],Terceros!$A:$E,4,FALSE)</f>
        <v>0</v>
      </c>
      <c r="V980" s="150">
        <f>+YEAR(PROVEEDORES[[#This Row],[FECHA DE FACTURACIÓN]])</f>
        <v>2023</v>
      </c>
      <c r="W980" s="150">
        <f>+MATCH(PROVEEDORES[[#This Row],[año facturado]],Retenciones!$1:$1,0)</f>
        <v>6</v>
      </c>
      <c r="X980" s="151">
        <f>+VLOOKUP(PROVEEDORES[[#This Row],[ID RETENCION]],Retenciones!$A$1:$O$25,PROVEEDORES[[#This Row],[indicador de columna]],FALSE)</f>
        <v>0</v>
      </c>
      <c r="Y980" s="152">
        <f>+VLOOKUP(PROVEEDORES[[#This Row],[ID RETENCION]],Retenciones!$A$1:$O$25,2,FALSE)</f>
        <v>0</v>
      </c>
      <c r="Z980" s="153" t="b">
        <f>+OR(COUNTIF(PROVEEDORES[[#This Row],[PROVEEDOR]],"*"&amp;'Palabra que no opera y Listas d'!$A$2&amp;"*"))</f>
        <v>0</v>
      </c>
    </row>
    <row r="981" spans="1:26" ht="27.75" customHeight="1" x14ac:dyDescent="0.3">
      <c r="A981" s="144" t="str">
        <f>+IF(PROVEEDORES[[#This Row],[FECHA DE PAGO]]=PROVEEDORES[[#This Row],[FECHA DE FACTURACIÓN]],"DE CONTADO","CRÉDITO")</f>
        <v>CRÉDITO</v>
      </c>
      <c r="B981" s="144" t="str">
        <f>+IF((PROVEEDORES[[#This Row],[FECHA DE PAGO]]-PROVEEDORES[[#This Row],[FECHA DE FACTURACIÓN]])&gt;PROVEEDORES[[#This Row],[PLAZO Días]],"PAGO VENCIDO")</f>
        <v>PAGO VENCIDO</v>
      </c>
      <c r="C981" s="144">
        <f>+VLOOKUP(PROVEEDORES[[#This Row],[PROVEEDOR]],TERCEROS_INFO[#All],2,FALSE)</f>
        <v>0</v>
      </c>
      <c r="D981" s="145">
        <f>+SUMIFS(PROVEEDORES[Total],PROVEEDORES[PROVEEDOR],PROVEEDORES[[#This Row],[PROVEEDOR]],PROVEEDORES[FECHA DE PAGO],"")</f>
        <v>31839627.134999998</v>
      </c>
      <c r="E981" s="146"/>
      <c r="F981" s="144" t="str">
        <f>+VLOOKUP(PROVEEDORES[[#This Row],[PROVEEDOR]],
                       Terceros!$A:$G,
                       5,
                       FALSE)</f>
        <v>2,5% con base</v>
      </c>
      <c r="G981" s="122">
        <v>45264</v>
      </c>
      <c r="H981" s="102" t="s">
        <v>17</v>
      </c>
      <c r="I981" s="122">
        <v>45209</v>
      </c>
      <c r="J981" s="103" t="s">
        <v>1174</v>
      </c>
      <c r="K981" s="103" t="s">
        <v>1512</v>
      </c>
      <c r="L981" s="103"/>
      <c r="M981" s="105">
        <v>631763</v>
      </c>
      <c r="N981" s="147">
        <v>120034.97</v>
      </c>
      <c r="O981" s="147">
        <v>0</v>
      </c>
      <c r="P981" s="148">
        <v>0</v>
      </c>
      <c r="Q981" s="147">
        <v>0</v>
      </c>
      <c r="R981" s="149">
        <v>751797.97</v>
      </c>
      <c r="S9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1" s="150">
        <f ca="1">+IF(PROVEEDORES[[#This Row],[FECHA DE PAGO]]=0,TODAY()-PROVEEDORES[[#This Row],[FECHA DE FACTURACIÓN]]-PROVEEDORES[[#This Row],[PLAZO Días]],0)</f>
        <v>0</v>
      </c>
      <c r="U981" s="150">
        <f>+VLOOKUP(PROVEEDORES[[#This Row],[PROVEEDOR]],Terceros!$A:$E,4,FALSE)</f>
        <v>0.19</v>
      </c>
      <c r="V981" s="150">
        <f>+YEAR(PROVEEDORES[[#This Row],[FECHA DE FACTURACIÓN]])</f>
        <v>2023</v>
      </c>
      <c r="W981" s="150">
        <f>+MATCH(PROVEEDORES[[#This Row],[año facturado]],Retenciones!$1:$1,0)</f>
        <v>6</v>
      </c>
      <c r="X981" s="151" t="e">
        <f>+VLOOKUP(PROVEEDORES[[#This Row],[ID RETENCION]],Retenciones!$A$1:$O$25,PROVEEDORES[[#This Row],[indicador de columna]],FALSE)</f>
        <v>#N/A</v>
      </c>
      <c r="Y981" s="152" t="e">
        <f>+VLOOKUP(PROVEEDORES[[#This Row],[ID RETENCION]],Retenciones!$A$1:$O$25,2,FALSE)</f>
        <v>#N/A</v>
      </c>
      <c r="Z981" s="153" t="b">
        <f>+OR(COUNTIF(PROVEEDORES[[#This Row],[PROVEEDOR]],"*"&amp;'Palabra que no opera y Listas d'!$A$2&amp;"*"))</f>
        <v>0</v>
      </c>
    </row>
    <row r="982" spans="1:26" ht="27.75" customHeight="1" x14ac:dyDescent="0.3">
      <c r="A982" s="144" t="str">
        <f>+IF(PROVEEDORES[[#This Row],[FECHA DE PAGO]]=PROVEEDORES[[#This Row],[FECHA DE FACTURACIÓN]],"DE CONTADO","CRÉDITO")</f>
        <v>CRÉDITO</v>
      </c>
      <c r="B982" s="144" t="str">
        <f>+IF((PROVEEDORES[[#This Row],[FECHA DE PAGO]]-PROVEEDORES[[#This Row],[FECHA DE FACTURACIÓN]])&gt;PROVEEDORES[[#This Row],[PLAZO Días]],"PAGO VENCIDO")</f>
        <v>PAGO VENCIDO</v>
      </c>
      <c r="C982" s="144">
        <f>+VLOOKUP(PROVEEDORES[[#This Row],[PROVEEDOR]],TERCEROS_INFO[#All],2,FALSE)</f>
        <v>0</v>
      </c>
      <c r="D982" s="145">
        <f>+SUMIFS(PROVEEDORES[Total],PROVEEDORES[PROVEEDOR],PROVEEDORES[[#This Row],[PROVEEDOR]],PROVEEDORES[FECHA DE PAGO],"")</f>
        <v>1000043.22</v>
      </c>
      <c r="E982" s="146"/>
      <c r="F982" s="144" t="str">
        <f>+VLOOKUP(PROVEEDORES[[#This Row],[PROVEEDOR]],
                       Terceros!$A:$G,
                       5,
                       FALSE)</f>
        <v>2,5% con base</v>
      </c>
      <c r="G982" s="122">
        <v>45264</v>
      </c>
      <c r="H982" s="102" t="s">
        <v>237</v>
      </c>
      <c r="I982" s="122">
        <v>45209</v>
      </c>
      <c r="J982" s="103" t="s">
        <v>1168</v>
      </c>
      <c r="K982" s="103" t="s">
        <v>1512</v>
      </c>
      <c r="L982" s="103"/>
      <c r="M982" s="105">
        <v>1115966</v>
      </c>
      <c r="N982" s="147">
        <v>212033.54</v>
      </c>
      <c r="O982" s="147">
        <v>0</v>
      </c>
      <c r="P982" s="148">
        <v>0</v>
      </c>
      <c r="Q982" s="147">
        <v>0</v>
      </c>
      <c r="R982" s="149">
        <v>1327999.54</v>
      </c>
      <c r="S9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2" s="150">
        <f ca="1">+IF(PROVEEDORES[[#This Row],[FECHA DE PAGO]]=0,TODAY()-PROVEEDORES[[#This Row],[FECHA DE FACTURACIÓN]]-PROVEEDORES[[#This Row],[PLAZO Días]],0)</f>
        <v>0</v>
      </c>
      <c r="U982" s="150">
        <f>+VLOOKUP(PROVEEDORES[[#This Row],[PROVEEDOR]],Terceros!$A:$E,4,FALSE)</f>
        <v>0.19</v>
      </c>
      <c r="V982" s="150">
        <f>+YEAR(PROVEEDORES[[#This Row],[FECHA DE FACTURACIÓN]])</f>
        <v>2023</v>
      </c>
      <c r="W982" s="150">
        <f>+MATCH(PROVEEDORES[[#This Row],[año facturado]],Retenciones!$1:$1,0)</f>
        <v>6</v>
      </c>
      <c r="X982" s="151" t="e">
        <f>+VLOOKUP(PROVEEDORES[[#This Row],[ID RETENCION]],Retenciones!$A$1:$O$25,PROVEEDORES[[#This Row],[indicador de columna]],FALSE)</f>
        <v>#N/A</v>
      </c>
      <c r="Y982" s="152" t="e">
        <f>+VLOOKUP(PROVEEDORES[[#This Row],[ID RETENCION]],Retenciones!$A$1:$O$25,2,FALSE)</f>
        <v>#N/A</v>
      </c>
      <c r="Z982" s="153" t="b">
        <f>+OR(COUNTIF(PROVEEDORES[[#This Row],[PROVEEDOR]],"*"&amp;'Palabra que no opera y Listas d'!$A$2&amp;"*"))</f>
        <v>0</v>
      </c>
    </row>
    <row r="983" spans="1:26" ht="27.75" customHeight="1" x14ac:dyDescent="0.3">
      <c r="A983" s="144" t="str">
        <f>+IF(PROVEEDORES[[#This Row],[FECHA DE PAGO]]=PROVEEDORES[[#This Row],[FECHA DE FACTURACIÓN]],"DE CONTADO","CRÉDITO")</f>
        <v>CRÉDITO</v>
      </c>
      <c r="B983" s="144" t="str">
        <f>+IF((PROVEEDORES[[#This Row],[FECHA DE PAGO]]-PROVEEDORES[[#This Row],[FECHA DE FACTURACIÓN]])&gt;PROVEEDORES[[#This Row],[PLAZO Días]],"PAGO VENCIDO")</f>
        <v>PAGO VENCIDO</v>
      </c>
      <c r="C983" s="144">
        <f>+VLOOKUP(PROVEEDORES[[#This Row],[PROVEEDOR]],TERCEROS_INFO[#All],2,FALSE)</f>
        <v>0</v>
      </c>
      <c r="D983" s="145">
        <f>+SUMIFS(PROVEEDORES[Total],PROVEEDORES[PROVEEDOR],PROVEEDORES[[#This Row],[PROVEEDOR]],PROVEEDORES[FECHA DE PAGO],"")</f>
        <v>9349257.8100000005</v>
      </c>
      <c r="E983" s="146"/>
      <c r="F983" s="144" t="str">
        <f>+VLOOKUP(PROVEEDORES[[#This Row],[PROVEEDOR]],
                       Terceros!$A:$G,
                       5,
                       FALSE)</f>
        <v>2,5% con base</v>
      </c>
      <c r="G983" s="122">
        <v>45264</v>
      </c>
      <c r="H983" s="102" t="s">
        <v>242</v>
      </c>
      <c r="I983" s="122">
        <v>45210</v>
      </c>
      <c r="J983" s="103" t="s">
        <v>1184</v>
      </c>
      <c r="K983" s="103" t="s">
        <v>1512</v>
      </c>
      <c r="L983" s="103"/>
      <c r="M983" s="105">
        <v>7197270</v>
      </c>
      <c r="N983" s="147">
        <v>1367481.3</v>
      </c>
      <c r="O983" s="147">
        <v>0</v>
      </c>
      <c r="P983" s="148">
        <v>2.5000000000000001E-2</v>
      </c>
      <c r="Q983" s="147">
        <v>179931.75</v>
      </c>
      <c r="R983" s="149">
        <v>8384819.5500000007</v>
      </c>
      <c r="S9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3" s="150">
        <f ca="1">+IF(PROVEEDORES[[#This Row],[FECHA DE PAGO]]=0,TODAY()-PROVEEDORES[[#This Row],[FECHA DE FACTURACIÓN]]-PROVEEDORES[[#This Row],[PLAZO Días]],0)</f>
        <v>0</v>
      </c>
      <c r="U983" s="150">
        <f>+VLOOKUP(PROVEEDORES[[#This Row],[PROVEEDOR]],Terceros!$A:$E,4,FALSE)</f>
        <v>0.19</v>
      </c>
      <c r="V983" s="150">
        <f>+YEAR(PROVEEDORES[[#This Row],[FECHA DE FACTURACIÓN]])</f>
        <v>2023</v>
      </c>
      <c r="W983" s="150">
        <f>+MATCH(PROVEEDORES[[#This Row],[año facturado]],Retenciones!$1:$1,0)</f>
        <v>6</v>
      </c>
      <c r="X983" s="151" t="e">
        <f>+VLOOKUP(PROVEEDORES[[#This Row],[ID RETENCION]],Retenciones!$A$1:$O$25,PROVEEDORES[[#This Row],[indicador de columna]],FALSE)</f>
        <v>#N/A</v>
      </c>
      <c r="Y983" s="152" t="e">
        <f>+VLOOKUP(PROVEEDORES[[#This Row],[ID RETENCION]],Retenciones!$A$1:$O$25,2,FALSE)</f>
        <v>#N/A</v>
      </c>
      <c r="Z983" s="153" t="b">
        <f>+OR(COUNTIF(PROVEEDORES[[#This Row],[PROVEEDOR]],"*"&amp;'Palabra que no opera y Listas d'!$A$2&amp;"*"))</f>
        <v>0</v>
      </c>
    </row>
    <row r="984" spans="1:26" ht="27.75" customHeight="1" x14ac:dyDescent="0.3">
      <c r="A984" s="144" t="str">
        <f>+IF(PROVEEDORES[[#This Row],[FECHA DE PAGO]]=PROVEEDORES[[#This Row],[FECHA DE FACTURACIÓN]],"DE CONTADO","CRÉDITO")</f>
        <v>CRÉDITO</v>
      </c>
      <c r="B984" s="144" t="str">
        <f>+IF((PROVEEDORES[[#This Row],[FECHA DE PAGO]]-PROVEEDORES[[#This Row],[FECHA DE FACTURACIÓN]])&gt;PROVEEDORES[[#This Row],[PLAZO Días]],"PAGO VENCIDO")</f>
        <v>PAGO VENCIDO</v>
      </c>
      <c r="C984" s="144">
        <f>+VLOOKUP(PROVEEDORES[[#This Row],[PROVEEDOR]],TERCEROS_INFO[#All],2,FALSE)</f>
        <v>0</v>
      </c>
      <c r="D984" s="145">
        <f>+SUMIFS(PROVEEDORES[Total],PROVEEDORES[PROVEEDOR],PROVEEDORES[[#This Row],[PROVEEDOR]],PROVEEDORES[FECHA DE PAGO],"")</f>
        <v>3461120</v>
      </c>
      <c r="E984" s="146"/>
      <c r="F984" s="144" t="str">
        <f>+VLOOKUP(PROVEEDORES[[#This Row],[PROVEEDOR]],
                       Terceros!$A:$G,
                       5,
                       FALSE)</f>
        <v>2,5% con base</v>
      </c>
      <c r="G984" s="122">
        <v>45264</v>
      </c>
      <c r="H984" s="102" t="s">
        <v>9</v>
      </c>
      <c r="I984" s="122">
        <v>45210</v>
      </c>
      <c r="J984" s="103" t="s">
        <v>1185</v>
      </c>
      <c r="K984" s="103" t="s">
        <v>1512</v>
      </c>
      <c r="L984" s="103"/>
      <c r="M984" s="105">
        <v>2000000</v>
      </c>
      <c r="N984" s="147">
        <v>380000</v>
      </c>
      <c r="O984" s="147">
        <v>0</v>
      </c>
      <c r="P984" s="148">
        <v>2.5000000000000001E-2</v>
      </c>
      <c r="Q984" s="147">
        <v>50000</v>
      </c>
      <c r="R984" s="149">
        <v>2330000</v>
      </c>
      <c r="S9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4" s="150">
        <f ca="1">+IF(PROVEEDORES[[#This Row],[FECHA DE PAGO]]=0,TODAY()-PROVEEDORES[[#This Row],[FECHA DE FACTURACIÓN]]-PROVEEDORES[[#This Row],[PLAZO Días]],0)</f>
        <v>0</v>
      </c>
      <c r="U984" s="150">
        <f>+VLOOKUP(PROVEEDORES[[#This Row],[PROVEEDOR]],Terceros!$A:$E,4,FALSE)</f>
        <v>0.19</v>
      </c>
      <c r="V984" s="150">
        <f>+YEAR(PROVEEDORES[[#This Row],[FECHA DE FACTURACIÓN]])</f>
        <v>2023</v>
      </c>
      <c r="W984" s="150">
        <f>+MATCH(PROVEEDORES[[#This Row],[año facturado]],Retenciones!$1:$1,0)</f>
        <v>6</v>
      </c>
      <c r="X984" s="151" t="e">
        <f>+VLOOKUP(PROVEEDORES[[#This Row],[ID RETENCION]],Retenciones!$A$1:$O$25,PROVEEDORES[[#This Row],[indicador de columna]],FALSE)</f>
        <v>#N/A</v>
      </c>
      <c r="Y984" s="152" t="e">
        <f>+VLOOKUP(PROVEEDORES[[#This Row],[ID RETENCION]],Retenciones!$A$1:$O$25,2,FALSE)</f>
        <v>#N/A</v>
      </c>
      <c r="Z984" s="153" t="b">
        <f>+OR(COUNTIF(PROVEEDORES[[#This Row],[PROVEEDOR]],"*"&amp;'Palabra que no opera y Listas d'!$A$2&amp;"*"))</f>
        <v>0</v>
      </c>
    </row>
    <row r="985" spans="1:26" ht="27.75" customHeight="1" x14ac:dyDescent="0.3">
      <c r="A985" s="144" t="str">
        <f>+IF(PROVEEDORES[[#This Row],[FECHA DE PAGO]]=PROVEEDORES[[#This Row],[FECHA DE FACTURACIÓN]],"DE CONTADO","CRÉDITO")</f>
        <v>CRÉDITO</v>
      </c>
      <c r="B985" s="144" t="str">
        <f>+IF((PROVEEDORES[[#This Row],[FECHA DE PAGO]]-PROVEEDORES[[#This Row],[FECHA DE FACTURACIÓN]])&gt;PROVEEDORES[[#This Row],[PLAZO Días]],"PAGO VENCIDO")</f>
        <v>PAGO VENCIDO</v>
      </c>
      <c r="C985" s="144">
        <f>+VLOOKUP(PROVEEDORES[[#This Row],[PROVEEDOR]],TERCEROS_INFO[#All],2,FALSE)</f>
        <v>0</v>
      </c>
      <c r="D985" s="145">
        <f>+SUMIFS(PROVEEDORES[Total],PROVEEDORES[PROVEEDOR],PROVEEDORES[[#This Row],[PROVEEDOR]],PROVEEDORES[FECHA DE PAGO],"")</f>
        <v>3533418.74</v>
      </c>
      <c r="E985" s="146"/>
      <c r="F985" s="144">
        <f>+VLOOKUP(PROVEEDORES[[#This Row],[PROVEEDOR]],
                       Terceros!$A:$G,
                       5,
                       FALSE)</f>
        <v>0</v>
      </c>
      <c r="G985" s="122">
        <v>45264</v>
      </c>
      <c r="H985" s="102" t="s">
        <v>236</v>
      </c>
      <c r="I985" s="122">
        <v>45211</v>
      </c>
      <c r="J985" s="103" t="s">
        <v>1165</v>
      </c>
      <c r="K985" s="103" t="s">
        <v>1512</v>
      </c>
      <c r="L985" s="103"/>
      <c r="M985" s="105">
        <v>4607250</v>
      </c>
      <c r="N985" s="147">
        <v>875377.5</v>
      </c>
      <c r="O985" s="147">
        <v>0</v>
      </c>
      <c r="P985" s="148">
        <v>0</v>
      </c>
      <c r="Q985" s="147">
        <v>0</v>
      </c>
      <c r="R985" s="149">
        <v>5482627.5</v>
      </c>
      <c r="S9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5" s="150">
        <f ca="1">+IF(PROVEEDORES[[#This Row],[FECHA DE PAGO]]=0,TODAY()-PROVEEDORES[[#This Row],[FECHA DE FACTURACIÓN]]-PROVEEDORES[[#This Row],[PLAZO Días]],0)</f>
        <v>0</v>
      </c>
      <c r="U985" s="150">
        <f>+VLOOKUP(PROVEEDORES[[#This Row],[PROVEEDOR]],Terceros!$A:$E,4,FALSE)</f>
        <v>0.19</v>
      </c>
      <c r="V985" s="150">
        <f>+YEAR(PROVEEDORES[[#This Row],[FECHA DE FACTURACIÓN]])</f>
        <v>2023</v>
      </c>
      <c r="W985" s="150">
        <f>+MATCH(PROVEEDORES[[#This Row],[año facturado]],Retenciones!$1:$1,0)</f>
        <v>6</v>
      </c>
      <c r="X985" s="151" t="e">
        <f>+VLOOKUP(PROVEEDORES[[#This Row],[ID RETENCION]],Retenciones!$A$1:$O$25,PROVEEDORES[[#This Row],[indicador de columna]],FALSE)</f>
        <v>#N/A</v>
      </c>
      <c r="Y985" s="152" t="e">
        <f>+VLOOKUP(PROVEEDORES[[#This Row],[ID RETENCION]],Retenciones!$A$1:$O$25,2,FALSE)</f>
        <v>#N/A</v>
      </c>
      <c r="Z985" s="153" t="b">
        <f>+OR(COUNTIF(PROVEEDORES[[#This Row],[PROVEEDOR]],"*"&amp;'Palabra que no opera y Listas d'!$A$2&amp;"*"))</f>
        <v>0</v>
      </c>
    </row>
    <row r="986" spans="1:26" ht="27.75" customHeight="1" x14ac:dyDescent="0.3">
      <c r="A986" s="144" t="str">
        <f>+IF(PROVEEDORES[[#This Row],[FECHA DE PAGO]]=PROVEEDORES[[#This Row],[FECHA DE FACTURACIÓN]],"DE CONTADO","CRÉDITO")</f>
        <v>CRÉDITO</v>
      </c>
      <c r="B986" s="144" t="str">
        <f>+IF((PROVEEDORES[[#This Row],[FECHA DE PAGO]]-PROVEEDORES[[#This Row],[FECHA DE FACTURACIÓN]])&gt;PROVEEDORES[[#This Row],[PLAZO Días]],"PAGO VENCIDO")</f>
        <v>PAGO VENCIDO</v>
      </c>
      <c r="C986" s="144">
        <f>+VLOOKUP(PROVEEDORES[[#This Row],[PROVEEDOR]],TERCEROS_INFO[#All],2,FALSE)</f>
        <v>0</v>
      </c>
      <c r="D986" s="145">
        <f>+SUMIFS(PROVEEDORES[Total],PROVEEDORES[PROVEEDOR],PROVEEDORES[[#This Row],[PROVEEDOR]],PROVEEDORES[FECHA DE PAGO],"")</f>
        <v>3533418.74</v>
      </c>
      <c r="E986" s="146"/>
      <c r="F986" s="144">
        <f>+VLOOKUP(PROVEEDORES[[#This Row],[PROVEEDOR]],
                       Terceros!$A:$G,
                       5,
                       FALSE)</f>
        <v>0</v>
      </c>
      <c r="G986" s="122">
        <v>45264</v>
      </c>
      <c r="H986" s="102" t="s">
        <v>236</v>
      </c>
      <c r="I986" s="122">
        <v>45217</v>
      </c>
      <c r="J986" s="103" t="s">
        <v>1166</v>
      </c>
      <c r="K986" s="103" t="s">
        <v>1512</v>
      </c>
      <c r="L986" s="103"/>
      <c r="M986" s="105">
        <v>1976704</v>
      </c>
      <c r="N986" s="147">
        <v>375573.76000000001</v>
      </c>
      <c r="O986" s="147">
        <v>0</v>
      </c>
      <c r="P986" s="148">
        <v>0</v>
      </c>
      <c r="Q986" s="147">
        <v>0</v>
      </c>
      <c r="R986" s="149">
        <v>2352277.7599999998</v>
      </c>
      <c r="S9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6" s="150">
        <f ca="1">+IF(PROVEEDORES[[#This Row],[FECHA DE PAGO]]=0,TODAY()-PROVEEDORES[[#This Row],[FECHA DE FACTURACIÓN]]-PROVEEDORES[[#This Row],[PLAZO Días]],0)</f>
        <v>0</v>
      </c>
      <c r="U986" s="150">
        <f>+VLOOKUP(PROVEEDORES[[#This Row],[PROVEEDOR]],Terceros!$A:$E,4,FALSE)</f>
        <v>0.19</v>
      </c>
      <c r="V986" s="150">
        <f>+YEAR(PROVEEDORES[[#This Row],[FECHA DE FACTURACIÓN]])</f>
        <v>2023</v>
      </c>
      <c r="W986" s="150">
        <f>+MATCH(PROVEEDORES[[#This Row],[año facturado]],Retenciones!$1:$1,0)</f>
        <v>6</v>
      </c>
      <c r="X986" s="151" t="e">
        <f>+VLOOKUP(PROVEEDORES[[#This Row],[ID RETENCION]],Retenciones!$A$1:$O$25,PROVEEDORES[[#This Row],[indicador de columna]],FALSE)</f>
        <v>#N/A</v>
      </c>
      <c r="Y986" s="152" t="e">
        <f>+VLOOKUP(PROVEEDORES[[#This Row],[ID RETENCION]],Retenciones!$A$1:$O$25,2,FALSE)</f>
        <v>#N/A</v>
      </c>
      <c r="Z986" s="153" t="b">
        <f>+OR(COUNTIF(PROVEEDORES[[#This Row],[PROVEEDOR]],"*"&amp;'Palabra que no opera y Listas d'!$A$2&amp;"*"))</f>
        <v>0</v>
      </c>
    </row>
    <row r="987" spans="1:26" ht="27.75" customHeight="1" x14ac:dyDescent="0.3">
      <c r="A987" s="144" t="str">
        <f>+IF(PROVEEDORES[[#This Row],[FECHA DE PAGO]]=PROVEEDORES[[#This Row],[FECHA DE FACTURACIÓN]],"DE CONTADO","CRÉDITO")</f>
        <v>CRÉDITO</v>
      </c>
      <c r="B987" s="144" t="str">
        <f>+IF((PROVEEDORES[[#This Row],[FECHA DE PAGO]]-PROVEEDORES[[#This Row],[FECHA DE FACTURACIÓN]])&gt;PROVEEDORES[[#This Row],[PLAZO Días]],"PAGO VENCIDO")</f>
        <v>PAGO VENCIDO</v>
      </c>
      <c r="C987" s="144">
        <f>+VLOOKUP(PROVEEDORES[[#This Row],[PROVEEDOR]],TERCEROS_INFO[#All],2,FALSE)</f>
        <v>0</v>
      </c>
      <c r="D987" s="145">
        <f>+SUMIFS(PROVEEDORES[Total],PROVEEDORES[PROVEEDOR],PROVEEDORES[[#This Row],[PROVEEDOR]],PROVEEDORES[FECHA DE PAGO],"")</f>
        <v>28179645.060000002</v>
      </c>
      <c r="E987" s="146"/>
      <c r="F987" s="144">
        <f>+VLOOKUP(PROVEEDORES[[#This Row],[PROVEEDOR]],
                       Terceros!$A:$G,
                       5,
                       FALSE)</f>
        <v>0</v>
      </c>
      <c r="G987" s="122">
        <v>45264</v>
      </c>
      <c r="H987" s="102" t="s">
        <v>18</v>
      </c>
      <c r="I987" s="122">
        <v>45218</v>
      </c>
      <c r="J987" s="103" t="s">
        <v>1182</v>
      </c>
      <c r="K987" s="103" t="s">
        <v>1512</v>
      </c>
      <c r="L987" s="103"/>
      <c r="M987" s="105">
        <v>1657794</v>
      </c>
      <c r="N987" s="147">
        <v>314980.86</v>
      </c>
      <c r="O987" s="147">
        <v>0</v>
      </c>
      <c r="P987" s="148">
        <v>0</v>
      </c>
      <c r="Q987" s="147">
        <v>0</v>
      </c>
      <c r="R987" s="149">
        <v>1972774.8599999999</v>
      </c>
      <c r="S9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7" s="150">
        <f ca="1">+IF(PROVEEDORES[[#This Row],[FECHA DE PAGO]]=0,TODAY()-PROVEEDORES[[#This Row],[FECHA DE FACTURACIÓN]]-PROVEEDORES[[#This Row],[PLAZO Días]],0)</f>
        <v>0</v>
      </c>
      <c r="U987" s="150">
        <f>+VLOOKUP(PROVEEDORES[[#This Row],[PROVEEDOR]],Terceros!$A:$E,4,FALSE)</f>
        <v>0.19</v>
      </c>
      <c r="V987" s="150">
        <f>+YEAR(PROVEEDORES[[#This Row],[FECHA DE FACTURACIÓN]])</f>
        <v>2023</v>
      </c>
      <c r="W987" s="150">
        <f>+MATCH(PROVEEDORES[[#This Row],[año facturado]],Retenciones!$1:$1,0)</f>
        <v>6</v>
      </c>
      <c r="X987" s="151" t="e">
        <f>+VLOOKUP(PROVEEDORES[[#This Row],[ID RETENCION]],Retenciones!$A$1:$O$25,PROVEEDORES[[#This Row],[indicador de columna]],FALSE)</f>
        <v>#N/A</v>
      </c>
      <c r="Y987" s="152" t="e">
        <f>+VLOOKUP(PROVEEDORES[[#This Row],[ID RETENCION]],Retenciones!$A$1:$O$25,2,FALSE)</f>
        <v>#N/A</v>
      </c>
      <c r="Z987" s="153" t="b">
        <f>+OR(COUNTIF(PROVEEDORES[[#This Row],[PROVEEDOR]],"*"&amp;'Palabra que no opera y Listas d'!$A$2&amp;"*"))</f>
        <v>0</v>
      </c>
    </row>
    <row r="988" spans="1:26" ht="27.75" customHeight="1" x14ac:dyDescent="0.3">
      <c r="A988" s="144" t="str">
        <f>+IF(PROVEEDORES[[#This Row],[FECHA DE PAGO]]=PROVEEDORES[[#This Row],[FECHA DE FACTURACIÓN]],"DE CONTADO","CRÉDITO")</f>
        <v>CRÉDITO</v>
      </c>
      <c r="B988" s="144" t="str">
        <f>+IF((PROVEEDORES[[#This Row],[FECHA DE PAGO]]-PROVEEDORES[[#This Row],[FECHA DE FACTURACIÓN]])&gt;PROVEEDORES[[#This Row],[PLAZO Días]],"PAGO VENCIDO")</f>
        <v>PAGO VENCIDO</v>
      </c>
      <c r="C988" s="144">
        <f>+VLOOKUP(PROVEEDORES[[#This Row],[PROVEEDOR]],TERCEROS_INFO[#All],2,FALSE)</f>
        <v>0</v>
      </c>
      <c r="D988" s="145">
        <f>+SUMIFS(PROVEEDORES[Total],PROVEEDORES[PROVEEDOR],PROVEEDORES[[#This Row],[PROVEEDOR]],PROVEEDORES[FECHA DE PAGO],"")</f>
        <v>31839627.134999998</v>
      </c>
      <c r="E988" s="146"/>
      <c r="F988" s="144" t="str">
        <f>+VLOOKUP(PROVEEDORES[[#This Row],[PROVEEDOR]],
                       Terceros!$A:$G,
                       5,
                       FALSE)</f>
        <v>2,5% con base</v>
      </c>
      <c r="G988" s="122">
        <v>45264</v>
      </c>
      <c r="H988" s="102" t="s">
        <v>17</v>
      </c>
      <c r="I988" s="122">
        <v>45219</v>
      </c>
      <c r="J988" s="103" t="s">
        <v>1175</v>
      </c>
      <c r="K988" s="103" t="s">
        <v>1512</v>
      </c>
      <c r="L988" s="103"/>
      <c r="M988" s="105">
        <v>1633588</v>
      </c>
      <c r="N988" s="147">
        <v>310381.72000000003</v>
      </c>
      <c r="O988" s="147">
        <v>0</v>
      </c>
      <c r="P988" s="148">
        <v>2.5000000000000001E-2</v>
      </c>
      <c r="Q988" s="147">
        <v>40839.700000000004</v>
      </c>
      <c r="R988" s="149">
        <v>1903130.02</v>
      </c>
      <c r="S9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8" s="150">
        <f ca="1">+IF(PROVEEDORES[[#This Row],[FECHA DE PAGO]]=0,TODAY()-PROVEEDORES[[#This Row],[FECHA DE FACTURACIÓN]]-PROVEEDORES[[#This Row],[PLAZO Días]],0)</f>
        <v>0</v>
      </c>
      <c r="U988" s="150">
        <f>+VLOOKUP(PROVEEDORES[[#This Row],[PROVEEDOR]],Terceros!$A:$E,4,FALSE)</f>
        <v>0.19</v>
      </c>
      <c r="V988" s="150">
        <f>+YEAR(PROVEEDORES[[#This Row],[FECHA DE FACTURACIÓN]])</f>
        <v>2023</v>
      </c>
      <c r="W988" s="150">
        <f>+MATCH(PROVEEDORES[[#This Row],[año facturado]],Retenciones!$1:$1,0)</f>
        <v>6</v>
      </c>
      <c r="X988" s="151" t="e">
        <f>+VLOOKUP(PROVEEDORES[[#This Row],[ID RETENCION]],Retenciones!$A$1:$O$25,PROVEEDORES[[#This Row],[indicador de columna]],FALSE)</f>
        <v>#N/A</v>
      </c>
      <c r="Y988" s="152" t="e">
        <f>+VLOOKUP(PROVEEDORES[[#This Row],[ID RETENCION]],Retenciones!$A$1:$O$25,2,FALSE)</f>
        <v>#N/A</v>
      </c>
      <c r="Z988" s="153" t="b">
        <f>+OR(COUNTIF(PROVEEDORES[[#This Row],[PROVEEDOR]],"*"&amp;'Palabra que no opera y Listas d'!$A$2&amp;"*"))</f>
        <v>0</v>
      </c>
    </row>
    <row r="989" spans="1:26" ht="27.75" customHeight="1" x14ac:dyDescent="0.3">
      <c r="A989" s="144" t="str">
        <f>+IF(PROVEEDORES[[#This Row],[FECHA DE PAGO]]=PROVEEDORES[[#This Row],[FECHA DE FACTURACIÓN]],"DE CONTADO","CRÉDITO")</f>
        <v>CRÉDITO</v>
      </c>
      <c r="B989" s="144" t="str">
        <f>+IF((PROVEEDORES[[#This Row],[FECHA DE PAGO]]-PROVEEDORES[[#This Row],[FECHA DE FACTURACIÓN]])&gt;PROVEEDORES[[#This Row],[PLAZO Días]],"PAGO VENCIDO")</f>
        <v>PAGO VENCIDO</v>
      </c>
      <c r="C989" s="144">
        <f>+VLOOKUP(PROVEEDORES[[#This Row],[PROVEEDOR]],TERCEROS_INFO[#All],2,FALSE)</f>
        <v>0</v>
      </c>
      <c r="D989" s="145">
        <f>+SUMIFS(PROVEEDORES[Total],PROVEEDORES[PROVEEDOR],PROVEEDORES[[#This Row],[PROVEEDOR]],PROVEEDORES[FECHA DE PAGO],"")</f>
        <v>3533418.74</v>
      </c>
      <c r="E989" s="146"/>
      <c r="F989" s="144">
        <f>+VLOOKUP(PROVEEDORES[[#This Row],[PROVEEDOR]],
                       Terceros!$A:$G,
                       5,
                       FALSE)</f>
        <v>0</v>
      </c>
      <c r="G989" s="122">
        <v>45264</v>
      </c>
      <c r="H989" s="102" t="s">
        <v>236</v>
      </c>
      <c r="I989" s="122">
        <v>45219</v>
      </c>
      <c r="J989" s="103" t="s">
        <v>1167</v>
      </c>
      <c r="K989" s="103" t="s">
        <v>1512</v>
      </c>
      <c r="L989" s="103"/>
      <c r="M989" s="105">
        <v>464214</v>
      </c>
      <c r="N989" s="147">
        <v>88200.66</v>
      </c>
      <c r="O989" s="147">
        <v>0</v>
      </c>
      <c r="P989" s="148">
        <v>0</v>
      </c>
      <c r="Q989" s="147">
        <v>0</v>
      </c>
      <c r="R989" s="149">
        <v>552414.66</v>
      </c>
      <c r="S9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9" s="150">
        <f ca="1">+IF(PROVEEDORES[[#This Row],[FECHA DE PAGO]]=0,TODAY()-PROVEEDORES[[#This Row],[FECHA DE FACTURACIÓN]]-PROVEEDORES[[#This Row],[PLAZO Días]],0)</f>
        <v>0</v>
      </c>
      <c r="U989" s="150">
        <f>+VLOOKUP(PROVEEDORES[[#This Row],[PROVEEDOR]],Terceros!$A:$E,4,FALSE)</f>
        <v>0.19</v>
      </c>
      <c r="V989" s="150">
        <f>+YEAR(PROVEEDORES[[#This Row],[FECHA DE FACTURACIÓN]])</f>
        <v>2023</v>
      </c>
      <c r="W989" s="150">
        <f>+MATCH(PROVEEDORES[[#This Row],[año facturado]],Retenciones!$1:$1,0)</f>
        <v>6</v>
      </c>
      <c r="X989" s="151" t="e">
        <f>+VLOOKUP(PROVEEDORES[[#This Row],[ID RETENCION]],Retenciones!$A$1:$O$25,PROVEEDORES[[#This Row],[indicador de columna]],FALSE)</f>
        <v>#N/A</v>
      </c>
      <c r="Y989" s="152" t="e">
        <f>+VLOOKUP(PROVEEDORES[[#This Row],[ID RETENCION]],Retenciones!$A$1:$O$25,2,FALSE)</f>
        <v>#N/A</v>
      </c>
      <c r="Z989" s="153" t="b">
        <f>+OR(COUNTIF(PROVEEDORES[[#This Row],[PROVEEDOR]],"*"&amp;'Palabra que no opera y Listas d'!$A$2&amp;"*"))</f>
        <v>0</v>
      </c>
    </row>
    <row r="990" spans="1:26" ht="27.75" customHeight="1" x14ac:dyDescent="0.3">
      <c r="A990" s="144" t="str">
        <f>+IF(PROVEEDORES[[#This Row],[FECHA DE PAGO]]=PROVEEDORES[[#This Row],[FECHA DE FACTURACIÓN]],"DE CONTADO","CRÉDITO")</f>
        <v>CRÉDITO</v>
      </c>
      <c r="B990" s="144" t="str">
        <f>+IF((PROVEEDORES[[#This Row],[FECHA DE PAGO]]-PROVEEDORES[[#This Row],[FECHA DE FACTURACIÓN]])&gt;PROVEEDORES[[#This Row],[PLAZO Días]],"PAGO VENCIDO")</f>
        <v>PAGO VENCIDO</v>
      </c>
      <c r="C990" s="144">
        <f>+VLOOKUP(PROVEEDORES[[#This Row],[PROVEEDOR]],TERCEROS_INFO[#All],2,FALSE)</f>
        <v>0</v>
      </c>
      <c r="D990" s="145">
        <f>+SUMIFS(PROVEEDORES[Total],PROVEEDORES[PROVEEDOR],PROVEEDORES[[#This Row],[PROVEEDOR]],PROVEEDORES[FECHA DE PAGO],"")</f>
        <v>8493745.8849999998</v>
      </c>
      <c r="E990" s="146"/>
      <c r="F990" s="144" t="str">
        <f>+VLOOKUP(PROVEEDORES[[#This Row],[PROVEEDOR]],
                       Terceros!$A:$G,
                       5,
                       FALSE)</f>
        <v>2,5% con base</v>
      </c>
      <c r="G990" s="122">
        <v>45264</v>
      </c>
      <c r="H990" s="102" t="s">
        <v>10</v>
      </c>
      <c r="I990" s="122">
        <v>45222</v>
      </c>
      <c r="J990" s="103" t="s">
        <v>1188</v>
      </c>
      <c r="K990" s="103" t="s">
        <v>1512</v>
      </c>
      <c r="L990" s="103"/>
      <c r="M990" s="105">
        <v>3105888</v>
      </c>
      <c r="N990" s="147">
        <v>590118.72</v>
      </c>
      <c r="O990" s="147">
        <v>0</v>
      </c>
      <c r="P990" s="148">
        <v>2.5000000000000001E-2</v>
      </c>
      <c r="Q990" s="147">
        <v>77647.199999999997</v>
      </c>
      <c r="R990" s="149">
        <v>3618359.5199999996</v>
      </c>
      <c r="S9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0" s="150">
        <f ca="1">+IF(PROVEEDORES[[#This Row],[FECHA DE PAGO]]=0,TODAY()-PROVEEDORES[[#This Row],[FECHA DE FACTURACIÓN]]-PROVEEDORES[[#This Row],[PLAZO Días]],0)</f>
        <v>0</v>
      </c>
      <c r="U990" s="150">
        <f>+VLOOKUP(PROVEEDORES[[#This Row],[PROVEEDOR]],Terceros!$A:$E,4,FALSE)</f>
        <v>0.19</v>
      </c>
      <c r="V990" s="150">
        <f>+YEAR(PROVEEDORES[[#This Row],[FECHA DE FACTURACIÓN]])</f>
        <v>2023</v>
      </c>
      <c r="W990" s="150">
        <f>+MATCH(PROVEEDORES[[#This Row],[año facturado]],Retenciones!$1:$1,0)</f>
        <v>6</v>
      </c>
      <c r="X990" s="151" t="e">
        <f>+VLOOKUP(PROVEEDORES[[#This Row],[ID RETENCION]],Retenciones!$A$1:$O$25,PROVEEDORES[[#This Row],[indicador de columna]],FALSE)</f>
        <v>#N/A</v>
      </c>
      <c r="Y990" s="152" t="e">
        <f>+VLOOKUP(PROVEEDORES[[#This Row],[ID RETENCION]],Retenciones!$A$1:$O$25,2,FALSE)</f>
        <v>#N/A</v>
      </c>
      <c r="Z990" s="153" t="b">
        <f>+OR(COUNTIF(PROVEEDORES[[#This Row],[PROVEEDOR]],"*"&amp;'Palabra que no opera y Listas d'!$A$2&amp;"*"))</f>
        <v>0</v>
      </c>
    </row>
    <row r="991" spans="1:26" ht="27.75" customHeight="1" x14ac:dyDescent="0.3">
      <c r="A991" s="144" t="str">
        <f>+IF(PROVEEDORES[[#This Row],[FECHA DE PAGO]]=PROVEEDORES[[#This Row],[FECHA DE FACTURACIÓN]],"DE CONTADO","CRÉDITO")</f>
        <v>CRÉDITO</v>
      </c>
      <c r="B991" s="144" t="str">
        <f>+IF((PROVEEDORES[[#This Row],[FECHA DE PAGO]]-PROVEEDORES[[#This Row],[FECHA DE FACTURACIÓN]])&gt;PROVEEDORES[[#This Row],[PLAZO Días]],"PAGO VENCIDO")</f>
        <v>PAGO VENCIDO</v>
      </c>
      <c r="C991" s="144">
        <f>+VLOOKUP(PROVEEDORES[[#This Row],[PROVEEDOR]],TERCEROS_INFO[#All],2,FALSE)</f>
        <v>0</v>
      </c>
      <c r="D991" s="145">
        <f>+SUMIFS(PROVEEDORES[Total],PROVEEDORES[PROVEEDOR],PROVEEDORES[[#This Row],[PROVEEDOR]],PROVEEDORES[FECHA DE PAGO],"")</f>
        <v>0</v>
      </c>
      <c r="E991" s="146"/>
      <c r="F991" s="144" t="str">
        <f>+VLOOKUP(PROVEEDORES[[#This Row],[PROVEEDOR]],
                       Terceros!$A:$G,
                       5,
                       FALSE)</f>
        <v>2,5% con base</v>
      </c>
      <c r="G991" s="122">
        <v>45264</v>
      </c>
      <c r="H991" s="102" t="s">
        <v>594</v>
      </c>
      <c r="I991" s="122">
        <v>45225</v>
      </c>
      <c r="J991" s="103" t="s">
        <v>1195</v>
      </c>
      <c r="K991" s="103" t="s">
        <v>1512</v>
      </c>
      <c r="L991" s="103"/>
      <c r="M991" s="105">
        <v>3110000</v>
      </c>
      <c r="N991" s="147">
        <v>590900</v>
      </c>
      <c r="O991" s="147">
        <v>0</v>
      </c>
      <c r="P991" s="148">
        <v>2.5000000000000001E-2</v>
      </c>
      <c r="Q991" s="147">
        <v>77750</v>
      </c>
      <c r="R991" s="149">
        <v>3623150</v>
      </c>
      <c r="S9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1" s="150">
        <f ca="1">+IF(PROVEEDORES[[#This Row],[FECHA DE PAGO]]=0,TODAY()-PROVEEDORES[[#This Row],[FECHA DE FACTURACIÓN]]-PROVEEDORES[[#This Row],[PLAZO Días]],0)</f>
        <v>0</v>
      </c>
      <c r="U991" s="150">
        <f>+VLOOKUP(PROVEEDORES[[#This Row],[PROVEEDOR]],Terceros!$A:$E,4,FALSE)</f>
        <v>0.19</v>
      </c>
      <c r="V991" s="150">
        <f>+YEAR(PROVEEDORES[[#This Row],[FECHA DE FACTURACIÓN]])</f>
        <v>2023</v>
      </c>
      <c r="W991" s="150">
        <f>+MATCH(PROVEEDORES[[#This Row],[año facturado]],Retenciones!$1:$1,0)</f>
        <v>6</v>
      </c>
      <c r="X991" s="151" t="e">
        <f>+VLOOKUP(PROVEEDORES[[#This Row],[ID RETENCION]],Retenciones!$A$1:$O$25,PROVEEDORES[[#This Row],[indicador de columna]],FALSE)</f>
        <v>#N/A</v>
      </c>
      <c r="Y991" s="152" t="e">
        <f>+VLOOKUP(PROVEEDORES[[#This Row],[ID RETENCION]],Retenciones!$A$1:$O$25,2,FALSE)</f>
        <v>#N/A</v>
      </c>
      <c r="Z991" s="153" t="b">
        <f>+OR(COUNTIF(PROVEEDORES[[#This Row],[PROVEEDOR]],"*"&amp;'Palabra que no opera y Listas d'!$A$2&amp;"*"))</f>
        <v>0</v>
      </c>
    </row>
    <row r="992" spans="1:26" ht="27.75" customHeight="1" x14ac:dyDescent="0.3">
      <c r="A992" s="144" t="str">
        <f>+IF(PROVEEDORES[[#This Row],[FECHA DE PAGO]]=PROVEEDORES[[#This Row],[FECHA DE FACTURACIÓN]],"DE CONTADO","CRÉDITO")</f>
        <v>CRÉDITO</v>
      </c>
      <c r="B992" s="144" t="str">
        <f>+IF((PROVEEDORES[[#This Row],[FECHA DE PAGO]]-PROVEEDORES[[#This Row],[FECHA DE FACTURACIÓN]])&gt;PROVEEDORES[[#This Row],[PLAZO Días]],"PAGO VENCIDO")</f>
        <v>PAGO VENCIDO</v>
      </c>
      <c r="C992" s="144">
        <f>+VLOOKUP(PROVEEDORES[[#This Row],[PROVEEDOR]],TERCEROS_INFO[#All],2,FALSE)</f>
        <v>0</v>
      </c>
      <c r="D992" s="145">
        <f>+SUMIFS(PROVEEDORES[Total],PROVEEDORES[PROVEEDOR],PROVEEDORES[[#This Row],[PROVEEDOR]],PROVEEDORES[FECHA DE PAGO],"")</f>
        <v>0</v>
      </c>
      <c r="E992" s="146"/>
      <c r="F992" s="144" t="str">
        <f>+VLOOKUP(PROVEEDORES[[#This Row],[PROVEEDOR]],
                       Terceros!$A:$G,
                       5,
                       FALSE)</f>
        <v>2,5% con base</v>
      </c>
      <c r="G992" s="122">
        <v>45264</v>
      </c>
      <c r="H992" s="102" t="s">
        <v>30</v>
      </c>
      <c r="I992" s="122">
        <v>45225</v>
      </c>
      <c r="J992" s="103" t="s">
        <v>1180</v>
      </c>
      <c r="K992" s="103" t="s">
        <v>1512</v>
      </c>
      <c r="L992" s="103"/>
      <c r="M992" s="105">
        <v>2261344</v>
      </c>
      <c r="N992" s="147">
        <v>429655.36</v>
      </c>
      <c r="O992" s="147">
        <v>0</v>
      </c>
      <c r="P992" s="148">
        <v>2.5000000000000001E-2</v>
      </c>
      <c r="Q992" s="147">
        <v>56533.600000000006</v>
      </c>
      <c r="R992" s="149">
        <v>2634465.7599999998</v>
      </c>
      <c r="S9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2" s="150">
        <f ca="1">+IF(PROVEEDORES[[#This Row],[FECHA DE PAGO]]=0,TODAY()-PROVEEDORES[[#This Row],[FECHA DE FACTURACIÓN]]-PROVEEDORES[[#This Row],[PLAZO Días]],0)</f>
        <v>0</v>
      </c>
      <c r="U992" s="150">
        <f>+VLOOKUP(PROVEEDORES[[#This Row],[PROVEEDOR]],Terceros!$A:$E,4,FALSE)</f>
        <v>0.19</v>
      </c>
      <c r="V992" s="150">
        <f>+YEAR(PROVEEDORES[[#This Row],[FECHA DE FACTURACIÓN]])</f>
        <v>2023</v>
      </c>
      <c r="W992" s="150">
        <f>+MATCH(PROVEEDORES[[#This Row],[año facturado]],Retenciones!$1:$1,0)</f>
        <v>6</v>
      </c>
      <c r="X992" s="151" t="e">
        <f>+VLOOKUP(PROVEEDORES[[#This Row],[ID RETENCION]],Retenciones!$A$1:$O$25,PROVEEDORES[[#This Row],[indicador de columna]],FALSE)</f>
        <v>#N/A</v>
      </c>
      <c r="Y992" s="152" t="e">
        <f>+VLOOKUP(PROVEEDORES[[#This Row],[ID RETENCION]],Retenciones!$A$1:$O$25,2,FALSE)</f>
        <v>#N/A</v>
      </c>
      <c r="Z992" s="153" t="b">
        <f>+OR(COUNTIF(PROVEEDORES[[#This Row],[PROVEEDOR]],"*"&amp;'Palabra que no opera y Listas d'!$A$2&amp;"*"))</f>
        <v>0</v>
      </c>
    </row>
    <row r="993" spans="1:26" ht="27.75" customHeight="1" x14ac:dyDescent="0.3">
      <c r="A993" s="144" t="str">
        <f>+IF(PROVEEDORES[[#This Row],[FECHA DE PAGO]]=PROVEEDORES[[#This Row],[FECHA DE FACTURACIÓN]],"DE CONTADO","CRÉDITO")</f>
        <v>CRÉDITO</v>
      </c>
      <c r="B993" s="144" t="str">
        <f>+IF((PROVEEDORES[[#This Row],[FECHA DE PAGO]]-PROVEEDORES[[#This Row],[FECHA DE FACTURACIÓN]])&gt;PROVEEDORES[[#This Row],[PLAZO Días]],"PAGO VENCIDO")</f>
        <v>PAGO VENCIDO</v>
      </c>
      <c r="C993" s="144">
        <f>+VLOOKUP(PROVEEDORES[[#This Row],[PROVEEDOR]],TERCEROS_INFO[#All],2,FALSE)</f>
        <v>0</v>
      </c>
      <c r="D993" s="145">
        <f>+SUMIFS(PROVEEDORES[Total],PROVEEDORES[PROVEEDOR],PROVEEDORES[[#This Row],[PROVEEDOR]],PROVEEDORES[FECHA DE PAGO],"")</f>
        <v>5820290</v>
      </c>
      <c r="E993" s="146"/>
      <c r="F993" s="144">
        <f>+VLOOKUP(PROVEEDORES[[#This Row],[PROVEEDOR]],
                       Terceros!$A:$G,
                       5,
                       FALSE)</f>
        <v>0</v>
      </c>
      <c r="G993" s="122">
        <v>45264</v>
      </c>
      <c r="H993" s="102" t="s">
        <v>461</v>
      </c>
      <c r="I993" s="122">
        <v>45225</v>
      </c>
      <c r="J993" s="103" t="s">
        <v>1194</v>
      </c>
      <c r="K993" s="103" t="s">
        <v>1512</v>
      </c>
      <c r="L993" s="103"/>
      <c r="M993" s="105">
        <v>2263000</v>
      </c>
      <c r="N993" s="147">
        <v>429970</v>
      </c>
      <c r="O993" s="147">
        <v>0</v>
      </c>
      <c r="P993" s="148">
        <v>0</v>
      </c>
      <c r="Q993" s="147">
        <v>0</v>
      </c>
      <c r="R993" s="149">
        <v>2692970</v>
      </c>
      <c r="S9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3" s="150">
        <f ca="1">+IF(PROVEEDORES[[#This Row],[FECHA DE PAGO]]=0,TODAY()-PROVEEDORES[[#This Row],[FECHA DE FACTURACIÓN]]-PROVEEDORES[[#This Row],[PLAZO Días]],0)</f>
        <v>0</v>
      </c>
      <c r="U993" s="150">
        <f>+VLOOKUP(PROVEEDORES[[#This Row],[PROVEEDOR]],Terceros!$A:$E,4,FALSE)</f>
        <v>0.19</v>
      </c>
      <c r="V993" s="150">
        <f>+YEAR(PROVEEDORES[[#This Row],[FECHA DE FACTURACIÓN]])</f>
        <v>2023</v>
      </c>
      <c r="W993" s="150">
        <f>+MATCH(PROVEEDORES[[#This Row],[año facturado]],Retenciones!$1:$1,0)</f>
        <v>6</v>
      </c>
      <c r="X993" s="151" t="e">
        <f>+VLOOKUP(PROVEEDORES[[#This Row],[ID RETENCION]],Retenciones!$A$1:$O$25,PROVEEDORES[[#This Row],[indicador de columna]],FALSE)</f>
        <v>#N/A</v>
      </c>
      <c r="Y993" s="152" t="e">
        <f>+VLOOKUP(PROVEEDORES[[#This Row],[ID RETENCION]],Retenciones!$A$1:$O$25,2,FALSE)</f>
        <v>#N/A</v>
      </c>
      <c r="Z993" s="153" t="b">
        <f>+OR(COUNTIF(PROVEEDORES[[#This Row],[PROVEEDOR]],"*"&amp;'Palabra que no opera y Listas d'!$A$2&amp;"*"))</f>
        <v>0</v>
      </c>
    </row>
    <row r="994" spans="1:26" ht="27.75" customHeight="1" x14ac:dyDescent="0.3">
      <c r="A994" s="144" t="str">
        <f>+IF(PROVEEDORES[[#This Row],[FECHA DE PAGO]]=PROVEEDORES[[#This Row],[FECHA DE FACTURACIÓN]],"DE CONTADO","CRÉDITO")</f>
        <v>CRÉDITO</v>
      </c>
      <c r="B994" s="144" t="str">
        <f>+IF((PROVEEDORES[[#This Row],[FECHA DE PAGO]]-PROVEEDORES[[#This Row],[FECHA DE FACTURACIÓN]])&gt;PROVEEDORES[[#This Row],[PLAZO Días]],"PAGO VENCIDO")</f>
        <v>PAGO VENCIDO</v>
      </c>
      <c r="C994" s="144">
        <f>+VLOOKUP(PROVEEDORES[[#This Row],[PROVEEDOR]],TERCEROS_INFO[#All],2,FALSE)</f>
        <v>0</v>
      </c>
      <c r="D994" s="145">
        <f>+SUMIFS(PROVEEDORES[Total],PROVEEDORES[PROVEEDOR],PROVEEDORES[[#This Row],[PROVEEDOR]],PROVEEDORES[FECHA DE PAGO],"")</f>
        <v>31839627.134999998</v>
      </c>
      <c r="E994" s="146"/>
      <c r="F994" s="144" t="str">
        <f>+VLOOKUP(PROVEEDORES[[#This Row],[PROVEEDOR]],
                       Terceros!$A:$G,
                       5,
                       FALSE)</f>
        <v>2,5% con base</v>
      </c>
      <c r="G994" s="122">
        <v>45264</v>
      </c>
      <c r="H994" s="102" t="s">
        <v>17</v>
      </c>
      <c r="I994" s="122">
        <v>45232</v>
      </c>
      <c r="J994" s="103" t="s">
        <v>1230</v>
      </c>
      <c r="K994" s="103" t="s">
        <v>1512</v>
      </c>
      <c r="L994" s="103"/>
      <c r="M994" s="105">
        <v>2284053</v>
      </c>
      <c r="N994" s="147">
        <v>433970.07</v>
      </c>
      <c r="O994" s="147">
        <v>0</v>
      </c>
      <c r="P994" s="148">
        <v>2.5000000000000001E-2</v>
      </c>
      <c r="Q994" s="147">
        <v>57101.325000000004</v>
      </c>
      <c r="R994" s="149">
        <v>2660921.7449999996</v>
      </c>
      <c r="S9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4" s="150">
        <f ca="1">+IF(PROVEEDORES[[#This Row],[FECHA DE PAGO]]=0,TODAY()-PROVEEDORES[[#This Row],[FECHA DE FACTURACIÓN]]-PROVEEDORES[[#This Row],[PLAZO Días]],0)</f>
        <v>0</v>
      </c>
      <c r="U994" s="150">
        <f>+VLOOKUP(PROVEEDORES[[#This Row],[PROVEEDOR]],Terceros!$A:$E,4,FALSE)</f>
        <v>0.19</v>
      </c>
      <c r="V994" s="150">
        <f>+YEAR(PROVEEDORES[[#This Row],[FECHA DE FACTURACIÓN]])</f>
        <v>2023</v>
      </c>
      <c r="W994" s="150">
        <f>+MATCH(PROVEEDORES[[#This Row],[año facturado]],Retenciones!$1:$1,0)</f>
        <v>6</v>
      </c>
      <c r="X994" s="151" t="e">
        <f>+VLOOKUP(PROVEEDORES[[#This Row],[ID RETENCION]],Retenciones!$A$1:$O$25,PROVEEDORES[[#This Row],[indicador de columna]],FALSE)</f>
        <v>#N/A</v>
      </c>
      <c r="Y994" s="152" t="e">
        <f>+VLOOKUP(PROVEEDORES[[#This Row],[ID RETENCION]],Retenciones!$A$1:$O$25,2,FALSE)</f>
        <v>#N/A</v>
      </c>
      <c r="Z994" s="153" t="b">
        <f>+OR(COUNTIF(PROVEEDORES[[#This Row],[PROVEEDOR]],"*"&amp;'Palabra que no opera y Listas d'!$A$2&amp;"*"))</f>
        <v>0</v>
      </c>
    </row>
    <row r="995" spans="1:26" ht="27.75" customHeight="1" x14ac:dyDescent="0.3">
      <c r="A995" s="144" t="str">
        <f>+IF(PROVEEDORES[[#This Row],[FECHA DE PAGO]]=PROVEEDORES[[#This Row],[FECHA DE FACTURACIÓN]],"DE CONTADO","CRÉDITO")</f>
        <v>CRÉDITO</v>
      </c>
      <c r="B995" s="144" t="str">
        <f>+IF((PROVEEDORES[[#This Row],[FECHA DE PAGO]]-PROVEEDORES[[#This Row],[FECHA DE FACTURACIÓN]])&gt;PROVEEDORES[[#This Row],[PLAZO Días]],"PAGO VENCIDO")</f>
        <v>PAGO VENCIDO</v>
      </c>
      <c r="C995" s="144">
        <f>+VLOOKUP(PROVEEDORES[[#This Row],[PROVEEDOR]],TERCEROS_INFO[#All],2,FALSE)</f>
        <v>0</v>
      </c>
      <c r="D995" s="145" t="e">
        <f>+SUMIFS(PROVEEDORES[Total],PROVEEDORES[PROVEEDOR],PROVEEDORES[[#This Row],[PROVEEDOR]],PROVEEDORES[FECHA DE PAGO],"")</f>
        <v>#N/A</v>
      </c>
      <c r="E995" s="146"/>
      <c r="F995" s="144">
        <f>+VLOOKUP(PROVEEDORES[[#This Row],[PROVEEDOR]],
                       Terceros!$A:$G,
                       5,
                       FALSE)</f>
        <v>0</v>
      </c>
      <c r="G995" s="122">
        <v>45264</v>
      </c>
      <c r="H995" s="102" t="s">
        <v>16</v>
      </c>
      <c r="I995" s="122">
        <v>45233</v>
      </c>
      <c r="J995" s="103" t="s">
        <v>1234</v>
      </c>
      <c r="K995" s="103" t="s">
        <v>1512</v>
      </c>
      <c r="L995" s="103"/>
      <c r="M995" s="105">
        <v>707408</v>
      </c>
      <c r="N995" s="147">
        <v>134407.51999999999</v>
      </c>
      <c r="O995" s="147">
        <v>0</v>
      </c>
      <c r="P995" s="148">
        <v>0</v>
      </c>
      <c r="Q995" s="147">
        <v>0</v>
      </c>
      <c r="R995" s="149">
        <v>841815.52</v>
      </c>
      <c r="S9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5" s="150">
        <f ca="1">+IF(PROVEEDORES[[#This Row],[FECHA DE PAGO]]=0,TODAY()-PROVEEDORES[[#This Row],[FECHA DE FACTURACIÓN]]-PROVEEDORES[[#This Row],[PLAZO Días]],0)</f>
        <v>0</v>
      </c>
      <c r="U995" s="150">
        <f>+VLOOKUP(PROVEEDORES[[#This Row],[PROVEEDOR]],Terceros!$A:$E,4,FALSE)</f>
        <v>0.19</v>
      </c>
      <c r="V995" s="150">
        <f>+YEAR(PROVEEDORES[[#This Row],[FECHA DE FACTURACIÓN]])</f>
        <v>2023</v>
      </c>
      <c r="W995" s="150">
        <f>+MATCH(PROVEEDORES[[#This Row],[año facturado]],Retenciones!$1:$1,0)</f>
        <v>6</v>
      </c>
      <c r="X995" s="151" t="e">
        <f>+VLOOKUP(PROVEEDORES[[#This Row],[ID RETENCION]],Retenciones!$A$1:$O$25,PROVEEDORES[[#This Row],[indicador de columna]],FALSE)</f>
        <v>#N/A</v>
      </c>
      <c r="Y995" s="152" t="e">
        <f>+VLOOKUP(PROVEEDORES[[#This Row],[ID RETENCION]],Retenciones!$A$1:$O$25,2,FALSE)</f>
        <v>#N/A</v>
      </c>
      <c r="Z995" s="153" t="b">
        <f>+OR(COUNTIF(PROVEEDORES[[#This Row],[PROVEEDOR]],"*"&amp;'Palabra que no opera y Listas d'!$A$2&amp;"*"))</f>
        <v>0</v>
      </c>
    </row>
    <row r="996" spans="1:26" ht="27.75" customHeight="1" x14ac:dyDescent="0.3">
      <c r="A996" s="144" t="str">
        <f>+IF(PROVEEDORES[[#This Row],[FECHA DE PAGO]]=PROVEEDORES[[#This Row],[FECHA DE FACTURACIÓN]],"DE CONTADO","CRÉDITO")</f>
        <v>CRÉDITO</v>
      </c>
      <c r="B996" s="144" t="str">
        <f>+IF((PROVEEDORES[[#This Row],[FECHA DE PAGO]]-PROVEEDORES[[#This Row],[FECHA DE FACTURACIÓN]])&gt;PROVEEDORES[[#This Row],[PLAZO Días]],"PAGO VENCIDO")</f>
        <v>PAGO VENCIDO</v>
      </c>
      <c r="C996" s="144">
        <f>+VLOOKUP(PROVEEDORES[[#This Row],[PROVEEDOR]],TERCEROS_INFO[#All],2,FALSE)</f>
        <v>0</v>
      </c>
      <c r="D996" s="145">
        <f>+SUMIFS(PROVEEDORES[Total],PROVEEDORES[PROVEEDOR],PROVEEDORES[[#This Row],[PROVEEDOR]],PROVEEDORES[FECHA DE PAGO],"")</f>
        <v>0</v>
      </c>
      <c r="E996" s="146"/>
      <c r="F996" s="144">
        <f>+VLOOKUP(PROVEEDORES[[#This Row],[PROVEEDOR]],
                       Terceros!$A:$G,
                       5,
                       FALSE)</f>
        <v>0</v>
      </c>
      <c r="G996" s="122">
        <v>45264</v>
      </c>
      <c r="H996" s="102" t="s">
        <v>845</v>
      </c>
      <c r="I996" s="122">
        <v>45261</v>
      </c>
      <c r="J996" s="103" t="s">
        <v>1298</v>
      </c>
      <c r="K996" s="103" t="s">
        <v>1512</v>
      </c>
      <c r="L996" s="103"/>
      <c r="M996" s="105">
        <v>534000</v>
      </c>
      <c r="N996" s="147">
        <v>0</v>
      </c>
      <c r="O996" s="147">
        <v>0</v>
      </c>
      <c r="P996" s="148">
        <v>0</v>
      </c>
      <c r="Q996" s="147">
        <v>0</v>
      </c>
      <c r="R996" s="149">
        <v>534000</v>
      </c>
      <c r="S9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6" s="150">
        <f ca="1">+IF(PROVEEDORES[[#This Row],[FECHA DE PAGO]]=0,TODAY()-PROVEEDORES[[#This Row],[FECHA DE FACTURACIÓN]]-PROVEEDORES[[#This Row],[PLAZO Días]],0)</f>
        <v>0</v>
      </c>
      <c r="U996" s="150">
        <f>+VLOOKUP(PROVEEDORES[[#This Row],[PROVEEDOR]],Terceros!$A:$E,4,FALSE)</f>
        <v>0</v>
      </c>
      <c r="V996" s="150">
        <f>+YEAR(PROVEEDORES[[#This Row],[FECHA DE FACTURACIÓN]])</f>
        <v>2023</v>
      </c>
      <c r="W996" s="150">
        <f>+MATCH(PROVEEDORES[[#This Row],[año facturado]],Retenciones!$1:$1,0)</f>
        <v>6</v>
      </c>
      <c r="X996" s="151">
        <f>+VLOOKUP(PROVEEDORES[[#This Row],[ID RETENCION]],Retenciones!$A$1:$O$25,PROVEEDORES[[#This Row],[indicador de columna]],FALSE)</f>
        <v>0</v>
      </c>
      <c r="Y996" s="152">
        <f>+VLOOKUP(PROVEEDORES[[#This Row],[ID RETENCION]],Retenciones!$A$1:$O$25,2,FALSE)</f>
        <v>0</v>
      </c>
      <c r="Z996" s="153" t="b">
        <f>+OR(COUNTIF(PROVEEDORES[[#This Row],[PROVEEDOR]],"*"&amp;'Palabra que no opera y Listas d'!$A$2&amp;"*"))</f>
        <v>0</v>
      </c>
    </row>
    <row r="997" spans="1:26" ht="27.75" customHeight="1" x14ac:dyDescent="0.3">
      <c r="A997" s="144" t="str">
        <f>+IF(PROVEEDORES[[#This Row],[FECHA DE PAGO]]=PROVEEDORES[[#This Row],[FECHA DE FACTURACIÓN]],"DE CONTADO","CRÉDITO")</f>
        <v>DE CONTADO</v>
      </c>
      <c r="B997" s="144" t="b">
        <f>+IF((PROVEEDORES[[#This Row],[FECHA DE PAGO]]-PROVEEDORES[[#This Row],[FECHA DE FACTURACIÓN]])&gt;PROVEEDORES[[#This Row],[PLAZO Días]],"PAGO VENCIDO")</f>
        <v>0</v>
      </c>
      <c r="C997" s="144">
        <f>+VLOOKUP(PROVEEDORES[[#This Row],[PROVEEDOR]],TERCEROS_INFO[#All],2,FALSE)</f>
        <v>0</v>
      </c>
      <c r="D997" s="145">
        <f>+SUMIFS(PROVEEDORES[Total],PROVEEDORES[PROVEEDOR],PROVEEDORES[[#This Row],[PROVEEDOR]],PROVEEDORES[FECHA DE PAGO],"")</f>
        <v>0</v>
      </c>
      <c r="E997" s="146"/>
      <c r="F997" s="144">
        <f>+VLOOKUP(PROVEEDORES[[#This Row],[PROVEEDOR]],
                       Terceros!$A:$G,
                       5,
                       FALSE)</f>
        <v>0</v>
      </c>
      <c r="G997" s="122">
        <v>45266</v>
      </c>
      <c r="H997" s="102" t="s">
        <v>537</v>
      </c>
      <c r="I997" s="122">
        <v>45266</v>
      </c>
      <c r="J997" s="103" t="s">
        <v>1317</v>
      </c>
      <c r="K997" s="103" t="s">
        <v>1512</v>
      </c>
      <c r="L997" s="103"/>
      <c r="M997" s="105">
        <v>412900</v>
      </c>
      <c r="N997" s="147">
        <v>0</v>
      </c>
      <c r="O997" s="147">
        <v>0</v>
      </c>
      <c r="P997" s="148">
        <v>0</v>
      </c>
      <c r="Q997" s="147">
        <v>0</v>
      </c>
      <c r="R997" s="149">
        <v>412900</v>
      </c>
      <c r="S9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7" s="150">
        <f ca="1">+IF(PROVEEDORES[[#This Row],[FECHA DE PAGO]]=0,TODAY()-PROVEEDORES[[#This Row],[FECHA DE FACTURACIÓN]]-PROVEEDORES[[#This Row],[PLAZO Días]],0)</f>
        <v>0</v>
      </c>
      <c r="U997" s="150">
        <f>+VLOOKUP(PROVEEDORES[[#This Row],[PROVEEDOR]],Terceros!$A:$E,4,FALSE)</f>
        <v>0</v>
      </c>
      <c r="V997" s="150">
        <f>+YEAR(PROVEEDORES[[#This Row],[FECHA DE FACTURACIÓN]])</f>
        <v>2023</v>
      </c>
      <c r="W997" s="150">
        <f>+MATCH(PROVEEDORES[[#This Row],[año facturado]],Retenciones!$1:$1,0)</f>
        <v>6</v>
      </c>
      <c r="X997" s="151">
        <f>+VLOOKUP(PROVEEDORES[[#This Row],[ID RETENCION]],Retenciones!$A$1:$O$25,PROVEEDORES[[#This Row],[indicador de columna]],FALSE)</f>
        <v>0</v>
      </c>
      <c r="Y997" s="152">
        <f>+VLOOKUP(PROVEEDORES[[#This Row],[ID RETENCION]],Retenciones!$A$1:$O$25,2,FALSE)</f>
        <v>0</v>
      </c>
      <c r="Z997" s="153" t="b">
        <f>+OR(COUNTIF(PROVEEDORES[[#This Row],[PROVEEDOR]],"*"&amp;'Palabra que no opera y Listas d'!$A$2&amp;"*"))</f>
        <v>0</v>
      </c>
    </row>
    <row r="998" spans="1:26" ht="27.75" customHeight="1" x14ac:dyDescent="0.3">
      <c r="A998" s="144" t="str">
        <f>+IF(PROVEEDORES[[#This Row],[FECHA DE PAGO]]=PROVEEDORES[[#This Row],[FECHA DE FACTURACIÓN]],"DE CONTADO","CRÉDITO")</f>
        <v>DE CONTADO</v>
      </c>
      <c r="B998" s="144" t="b">
        <f>+IF((PROVEEDORES[[#This Row],[FECHA DE PAGO]]-PROVEEDORES[[#This Row],[FECHA DE FACTURACIÓN]])&gt;PROVEEDORES[[#This Row],[PLAZO Días]],"PAGO VENCIDO")</f>
        <v>0</v>
      </c>
      <c r="C998" s="144">
        <f>+VLOOKUP(PROVEEDORES[[#This Row],[PROVEEDOR]],TERCEROS_INFO[#All],2,FALSE)</f>
        <v>0</v>
      </c>
      <c r="D998" s="145">
        <f>+SUMIFS(PROVEEDORES[Total],PROVEEDORES[PROVEEDOR],PROVEEDORES[[#This Row],[PROVEEDOR]],PROVEEDORES[FECHA DE PAGO],"")</f>
        <v>550000</v>
      </c>
      <c r="E998" s="146"/>
      <c r="F998" s="144">
        <f>+VLOOKUP(PROVEEDORES[[#This Row],[PROVEEDOR]],
                       Terceros!$A:$G,
                       5,
                       FALSE)</f>
        <v>0</v>
      </c>
      <c r="G998" s="122">
        <v>45266</v>
      </c>
      <c r="H998" s="102" t="s">
        <v>1784</v>
      </c>
      <c r="I998" s="122">
        <v>45266</v>
      </c>
      <c r="J998" s="103" t="s">
        <v>1372</v>
      </c>
      <c r="K998" s="103" t="s">
        <v>1512</v>
      </c>
      <c r="L998" s="103"/>
      <c r="M998" s="105">
        <v>1200000</v>
      </c>
      <c r="N998" s="147">
        <v>0</v>
      </c>
      <c r="O998" s="147">
        <v>0</v>
      </c>
      <c r="P998" s="148">
        <v>0</v>
      </c>
      <c r="Q998" s="147">
        <v>0</v>
      </c>
      <c r="R998" s="149">
        <v>1200000</v>
      </c>
      <c r="S9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8" s="150">
        <f ca="1">+IF(PROVEEDORES[[#This Row],[FECHA DE PAGO]]=0,TODAY()-PROVEEDORES[[#This Row],[FECHA DE FACTURACIÓN]]-PROVEEDORES[[#This Row],[PLAZO Días]],0)</f>
        <v>0</v>
      </c>
      <c r="U998" s="150">
        <f>+VLOOKUP(PROVEEDORES[[#This Row],[PROVEEDOR]],Terceros!$A:$E,4,FALSE)</f>
        <v>0</v>
      </c>
      <c r="V998" s="150">
        <f>+YEAR(PROVEEDORES[[#This Row],[FECHA DE FACTURACIÓN]])</f>
        <v>2023</v>
      </c>
      <c r="W998" s="150">
        <f>+MATCH(PROVEEDORES[[#This Row],[año facturado]],Retenciones!$1:$1,0)</f>
        <v>6</v>
      </c>
      <c r="X998" s="151">
        <f>+VLOOKUP(PROVEEDORES[[#This Row],[ID RETENCION]],Retenciones!$A$1:$O$25,PROVEEDORES[[#This Row],[indicador de columna]],FALSE)</f>
        <v>0</v>
      </c>
      <c r="Y998" s="152">
        <f>+VLOOKUP(PROVEEDORES[[#This Row],[ID RETENCION]],Retenciones!$A$1:$O$25,2,FALSE)</f>
        <v>0</v>
      </c>
      <c r="Z998" s="153" t="b">
        <f>+OR(COUNTIF(PROVEEDORES[[#This Row],[PROVEEDOR]],"*"&amp;'Palabra que no opera y Listas d'!$A$2&amp;"*"))</f>
        <v>0</v>
      </c>
    </row>
    <row r="999" spans="1:26" ht="27.75" customHeight="1" x14ac:dyDescent="0.3">
      <c r="A999" s="144" t="str">
        <f>+IF(PROVEEDORES[[#This Row],[FECHA DE PAGO]]=PROVEEDORES[[#This Row],[FECHA DE FACTURACIÓN]],"DE CONTADO","CRÉDITO")</f>
        <v>DE CONTADO</v>
      </c>
      <c r="B999" s="144" t="b">
        <f>+IF((PROVEEDORES[[#This Row],[FECHA DE PAGO]]-PROVEEDORES[[#This Row],[FECHA DE FACTURACIÓN]])&gt;PROVEEDORES[[#This Row],[PLAZO Días]],"PAGO VENCIDO")</f>
        <v>0</v>
      </c>
      <c r="C999" s="144">
        <f>+VLOOKUP(PROVEEDORES[[#This Row],[PROVEEDOR]],TERCEROS_INFO[#All],2,FALSE)</f>
        <v>0</v>
      </c>
      <c r="D999" s="145">
        <f>+SUMIFS(PROVEEDORES[Total],PROVEEDORES[PROVEEDOR],PROVEEDORES[[#This Row],[PROVEEDOR]],PROVEEDORES[FECHA DE PAGO],"")</f>
        <v>550000</v>
      </c>
      <c r="E999" s="146"/>
      <c r="F999" s="144">
        <f>+VLOOKUP(PROVEEDORES[[#This Row],[PROVEEDOR]],
                       Terceros!$A:$G,
                       5,
                       FALSE)</f>
        <v>0</v>
      </c>
      <c r="G999" s="122">
        <v>45266</v>
      </c>
      <c r="H999" s="102" t="s">
        <v>1784</v>
      </c>
      <c r="I999" s="122">
        <v>45266</v>
      </c>
      <c r="J999" s="103" t="s">
        <v>1430</v>
      </c>
      <c r="K999" s="103" t="s">
        <v>1512</v>
      </c>
      <c r="L999" s="103"/>
      <c r="M999" s="105">
        <v>1810000</v>
      </c>
      <c r="N999" s="147">
        <v>0</v>
      </c>
      <c r="O999" s="147">
        <v>0</v>
      </c>
      <c r="P999" s="148">
        <v>0</v>
      </c>
      <c r="Q999" s="147">
        <v>0</v>
      </c>
      <c r="R999" s="149">
        <v>1810000</v>
      </c>
      <c r="S9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9" s="150">
        <f ca="1">+IF(PROVEEDORES[[#This Row],[FECHA DE PAGO]]=0,TODAY()-PROVEEDORES[[#This Row],[FECHA DE FACTURACIÓN]]-PROVEEDORES[[#This Row],[PLAZO Días]],0)</f>
        <v>0</v>
      </c>
      <c r="U999" s="150">
        <f>+VLOOKUP(PROVEEDORES[[#This Row],[PROVEEDOR]],Terceros!$A:$E,4,FALSE)</f>
        <v>0</v>
      </c>
      <c r="V999" s="150">
        <f>+YEAR(PROVEEDORES[[#This Row],[FECHA DE FACTURACIÓN]])</f>
        <v>2023</v>
      </c>
      <c r="W999" s="150">
        <f>+MATCH(PROVEEDORES[[#This Row],[año facturado]],Retenciones!$1:$1,0)</f>
        <v>6</v>
      </c>
      <c r="X999" s="151">
        <f>+VLOOKUP(PROVEEDORES[[#This Row],[ID RETENCION]],Retenciones!$A$1:$O$25,PROVEEDORES[[#This Row],[indicador de columna]],FALSE)</f>
        <v>0</v>
      </c>
      <c r="Y999" s="152">
        <f>+VLOOKUP(PROVEEDORES[[#This Row],[ID RETENCION]],Retenciones!$A$1:$O$25,2,FALSE)</f>
        <v>0</v>
      </c>
      <c r="Z999" s="153" t="b">
        <f>+OR(COUNTIF(PROVEEDORES[[#This Row],[PROVEEDOR]],"*"&amp;'Palabra que no opera y Listas d'!$A$2&amp;"*"))</f>
        <v>0</v>
      </c>
    </row>
    <row r="1000" spans="1:26" ht="27.75" customHeight="1" x14ac:dyDescent="0.3">
      <c r="A1000" s="144" t="str">
        <f>+IF(PROVEEDORES[[#This Row],[FECHA DE PAGO]]=PROVEEDORES[[#This Row],[FECHA DE FACTURACIÓN]],"DE CONTADO","CRÉDITO")</f>
        <v>CRÉDITO</v>
      </c>
      <c r="B1000" s="144" t="str">
        <f>+IF((PROVEEDORES[[#This Row],[FECHA DE PAGO]]-PROVEEDORES[[#This Row],[FECHA DE FACTURACIÓN]])&gt;PROVEEDORES[[#This Row],[PLAZO Días]],"PAGO VENCIDO")</f>
        <v>PAGO VENCIDO</v>
      </c>
      <c r="C1000" s="144">
        <f>+VLOOKUP(PROVEEDORES[[#This Row],[PROVEEDOR]],TERCEROS_INFO[#All],2,FALSE)</f>
        <v>0</v>
      </c>
      <c r="D1000" s="145">
        <f>+SUMIFS(PROVEEDORES[Total],PROVEEDORES[PROVEEDOR],PROVEEDORES[[#This Row],[PROVEEDOR]],PROVEEDORES[FECHA DE PAGO],"")</f>
        <v>2095000</v>
      </c>
      <c r="E1000" s="146"/>
      <c r="F1000" s="144">
        <f>+VLOOKUP(PROVEEDORES[[#This Row],[PROVEEDOR]],
                       Terceros!$A:$G,
                       5,
                       FALSE)</f>
        <v>0</v>
      </c>
      <c r="G1000" s="122">
        <v>45267</v>
      </c>
      <c r="H1000" s="102" t="s">
        <v>1781</v>
      </c>
      <c r="I1000" s="122">
        <v>45231</v>
      </c>
      <c r="J1000" s="103" t="s">
        <v>1219</v>
      </c>
      <c r="K1000" s="103" t="s">
        <v>1512</v>
      </c>
      <c r="L1000" s="103"/>
      <c r="M1000" s="105">
        <v>2990000</v>
      </c>
      <c r="N1000" s="147">
        <v>0</v>
      </c>
      <c r="O1000" s="147">
        <v>0</v>
      </c>
      <c r="P1000" s="148">
        <v>0</v>
      </c>
      <c r="Q1000" s="147">
        <v>0</v>
      </c>
      <c r="R1000" s="149">
        <v>2990000</v>
      </c>
      <c r="S10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0" s="150">
        <f ca="1">+IF(PROVEEDORES[[#This Row],[FECHA DE PAGO]]=0,TODAY()-PROVEEDORES[[#This Row],[FECHA DE FACTURACIÓN]]-PROVEEDORES[[#This Row],[PLAZO Días]],0)</f>
        <v>0</v>
      </c>
      <c r="U1000" s="150">
        <f>+VLOOKUP(PROVEEDORES[[#This Row],[PROVEEDOR]],Terceros!$A:$E,4,FALSE)</f>
        <v>0</v>
      </c>
      <c r="V1000" s="150">
        <f>+YEAR(PROVEEDORES[[#This Row],[FECHA DE FACTURACIÓN]])</f>
        <v>2023</v>
      </c>
      <c r="W1000" s="150">
        <f>+MATCH(PROVEEDORES[[#This Row],[año facturado]],Retenciones!$1:$1,0)</f>
        <v>6</v>
      </c>
      <c r="X1000" s="151">
        <f>+VLOOKUP(PROVEEDORES[[#This Row],[ID RETENCION]],Retenciones!$A$1:$O$25,PROVEEDORES[[#This Row],[indicador de columna]],FALSE)</f>
        <v>0</v>
      </c>
      <c r="Y1000" s="152">
        <f>+VLOOKUP(PROVEEDORES[[#This Row],[ID RETENCION]],Retenciones!$A$1:$O$25,2,FALSE)</f>
        <v>0</v>
      </c>
      <c r="Z1000" s="153" t="b">
        <f>+OR(COUNTIF(PROVEEDORES[[#This Row],[PROVEEDOR]],"*"&amp;'Palabra que no opera y Listas d'!$A$2&amp;"*"))</f>
        <v>0</v>
      </c>
    </row>
    <row r="1001" spans="1:26" ht="27.75" customHeight="1" x14ac:dyDescent="0.3">
      <c r="A1001" s="144" t="str">
        <f>+IF(PROVEEDORES[[#This Row],[FECHA DE PAGO]]=PROVEEDORES[[#This Row],[FECHA DE FACTURACIÓN]],"DE CONTADO","CRÉDITO")</f>
        <v>CRÉDITO</v>
      </c>
      <c r="B1001" s="144" t="str">
        <f>+IF((PROVEEDORES[[#This Row],[FECHA DE PAGO]]-PROVEEDORES[[#This Row],[FECHA DE FACTURACIÓN]])&gt;PROVEEDORES[[#This Row],[PLAZO Días]],"PAGO VENCIDO")</f>
        <v>PAGO VENCIDO</v>
      </c>
      <c r="C1001" s="144">
        <f>+VLOOKUP(PROVEEDORES[[#This Row],[PROVEEDOR]],TERCEROS_INFO[#All],2,FALSE)</f>
        <v>0</v>
      </c>
      <c r="D1001" s="145">
        <f>+SUMIFS(PROVEEDORES[Total],PROVEEDORES[PROVEEDOR],PROVEEDORES[[#This Row],[PROVEEDOR]],PROVEEDORES[FECHA DE PAGO],"")</f>
        <v>0</v>
      </c>
      <c r="E1001" s="146"/>
      <c r="F1001" s="144">
        <f>+VLOOKUP(PROVEEDORES[[#This Row],[PROVEEDOR]],
                       Terceros!$A:$G,
                       5,
                       FALSE)</f>
        <v>0</v>
      </c>
      <c r="G1001" s="122">
        <v>45267</v>
      </c>
      <c r="H1001" s="102" t="s">
        <v>1789</v>
      </c>
      <c r="I1001" s="122">
        <v>45232</v>
      </c>
      <c r="J1001" s="103" t="s">
        <v>1215</v>
      </c>
      <c r="K1001" s="103" t="s">
        <v>1512</v>
      </c>
      <c r="L1001" s="103"/>
      <c r="M1001" s="105">
        <v>1256500</v>
      </c>
      <c r="N1001" s="147">
        <v>0</v>
      </c>
      <c r="O1001" s="147">
        <v>0</v>
      </c>
      <c r="P1001" s="148">
        <v>0</v>
      </c>
      <c r="Q1001" s="147">
        <v>0</v>
      </c>
      <c r="R1001" s="149">
        <v>1256500</v>
      </c>
      <c r="S10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1" s="150">
        <f ca="1">+IF(PROVEEDORES[[#This Row],[FECHA DE PAGO]]=0,TODAY()-PROVEEDORES[[#This Row],[FECHA DE FACTURACIÓN]]-PROVEEDORES[[#This Row],[PLAZO Días]],0)</f>
        <v>0</v>
      </c>
      <c r="U1001" s="150">
        <f>+VLOOKUP(PROVEEDORES[[#This Row],[PROVEEDOR]],Terceros!$A:$E,4,FALSE)</f>
        <v>0</v>
      </c>
      <c r="V1001" s="150">
        <f>+YEAR(PROVEEDORES[[#This Row],[FECHA DE FACTURACIÓN]])</f>
        <v>2023</v>
      </c>
      <c r="W1001" s="150">
        <f>+MATCH(PROVEEDORES[[#This Row],[año facturado]],Retenciones!$1:$1,0)</f>
        <v>6</v>
      </c>
      <c r="X1001" s="151">
        <f>+VLOOKUP(PROVEEDORES[[#This Row],[ID RETENCION]],Retenciones!$A$1:$O$25,PROVEEDORES[[#This Row],[indicador de columna]],FALSE)</f>
        <v>0</v>
      </c>
      <c r="Y1001" s="152">
        <f>+VLOOKUP(PROVEEDORES[[#This Row],[ID RETENCION]],Retenciones!$A$1:$O$25,2,FALSE)</f>
        <v>0</v>
      </c>
      <c r="Z1001" s="153" t="b">
        <f>+OR(COUNTIF(PROVEEDORES[[#This Row],[PROVEEDOR]],"*"&amp;'Palabra que no opera y Listas d'!$A$2&amp;"*"))</f>
        <v>0</v>
      </c>
    </row>
    <row r="1002" spans="1:26" ht="27.75" customHeight="1" x14ac:dyDescent="0.3">
      <c r="A1002" s="144" t="str">
        <f>+IF(PROVEEDORES[[#This Row],[FECHA DE PAGO]]=PROVEEDORES[[#This Row],[FECHA DE FACTURACIÓN]],"DE CONTADO","CRÉDITO")</f>
        <v>CRÉDITO</v>
      </c>
      <c r="B1002" s="144" t="str">
        <f>+IF((PROVEEDORES[[#This Row],[FECHA DE PAGO]]-PROVEEDORES[[#This Row],[FECHA DE FACTURACIÓN]])&gt;PROVEEDORES[[#This Row],[PLAZO Días]],"PAGO VENCIDO")</f>
        <v>PAGO VENCIDO</v>
      </c>
      <c r="C1002" s="144">
        <f>+VLOOKUP(PROVEEDORES[[#This Row],[PROVEEDOR]],TERCEROS_INFO[#All],2,FALSE)</f>
        <v>0</v>
      </c>
      <c r="D1002" s="145">
        <f>+SUMIFS(PROVEEDORES[Total],PROVEEDORES[PROVEEDOR],PROVEEDORES[[#This Row],[PROVEEDOR]],PROVEEDORES[FECHA DE PAGO],"")</f>
        <v>0</v>
      </c>
      <c r="E1002" s="146"/>
      <c r="F1002" s="144" t="str">
        <f>+VLOOKUP(PROVEEDORES[[#This Row],[PROVEEDOR]],
                       Terceros!$A:$G,
                       5,
                       FALSE)</f>
        <v>2,5% con base</v>
      </c>
      <c r="G1002" s="122">
        <v>45267</v>
      </c>
      <c r="H1002" s="102" t="s">
        <v>1223</v>
      </c>
      <c r="I1002" s="122">
        <v>45232</v>
      </c>
      <c r="J1002" s="103" t="s">
        <v>1227</v>
      </c>
      <c r="K1002" s="103" t="s">
        <v>1512</v>
      </c>
      <c r="L1002" s="103"/>
      <c r="M1002" s="105">
        <v>1089076</v>
      </c>
      <c r="N1002" s="147">
        <v>206924.44</v>
      </c>
      <c r="O1002" s="147">
        <v>0</v>
      </c>
      <c r="P1002" s="148">
        <v>0</v>
      </c>
      <c r="Q1002" s="147">
        <v>0</v>
      </c>
      <c r="R1002" s="149">
        <v>1296000.44</v>
      </c>
      <c r="S10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2" s="150">
        <f ca="1">+IF(PROVEEDORES[[#This Row],[FECHA DE PAGO]]=0,TODAY()-PROVEEDORES[[#This Row],[FECHA DE FACTURACIÓN]]-PROVEEDORES[[#This Row],[PLAZO Días]],0)</f>
        <v>0</v>
      </c>
      <c r="U1002" s="150">
        <f>+VLOOKUP(PROVEEDORES[[#This Row],[PROVEEDOR]],Terceros!$A:$E,4,FALSE)</f>
        <v>0.19</v>
      </c>
      <c r="V1002" s="150">
        <f>+YEAR(PROVEEDORES[[#This Row],[FECHA DE FACTURACIÓN]])</f>
        <v>2023</v>
      </c>
      <c r="W1002" s="150">
        <f>+MATCH(PROVEEDORES[[#This Row],[año facturado]],Retenciones!$1:$1,0)</f>
        <v>6</v>
      </c>
      <c r="X1002" s="151" t="e">
        <f>+VLOOKUP(PROVEEDORES[[#This Row],[ID RETENCION]],Retenciones!$A$1:$O$25,PROVEEDORES[[#This Row],[indicador de columna]],FALSE)</f>
        <v>#N/A</v>
      </c>
      <c r="Y1002" s="152" t="e">
        <f>+VLOOKUP(PROVEEDORES[[#This Row],[ID RETENCION]],Retenciones!$A$1:$O$25,2,FALSE)</f>
        <v>#N/A</v>
      </c>
      <c r="Z1002" s="153" t="b">
        <f>+OR(COUNTIF(PROVEEDORES[[#This Row],[PROVEEDOR]],"*"&amp;'Palabra que no opera y Listas d'!$A$2&amp;"*"))</f>
        <v>0</v>
      </c>
    </row>
    <row r="1003" spans="1:26" ht="27.75" customHeight="1" x14ac:dyDescent="0.3">
      <c r="A1003" s="144" t="str">
        <f>+IF(PROVEEDORES[[#This Row],[FECHA DE PAGO]]=PROVEEDORES[[#This Row],[FECHA DE FACTURACIÓN]],"DE CONTADO","CRÉDITO")</f>
        <v>DE CONTADO</v>
      </c>
      <c r="B1003" s="144" t="b">
        <f>+IF((PROVEEDORES[[#This Row],[FECHA DE PAGO]]-PROVEEDORES[[#This Row],[FECHA DE FACTURACIÓN]])&gt;PROVEEDORES[[#This Row],[PLAZO Días]],"PAGO VENCIDO")</f>
        <v>0</v>
      </c>
      <c r="C1003" s="144">
        <f>+VLOOKUP(PROVEEDORES[[#This Row],[PROVEEDOR]],TERCEROS_INFO[#All],2,FALSE)</f>
        <v>0</v>
      </c>
      <c r="D1003" s="145">
        <f>+SUMIFS(PROVEEDORES[Total],PROVEEDORES[PROVEEDOR],PROVEEDORES[[#This Row],[PROVEEDOR]],PROVEEDORES[FECHA DE PAGO],"")</f>
        <v>0</v>
      </c>
      <c r="E1003" s="146"/>
      <c r="F1003" s="144">
        <f>+VLOOKUP(PROVEEDORES[[#This Row],[PROVEEDOR]],
                       Terceros!$A:$G,
                       5,
                       FALSE)</f>
        <v>0</v>
      </c>
      <c r="G1003" s="122">
        <v>45267</v>
      </c>
      <c r="H1003" s="102" t="s">
        <v>1801</v>
      </c>
      <c r="I1003" s="122">
        <v>45267</v>
      </c>
      <c r="J1003" s="103"/>
      <c r="K1003" s="103" t="s">
        <v>1512</v>
      </c>
      <c r="L1003" s="103"/>
      <c r="M1003" s="105">
        <v>1315000</v>
      </c>
      <c r="N1003" s="147">
        <v>0</v>
      </c>
      <c r="O1003" s="147">
        <v>0</v>
      </c>
      <c r="P1003" s="148">
        <v>0</v>
      </c>
      <c r="Q1003" s="147">
        <v>0</v>
      </c>
      <c r="R1003" s="149">
        <v>1315000</v>
      </c>
      <c r="S10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3" s="150">
        <f ca="1">+IF(PROVEEDORES[[#This Row],[FECHA DE PAGO]]=0,TODAY()-PROVEEDORES[[#This Row],[FECHA DE FACTURACIÓN]]-PROVEEDORES[[#This Row],[PLAZO Días]],0)</f>
        <v>0</v>
      </c>
      <c r="U1003" s="150">
        <f>+VLOOKUP(PROVEEDORES[[#This Row],[PROVEEDOR]],Terceros!$A:$E,4,FALSE)</f>
        <v>0</v>
      </c>
      <c r="V1003" s="150">
        <f>+YEAR(PROVEEDORES[[#This Row],[FECHA DE FACTURACIÓN]])</f>
        <v>2023</v>
      </c>
      <c r="W1003" s="150">
        <f>+MATCH(PROVEEDORES[[#This Row],[año facturado]],Retenciones!$1:$1,0)</f>
        <v>6</v>
      </c>
      <c r="X1003" s="151">
        <f>+VLOOKUP(PROVEEDORES[[#This Row],[ID RETENCION]],Retenciones!$A$1:$O$25,PROVEEDORES[[#This Row],[indicador de columna]],FALSE)</f>
        <v>0</v>
      </c>
      <c r="Y1003" s="152">
        <f>+VLOOKUP(PROVEEDORES[[#This Row],[ID RETENCION]],Retenciones!$A$1:$O$25,2,FALSE)</f>
        <v>0</v>
      </c>
      <c r="Z1003" s="153" t="b">
        <f>+OR(COUNTIF(PROVEEDORES[[#This Row],[PROVEEDOR]],"*"&amp;'Palabra que no opera y Listas d'!$A$2&amp;"*"))</f>
        <v>0</v>
      </c>
    </row>
    <row r="1004" spans="1:26" ht="27.75" customHeight="1" x14ac:dyDescent="0.3">
      <c r="A1004" s="144" t="str">
        <f>+IF(PROVEEDORES[[#This Row],[FECHA DE PAGO]]=PROVEEDORES[[#This Row],[FECHA DE FACTURACIÓN]],"DE CONTADO","CRÉDITO")</f>
        <v>DE CONTADO</v>
      </c>
      <c r="B1004" s="144" t="b">
        <f>+IF((PROVEEDORES[[#This Row],[FECHA DE PAGO]]-PROVEEDORES[[#This Row],[FECHA DE FACTURACIÓN]])&gt;PROVEEDORES[[#This Row],[PLAZO Días]],"PAGO VENCIDO")</f>
        <v>0</v>
      </c>
      <c r="C1004" s="144">
        <f>+VLOOKUP(PROVEEDORES[[#This Row],[PROVEEDOR]],TERCEROS_INFO[#All],2,FALSE)</f>
        <v>0</v>
      </c>
      <c r="D1004" s="145">
        <f>+SUMIFS(PROVEEDORES[Total],PROVEEDORES[PROVEEDOR],PROVEEDORES[[#This Row],[PROVEEDOR]],PROVEEDORES[FECHA DE PAGO],"")</f>
        <v>0</v>
      </c>
      <c r="E1004" s="146"/>
      <c r="F1004" s="144">
        <f>+VLOOKUP(PROVEEDORES[[#This Row],[PROVEEDOR]],
                       Terceros!$A:$G,
                       5,
                       FALSE)</f>
        <v>0</v>
      </c>
      <c r="G1004" s="122">
        <v>45269</v>
      </c>
      <c r="H1004" s="102" t="s">
        <v>402</v>
      </c>
      <c r="I1004" s="122">
        <v>45269</v>
      </c>
      <c r="J1004" s="103" t="s">
        <v>456</v>
      </c>
      <c r="K1004" s="103" t="s">
        <v>1512</v>
      </c>
      <c r="L1004" s="103"/>
      <c r="M1004" s="105">
        <v>129083</v>
      </c>
      <c r="N1004" s="147">
        <v>0</v>
      </c>
      <c r="O1004" s="147">
        <v>0</v>
      </c>
      <c r="P1004" s="148">
        <v>0</v>
      </c>
      <c r="Q1004" s="147">
        <v>0</v>
      </c>
      <c r="R1004" s="149">
        <v>129083</v>
      </c>
      <c r="S10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4" s="150">
        <f ca="1">+IF(PROVEEDORES[[#This Row],[FECHA DE PAGO]]=0,TODAY()-PROVEEDORES[[#This Row],[FECHA DE FACTURACIÓN]]-PROVEEDORES[[#This Row],[PLAZO Días]],0)</f>
        <v>0</v>
      </c>
      <c r="U1004" s="150">
        <f>+VLOOKUP(PROVEEDORES[[#This Row],[PROVEEDOR]],Terceros!$A:$E,4,FALSE)</f>
        <v>0</v>
      </c>
      <c r="V1004" s="150">
        <f>+YEAR(PROVEEDORES[[#This Row],[FECHA DE FACTURACIÓN]])</f>
        <v>2023</v>
      </c>
      <c r="W1004" s="150">
        <f>+MATCH(PROVEEDORES[[#This Row],[año facturado]],Retenciones!$1:$1,0)</f>
        <v>6</v>
      </c>
      <c r="X1004" s="151">
        <f>+VLOOKUP(PROVEEDORES[[#This Row],[ID RETENCION]],Retenciones!$A$1:$O$25,PROVEEDORES[[#This Row],[indicador de columna]],FALSE)</f>
        <v>0</v>
      </c>
      <c r="Y1004" s="152">
        <f>+VLOOKUP(PROVEEDORES[[#This Row],[ID RETENCION]],Retenciones!$A$1:$O$25,2,FALSE)</f>
        <v>0</v>
      </c>
      <c r="Z1004" s="153" t="b">
        <f>+OR(COUNTIF(PROVEEDORES[[#This Row],[PROVEEDOR]],"*"&amp;'Palabra que no opera y Listas d'!$A$2&amp;"*"))</f>
        <v>1</v>
      </c>
    </row>
    <row r="1005" spans="1:26" ht="27.75" customHeight="1" x14ac:dyDescent="0.3">
      <c r="A1005" s="144" t="str">
        <f>+IF(PROVEEDORES[[#This Row],[FECHA DE PAGO]]=PROVEEDORES[[#This Row],[FECHA DE FACTURACIÓN]],"DE CONTADO","CRÉDITO")</f>
        <v>CRÉDITO</v>
      </c>
      <c r="B1005" s="144" t="str">
        <f>+IF((PROVEEDORES[[#This Row],[FECHA DE PAGO]]-PROVEEDORES[[#This Row],[FECHA DE FACTURACIÓN]])&gt;PROVEEDORES[[#This Row],[PLAZO Días]],"PAGO VENCIDO")</f>
        <v>PAGO VENCIDO</v>
      </c>
      <c r="C1005" s="144">
        <f>+VLOOKUP(PROVEEDORES[[#This Row],[PROVEEDOR]],TERCEROS_INFO[#All],2,FALSE)</f>
        <v>0</v>
      </c>
      <c r="D1005" s="145">
        <f>+SUMIFS(PROVEEDORES[Total],PROVEEDORES[PROVEEDOR],PROVEEDORES[[#This Row],[PROVEEDOR]],PROVEEDORES[FECHA DE PAGO],"")</f>
        <v>0</v>
      </c>
      <c r="E1005" s="146"/>
      <c r="F1005" s="144" t="str">
        <f>+VLOOKUP(PROVEEDORES[[#This Row],[PROVEEDOR]],
                       Terceros!$A:$G,
                       5,
                       FALSE)</f>
        <v>2,5% con base</v>
      </c>
      <c r="G1005" s="122">
        <v>45271</v>
      </c>
      <c r="H1005" s="102" t="s">
        <v>71</v>
      </c>
      <c r="I1005" s="122">
        <v>45224</v>
      </c>
      <c r="J1005" s="103" t="s">
        <v>1267</v>
      </c>
      <c r="K1005" s="103" t="s">
        <v>1512</v>
      </c>
      <c r="L1005" s="103"/>
      <c r="M1005" s="105">
        <v>24519811</v>
      </c>
      <c r="N1005" s="147">
        <v>4658764.09</v>
      </c>
      <c r="O1005" s="147">
        <v>0</v>
      </c>
      <c r="P1005" s="148">
        <v>2.5000000000000001E-2</v>
      </c>
      <c r="Q1005" s="147">
        <v>612995.27500000002</v>
      </c>
      <c r="R1005" s="149">
        <v>28565579.815000001</v>
      </c>
      <c r="S10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5" s="150">
        <f ca="1">+IF(PROVEEDORES[[#This Row],[FECHA DE PAGO]]=0,TODAY()-PROVEEDORES[[#This Row],[FECHA DE FACTURACIÓN]]-PROVEEDORES[[#This Row],[PLAZO Días]],0)</f>
        <v>0</v>
      </c>
      <c r="U1005" s="150">
        <f>+VLOOKUP(PROVEEDORES[[#This Row],[PROVEEDOR]],Terceros!$A:$E,4,FALSE)</f>
        <v>0.19</v>
      </c>
      <c r="V1005" s="150">
        <f>+YEAR(PROVEEDORES[[#This Row],[FECHA DE FACTURACIÓN]])</f>
        <v>2023</v>
      </c>
      <c r="W1005" s="150">
        <f>+MATCH(PROVEEDORES[[#This Row],[año facturado]],Retenciones!$1:$1,0)</f>
        <v>6</v>
      </c>
      <c r="X1005" s="151" t="e">
        <f>+VLOOKUP(PROVEEDORES[[#This Row],[ID RETENCION]],Retenciones!$A$1:$O$25,PROVEEDORES[[#This Row],[indicador de columna]],FALSE)</f>
        <v>#N/A</v>
      </c>
      <c r="Y1005" s="152" t="e">
        <f>+VLOOKUP(PROVEEDORES[[#This Row],[ID RETENCION]],Retenciones!$A$1:$O$25,2,FALSE)</f>
        <v>#N/A</v>
      </c>
      <c r="Z1005" s="153" t="b">
        <f>+OR(COUNTIF(PROVEEDORES[[#This Row],[PROVEEDOR]],"*"&amp;'Palabra que no opera y Listas d'!$A$2&amp;"*"))</f>
        <v>0</v>
      </c>
    </row>
    <row r="1006" spans="1:26" ht="27.75" customHeight="1" x14ac:dyDescent="0.3">
      <c r="A1006" s="144" t="str">
        <f>+IF(PROVEEDORES[[#This Row],[FECHA DE PAGO]]=PROVEEDORES[[#This Row],[FECHA DE FACTURACIÓN]],"DE CONTADO","CRÉDITO")</f>
        <v>CRÉDITO</v>
      </c>
      <c r="B1006" s="144" t="str">
        <f>+IF((PROVEEDORES[[#This Row],[FECHA DE PAGO]]-PROVEEDORES[[#This Row],[FECHA DE FACTURACIÓN]])&gt;PROVEEDORES[[#This Row],[PLAZO Días]],"PAGO VENCIDO")</f>
        <v>PAGO VENCIDO</v>
      </c>
      <c r="C1006" s="144">
        <f>+VLOOKUP(PROVEEDORES[[#This Row],[PROVEEDOR]],TERCEROS_INFO[#All],2,FALSE)</f>
        <v>0</v>
      </c>
      <c r="D1006" s="145">
        <f>+SUMIFS(PROVEEDORES[Total],PROVEEDORES[PROVEEDOR],PROVEEDORES[[#This Row],[PROVEEDOR]],PROVEEDORES[FECHA DE PAGO],"")</f>
        <v>0</v>
      </c>
      <c r="E1006" s="146"/>
      <c r="F1006" s="144" t="str">
        <f>+VLOOKUP(PROVEEDORES[[#This Row],[PROVEEDOR]],
                       Terceros!$A:$G,
                       5,
                       FALSE)</f>
        <v>2,5% con base</v>
      </c>
      <c r="G1006" s="122">
        <v>45271</v>
      </c>
      <c r="H1006" s="102" t="s">
        <v>71</v>
      </c>
      <c r="I1006" s="122">
        <v>45233</v>
      </c>
      <c r="J1006" s="103" t="s">
        <v>1204</v>
      </c>
      <c r="K1006" s="103" t="s">
        <v>1512</v>
      </c>
      <c r="L1006" s="103"/>
      <c r="M1006" s="105">
        <v>-773410</v>
      </c>
      <c r="N1006" s="147">
        <v>-146947.9</v>
      </c>
      <c r="O1006" s="147">
        <v>0</v>
      </c>
      <c r="P1006" s="148">
        <v>0</v>
      </c>
      <c r="Q1006" s="147">
        <v>0</v>
      </c>
      <c r="R1006" s="149">
        <v>-920357.9</v>
      </c>
      <c r="S10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6" s="150">
        <f ca="1">+IF(PROVEEDORES[[#This Row],[FECHA DE PAGO]]=0,TODAY()-PROVEEDORES[[#This Row],[FECHA DE FACTURACIÓN]]-PROVEEDORES[[#This Row],[PLAZO Días]],0)</f>
        <v>0</v>
      </c>
      <c r="U1006" s="150">
        <f>+VLOOKUP(PROVEEDORES[[#This Row],[PROVEEDOR]],Terceros!$A:$E,4,FALSE)</f>
        <v>0.19</v>
      </c>
      <c r="V1006" s="150">
        <f>+YEAR(PROVEEDORES[[#This Row],[FECHA DE FACTURACIÓN]])</f>
        <v>2023</v>
      </c>
      <c r="W1006" s="150">
        <f>+MATCH(PROVEEDORES[[#This Row],[año facturado]],Retenciones!$1:$1,0)</f>
        <v>6</v>
      </c>
      <c r="X1006" s="151" t="e">
        <f>+VLOOKUP(PROVEEDORES[[#This Row],[ID RETENCION]],Retenciones!$A$1:$O$25,PROVEEDORES[[#This Row],[indicador de columna]],FALSE)</f>
        <v>#N/A</v>
      </c>
      <c r="Y1006" s="152" t="e">
        <f>+VLOOKUP(PROVEEDORES[[#This Row],[ID RETENCION]],Retenciones!$A$1:$O$25,2,FALSE)</f>
        <v>#N/A</v>
      </c>
      <c r="Z1006" s="153" t="b">
        <f>+OR(COUNTIF(PROVEEDORES[[#This Row],[PROVEEDOR]],"*"&amp;'Palabra que no opera y Listas d'!$A$2&amp;"*"))</f>
        <v>0</v>
      </c>
    </row>
    <row r="1007" spans="1:26" ht="27.75" customHeight="1" x14ac:dyDescent="0.3">
      <c r="A1007" s="144" t="str">
        <f>+IF(PROVEEDORES[[#This Row],[FECHA DE PAGO]]=PROVEEDORES[[#This Row],[FECHA DE FACTURACIÓN]],"DE CONTADO","CRÉDITO")</f>
        <v>CRÉDITO</v>
      </c>
      <c r="B1007" s="144" t="str">
        <f>+IF((PROVEEDORES[[#This Row],[FECHA DE PAGO]]-PROVEEDORES[[#This Row],[FECHA DE FACTURACIÓN]])&gt;PROVEEDORES[[#This Row],[PLAZO Días]],"PAGO VENCIDO")</f>
        <v>PAGO VENCIDO</v>
      </c>
      <c r="C1007" s="144">
        <f>+VLOOKUP(PROVEEDORES[[#This Row],[PROVEEDOR]],TERCEROS_INFO[#All],2,FALSE)</f>
        <v>0</v>
      </c>
      <c r="D1007" s="145">
        <f>+SUMIFS(PROVEEDORES[Total],PROVEEDORES[PROVEEDOR],PROVEEDORES[[#This Row],[PROVEEDOR]],PROVEEDORES[FECHA DE PAGO],"")</f>
        <v>0</v>
      </c>
      <c r="E1007" s="146"/>
      <c r="F1007" s="144" t="str">
        <f>+VLOOKUP(PROVEEDORES[[#This Row],[PROVEEDOR]],
                       Terceros!$A:$G,
                       5,
                       FALSE)</f>
        <v>2,5% con base</v>
      </c>
      <c r="G1007" s="122">
        <v>45271</v>
      </c>
      <c r="H1007" s="102" t="s">
        <v>71</v>
      </c>
      <c r="I1007" s="122">
        <v>45233</v>
      </c>
      <c r="J1007" s="103" t="s">
        <v>1205</v>
      </c>
      <c r="K1007" s="103" t="s">
        <v>1512</v>
      </c>
      <c r="L1007" s="103"/>
      <c r="M1007" s="105">
        <v>320106</v>
      </c>
      <c r="N1007" s="147">
        <v>60820.14</v>
      </c>
      <c r="O1007" s="147">
        <v>0</v>
      </c>
      <c r="P1007" s="148">
        <v>0</v>
      </c>
      <c r="Q1007" s="147">
        <v>0</v>
      </c>
      <c r="R1007" s="149">
        <v>380926.14</v>
      </c>
      <c r="S10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7" s="150">
        <f ca="1">+IF(PROVEEDORES[[#This Row],[FECHA DE PAGO]]=0,TODAY()-PROVEEDORES[[#This Row],[FECHA DE FACTURACIÓN]]-PROVEEDORES[[#This Row],[PLAZO Días]],0)</f>
        <v>0</v>
      </c>
      <c r="U1007" s="150">
        <f>+VLOOKUP(PROVEEDORES[[#This Row],[PROVEEDOR]],Terceros!$A:$E,4,FALSE)</f>
        <v>0.19</v>
      </c>
      <c r="V1007" s="150">
        <f>+YEAR(PROVEEDORES[[#This Row],[FECHA DE FACTURACIÓN]])</f>
        <v>2023</v>
      </c>
      <c r="W1007" s="150">
        <f>+MATCH(PROVEEDORES[[#This Row],[año facturado]],Retenciones!$1:$1,0)</f>
        <v>6</v>
      </c>
      <c r="X1007" s="151" t="e">
        <f>+VLOOKUP(PROVEEDORES[[#This Row],[ID RETENCION]],Retenciones!$A$1:$O$25,PROVEEDORES[[#This Row],[indicador de columna]],FALSE)</f>
        <v>#N/A</v>
      </c>
      <c r="Y1007" s="152" t="e">
        <f>+VLOOKUP(PROVEEDORES[[#This Row],[ID RETENCION]],Retenciones!$A$1:$O$25,2,FALSE)</f>
        <v>#N/A</v>
      </c>
      <c r="Z1007" s="153" t="b">
        <f>+OR(COUNTIF(PROVEEDORES[[#This Row],[PROVEEDOR]],"*"&amp;'Palabra que no opera y Listas d'!$A$2&amp;"*"))</f>
        <v>0</v>
      </c>
    </row>
    <row r="1008" spans="1:26" ht="27.75" customHeight="1" x14ac:dyDescent="0.3">
      <c r="A1008" s="144" t="str">
        <f>+IF(PROVEEDORES[[#This Row],[FECHA DE PAGO]]=PROVEEDORES[[#This Row],[FECHA DE FACTURACIÓN]],"DE CONTADO","CRÉDITO")</f>
        <v>CRÉDITO</v>
      </c>
      <c r="B1008" s="144" t="str">
        <f>+IF((PROVEEDORES[[#This Row],[FECHA DE PAGO]]-PROVEEDORES[[#This Row],[FECHA DE FACTURACIÓN]])&gt;PROVEEDORES[[#This Row],[PLAZO Días]],"PAGO VENCIDO")</f>
        <v>PAGO VENCIDO</v>
      </c>
      <c r="C1008" s="144">
        <f>+VLOOKUP(PROVEEDORES[[#This Row],[PROVEEDOR]],TERCEROS_INFO[#All],2,FALSE)</f>
        <v>0</v>
      </c>
      <c r="D1008" s="145">
        <f>+SUMIFS(PROVEEDORES[Total],PROVEEDORES[PROVEEDOR],PROVEEDORES[[#This Row],[PROVEEDOR]],PROVEEDORES[FECHA DE PAGO],"")</f>
        <v>0</v>
      </c>
      <c r="E1008" s="146"/>
      <c r="F1008" s="144" t="str">
        <f>+VLOOKUP(PROVEEDORES[[#This Row],[PROVEEDOR]],
                       Terceros!$A:$G,
                       5,
                       FALSE)</f>
        <v>3,5% sin base</v>
      </c>
      <c r="G1008" s="122">
        <v>45271</v>
      </c>
      <c r="H1008" s="102" t="s">
        <v>395</v>
      </c>
      <c r="I1008" s="122">
        <v>45236</v>
      </c>
      <c r="J1008" s="103" t="s">
        <v>1312</v>
      </c>
      <c r="K1008" s="103" t="s">
        <v>1512</v>
      </c>
      <c r="L1008" s="103"/>
      <c r="M1008" s="105">
        <v>3456200</v>
      </c>
      <c r="N1008" s="147">
        <v>0</v>
      </c>
      <c r="O1008" s="147">
        <v>0</v>
      </c>
      <c r="P1008" s="148">
        <v>3.5000000000000003E-2</v>
      </c>
      <c r="Q1008" s="147">
        <v>120967.00000000001</v>
      </c>
      <c r="R1008" s="149">
        <v>3335233</v>
      </c>
      <c r="S10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8" s="150">
        <f ca="1">+IF(PROVEEDORES[[#This Row],[FECHA DE PAGO]]=0,TODAY()-PROVEEDORES[[#This Row],[FECHA DE FACTURACIÓN]]-PROVEEDORES[[#This Row],[PLAZO Días]],0)</f>
        <v>0</v>
      </c>
      <c r="U1008" s="150">
        <f>+VLOOKUP(PROVEEDORES[[#This Row],[PROVEEDOR]],Terceros!$A:$E,4,FALSE)</f>
        <v>0</v>
      </c>
      <c r="V1008" s="150">
        <f>+YEAR(PROVEEDORES[[#This Row],[FECHA DE FACTURACIÓN]])</f>
        <v>2023</v>
      </c>
      <c r="W1008" s="150">
        <f>+MATCH(PROVEEDORES[[#This Row],[año facturado]],Retenciones!$1:$1,0)</f>
        <v>6</v>
      </c>
      <c r="X1008" s="151">
        <f>+VLOOKUP(PROVEEDORES[[#This Row],[ID RETENCION]],Retenciones!$A$1:$O$25,PROVEEDORES[[#This Row],[indicador de columna]],FALSE)</f>
        <v>0</v>
      </c>
      <c r="Y1008" s="152">
        <f>+VLOOKUP(PROVEEDORES[[#This Row],[ID RETENCION]],Retenciones!$A$1:$O$25,2,FALSE)</f>
        <v>0</v>
      </c>
      <c r="Z1008" s="153" t="b">
        <f>+OR(COUNTIF(PROVEEDORES[[#This Row],[PROVEEDOR]],"*"&amp;'Palabra que no opera y Listas d'!$A$2&amp;"*"))</f>
        <v>1</v>
      </c>
    </row>
    <row r="1009" spans="1:26" ht="27.75" customHeight="1" x14ac:dyDescent="0.3">
      <c r="A1009" s="144" t="str">
        <f>+IF(PROVEEDORES[[#This Row],[FECHA DE PAGO]]=PROVEEDORES[[#This Row],[FECHA DE FACTURACIÓN]],"DE CONTADO","CRÉDITO")</f>
        <v>CRÉDITO</v>
      </c>
      <c r="B1009" s="144" t="str">
        <f>+IF((PROVEEDORES[[#This Row],[FECHA DE PAGO]]-PROVEEDORES[[#This Row],[FECHA DE FACTURACIÓN]])&gt;PROVEEDORES[[#This Row],[PLAZO Días]],"PAGO VENCIDO")</f>
        <v>PAGO VENCIDO</v>
      </c>
      <c r="C1009" s="144">
        <f>+VLOOKUP(PROVEEDORES[[#This Row],[PROVEEDOR]],TERCEROS_INFO[#All],2,FALSE)</f>
        <v>0</v>
      </c>
      <c r="D1009" s="145">
        <f>+SUMIFS(PROVEEDORES[Total],PROVEEDORES[PROVEEDOR],PROVEEDORES[[#This Row],[PROVEEDOR]],PROVEEDORES[FECHA DE PAGO],"")</f>
        <v>0</v>
      </c>
      <c r="E1009" s="146"/>
      <c r="F1009" s="144">
        <f>+VLOOKUP(PROVEEDORES[[#This Row],[PROVEEDOR]],
                       Terceros!$A:$G,
                       5,
                       FALSE)</f>
        <v>0</v>
      </c>
      <c r="G1009" s="122">
        <v>45271</v>
      </c>
      <c r="H1009" s="102" t="s">
        <v>537</v>
      </c>
      <c r="I1009" s="122">
        <v>45255</v>
      </c>
      <c r="J1009" s="103" t="s">
        <v>1301</v>
      </c>
      <c r="K1009" s="103" t="s">
        <v>1512</v>
      </c>
      <c r="L1009" s="103"/>
      <c r="M1009" s="105">
        <v>71000</v>
      </c>
      <c r="N1009" s="147">
        <v>0</v>
      </c>
      <c r="O1009" s="147">
        <v>0</v>
      </c>
      <c r="P1009" s="148">
        <v>0</v>
      </c>
      <c r="Q1009" s="147">
        <v>0</v>
      </c>
      <c r="R1009" s="149">
        <v>71000</v>
      </c>
      <c r="S10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9" s="150">
        <f ca="1">+IF(PROVEEDORES[[#This Row],[FECHA DE PAGO]]=0,TODAY()-PROVEEDORES[[#This Row],[FECHA DE FACTURACIÓN]]-PROVEEDORES[[#This Row],[PLAZO Días]],0)</f>
        <v>0</v>
      </c>
      <c r="U1009" s="150">
        <f>+VLOOKUP(PROVEEDORES[[#This Row],[PROVEEDOR]],Terceros!$A:$E,4,FALSE)</f>
        <v>0</v>
      </c>
      <c r="V1009" s="150">
        <f>+YEAR(PROVEEDORES[[#This Row],[FECHA DE FACTURACIÓN]])</f>
        <v>2023</v>
      </c>
      <c r="W1009" s="150">
        <f>+MATCH(PROVEEDORES[[#This Row],[año facturado]],Retenciones!$1:$1,0)</f>
        <v>6</v>
      </c>
      <c r="X1009" s="151">
        <f>+VLOOKUP(PROVEEDORES[[#This Row],[ID RETENCION]],Retenciones!$A$1:$O$25,PROVEEDORES[[#This Row],[indicador de columna]],FALSE)</f>
        <v>0</v>
      </c>
      <c r="Y1009" s="152">
        <f>+VLOOKUP(PROVEEDORES[[#This Row],[ID RETENCION]],Retenciones!$A$1:$O$25,2,FALSE)</f>
        <v>0</v>
      </c>
      <c r="Z1009" s="153" t="b">
        <f>+OR(COUNTIF(PROVEEDORES[[#This Row],[PROVEEDOR]],"*"&amp;'Palabra que no opera y Listas d'!$A$2&amp;"*"))</f>
        <v>0</v>
      </c>
    </row>
    <row r="1010" spans="1:26" ht="27.75" customHeight="1" x14ac:dyDescent="0.3">
      <c r="A1010" s="144" t="str">
        <f>+IF(PROVEEDORES[[#This Row],[FECHA DE PAGO]]=PROVEEDORES[[#This Row],[FECHA DE FACTURACIÓN]],"DE CONTADO","CRÉDITO")</f>
        <v>CRÉDITO</v>
      </c>
      <c r="B1010" s="144" t="str">
        <f>+IF((PROVEEDORES[[#This Row],[FECHA DE PAGO]]-PROVEEDORES[[#This Row],[FECHA DE FACTURACIÓN]])&gt;PROVEEDORES[[#This Row],[PLAZO Días]],"PAGO VENCIDO")</f>
        <v>PAGO VENCIDO</v>
      </c>
      <c r="C1010" s="144">
        <f>+VLOOKUP(PROVEEDORES[[#This Row],[PROVEEDOR]],TERCEROS_INFO[#All],2,FALSE)</f>
        <v>0</v>
      </c>
      <c r="D1010" s="145">
        <f>+SUMIFS(PROVEEDORES[Total],PROVEEDORES[PROVEEDOR],PROVEEDORES[[#This Row],[PROVEEDOR]],PROVEEDORES[FECHA DE PAGO],"")</f>
        <v>0</v>
      </c>
      <c r="E1010" s="146"/>
      <c r="F1010" s="144">
        <f>+VLOOKUP(PROVEEDORES[[#This Row],[PROVEEDOR]],
                       Terceros!$A:$G,
                       5,
                       FALSE)</f>
        <v>0</v>
      </c>
      <c r="G1010" s="122">
        <v>45271</v>
      </c>
      <c r="H1010" s="102" t="s">
        <v>537</v>
      </c>
      <c r="I1010" s="122">
        <v>45259</v>
      </c>
      <c r="J1010" s="103" t="s">
        <v>1302</v>
      </c>
      <c r="K1010" s="103" t="s">
        <v>1512</v>
      </c>
      <c r="L1010" s="103"/>
      <c r="M1010" s="105">
        <v>697800</v>
      </c>
      <c r="N1010" s="147">
        <v>0</v>
      </c>
      <c r="O1010" s="147">
        <v>0</v>
      </c>
      <c r="P1010" s="148">
        <v>0</v>
      </c>
      <c r="Q1010" s="147">
        <v>0</v>
      </c>
      <c r="R1010" s="149">
        <v>697800</v>
      </c>
      <c r="S10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0" s="150">
        <f ca="1">+IF(PROVEEDORES[[#This Row],[FECHA DE PAGO]]=0,TODAY()-PROVEEDORES[[#This Row],[FECHA DE FACTURACIÓN]]-PROVEEDORES[[#This Row],[PLAZO Días]],0)</f>
        <v>0</v>
      </c>
      <c r="U1010" s="150">
        <f>+VLOOKUP(PROVEEDORES[[#This Row],[PROVEEDOR]],Terceros!$A:$E,4,FALSE)</f>
        <v>0</v>
      </c>
      <c r="V1010" s="150">
        <f>+YEAR(PROVEEDORES[[#This Row],[FECHA DE FACTURACIÓN]])</f>
        <v>2023</v>
      </c>
      <c r="W1010" s="150">
        <f>+MATCH(PROVEEDORES[[#This Row],[año facturado]],Retenciones!$1:$1,0)</f>
        <v>6</v>
      </c>
      <c r="X1010" s="151">
        <f>+VLOOKUP(PROVEEDORES[[#This Row],[ID RETENCION]],Retenciones!$A$1:$O$25,PROVEEDORES[[#This Row],[indicador de columna]],FALSE)</f>
        <v>0</v>
      </c>
      <c r="Y1010" s="152">
        <f>+VLOOKUP(PROVEEDORES[[#This Row],[ID RETENCION]],Retenciones!$A$1:$O$25,2,FALSE)</f>
        <v>0</v>
      </c>
      <c r="Z1010" s="153" t="b">
        <f>+OR(COUNTIF(PROVEEDORES[[#This Row],[PROVEEDOR]],"*"&amp;'Palabra que no opera y Listas d'!$A$2&amp;"*"))</f>
        <v>0</v>
      </c>
    </row>
    <row r="1011" spans="1:26" ht="27.75" customHeight="1" x14ac:dyDescent="0.3">
      <c r="A1011" s="144" t="str">
        <f>+IF(PROVEEDORES[[#This Row],[FECHA DE PAGO]]=PROVEEDORES[[#This Row],[FECHA DE FACTURACIÓN]],"DE CONTADO","CRÉDITO")</f>
        <v>CRÉDITO</v>
      </c>
      <c r="B1011" s="144" t="str">
        <f>+IF((PROVEEDORES[[#This Row],[FECHA DE PAGO]]-PROVEEDORES[[#This Row],[FECHA DE FACTURACIÓN]])&gt;PROVEEDORES[[#This Row],[PLAZO Días]],"PAGO VENCIDO")</f>
        <v>PAGO VENCIDO</v>
      </c>
      <c r="C1011" s="144">
        <f>+VLOOKUP(PROVEEDORES[[#This Row],[PROVEEDOR]],TERCEROS_INFO[#All],2,FALSE)</f>
        <v>0</v>
      </c>
      <c r="D1011" s="145">
        <f>+SUMIFS(PROVEEDORES[Total],PROVEEDORES[PROVEEDOR],PROVEEDORES[[#This Row],[PROVEEDOR]],PROVEEDORES[FECHA DE PAGO],"")</f>
        <v>0</v>
      </c>
      <c r="E1011" s="146"/>
      <c r="F1011" s="144" t="str">
        <f>+VLOOKUP(PROVEEDORES[[#This Row],[PROVEEDOR]],
                       Terceros!$A:$G,
                       5,
                       FALSE)</f>
        <v>3,5% sin base</v>
      </c>
      <c r="G1011" s="122">
        <v>45271</v>
      </c>
      <c r="H1011" s="102" t="s">
        <v>398</v>
      </c>
      <c r="I1011" s="122">
        <v>45261</v>
      </c>
      <c r="J1011" s="103" t="s">
        <v>1307</v>
      </c>
      <c r="K1011" s="103" t="s">
        <v>1512</v>
      </c>
      <c r="L1011" s="103"/>
      <c r="M1011" s="105">
        <v>4394976</v>
      </c>
      <c r="N1011" s="147">
        <v>835045.44000000006</v>
      </c>
      <c r="O1011" s="147">
        <v>0</v>
      </c>
      <c r="P1011" s="148">
        <v>3.5000000000000003E-2</v>
      </c>
      <c r="Q1011" s="147">
        <v>153824.16</v>
      </c>
      <c r="R1011" s="149">
        <v>5076197.28</v>
      </c>
      <c r="S10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1" s="150">
        <f ca="1">+IF(PROVEEDORES[[#This Row],[FECHA DE PAGO]]=0,TODAY()-PROVEEDORES[[#This Row],[FECHA DE FACTURACIÓN]]-PROVEEDORES[[#This Row],[PLAZO Días]],0)</f>
        <v>0</v>
      </c>
      <c r="U1011" s="150">
        <f>+VLOOKUP(PROVEEDORES[[#This Row],[PROVEEDOR]],Terceros!$A:$E,4,FALSE)</f>
        <v>0.19</v>
      </c>
      <c r="V1011" s="150">
        <f>+YEAR(PROVEEDORES[[#This Row],[FECHA DE FACTURACIÓN]])</f>
        <v>2023</v>
      </c>
      <c r="W1011" s="150">
        <f>+MATCH(PROVEEDORES[[#This Row],[año facturado]],Retenciones!$1:$1,0)</f>
        <v>6</v>
      </c>
      <c r="X1011" s="151" t="e">
        <f>+VLOOKUP(PROVEEDORES[[#This Row],[ID RETENCION]],Retenciones!$A$1:$O$25,PROVEEDORES[[#This Row],[indicador de columna]],FALSE)</f>
        <v>#N/A</v>
      </c>
      <c r="Y1011" s="152" t="e">
        <f>+VLOOKUP(PROVEEDORES[[#This Row],[ID RETENCION]],Retenciones!$A$1:$O$25,2,FALSE)</f>
        <v>#N/A</v>
      </c>
      <c r="Z1011" s="153" t="b">
        <f>+OR(COUNTIF(PROVEEDORES[[#This Row],[PROVEEDOR]],"*"&amp;'Palabra que no opera y Listas d'!$A$2&amp;"*"))</f>
        <v>1</v>
      </c>
    </row>
    <row r="1012" spans="1:26" ht="27.75" customHeight="1" x14ac:dyDescent="0.3">
      <c r="A1012" s="144" t="str">
        <f>+IF(PROVEEDORES[[#This Row],[FECHA DE PAGO]]=PROVEEDORES[[#This Row],[FECHA DE FACTURACIÓN]],"DE CONTADO","CRÉDITO")</f>
        <v>CRÉDITO</v>
      </c>
      <c r="B1012" s="144" t="str">
        <f>+IF((PROVEEDORES[[#This Row],[FECHA DE PAGO]]-PROVEEDORES[[#This Row],[FECHA DE FACTURACIÓN]])&gt;PROVEEDORES[[#This Row],[PLAZO Días]],"PAGO VENCIDO")</f>
        <v>PAGO VENCIDO</v>
      </c>
      <c r="C1012" s="144">
        <f>+VLOOKUP(PROVEEDORES[[#This Row],[PROVEEDOR]],TERCEROS_INFO[#All],2,FALSE)</f>
        <v>0</v>
      </c>
      <c r="D1012" s="145">
        <f>+SUMIFS(PROVEEDORES[Total],PROVEEDORES[PROVEEDOR],PROVEEDORES[[#This Row],[PROVEEDOR]],PROVEEDORES[FECHA DE PAGO],"")</f>
        <v>0</v>
      </c>
      <c r="E1012" s="146"/>
      <c r="F1012" s="144" t="str">
        <f>+VLOOKUP(PROVEEDORES[[#This Row],[PROVEEDOR]],
                       Terceros!$A:$G,
                       5,
                       FALSE)</f>
        <v>3,5% sin base</v>
      </c>
      <c r="G1012" s="122">
        <v>45271</v>
      </c>
      <c r="H1012" s="102" t="s">
        <v>409</v>
      </c>
      <c r="I1012" s="122">
        <v>45261</v>
      </c>
      <c r="J1012" s="103" t="s">
        <v>1309</v>
      </c>
      <c r="K1012" s="103" t="s">
        <v>1512</v>
      </c>
      <c r="L1012" s="103"/>
      <c r="M1012" s="105">
        <v>243611</v>
      </c>
      <c r="N1012" s="147">
        <v>46286.090000000004</v>
      </c>
      <c r="O1012" s="147">
        <v>0</v>
      </c>
      <c r="P1012" s="148">
        <v>3.5000000000000003E-2</v>
      </c>
      <c r="Q1012" s="147">
        <v>8526.3850000000002</v>
      </c>
      <c r="R1012" s="149">
        <v>281370.70500000002</v>
      </c>
      <c r="S10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2" s="150">
        <f ca="1">+IF(PROVEEDORES[[#This Row],[FECHA DE PAGO]]=0,TODAY()-PROVEEDORES[[#This Row],[FECHA DE FACTURACIÓN]]-PROVEEDORES[[#This Row],[PLAZO Días]],0)</f>
        <v>0</v>
      </c>
      <c r="U1012" s="150">
        <f>+VLOOKUP(PROVEEDORES[[#This Row],[PROVEEDOR]],Terceros!$A:$E,4,FALSE)</f>
        <v>0.19</v>
      </c>
      <c r="V1012" s="150">
        <f>+YEAR(PROVEEDORES[[#This Row],[FECHA DE FACTURACIÓN]])</f>
        <v>2023</v>
      </c>
      <c r="W1012" s="150">
        <f>+MATCH(PROVEEDORES[[#This Row],[año facturado]],Retenciones!$1:$1,0)</f>
        <v>6</v>
      </c>
      <c r="X1012" s="151" t="e">
        <f>+VLOOKUP(PROVEEDORES[[#This Row],[ID RETENCION]],Retenciones!$A$1:$O$25,PROVEEDORES[[#This Row],[indicador de columna]],FALSE)</f>
        <v>#N/A</v>
      </c>
      <c r="Y1012" s="152" t="e">
        <f>+VLOOKUP(PROVEEDORES[[#This Row],[ID RETENCION]],Retenciones!$A$1:$O$25,2,FALSE)</f>
        <v>#N/A</v>
      </c>
      <c r="Z1012" s="153" t="b">
        <f>+OR(COUNTIF(PROVEEDORES[[#This Row],[PROVEEDOR]],"*"&amp;'Palabra que no opera y Listas d'!$A$2&amp;"*"))</f>
        <v>1</v>
      </c>
    </row>
    <row r="1013" spans="1:26" ht="27.75" customHeight="1" x14ac:dyDescent="0.3">
      <c r="A1013" s="144" t="str">
        <f>+IF(PROVEEDORES[[#This Row],[FECHA DE PAGO]]=PROVEEDORES[[#This Row],[FECHA DE FACTURACIÓN]],"DE CONTADO","CRÉDITO")</f>
        <v>CRÉDITO</v>
      </c>
      <c r="B1013" s="144" t="str">
        <f>+IF((PROVEEDORES[[#This Row],[FECHA DE PAGO]]-PROVEEDORES[[#This Row],[FECHA DE FACTURACIÓN]])&gt;PROVEEDORES[[#This Row],[PLAZO Días]],"PAGO VENCIDO")</f>
        <v>PAGO VENCIDO</v>
      </c>
      <c r="C1013" s="144">
        <f>+VLOOKUP(PROVEEDORES[[#This Row],[PROVEEDOR]],TERCEROS_INFO[#All],2,FALSE)</f>
        <v>0</v>
      </c>
      <c r="D1013" s="145">
        <f>+SUMIFS(PROVEEDORES[Total],PROVEEDORES[PROVEEDOR],PROVEEDORES[[#This Row],[PROVEEDOR]],PROVEEDORES[FECHA DE PAGO],"")</f>
        <v>0</v>
      </c>
      <c r="E1013" s="146"/>
      <c r="F1013" s="144">
        <f>+VLOOKUP(PROVEEDORES[[#This Row],[PROVEEDOR]],
                       Terceros!$A:$G,
                       5,
                       FALSE)</f>
        <v>0</v>
      </c>
      <c r="G1013" s="122">
        <v>45271</v>
      </c>
      <c r="H1013" s="102" t="s">
        <v>388</v>
      </c>
      <c r="I1013" s="122">
        <v>45261</v>
      </c>
      <c r="J1013" s="103" t="s">
        <v>1308</v>
      </c>
      <c r="K1013" s="103" t="s">
        <v>1512</v>
      </c>
      <c r="L1013" s="103"/>
      <c r="M1013" s="105">
        <v>1840056</v>
      </c>
      <c r="N1013" s="147">
        <v>0</v>
      </c>
      <c r="O1013" s="147">
        <v>0</v>
      </c>
      <c r="P1013" s="148">
        <v>0</v>
      </c>
      <c r="Q1013" s="147">
        <v>0</v>
      </c>
      <c r="R1013" s="149">
        <v>1840056</v>
      </c>
      <c r="S10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3" s="150">
        <f ca="1">+IF(PROVEEDORES[[#This Row],[FECHA DE PAGO]]=0,TODAY()-PROVEEDORES[[#This Row],[FECHA DE FACTURACIÓN]]-PROVEEDORES[[#This Row],[PLAZO Días]],0)</f>
        <v>0</v>
      </c>
      <c r="U1013" s="150">
        <f>+VLOOKUP(PROVEEDORES[[#This Row],[PROVEEDOR]],Terceros!$A:$E,4,FALSE)</f>
        <v>0</v>
      </c>
      <c r="V1013" s="150">
        <f>+YEAR(PROVEEDORES[[#This Row],[FECHA DE FACTURACIÓN]])</f>
        <v>2023</v>
      </c>
      <c r="W1013" s="150">
        <f>+MATCH(PROVEEDORES[[#This Row],[año facturado]],Retenciones!$1:$1,0)</f>
        <v>6</v>
      </c>
      <c r="X1013" s="151">
        <f>+VLOOKUP(PROVEEDORES[[#This Row],[ID RETENCION]],Retenciones!$A$1:$O$25,PROVEEDORES[[#This Row],[indicador de columna]],FALSE)</f>
        <v>0</v>
      </c>
      <c r="Y1013" s="152">
        <f>+VLOOKUP(PROVEEDORES[[#This Row],[ID RETENCION]],Retenciones!$A$1:$O$25,2,FALSE)</f>
        <v>0</v>
      </c>
      <c r="Z1013" s="153" t="b">
        <f>+OR(COUNTIF(PROVEEDORES[[#This Row],[PROVEEDOR]],"*"&amp;'Palabra que no opera y Listas d'!$A$2&amp;"*"))</f>
        <v>1</v>
      </c>
    </row>
    <row r="1014" spans="1:26" ht="27.75" customHeight="1" x14ac:dyDescent="0.3">
      <c r="A1014" s="144" t="str">
        <f>+IF(PROVEEDORES[[#This Row],[FECHA DE PAGO]]=PROVEEDORES[[#This Row],[FECHA DE FACTURACIÓN]],"DE CONTADO","CRÉDITO")</f>
        <v>CRÉDITO</v>
      </c>
      <c r="B1014" s="144" t="str">
        <f>+IF((PROVEEDORES[[#This Row],[FECHA DE PAGO]]-PROVEEDORES[[#This Row],[FECHA DE FACTURACIÓN]])&gt;PROVEEDORES[[#This Row],[PLAZO Días]],"PAGO VENCIDO")</f>
        <v>PAGO VENCIDO</v>
      </c>
      <c r="C1014" s="144">
        <f>+VLOOKUP(PROVEEDORES[[#This Row],[PROVEEDOR]],TERCEROS_INFO[#All],2,FALSE)</f>
        <v>0</v>
      </c>
      <c r="D1014" s="145">
        <f>+SUMIFS(PROVEEDORES[Total],PROVEEDORES[PROVEEDOR],PROVEEDORES[[#This Row],[PROVEEDOR]],PROVEEDORES[FECHA DE PAGO],"")</f>
        <v>0</v>
      </c>
      <c r="E1014" s="146"/>
      <c r="F1014" s="144">
        <f>+VLOOKUP(PROVEEDORES[[#This Row],[PROVEEDOR]],
                       Terceros!$A:$G,
                       5,
                       FALSE)</f>
        <v>0</v>
      </c>
      <c r="G1014" s="122">
        <v>45271</v>
      </c>
      <c r="H1014" s="102" t="s">
        <v>391</v>
      </c>
      <c r="I1014" s="122">
        <v>45261</v>
      </c>
      <c r="J1014" s="103" t="s">
        <v>1313</v>
      </c>
      <c r="K1014" s="103" t="s">
        <v>1512</v>
      </c>
      <c r="L1014" s="103"/>
      <c r="M1014" s="105">
        <v>318603</v>
      </c>
      <c r="N1014" s="147">
        <v>0</v>
      </c>
      <c r="O1014" s="147">
        <v>0</v>
      </c>
      <c r="P1014" s="148">
        <v>0</v>
      </c>
      <c r="Q1014" s="147">
        <v>0</v>
      </c>
      <c r="R1014" s="149">
        <v>318603</v>
      </c>
      <c r="S10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4" s="150">
        <f ca="1">+IF(PROVEEDORES[[#This Row],[FECHA DE PAGO]]=0,TODAY()-PROVEEDORES[[#This Row],[FECHA DE FACTURACIÓN]]-PROVEEDORES[[#This Row],[PLAZO Días]],0)</f>
        <v>0</v>
      </c>
      <c r="U1014" s="150">
        <f>+VLOOKUP(PROVEEDORES[[#This Row],[PROVEEDOR]],Terceros!$A:$E,4,FALSE)</f>
        <v>0</v>
      </c>
      <c r="V1014" s="150">
        <f>+YEAR(PROVEEDORES[[#This Row],[FECHA DE FACTURACIÓN]])</f>
        <v>2023</v>
      </c>
      <c r="W1014" s="150">
        <f>+MATCH(PROVEEDORES[[#This Row],[año facturado]],Retenciones!$1:$1,0)</f>
        <v>6</v>
      </c>
      <c r="X1014" s="151">
        <f>+VLOOKUP(PROVEEDORES[[#This Row],[ID RETENCION]],Retenciones!$A$1:$O$25,PROVEEDORES[[#This Row],[indicador de columna]],FALSE)</f>
        <v>0</v>
      </c>
      <c r="Y1014" s="152">
        <f>+VLOOKUP(PROVEEDORES[[#This Row],[ID RETENCION]],Retenciones!$A$1:$O$25,2,FALSE)</f>
        <v>0</v>
      </c>
      <c r="Z1014" s="153" t="b">
        <f>+OR(COUNTIF(PROVEEDORES[[#This Row],[PROVEEDOR]],"*"&amp;'Palabra que no opera y Listas d'!$A$2&amp;"*"))</f>
        <v>1</v>
      </c>
    </row>
    <row r="1015" spans="1:26" ht="27.75" customHeight="1" x14ac:dyDescent="0.3">
      <c r="A1015" s="144" t="str">
        <f>+IF(PROVEEDORES[[#This Row],[FECHA DE PAGO]]=PROVEEDORES[[#This Row],[FECHA DE FACTURACIÓN]],"DE CONTADO","CRÉDITO")</f>
        <v>CRÉDITO</v>
      </c>
      <c r="B1015" s="144" t="str">
        <f>+IF((PROVEEDORES[[#This Row],[FECHA DE PAGO]]-PROVEEDORES[[#This Row],[FECHA DE FACTURACIÓN]])&gt;PROVEEDORES[[#This Row],[PLAZO Días]],"PAGO VENCIDO")</f>
        <v>PAGO VENCIDO</v>
      </c>
      <c r="C1015" s="144">
        <f>+VLOOKUP(PROVEEDORES[[#This Row],[PROVEEDOR]],TERCEROS_INFO[#All],2,FALSE)</f>
        <v>0</v>
      </c>
      <c r="D1015" s="145">
        <f>+SUMIFS(PROVEEDORES[Total],PROVEEDORES[PROVEEDOR],PROVEEDORES[[#This Row],[PROVEEDOR]],PROVEEDORES[FECHA DE PAGO],"")</f>
        <v>0</v>
      </c>
      <c r="E1015" s="146"/>
      <c r="F1015" s="144">
        <f>+VLOOKUP(PROVEEDORES[[#This Row],[PROVEEDOR]],
                       Terceros!$A:$G,
                       5,
                       FALSE)</f>
        <v>0</v>
      </c>
      <c r="G1015" s="122">
        <v>45271</v>
      </c>
      <c r="H1015" s="102" t="s">
        <v>397</v>
      </c>
      <c r="I1015" s="122">
        <v>45261</v>
      </c>
      <c r="J1015" s="103" t="s">
        <v>1310</v>
      </c>
      <c r="K1015" s="103" t="s">
        <v>1512</v>
      </c>
      <c r="L1015" s="103"/>
      <c r="M1015" s="105">
        <v>914023</v>
      </c>
      <c r="N1015" s="147">
        <v>0</v>
      </c>
      <c r="O1015" s="147">
        <v>0</v>
      </c>
      <c r="P1015" s="148">
        <v>0</v>
      </c>
      <c r="Q1015" s="147">
        <v>0</v>
      </c>
      <c r="R1015" s="149">
        <v>914023</v>
      </c>
      <c r="S10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5" s="150">
        <f ca="1">+IF(PROVEEDORES[[#This Row],[FECHA DE PAGO]]=0,TODAY()-PROVEEDORES[[#This Row],[FECHA DE FACTURACIÓN]]-PROVEEDORES[[#This Row],[PLAZO Días]],0)</f>
        <v>0</v>
      </c>
      <c r="U1015" s="150">
        <f>+VLOOKUP(PROVEEDORES[[#This Row],[PROVEEDOR]],Terceros!$A:$E,4,FALSE)</f>
        <v>0</v>
      </c>
      <c r="V1015" s="150">
        <f>+YEAR(PROVEEDORES[[#This Row],[FECHA DE FACTURACIÓN]])</f>
        <v>2023</v>
      </c>
      <c r="W1015" s="150">
        <f>+MATCH(PROVEEDORES[[#This Row],[año facturado]],Retenciones!$1:$1,0)</f>
        <v>6</v>
      </c>
      <c r="X1015" s="151">
        <f>+VLOOKUP(PROVEEDORES[[#This Row],[ID RETENCION]],Retenciones!$A$1:$O$25,PROVEEDORES[[#This Row],[indicador de columna]],FALSE)</f>
        <v>0</v>
      </c>
      <c r="Y1015" s="152">
        <f>+VLOOKUP(PROVEEDORES[[#This Row],[ID RETENCION]],Retenciones!$A$1:$O$25,2,FALSE)</f>
        <v>0</v>
      </c>
      <c r="Z1015" s="153" t="b">
        <f>+OR(COUNTIF(PROVEEDORES[[#This Row],[PROVEEDOR]],"*"&amp;'Palabra que no opera y Listas d'!$A$2&amp;"*"))</f>
        <v>1</v>
      </c>
    </row>
    <row r="1016" spans="1:26" ht="27.75" customHeight="1" x14ac:dyDescent="0.3">
      <c r="A1016" s="144" t="str">
        <f>+IF(PROVEEDORES[[#This Row],[FECHA DE PAGO]]=PROVEEDORES[[#This Row],[FECHA DE FACTURACIÓN]],"DE CONTADO","CRÉDITO")</f>
        <v>CRÉDITO</v>
      </c>
      <c r="B1016" s="144" t="str">
        <f>+IF((PROVEEDORES[[#This Row],[FECHA DE PAGO]]-PROVEEDORES[[#This Row],[FECHA DE FACTURACIÓN]])&gt;PROVEEDORES[[#This Row],[PLAZO Días]],"PAGO VENCIDO")</f>
        <v>PAGO VENCIDO</v>
      </c>
      <c r="C1016" s="144">
        <f>+VLOOKUP(PROVEEDORES[[#This Row],[PROVEEDOR]],TERCEROS_INFO[#All],2,FALSE)</f>
        <v>0</v>
      </c>
      <c r="D1016" s="145">
        <f>+SUMIFS(PROVEEDORES[Total],PROVEEDORES[PROVEEDOR],PROVEEDORES[[#This Row],[PROVEEDOR]],PROVEEDORES[FECHA DE PAGO],"")</f>
        <v>0</v>
      </c>
      <c r="E1016" s="146"/>
      <c r="F1016" s="144">
        <f>+VLOOKUP(PROVEEDORES[[#This Row],[PROVEEDOR]],
                       Terceros!$A:$G,
                       5,
                       FALSE)</f>
        <v>0</v>
      </c>
      <c r="G1016" s="122">
        <v>45271</v>
      </c>
      <c r="H1016" s="102" t="s">
        <v>397</v>
      </c>
      <c r="I1016" s="122">
        <v>45261</v>
      </c>
      <c r="J1016" s="103" t="s">
        <v>1311</v>
      </c>
      <c r="K1016" s="103" t="s">
        <v>1512</v>
      </c>
      <c r="L1016" s="103"/>
      <c r="M1016" s="105">
        <v>934363</v>
      </c>
      <c r="N1016" s="147">
        <v>0</v>
      </c>
      <c r="O1016" s="147">
        <v>0</v>
      </c>
      <c r="P1016" s="148">
        <v>0</v>
      </c>
      <c r="Q1016" s="147">
        <v>0</v>
      </c>
      <c r="R1016" s="149">
        <v>934363</v>
      </c>
      <c r="S10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6" s="150">
        <f ca="1">+IF(PROVEEDORES[[#This Row],[FECHA DE PAGO]]=0,TODAY()-PROVEEDORES[[#This Row],[FECHA DE FACTURACIÓN]]-PROVEEDORES[[#This Row],[PLAZO Días]],0)</f>
        <v>0</v>
      </c>
      <c r="U1016" s="150">
        <f>+VLOOKUP(PROVEEDORES[[#This Row],[PROVEEDOR]],Terceros!$A:$E,4,FALSE)</f>
        <v>0</v>
      </c>
      <c r="V1016" s="150">
        <f>+YEAR(PROVEEDORES[[#This Row],[FECHA DE FACTURACIÓN]])</f>
        <v>2023</v>
      </c>
      <c r="W1016" s="150">
        <f>+MATCH(PROVEEDORES[[#This Row],[año facturado]],Retenciones!$1:$1,0)</f>
        <v>6</v>
      </c>
      <c r="X1016" s="151">
        <f>+VLOOKUP(PROVEEDORES[[#This Row],[ID RETENCION]],Retenciones!$A$1:$O$25,PROVEEDORES[[#This Row],[indicador de columna]],FALSE)</f>
        <v>0</v>
      </c>
      <c r="Y1016" s="152">
        <f>+VLOOKUP(PROVEEDORES[[#This Row],[ID RETENCION]],Retenciones!$A$1:$O$25,2,FALSE)</f>
        <v>0</v>
      </c>
      <c r="Z1016" s="153" t="b">
        <f>+OR(COUNTIF(PROVEEDORES[[#This Row],[PROVEEDOR]],"*"&amp;'Palabra que no opera y Listas d'!$A$2&amp;"*"))</f>
        <v>1</v>
      </c>
    </row>
    <row r="1017" spans="1:26" ht="27.75" customHeight="1" x14ac:dyDescent="0.3">
      <c r="A1017" s="144" t="str">
        <f>+IF(PROVEEDORES[[#This Row],[FECHA DE PAGO]]=PROVEEDORES[[#This Row],[FECHA DE FACTURACIÓN]],"DE CONTADO","CRÉDITO")</f>
        <v>CRÉDITO</v>
      </c>
      <c r="B1017" s="144" t="str">
        <f>+IF((PROVEEDORES[[#This Row],[FECHA DE PAGO]]-PROVEEDORES[[#This Row],[FECHA DE FACTURACIÓN]])&gt;PROVEEDORES[[#This Row],[PLAZO Días]],"PAGO VENCIDO")</f>
        <v>PAGO VENCIDO</v>
      </c>
      <c r="C1017" s="144">
        <f>+VLOOKUP(PROVEEDORES[[#This Row],[PROVEEDOR]],TERCEROS_INFO[#All],2,FALSE)</f>
        <v>0</v>
      </c>
      <c r="D1017" s="145">
        <f>+SUMIFS(PROVEEDORES[Total],PROVEEDORES[PROVEEDOR],PROVEEDORES[[#This Row],[PROVEEDOR]],PROVEEDORES[FECHA DE PAGO],"")</f>
        <v>181631</v>
      </c>
      <c r="E1017" s="146"/>
      <c r="F1017" s="144">
        <f>+VLOOKUP(PROVEEDORES[[#This Row],[PROVEEDOR]],
                       Terceros!$A:$G,
                       5,
                       FALSE)</f>
        <v>0</v>
      </c>
      <c r="G1017" s="122">
        <v>45271</v>
      </c>
      <c r="H1017" s="102" t="s">
        <v>383</v>
      </c>
      <c r="I1017" s="122">
        <v>45261</v>
      </c>
      <c r="J1017" s="103" t="s">
        <v>1305</v>
      </c>
      <c r="K1017" s="103" t="s">
        <v>1512</v>
      </c>
      <c r="L1017" s="103"/>
      <c r="M1017" s="105">
        <v>908172</v>
      </c>
      <c r="N1017" s="147">
        <v>172552.68</v>
      </c>
      <c r="O1017" s="147">
        <v>0</v>
      </c>
      <c r="P1017" s="148">
        <v>0</v>
      </c>
      <c r="Q1017" s="147">
        <v>0</v>
      </c>
      <c r="R1017" s="149">
        <v>1080724.68</v>
      </c>
      <c r="S10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7" s="150">
        <f ca="1">+IF(PROVEEDORES[[#This Row],[FECHA DE PAGO]]=0,TODAY()-PROVEEDORES[[#This Row],[FECHA DE FACTURACIÓN]]-PROVEEDORES[[#This Row],[PLAZO Días]],0)</f>
        <v>0</v>
      </c>
      <c r="U1017" s="150">
        <f>+VLOOKUP(PROVEEDORES[[#This Row],[PROVEEDOR]],Terceros!$A:$E,4,FALSE)</f>
        <v>0.19</v>
      </c>
      <c r="V1017" s="150">
        <f>+YEAR(PROVEEDORES[[#This Row],[FECHA DE FACTURACIÓN]])</f>
        <v>2023</v>
      </c>
      <c r="W1017" s="150">
        <f>+MATCH(PROVEEDORES[[#This Row],[año facturado]],Retenciones!$1:$1,0)</f>
        <v>6</v>
      </c>
      <c r="X1017" s="151" t="e">
        <f>+VLOOKUP(PROVEEDORES[[#This Row],[ID RETENCION]],Retenciones!$A$1:$O$25,PROVEEDORES[[#This Row],[indicador de columna]],FALSE)</f>
        <v>#N/A</v>
      </c>
      <c r="Y1017" s="152" t="e">
        <f>+VLOOKUP(PROVEEDORES[[#This Row],[ID RETENCION]],Retenciones!$A$1:$O$25,2,FALSE)</f>
        <v>#N/A</v>
      </c>
      <c r="Z1017" s="153" t="b">
        <f>+OR(COUNTIF(PROVEEDORES[[#This Row],[PROVEEDOR]],"*"&amp;'Palabra que no opera y Listas d'!$A$2&amp;"*"))</f>
        <v>1</v>
      </c>
    </row>
    <row r="1018" spans="1:26" ht="27.75" customHeight="1" x14ac:dyDescent="0.3">
      <c r="A1018" s="144" t="str">
        <f>+IF(PROVEEDORES[[#This Row],[FECHA DE PAGO]]=PROVEEDORES[[#This Row],[FECHA DE FACTURACIÓN]],"DE CONTADO","CRÉDITO")</f>
        <v>CRÉDITO</v>
      </c>
      <c r="B1018" s="144" t="str">
        <f>+IF((PROVEEDORES[[#This Row],[FECHA DE PAGO]]-PROVEEDORES[[#This Row],[FECHA DE FACTURACIÓN]])&gt;PROVEEDORES[[#This Row],[PLAZO Días]],"PAGO VENCIDO")</f>
        <v>PAGO VENCIDO</v>
      </c>
      <c r="C1018" s="144">
        <f>+VLOOKUP(PROVEEDORES[[#This Row],[PROVEEDOR]],TERCEROS_INFO[#All],2,FALSE)</f>
        <v>0</v>
      </c>
      <c r="D1018" s="145">
        <f>+SUMIFS(PROVEEDORES[Total],PROVEEDORES[PROVEEDOR],PROVEEDORES[[#This Row],[PROVEEDOR]],PROVEEDORES[FECHA DE PAGO],"")</f>
        <v>181631</v>
      </c>
      <c r="E1018" s="146"/>
      <c r="F1018" s="144">
        <f>+VLOOKUP(PROVEEDORES[[#This Row],[PROVEEDOR]],
                       Terceros!$A:$G,
                       5,
                       FALSE)</f>
        <v>0</v>
      </c>
      <c r="G1018" s="122">
        <v>45271</v>
      </c>
      <c r="H1018" s="102" t="s">
        <v>383</v>
      </c>
      <c r="I1018" s="122">
        <v>45261</v>
      </c>
      <c r="J1018" s="103" t="s">
        <v>1306</v>
      </c>
      <c r="K1018" s="103" t="s">
        <v>1512</v>
      </c>
      <c r="L1018" s="103"/>
      <c r="M1018" s="105">
        <v>3792544</v>
      </c>
      <c r="N1018" s="147">
        <v>720583.36</v>
      </c>
      <c r="O1018" s="147">
        <v>0</v>
      </c>
      <c r="P1018" s="148">
        <v>0</v>
      </c>
      <c r="Q1018" s="147">
        <v>0</v>
      </c>
      <c r="R1018" s="149">
        <v>4513127.3600000003</v>
      </c>
      <c r="S10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8" s="150">
        <f ca="1">+IF(PROVEEDORES[[#This Row],[FECHA DE PAGO]]=0,TODAY()-PROVEEDORES[[#This Row],[FECHA DE FACTURACIÓN]]-PROVEEDORES[[#This Row],[PLAZO Días]],0)</f>
        <v>0</v>
      </c>
      <c r="U1018" s="150">
        <f>+VLOOKUP(PROVEEDORES[[#This Row],[PROVEEDOR]],Terceros!$A:$E,4,FALSE)</f>
        <v>0.19</v>
      </c>
      <c r="V1018" s="150">
        <f>+YEAR(PROVEEDORES[[#This Row],[FECHA DE FACTURACIÓN]])</f>
        <v>2023</v>
      </c>
      <c r="W1018" s="150">
        <f>+MATCH(PROVEEDORES[[#This Row],[año facturado]],Retenciones!$1:$1,0)</f>
        <v>6</v>
      </c>
      <c r="X1018" s="151" t="e">
        <f>+VLOOKUP(PROVEEDORES[[#This Row],[ID RETENCION]],Retenciones!$A$1:$O$25,PROVEEDORES[[#This Row],[indicador de columna]],FALSE)</f>
        <v>#N/A</v>
      </c>
      <c r="Y1018" s="152" t="e">
        <f>+VLOOKUP(PROVEEDORES[[#This Row],[ID RETENCION]],Retenciones!$A$1:$O$25,2,FALSE)</f>
        <v>#N/A</v>
      </c>
      <c r="Z1018" s="153" t="b">
        <f>+OR(COUNTIF(PROVEEDORES[[#This Row],[PROVEEDOR]],"*"&amp;'Palabra que no opera y Listas d'!$A$2&amp;"*"))</f>
        <v>1</v>
      </c>
    </row>
    <row r="1019" spans="1:26" ht="27.75" customHeight="1" x14ac:dyDescent="0.3">
      <c r="A1019" s="144" t="str">
        <f>+IF(PROVEEDORES[[#This Row],[FECHA DE PAGO]]=PROVEEDORES[[#This Row],[FECHA DE FACTURACIÓN]],"DE CONTADO","CRÉDITO")</f>
        <v>CRÉDITO</v>
      </c>
      <c r="B1019" s="144" t="str">
        <f>+IF((PROVEEDORES[[#This Row],[FECHA DE PAGO]]-PROVEEDORES[[#This Row],[FECHA DE FACTURACIÓN]])&gt;PROVEEDORES[[#This Row],[PLAZO Días]],"PAGO VENCIDO")</f>
        <v>PAGO VENCIDO</v>
      </c>
      <c r="C1019" s="144">
        <f>+VLOOKUP(PROVEEDORES[[#This Row],[PROVEEDOR]],TERCEROS_INFO[#All],2,FALSE)</f>
        <v>0</v>
      </c>
      <c r="D1019" s="145">
        <f>+SUMIFS(PROVEEDORES[Total],PROVEEDORES[PROVEEDOR],PROVEEDORES[[#This Row],[PROVEEDOR]],PROVEEDORES[FECHA DE PAGO],"")</f>
        <v>0</v>
      </c>
      <c r="E1019" s="146"/>
      <c r="F1019" s="144">
        <f>+VLOOKUP(PROVEEDORES[[#This Row],[PROVEEDOR]],
                       Terceros!$A:$G,
                       5,
                       FALSE)</f>
        <v>0</v>
      </c>
      <c r="G1019" s="122">
        <v>45271</v>
      </c>
      <c r="H1019" s="102" t="s">
        <v>497</v>
      </c>
      <c r="I1019" s="122">
        <v>45261</v>
      </c>
      <c r="J1019" s="103" t="s">
        <v>1304</v>
      </c>
      <c r="K1019" s="103" t="s">
        <v>1512</v>
      </c>
      <c r="L1019" s="103"/>
      <c r="M1019" s="105">
        <v>5350576</v>
      </c>
      <c r="N1019" s="147">
        <v>1016609.4400000001</v>
      </c>
      <c r="O1019" s="147">
        <v>0</v>
      </c>
      <c r="P1019" s="148">
        <v>0</v>
      </c>
      <c r="Q1019" s="147">
        <v>0</v>
      </c>
      <c r="R1019" s="149">
        <v>6367185.4400000004</v>
      </c>
      <c r="S10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9" s="150">
        <f ca="1">+IF(PROVEEDORES[[#This Row],[FECHA DE PAGO]]=0,TODAY()-PROVEEDORES[[#This Row],[FECHA DE FACTURACIÓN]]-PROVEEDORES[[#This Row],[PLAZO Días]],0)</f>
        <v>0</v>
      </c>
      <c r="U1019" s="150">
        <f>+VLOOKUP(PROVEEDORES[[#This Row],[PROVEEDOR]],Terceros!$A:$E,4,FALSE)</f>
        <v>0.19</v>
      </c>
      <c r="V1019" s="150">
        <f>+YEAR(PROVEEDORES[[#This Row],[FECHA DE FACTURACIÓN]])</f>
        <v>2023</v>
      </c>
      <c r="W1019" s="150">
        <f>+MATCH(PROVEEDORES[[#This Row],[año facturado]],Retenciones!$1:$1,0)</f>
        <v>6</v>
      </c>
      <c r="X1019" s="151" t="e">
        <f>+VLOOKUP(PROVEEDORES[[#This Row],[ID RETENCION]],Retenciones!$A$1:$O$25,PROVEEDORES[[#This Row],[indicador de columna]],FALSE)</f>
        <v>#N/A</v>
      </c>
      <c r="Y1019" s="152" t="e">
        <f>+VLOOKUP(PROVEEDORES[[#This Row],[ID RETENCION]],Retenciones!$A$1:$O$25,2,FALSE)</f>
        <v>#N/A</v>
      </c>
      <c r="Z1019" s="153" t="b">
        <f>+OR(COUNTIF(PROVEEDORES[[#This Row],[PROVEEDOR]],"*"&amp;'Palabra que no opera y Listas d'!$A$2&amp;"*"))</f>
        <v>1</v>
      </c>
    </row>
    <row r="1020" spans="1:26" ht="27.75" customHeight="1" x14ac:dyDescent="0.3">
      <c r="A1020" s="144" t="str">
        <f>+IF(PROVEEDORES[[#This Row],[FECHA DE PAGO]]=PROVEEDORES[[#This Row],[FECHA DE FACTURACIÓN]],"DE CONTADO","CRÉDITO")</f>
        <v>DE CONTADO</v>
      </c>
      <c r="B1020" s="144" t="b">
        <f>+IF((PROVEEDORES[[#This Row],[FECHA DE PAGO]]-PROVEEDORES[[#This Row],[FECHA DE FACTURACIÓN]])&gt;PROVEEDORES[[#This Row],[PLAZO Días]],"PAGO VENCIDO")</f>
        <v>0</v>
      </c>
      <c r="C1020" s="144">
        <f>+VLOOKUP(PROVEEDORES[[#This Row],[PROVEEDOR]],TERCEROS_INFO[#All],2,FALSE)</f>
        <v>0</v>
      </c>
      <c r="D1020" s="145">
        <f>+SUMIFS(PROVEEDORES[Total],PROVEEDORES[PROVEEDOR],PROVEEDORES[[#This Row],[PROVEEDOR]],PROVEEDORES[FECHA DE PAGO],"")</f>
        <v>0</v>
      </c>
      <c r="E1020" s="146"/>
      <c r="F1020" s="144">
        <f>+VLOOKUP(PROVEEDORES[[#This Row],[PROVEEDOR]],
                       Terceros!$A:$G,
                       5,
                       FALSE)</f>
        <v>0</v>
      </c>
      <c r="G1020" s="122">
        <v>45271</v>
      </c>
      <c r="H1020" s="102" t="s">
        <v>537</v>
      </c>
      <c r="I1020" s="122">
        <v>45271</v>
      </c>
      <c r="J1020" s="103" t="s">
        <v>1303</v>
      </c>
      <c r="K1020" s="103" t="s">
        <v>1512</v>
      </c>
      <c r="L1020" s="103"/>
      <c r="M1020" s="105">
        <v>1500000</v>
      </c>
      <c r="N1020" s="147">
        <v>0</v>
      </c>
      <c r="O1020" s="147">
        <v>0</v>
      </c>
      <c r="P1020" s="148">
        <v>0</v>
      </c>
      <c r="Q1020" s="147">
        <v>0</v>
      </c>
      <c r="R1020" s="149">
        <v>1500000</v>
      </c>
      <c r="S10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0" s="150">
        <f ca="1">+IF(PROVEEDORES[[#This Row],[FECHA DE PAGO]]=0,TODAY()-PROVEEDORES[[#This Row],[FECHA DE FACTURACIÓN]]-PROVEEDORES[[#This Row],[PLAZO Días]],0)</f>
        <v>0</v>
      </c>
      <c r="U1020" s="150">
        <f>+VLOOKUP(PROVEEDORES[[#This Row],[PROVEEDOR]],Terceros!$A:$E,4,FALSE)</f>
        <v>0</v>
      </c>
      <c r="V1020" s="150">
        <f>+YEAR(PROVEEDORES[[#This Row],[FECHA DE FACTURACIÓN]])</f>
        <v>2023</v>
      </c>
      <c r="W1020" s="150">
        <f>+MATCH(PROVEEDORES[[#This Row],[año facturado]],Retenciones!$1:$1,0)</f>
        <v>6</v>
      </c>
      <c r="X1020" s="151">
        <f>+VLOOKUP(PROVEEDORES[[#This Row],[ID RETENCION]],Retenciones!$A$1:$O$25,PROVEEDORES[[#This Row],[indicador de columna]],FALSE)</f>
        <v>0</v>
      </c>
      <c r="Y1020" s="152">
        <f>+VLOOKUP(PROVEEDORES[[#This Row],[ID RETENCION]],Retenciones!$A$1:$O$25,2,FALSE)</f>
        <v>0</v>
      </c>
      <c r="Z1020" s="153" t="b">
        <f>+OR(COUNTIF(PROVEEDORES[[#This Row],[PROVEEDOR]],"*"&amp;'Palabra que no opera y Listas d'!$A$2&amp;"*"))</f>
        <v>0</v>
      </c>
    </row>
    <row r="1021" spans="1:26" ht="27.75" customHeight="1" x14ac:dyDescent="0.3">
      <c r="A1021" s="144" t="str">
        <f>+IF(PROVEEDORES[[#This Row],[FECHA DE PAGO]]=PROVEEDORES[[#This Row],[FECHA DE FACTURACIÓN]],"DE CONTADO","CRÉDITO")</f>
        <v>CRÉDITO</v>
      </c>
      <c r="B1021" s="144" t="str">
        <f>+IF((PROVEEDORES[[#This Row],[FECHA DE PAGO]]-PROVEEDORES[[#This Row],[FECHA DE FACTURACIÓN]])&gt;PROVEEDORES[[#This Row],[PLAZO Días]],"PAGO VENCIDO")</f>
        <v>PAGO VENCIDO</v>
      </c>
      <c r="C1021" s="144">
        <f>+VLOOKUP(PROVEEDORES[[#This Row],[PROVEEDOR]],TERCEROS_INFO[#All],2,FALSE)</f>
        <v>0</v>
      </c>
      <c r="D1021" s="145">
        <f>+SUMIFS(PROVEEDORES[Total],PROVEEDORES[PROVEEDOR],PROVEEDORES[[#This Row],[PROVEEDOR]],PROVEEDORES[FECHA DE PAGO],"")</f>
        <v>5013121.9850000003</v>
      </c>
      <c r="E1021" s="146"/>
      <c r="F1021" s="144" t="str">
        <f>+VLOOKUP(PROVEEDORES[[#This Row],[PROVEEDOR]],
                       Terceros!$A:$G,
                       5,
                       FALSE)</f>
        <v>2,5% con base</v>
      </c>
      <c r="G1021" s="122">
        <v>45272</v>
      </c>
      <c r="H1021" s="102" t="s">
        <v>201</v>
      </c>
      <c r="I1021" s="122">
        <v>45202</v>
      </c>
      <c r="J1021" s="103" t="s">
        <v>1102</v>
      </c>
      <c r="K1021" s="103" t="s">
        <v>1512</v>
      </c>
      <c r="L1021" s="103"/>
      <c r="M1021" s="105">
        <v>6385210</v>
      </c>
      <c r="N1021" s="147">
        <v>1213189.8999999999</v>
      </c>
      <c r="O1021" s="147">
        <v>0</v>
      </c>
      <c r="P1021" s="148">
        <v>2.5000000000000001E-2</v>
      </c>
      <c r="Q1021" s="147">
        <v>159630.25</v>
      </c>
      <c r="R1021" s="149">
        <v>7438769.6500000004</v>
      </c>
      <c r="S10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1" s="150">
        <f ca="1">+IF(PROVEEDORES[[#This Row],[FECHA DE PAGO]]=0,TODAY()-PROVEEDORES[[#This Row],[FECHA DE FACTURACIÓN]]-PROVEEDORES[[#This Row],[PLAZO Días]],0)</f>
        <v>0</v>
      </c>
      <c r="U1021" s="150">
        <f>+VLOOKUP(PROVEEDORES[[#This Row],[PROVEEDOR]],Terceros!$A:$E,4,FALSE)</f>
        <v>0.19</v>
      </c>
      <c r="V1021" s="150">
        <f>+YEAR(PROVEEDORES[[#This Row],[FECHA DE FACTURACIÓN]])</f>
        <v>2023</v>
      </c>
      <c r="W1021" s="150">
        <f>+MATCH(PROVEEDORES[[#This Row],[año facturado]],Retenciones!$1:$1,0)</f>
        <v>6</v>
      </c>
      <c r="X1021" s="151" t="e">
        <f>+VLOOKUP(PROVEEDORES[[#This Row],[ID RETENCION]],Retenciones!$A$1:$O$25,PROVEEDORES[[#This Row],[indicador de columna]],FALSE)</f>
        <v>#N/A</v>
      </c>
      <c r="Y1021" s="152" t="e">
        <f>+VLOOKUP(PROVEEDORES[[#This Row],[ID RETENCION]],Retenciones!$A$1:$O$25,2,FALSE)</f>
        <v>#N/A</v>
      </c>
      <c r="Z1021" s="153" t="b">
        <f>+OR(COUNTIF(PROVEEDORES[[#This Row],[PROVEEDOR]],"*"&amp;'Palabra que no opera y Listas d'!$A$2&amp;"*"))</f>
        <v>0</v>
      </c>
    </row>
    <row r="1022" spans="1:26" ht="27.75" customHeight="1" x14ac:dyDescent="0.3">
      <c r="A1022" s="144" t="str">
        <f>+IF(PROVEEDORES[[#This Row],[FECHA DE PAGO]]=PROVEEDORES[[#This Row],[FECHA DE FACTURACIÓN]],"DE CONTADO","CRÉDITO")</f>
        <v>CRÉDITO</v>
      </c>
      <c r="B1022" s="144" t="str">
        <f>+IF((PROVEEDORES[[#This Row],[FECHA DE PAGO]]-PROVEEDORES[[#This Row],[FECHA DE FACTURACIÓN]])&gt;PROVEEDORES[[#This Row],[PLAZO Días]],"PAGO VENCIDO")</f>
        <v>PAGO VENCIDO</v>
      </c>
      <c r="C1022" s="144">
        <f>+VLOOKUP(PROVEEDORES[[#This Row],[PROVEEDOR]],TERCEROS_INFO[#All],2,FALSE)</f>
        <v>0</v>
      </c>
      <c r="D1022" s="145">
        <f>+SUMIFS(PROVEEDORES[Total],PROVEEDORES[PROVEEDOR],PROVEEDORES[[#This Row],[PROVEEDOR]],PROVEEDORES[FECHA DE PAGO],"")</f>
        <v>3461120</v>
      </c>
      <c r="E1022" s="146"/>
      <c r="F1022" s="144" t="str">
        <f>+VLOOKUP(PROVEEDORES[[#This Row],[PROVEEDOR]],
                       Terceros!$A:$G,
                       5,
                       FALSE)</f>
        <v>2,5% con base</v>
      </c>
      <c r="G1022" s="122">
        <v>45272</v>
      </c>
      <c r="H1022" s="102" t="s">
        <v>9</v>
      </c>
      <c r="I1022" s="122">
        <v>45223</v>
      </c>
      <c r="J1022" s="103" t="s">
        <v>1186</v>
      </c>
      <c r="K1022" s="103" t="s">
        <v>1512</v>
      </c>
      <c r="L1022" s="103"/>
      <c r="M1022" s="105">
        <v>4200000</v>
      </c>
      <c r="N1022" s="147">
        <v>798000</v>
      </c>
      <c r="O1022" s="147">
        <v>0</v>
      </c>
      <c r="P1022" s="148">
        <v>2.5000000000000001E-2</v>
      </c>
      <c r="Q1022" s="147">
        <v>105000</v>
      </c>
      <c r="R1022" s="149">
        <v>4893000</v>
      </c>
      <c r="S10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2" s="150">
        <f ca="1">+IF(PROVEEDORES[[#This Row],[FECHA DE PAGO]]=0,TODAY()-PROVEEDORES[[#This Row],[FECHA DE FACTURACIÓN]]-PROVEEDORES[[#This Row],[PLAZO Días]],0)</f>
        <v>0</v>
      </c>
      <c r="U1022" s="150">
        <f>+VLOOKUP(PROVEEDORES[[#This Row],[PROVEEDOR]],Terceros!$A:$E,4,FALSE)</f>
        <v>0.19</v>
      </c>
      <c r="V1022" s="150">
        <f>+YEAR(PROVEEDORES[[#This Row],[FECHA DE FACTURACIÓN]])</f>
        <v>2023</v>
      </c>
      <c r="W1022" s="150">
        <f>+MATCH(PROVEEDORES[[#This Row],[año facturado]],Retenciones!$1:$1,0)</f>
        <v>6</v>
      </c>
      <c r="X1022" s="151" t="e">
        <f>+VLOOKUP(PROVEEDORES[[#This Row],[ID RETENCION]],Retenciones!$A$1:$O$25,PROVEEDORES[[#This Row],[indicador de columna]],FALSE)</f>
        <v>#N/A</v>
      </c>
      <c r="Y1022" s="152" t="e">
        <f>+VLOOKUP(PROVEEDORES[[#This Row],[ID RETENCION]],Retenciones!$A$1:$O$25,2,FALSE)</f>
        <v>#N/A</v>
      </c>
      <c r="Z1022" s="153" t="b">
        <f>+OR(COUNTIF(PROVEEDORES[[#This Row],[PROVEEDOR]],"*"&amp;'Palabra que no opera y Listas d'!$A$2&amp;"*"))</f>
        <v>0</v>
      </c>
    </row>
    <row r="1023" spans="1:26" ht="27.75" customHeight="1" x14ac:dyDescent="0.3">
      <c r="A1023" s="144" t="str">
        <f>+IF(PROVEEDORES[[#This Row],[FECHA DE PAGO]]=PROVEEDORES[[#This Row],[FECHA DE FACTURACIÓN]],"DE CONTADO","CRÉDITO")</f>
        <v>CRÉDITO</v>
      </c>
      <c r="B1023" s="144" t="str">
        <f>+IF((PROVEEDORES[[#This Row],[FECHA DE PAGO]]-PROVEEDORES[[#This Row],[FECHA DE FACTURACIÓN]])&gt;PROVEEDORES[[#This Row],[PLAZO Días]],"PAGO VENCIDO")</f>
        <v>PAGO VENCIDO</v>
      </c>
      <c r="C1023" s="144">
        <f>+VLOOKUP(PROVEEDORES[[#This Row],[PROVEEDOR]],TERCEROS_INFO[#All],2,FALSE)</f>
        <v>0</v>
      </c>
      <c r="D1023" s="145">
        <f>+SUMIFS(PROVEEDORES[Total],PROVEEDORES[PROVEEDOR],PROVEEDORES[[#This Row],[PROVEEDOR]],PROVEEDORES[FECHA DE PAGO],"")</f>
        <v>5820290</v>
      </c>
      <c r="E1023" s="146"/>
      <c r="F1023" s="144">
        <f>+VLOOKUP(PROVEEDORES[[#This Row],[PROVEEDOR]],
                       Terceros!$A:$G,
                       5,
                       FALSE)</f>
        <v>0</v>
      </c>
      <c r="G1023" s="122">
        <v>45272</v>
      </c>
      <c r="H1023" s="102" t="s">
        <v>461</v>
      </c>
      <c r="I1023" s="122">
        <v>45234</v>
      </c>
      <c r="J1023" s="103" t="s">
        <v>1226</v>
      </c>
      <c r="K1023" s="103" t="s">
        <v>1512</v>
      </c>
      <c r="L1023" s="103"/>
      <c r="M1023" s="105">
        <v>4908000</v>
      </c>
      <c r="N1023" s="147">
        <v>932520</v>
      </c>
      <c r="O1023" s="147">
        <v>0</v>
      </c>
      <c r="P1023" s="148">
        <v>0</v>
      </c>
      <c r="Q1023" s="147">
        <v>0</v>
      </c>
      <c r="R1023" s="149">
        <v>5840520</v>
      </c>
      <c r="S10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3" s="150">
        <f ca="1">+IF(PROVEEDORES[[#This Row],[FECHA DE PAGO]]=0,TODAY()-PROVEEDORES[[#This Row],[FECHA DE FACTURACIÓN]]-PROVEEDORES[[#This Row],[PLAZO Días]],0)</f>
        <v>0</v>
      </c>
      <c r="U1023" s="150">
        <f>+VLOOKUP(PROVEEDORES[[#This Row],[PROVEEDOR]],Terceros!$A:$E,4,FALSE)</f>
        <v>0.19</v>
      </c>
      <c r="V1023" s="150">
        <f>+YEAR(PROVEEDORES[[#This Row],[FECHA DE FACTURACIÓN]])</f>
        <v>2023</v>
      </c>
      <c r="W1023" s="150">
        <f>+MATCH(PROVEEDORES[[#This Row],[año facturado]],Retenciones!$1:$1,0)</f>
        <v>6</v>
      </c>
      <c r="X1023" s="151" t="e">
        <f>+VLOOKUP(PROVEEDORES[[#This Row],[ID RETENCION]],Retenciones!$A$1:$O$25,PROVEEDORES[[#This Row],[indicador de columna]],FALSE)</f>
        <v>#N/A</v>
      </c>
      <c r="Y1023" s="152" t="e">
        <f>+VLOOKUP(PROVEEDORES[[#This Row],[ID RETENCION]],Retenciones!$A$1:$O$25,2,FALSE)</f>
        <v>#N/A</v>
      </c>
      <c r="Z1023" s="153" t="b">
        <f>+OR(COUNTIF(PROVEEDORES[[#This Row],[PROVEEDOR]],"*"&amp;'Palabra que no opera y Listas d'!$A$2&amp;"*"))</f>
        <v>0</v>
      </c>
    </row>
    <row r="1024" spans="1:26" ht="27.75" customHeight="1" x14ac:dyDescent="0.3">
      <c r="A1024" s="144" t="str">
        <f>+IF(PROVEEDORES[[#This Row],[FECHA DE PAGO]]=PROVEEDORES[[#This Row],[FECHA DE FACTURACIÓN]],"DE CONTADO","CRÉDITO")</f>
        <v>CRÉDITO</v>
      </c>
      <c r="B1024" s="144" t="str">
        <f>+IF((PROVEEDORES[[#This Row],[FECHA DE PAGO]]-PROVEEDORES[[#This Row],[FECHA DE FACTURACIÓN]])&gt;PROVEEDORES[[#This Row],[PLAZO Días]],"PAGO VENCIDO")</f>
        <v>PAGO VENCIDO</v>
      </c>
      <c r="C1024" s="144">
        <f>+VLOOKUP(PROVEEDORES[[#This Row],[PROVEEDOR]],TERCEROS_INFO[#All],2,FALSE)</f>
        <v>0</v>
      </c>
      <c r="D1024" s="145">
        <f>+SUMIFS(PROVEEDORES[Total],PROVEEDORES[PROVEEDOR],PROVEEDORES[[#This Row],[PROVEEDOR]],PROVEEDORES[FECHA DE PAGO],"")</f>
        <v>8493745.8849999998</v>
      </c>
      <c r="E1024" s="146"/>
      <c r="F1024" s="144" t="str">
        <f>+VLOOKUP(PROVEEDORES[[#This Row],[PROVEEDOR]],
                       Terceros!$A:$G,
                       5,
                       FALSE)</f>
        <v>2,5% con base</v>
      </c>
      <c r="G1024" s="122">
        <v>45272</v>
      </c>
      <c r="H1024" s="102" t="s">
        <v>10</v>
      </c>
      <c r="I1024" s="122">
        <v>45238</v>
      </c>
      <c r="J1024" s="103" t="s">
        <v>1237</v>
      </c>
      <c r="K1024" s="103" t="s">
        <v>1512</v>
      </c>
      <c r="L1024" s="103"/>
      <c r="M1024" s="105">
        <v>3105888</v>
      </c>
      <c r="N1024" s="147">
        <v>590118.72</v>
      </c>
      <c r="O1024" s="147">
        <v>0</v>
      </c>
      <c r="P1024" s="148">
        <v>2.5000000000000001E-2</v>
      </c>
      <c r="Q1024" s="147">
        <v>77647.199999999997</v>
      </c>
      <c r="R1024" s="149">
        <v>3618359.5199999996</v>
      </c>
      <c r="S10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4" s="150">
        <f ca="1">+IF(PROVEEDORES[[#This Row],[FECHA DE PAGO]]=0,TODAY()-PROVEEDORES[[#This Row],[FECHA DE FACTURACIÓN]]-PROVEEDORES[[#This Row],[PLAZO Días]],0)</f>
        <v>0</v>
      </c>
      <c r="U1024" s="150">
        <f>+VLOOKUP(PROVEEDORES[[#This Row],[PROVEEDOR]],Terceros!$A:$E,4,FALSE)</f>
        <v>0.19</v>
      </c>
      <c r="V1024" s="150">
        <f>+YEAR(PROVEEDORES[[#This Row],[FECHA DE FACTURACIÓN]])</f>
        <v>2023</v>
      </c>
      <c r="W1024" s="150">
        <f>+MATCH(PROVEEDORES[[#This Row],[año facturado]],Retenciones!$1:$1,0)</f>
        <v>6</v>
      </c>
      <c r="X1024" s="151" t="e">
        <f>+VLOOKUP(PROVEEDORES[[#This Row],[ID RETENCION]],Retenciones!$A$1:$O$25,PROVEEDORES[[#This Row],[indicador de columna]],FALSE)</f>
        <v>#N/A</v>
      </c>
      <c r="Y1024" s="152" t="e">
        <f>+VLOOKUP(PROVEEDORES[[#This Row],[ID RETENCION]],Retenciones!$A$1:$O$25,2,FALSE)</f>
        <v>#N/A</v>
      </c>
      <c r="Z1024" s="153" t="b">
        <f>+OR(COUNTIF(PROVEEDORES[[#This Row],[PROVEEDOR]],"*"&amp;'Palabra que no opera y Listas d'!$A$2&amp;"*"))</f>
        <v>0</v>
      </c>
    </row>
    <row r="1025" spans="1:26" ht="27.75" customHeight="1" x14ac:dyDescent="0.3">
      <c r="A1025" s="144" t="str">
        <f>+IF(PROVEEDORES[[#This Row],[FECHA DE PAGO]]=PROVEEDORES[[#This Row],[FECHA DE FACTURACIÓN]],"DE CONTADO","CRÉDITO")</f>
        <v>CRÉDITO</v>
      </c>
      <c r="B1025" s="144" t="str">
        <f>+IF((PROVEEDORES[[#This Row],[FECHA DE PAGO]]-PROVEEDORES[[#This Row],[FECHA DE FACTURACIÓN]])&gt;PROVEEDORES[[#This Row],[PLAZO Días]],"PAGO VENCIDO")</f>
        <v>PAGO VENCIDO</v>
      </c>
      <c r="C1025" s="144">
        <f>+VLOOKUP(PROVEEDORES[[#This Row],[PROVEEDOR]],TERCEROS_INFO[#All],2,FALSE)</f>
        <v>0</v>
      </c>
      <c r="D1025" s="145" t="e">
        <f>+SUMIFS(PROVEEDORES[Total],PROVEEDORES[PROVEEDOR],PROVEEDORES[[#This Row],[PROVEEDOR]],PROVEEDORES[FECHA DE PAGO],"")</f>
        <v>#N/A</v>
      </c>
      <c r="E1025" s="146"/>
      <c r="F1025" s="144">
        <f>+VLOOKUP(PROVEEDORES[[#This Row],[PROVEEDOR]],
                       Terceros!$A:$G,
                       5,
                       FALSE)</f>
        <v>0</v>
      </c>
      <c r="G1025" s="122">
        <v>45272</v>
      </c>
      <c r="H1025" s="102" t="s">
        <v>16</v>
      </c>
      <c r="I1025" s="122">
        <v>45239</v>
      </c>
      <c r="J1025" s="103" t="s">
        <v>1235</v>
      </c>
      <c r="K1025" s="103" t="s">
        <v>1512</v>
      </c>
      <c r="L1025" s="103"/>
      <c r="M1025" s="105">
        <v>1597368</v>
      </c>
      <c r="N1025" s="147">
        <v>303499.92</v>
      </c>
      <c r="O1025" s="147">
        <v>0</v>
      </c>
      <c r="P1025" s="148">
        <v>0</v>
      </c>
      <c r="Q1025" s="147">
        <v>0</v>
      </c>
      <c r="R1025" s="149">
        <v>1900867.92</v>
      </c>
      <c r="S10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5" s="150">
        <f ca="1">+IF(PROVEEDORES[[#This Row],[FECHA DE PAGO]]=0,TODAY()-PROVEEDORES[[#This Row],[FECHA DE FACTURACIÓN]]-PROVEEDORES[[#This Row],[PLAZO Días]],0)</f>
        <v>0</v>
      </c>
      <c r="U1025" s="150">
        <f>+VLOOKUP(PROVEEDORES[[#This Row],[PROVEEDOR]],Terceros!$A:$E,4,FALSE)</f>
        <v>0.19</v>
      </c>
      <c r="V1025" s="150">
        <f>+YEAR(PROVEEDORES[[#This Row],[FECHA DE FACTURACIÓN]])</f>
        <v>2023</v>
      </c>
      <c r="W1025" s="150">
        <f>+MATCH(PROVEEDORES[[#This Row],[año facturado]],Retenciones!$1:$1,0)</f>
        <v>6</v>
      </c>
      <c r="X1025" s="151" t="e">
        <f>+VLOOKUP(PROVEEDORES[[#This Row],[ID RETENCION]],Retenciones!$A$1:$O$25,PROVEEDORES[[#This Row],[indicador de columna]],FALSE)</f>
        <v>#N/A</v>
      </c>
      <c r="Y1025" s="152" t="e">
        <f>+VLOOKUP(PROVEEDORES[[#This Row],[ID RETENCION]],Retenciones!$A$1:$O$25,2,FALSE)</f>
        <v>#N/A</v>
      </c>
      <c r="Z1025" s="153" t="b">
        <f>+OR(COUNTIF(PROVEEDORES[[#This Row],[PROVEEDOR]],"*"&amp;'Palabra que no opera y Listas d'!$A$2&amp;"*"))</f>
        <v>0</v>
      </c>
    </row>
    <row r="1026" spans="1:26" ht="27.75" customHeight="1" x14ac:dyDescent="0.3">
      <c r="A1026" s="144" t="str">
        <f>+IF(PROVEEDORES[[#This Row],[FECHA DE PAGO]]=PROVEEDORES[[#This Row],[FECHA DE FACTURACIÓN]],"DE CONTADO","CRÉDITO")</f>
        <v>DE CONTADO</v>
      </c>
      <c r="B1026" s="144" t="b">
        <f>+IF((PROVEEDORES[[#This Row],[FECHA DE PAGO]]-PROVEEDORES[[#This Row],[FECHA DE FACTURACIÓN]])&gt;PROVEEDORES[[#This Row],[PLAZO Días]],"PAGO VENCIDO")</f>
        <v>0</v>
      </c>
      <c r="C1026" s="144">
        <f>+VLOOKUP(PROVEEDORES[[#This Row],[PROVEEDOR]],TERCEROS_INFO[#All],2,FALSE)</f>
        <v>0</v>
      </c>
      <c r="D1026" s="145">
        <f>+SUMIFS(PROVEEDORES[Total],PROVEEDORES[PROVEEDOR],PROVEEDORES[[#This Row],[PROVEEDOR]],PROVEEDORES[FECHA DE PAGO],"")</f>
        <v>0</v>
      </c>
      <c r="E1026" s="146"/>
      <c r="F1026" s="144" t="str">
        <f>+VLOOKUP(PROVEEDORES[[#This Row],[PROVEEDOR]],
                       Terceros!$A:$G,
                       5,
                       FALSE)</f>
        <v>2,5% con base</v>
      </c>
      <c r="G1026" s="122">
        <v>45272</v>
      </c>
      <c r="H1026" s="102" t="s">
        <v>71</v>
      </c>
      <c r="I1026" s="122">
        <v>45272</v>
      </c>
      <c r="J1026" s="103" t="s">
        <v>1437</v>
      </c>
      <c r="K1026" s="103" t="s">
        <v>1512</v>
      </c>
      <c r="L1026" s="103"/>
      <c r="M1026" s="105">
        <v>-10084034</v>
      </c>
      <c r="N1026" s="147">
        <v>-1915966.46</v>
      </c>
      <c r="O1026" s="147">
        <v>0</v>
      </c>
      <c r="P1026" s="148">
        <v>0</v>
      </c>
      <c r="Q1026" s="147">
        <v>0</v>
      </c>
      <c r="R1026" s="149">
        <v>-12000000.460000001</v>
      </c>
      <c r="S10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6" s="150">
        <f ca="1">+IF(PROVEEDORES[[#This Row],[FECHA DE PAGO]]=0,TODAY()-PROVEEDORES[[#This Row],[FECHA DE FACTURACIÓN]]-PROVEEDORES[[#This Row],[PLAZO Días]],0)</f>
        <v>0</v>
      </c>
      <c r="U1026" s="150">
        <f>+VLOOKUP(PROVEEDORES[[#This Row],[PROVEEDOR]],Terceros!$A:$E,4,FALSE)</f>
        <v>0.19</v>
      </c>
      <c r="V1026" s="150">
        <f>+YEAR(PROVEEDORES[[#This Row],[FECHA DE FACTURACIÓN]])</f>
        <v>2023</v>
      </c>
      <c r="W1026" s="150">
        <f>+MATCH(PROVEEDORES[[#This Row],[año facturado]],Retenciones!$1:$1,0)</f>
        <v>6</v>
      </c>
      <c r="X1026" s="151" t="e">
        <f>+VLOOKUP(PROVEEDORES[[#This Row],[ID RETENCION]],Retenciones!$A$1:$O$25,PROVEEDORES[[#This Row],[indicador de columna]],FALSE)</f>
        <v>#N/A</v>
      </c>
      <c r="Y1026" s="152" t="e">
        <f>+VLOOKUP(PROVEEDORES[[#This Row],[ID RETENCION]],Retenciones!$A$1:$O$25,2,FALSE)</f>
        <v>#N/A</v>
      </c>
      <c r="Z1026" s="153" t="b">
        <f>+OR(COUNTIF(PROVEEDORES[[#This Row],[PROVEEDOR]],"*"&amp;'Palabra que no opera y Listas d'!$A$2&amp;"*"))</f>
        <v>0</v>
      </c>
    </row>
    <row r="1027" spans="1:26" ht="27.75" customHeight="1" x14ac:dyDescent="0.3">
      <c r="A1027" s="144" t="str">
        <f>+IF(PROVEEDORES[[#This Row],[FECHA DE PAGO]]=PROVEEDORES[[#This Row],[FECHA DE FACTURACIÓN]],"DE CONTADO","CRÉDITO")</f>
        <v>DE CONTADO</v>
      </c>
      <c r="B1027" s="144" t="b">
        <f>+IF((PROVEEDORES[[#This Row],[FECHA DE PAGO]]-PROVEEDORES[[#This Row],[FECHA DE FACTURACIÓN]])&gt;PROVEEDORES[[#This Row],[PLAZO Días]],"PAGO VENCIDO")</f>
        <v>0</v>
      </c>
      <c r="C1027" s="144">
        <f>+VLOOKUP(PROVEEDORES[[#This Row],[PROVEEDOR]],TERCEROS_INFO[#All],2,FALSE)</f>
        <v>0</v>
      </c>
      <c r="D1027" s="145">
        <f>+SUMIFS(PROVEEDORES[Total],PROVEEDORES[PROVEEDOR],PROVEEDORES[[#This Row],[PROVEEDOR]],PROVEEDORES[FECHA DE PAGO],"")</f>
        <v>224000</v>
      </c>
      <c r="E1027" s="146"/>
      <c r="F1027" s="144">
        <f>+VLOOKUP(PROVEEDORES[[#This Row],[PROVEEDOR]],
                       Terceros!$A:$G,
                       5,
                       FALSE)</f>
        <v>0</v>
      </c>
      <c r="G1027" s="122">
        <v>45272</v>
      </c>
      <c r="H1027" s="102" t="s">
        <v>539</v>
      </c>
      <c r="I1027" s="122">
        <v>45272</v>
      </c>
      <c r="J1027" s="103" t="s">
        <v>1371</v>
      </c>
      <c r="K1027" s="103" t="s">
        <v>1512</v>
      </c>
      <c r="L1027" s="103"/>
      <c r="M1027" s="105">
        <v>195000</v>
      </c>
      <c r="N1027" s="147">
        <v>0</v>
      </c>
      <c r="O1027" s="147">
        <v>0</v>
      </c>
      <c r="P1027" s="148">
        <v>0</v>
      </c>
      <c r="Q1027" s="147">
        <v>0</v>
      </c>
      <c r="R1027" s="149">
        <v>195000</v>
      </c>
      <c r="S10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7" s="150">
        <f ca="1">+IF(PROVEEDORES[[#This Row],[FECHA DE PAGO]]=0,TODAY()-PROVEEDORES[[#This Row],[FECHA DE FACTURACIÓN]]-PROVEEDORES[[#This Row],[PLAZO Días]],0)</f>
        <v>0</v>
      </c>
      <c r="U1027" s="150">
        <f>+VLOOKUP(PROVEEDORES[[#This Row],[PROVEEDOR]],Terceros!$A:$E,4,FALSE)</f>
        <v>0</v>
      </c>
      <c r="V1027" s="150">
        <f>+YEAR(PROVEEDORES[[#This Row],[FECHA DE FACTURACIÓN]])</f>
        <v>2023</v>
      </c>
      <c r="W1027" s="150">
        <f>+MATCH(PROVEEDORES[[#This Row],[año facturado]],Retenciones!$1:$1,0)</f>
        <v>6</v>
      </c>
      <c r="X1027" s="151">
        <f>+VLOOKUP(PROVEEDORES[[#This Row],[ID RETENCION]],Retenciones!$A$1:$O$25,PROVEEDORES[[#This Row],[indicador de columna]],FALSE)</f>
        <v>0</v>
      </c>
      <c r="Y1027" s="152">
        <f>+VLOOKUP(PROVEEDORES[[#This Row],[ID RETENCION]],Retenciones!$A$1:$O$25,2,FALSE)</f>
        <v>0</v>
      </c>
      <c r="Z1027" s="153" t="b">
        <f>+OR(COUNTIF(PROVEEDORES[[#This Row],[PROVEEDOR]],"*"&amp;'Palabra que no opera y Listas d'!$A$2&amp;"*"))</f>
        <v>0</v>
      </c>
    </row>
    <row r="1028" spans="1:26" ht="27.75" customHeight="1" x14ac:dyDescent="0.3">
      <c r="A1028" s="144" t="str">
        <f>+IF(PROVEEDORES[[#This Row],[FECHA DE PAGO]]=PROVEEDORES[[#This Row],[FECHA DE FACTURACIÓN]],"DE CONTADO","CRÉDITO")</f>
        <v>DE CONTADO</v>
      </c>
      <c r="B1028" s="144" t="b">
        <f>+IF((PROVEEDORES[[#This Row],[FECHA DE PAGO]]-PROVEEDORES[[#This Row],[FECHA DE FACTURACIÓN]])&gt;PROVEEDORES[[#This Row],[PLAZO Días]],"PAGO VENCIDO")</f>
        <v>0</v>
      </c>
      <c r="C1028" s="144">
        <f>+VLOOKUP(PROVEEDORES[[#This Row],[PROVEEDOR]],TERCEROS_INFO[#All],2,FALSE)</f>
        <v>0</v>
      </c>
      <c r="D1028" s="145">
        <f>+SUMIFS(PROVEEDORES[Total],PROVEEDORES[PROVEEDOR],PROVEEDORES[[#This Row],[PROVEEDOR]],PROVEEDORES[FECHA DE PAGO],"")</f>
        <v>0</v>
      </c>
      <c r="E1028" s="146"/>
      <c r="F1028" s="144" t="str">
        <f>+VLOOKUP(PROVEEDORES[[#This Row],[PROVEEDOR]],
                       Terceros!$A:$G,
                       5,
                       FALSE)</f>
        <v>2,5% con base</v>
      </c>
      <c r="G1028" s="122">
        <v>45272</v>
      </c>
      <c r="H1028" s="102" t="s">
        <v>559</v>
      </c>
      <c r="I1028" s="122">
        <v>45272</v>
      </c>
      <c r="J1028" s="103" t="s">
        <v>1339</v>
      </c>
      <c r="K1028" s="103" t="s">
        <v>1512</v>
      </c>
      <c r="L1028" s="103"/>
      <c r="M1028" s="105">
        <v>275000</v>
      </c>
      <c r="N1028" s="147">
        <v>52250</v>
      </c>
      <c r="O1028" s="147">
        <v>0</v>
      </c>
      <c r="P1028" s="148">
        <v>0</v>
      </c>
      <c r="Q1028" s="147">
        <v>0</v>
      </c>
      <c r="R1028" s="149">
        <v>327250</v>
      </c>
      <c r="S10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8" s="150">
        <f ca="1">+IF(PROVEEDORES[[#This Row],[FECHA DE PAGO]]=0,TODAY()-PROVEEDORES[[#This Row],[FECHA DE FACTURACIÓN]]-PROVEEDORES[[#This Row],[PLAZO Días]],0)</f>
        <v>0</v>
      </c>
      <c r="U1028" s="150">
        <f>+VLOOKUP(PROVEEDORES[[#This Row],[PROVEEDOR]],Terceros!$A:$E,4,FALSE)</f>
        <v>0.19</v>
      </c>
      <c r="V1028" s="150">
        <f>+YEAR(PROVEEDORES[[#This Row],[FECHA DE FACTURACIÓN]])</f>
        <v>2023</v>
      </c>
      <c r="W1028" s="150">
        <f>+MATCH(PROVEEDORES[[#This Row],[año facturado]],Retenciones!$1:$1,0)</f>
        <v>6</v>
      </c>
      <c r="X1028" s="151" t="e">
        <f>+VLOOKUP(PROVEEDORES[[#This Row],[ID RETENCION]],Retenciones!$A$1:$O$25,PROVEEDORES[[#This Row],[indicador de columna]],FALSE)</f>
        <v>#N/A</v>
      </c>
      <c r="Y1028" s="152" t="e">
        <f>+VLOOKUP(PROVEEDORES[[#This Row],[ID RETENCION]],Retenciones!$A$1:$O$25,2,FALSE)</f>
        <v>#N/A</v>
      </c>
      <c r="Z1028" s="153" t="b">
        <f>+OR(COUNTIF(PROVEEDORES[[#This Row],[PROVEEDOR]],"*"&amp;'Palabra que no opera y Listas d'!$A$2&amp;"*"))</f>
        <v>0</v>
      </c>
    </row>
    <row r="1029" spans="1:26" ht="27.75" customHeight="1" x14ac:dyDescent="0.3">
      <c r="A1029" s="144" t="str">
        <f>+IF(PROVEEDORES[[#This Row],[FECHA DE PAGO]]=PROVEEDORES[[#This Row],[FECHA DE FACTURACIÓN]],"DE CONTADO","CRÉDITO")</f>
        <v>CRÉDITO</v>
      </c>
      <c r="B1029" s="144" t="str">
        <f>+IF((PROVEEDORES[[#This Row],[FECHA DE PAGO]]-PROVEEDORES[[#This Row],[FECHA DE FACTURACIÓN]])&gt;PROVEEDORES[[#This Row],[PLAZO Días]],"PAGO VENCIDO")</f>
        <v>PAGO VENCIDO</v>
      </c>
      <c r="C1029" s="144">
        <f>+VLOOKUP(PROVEEDORES[[#This Row],[PROVEEDOR]],TERCEROS_INFO[#All],2,FALSE)</f>
        <v>0</v>
      </c>
      <c r="D1029" s="145">
        <f>+SUMIFS(PROVEEDORES[Total],PROVEEDORES[PROVEEDOR],PROVEEDORES[[#This Row],[PROVEEDOR]],PROVEEDORES[FECHA DE PAGO],"")</f>
        <v>224000</v>
      </c>
      <c r="E1029" s="146"/>
      <c r="F1029" s="144">
        <f>+VLOOKUP(PROVEEDORES[[#This Row],[PROVEEDOR]],
                       Terceros!$A:$G,
                       5,
                       FALSE)</f>
        <v>0</v>
      </c>
      <c r="G1029" s="122">
        <v>45273</v>
      </c>
      <c r="H1029" s="102" t="s">
        <v>539</v>
      </c>
      <c r="I1029" s="122">
        <v>45194</v>
      </c>
      <c r="J1029" s="103">
        <v>70</v>
      </c>
      <c r="K1029" s="103" t="s">
        <v>1512</v>
      </c>
      <c r="L1029" s="103"/>
      <c r="M1029" s="105">
        <v>65000</v>
      </c>
      <c r="N1029" s="147">
        <v>0</v>
      </c>
      <c r="O1029" s="147">
        <v>0</v>
      </c>
      <c r="P1029" s="148">
        <v>0</v>
      </c>
      <c r="Q1029" s="147">
        <v>0</v>
      </c>
      <c r="R1029" s="149">
        <v>65000</v>
      </c>
      <c r="S10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9" s="150">
        <f ca="1">+IF(PROVEEDORES[[#This Row],[FECHA DE PAGO]]=0,TODAY()-PROVEEDORES[[#This Row],[FECHA DE FACTURACIÓN]]-PROVEEDORES[[#This Row],[PLAZO Días]],0)</f>
        <v>0</v>
      </c>
      <c r="U1029" s="150">
        <f>+VLOOKUP(PROVEEDORES[[#This Row],[PROVEEDOR]],Terceros!$A:$E,4,FALSE)</f>
        <v>0</v>
      </c>
      <c r="V1029" s="150">
        <f>+YEAR(PROVEEDORES[[#This Row],[FECHA DE FACTURACIÓN]])</f>
        <v>2023</v>
      </c>
      <c r="W1029" s="150">
        <f>+MATCH(PROVEEDORES[[#This Row],[año facturado]],Retenciones!$1:$1,0)</f>
        <v>6</v>
      </c>
      <c r="X1029" s="151">
        <f>+VLOOKUP(PROVEEDORES[[#This Row],[ID RETENCION]],Retenciones!$A$1:$O$25,PROVEEDORES[[#This Row],[indicador de columna]],FALSE)</f>
        <v>0</v>
      </c>
      <c r="Y1029" s="152">
        <f>+VLOOKUP(PROVEEDORES[[#This Row],[ID RETENCION]],Retenciones!$A$1:$O$25,2,FALSE)</f>
        <v>0</v>
      </c>
      <c r="Z1029" s="153" t="b">
        <f>+OR(COUNTIF(PROVEEDORES[[#This Row],[PROVEEDOR]],"*"&amp;'Palabra que no opera y Listas d'!$A$2&amp;"*"))</f>
        <v>0</v>
      </c>
    </row>
    <row r="1030" spans="1:26" ht="27.75" customHeight="1" x14ac:dyDescent="0.3">
      <c r="A1030" s="144" t="str">
        <f>+IF(PROVEEDORES[[#This Row],[FECHA DE PAGO]]=PROVEEDORES[[#This Row],[FECHA DE FACTURACIÓN]],"DE CONTADO","CRÉDITO")</f>
        <v>CRÉDITO</v>
      </c>
      <c r="B1030" s="144" t="str">
        <f>+IF((PROVEEDORES[[#This Row],[FECHA DE PAGO]]-PROVEEDORES[[#This Row],[FECHA DE FACTURACIÓN]])&gt;PROVEEDORES[[#This Row],[PLAZO Días]],"PAGO VENCIDO")</f>
        <v>PAGO VENCIDO</v>
      </c>
      <c r="C1030" s="144">
        <f>+VLOOKUP(PROVEEDORES[[#This Row],[PROVEEDOR]],TERCEROS_INFO[#All],2,FALSE)</f>
        <v>0</v>
      </c>
      <c r="D1030" s="145">
        <f>+SUMIFS(PROVEEDORES[Total],PROVEEDORES[PROVEEDOR],PROVEEDORES[[#This Row],[PROVEEDOR]],PROVEEDORES[FECHA DE PAGO],"")</f>
        <v>224000</v>
      </c>
      <c r="E1030" s="146"/>
      <c r="F1030" s="144">
        <f>+VLOOKUP(PROVEEDORES[[#This Row],[PROVEEDOR]],
                       Terceros!$A:$G,
                       5,
                       FALSE)</f>
        <v>0</v>
      </c>
      <c r="G1030" s="122">
        <v>45273</v>
      </c>
      <c r="H1030" s="102" t="s">
        <v>539</v>
      </c>
      <c r="I1030" s="122">
        <v>45231</v>
      </c>
      <c r="J1030" s="103">
        <v>69</v>
      </c>
      <c r="K1030" s="103" t="s">
        <v>1512</v>
      </c>
      <c r="L1030" s="103"/>
      <c r="M1030" s="105">
        <v>78000</v>
      </c>
      <c r="N1030" s="147">
        <v>0</v>
      </c>
      <c r="O1030" s="147">
        <v>0</v>
      </c>
      <c r="P1030" s="148">
        <v>0</v>
      </c>
      <c r="Q1030" s="147">
        <v>0</v>
      </c>
      <c r="R1030" s="149">
        <v>78000</v>
      </c>
      <c r="S10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0" s="150">
        <f ca="1">+IF(PROVEEDORES[[#This Row],[FECHA DE PAGO]]=0,TODAY()-PROVEEDORES[[#This Row],[FECHA DE FACTURACIÓN]]-PROVEEDORES[[#This Row],[PLAZO Días]],0)</f>
        <v>0</v>
      </c>
      <c r="U1030" s="150">
        <f>+VLOOKUP(PROVEEDORES[[#This Row],[PROVEEDOR]],Terceros!$A:$E,4,FALSE)</f>
        <v>0</v>
      </c>
      <c r="V1030" s="150">
        <f>+YEAR(PROVEEDORES[[#This Row],[FECHA DE FACTURACIÓN]])</f>
        <v>2023</v>
      </c>
      <c r="W1030" s="150">
        <f>+MATCH(PROVEEDORES[[#This Row],[año facturado]],Retenciones!$1:$1,0)</f>
        <v>6</v>
      </c>
      <c r="X1030" s="151">
        <f>+VLOOKUP(PROVEEDORES[[#This Row],[ID RETENCION]],Retenciones!$A$1:$O$25,PROVEEDORES[[#This Row],[indicador de columna]],FALSE)</f>
        <v>0</v>
      </c>
      <c r="Y1030" s="152">
        <f>+VLOOKUP(PROVEEDORES[[#This Row],[ID RETENCION]],Retenciones!$A$1:$O$25,2,FALSE)</f>
        <v>0</v>
      </c>
      <c r="Z1030" s="153" t="b">
        <f>+OR(COUNTIF(PROVEEDORES[[#This Row],[PROVEEDOR]],"*"&amp;'Palabra que no opera y Listas d'!$A$2&amp;"*"))</f>
        <v>0</v>
      </c>
    </row>
    <row r="1031" spans="1:26" ht="27.75" customHeight="1" x14ac:dyDescent="0.3">
      <c r="A1031" s="144" t="str">
        <f>+IF(PROVEEDORES[[#This Row],[FECHA DE PAGO]]=PROVEEDORES[[#This Row],[FECHA DE FACTURACIÓN]],"DE CONTADO","CRÉDITO")</f>
        <v>CRÉDITO</v>
      </c>
      <c r="B1031" s="144" t="str">
        <f>+IF((PROVEEDORES[[#This Row],[FECHA DE PAGO]]-PROVEEDORES[[#This Row],[FECHA DE FACTURACIÓN]])&gt;PROVEEDORES[[#This Row],[PLAZO Días]],"PAGO VENCIDO")</f>
        <v>PAGO VENCIDO</v>
      </c>
      <c r="C1031" s="144">
        <f>+VLOOKUP(PROVEEDORES[[#This Row],[PROVEEDOR]],TERCEROS_INFO[#All],2,FALSE)</f>
        <v>0</v>
      </c>
      <c r="D1031" s="145">
        <f>+SUMIFS(PROVEEDORES[Total],PROVEEDORES[PROVEEDOR],PROVEEDORES[[#This Row],[PROVEEDOR]],PROVEEDORES[FECHA DE PAGO],"")</f>
        <v>3130000</v>
      </c>
      <c r="E1031" s="146"/>
      <c r="F1031" s="144">
        <f>+VLOOKUP(PROVEEDORES[[#This Row],[PROVEEDOR]],
                       Terceros!$A:$G,
                       5,
                       FALSE)</f>
        <v>0</v>
      </c>
      <c r="G1031" s="122">
        <v>45273</v>
      </c>
      <c r="H1031" s="102" t="s">
        <v>487</v>
      </c>
      <c r="I1031" s="122">
        <v>45240</v>
      </c>
      <c r="J1031" s="103" t="s">
        <v>1217</v>
      </c>
      <c r="K1031" s="103" t="s">
        <v>1512</v>
      </c>
      <c r="L1031" s="103"/>
      <c r="M1031" s="105">
        <v>1991500</v>
      </c>
      <c r="N1031" s="147">
        <v>0</v>
      </c>
      <c r="O1031" s="147">
        <v>0</v>
      </c>
      <c r="P1031" s="148">
        <v>0</v>
      </c>
      <c r="Q1031" s="147">
        <v>0</v>
      </c>
      <c r="R1031" s="149">
        <v>1991500</v>
      </c>
      <c r="S10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1" s="150">
        <f ca="1">+IF(PROVEEDORES[[#This Row],[FECHA DE PAGO]]=0,TODAY()-PROVEEDORES[[#This Row],[FECHA DE FACTURACIÓN]]-PROVEEDORES[[#This Row],[PLAZO Días]],0)</f>
        <v>0</v>
      </c>
      <c r="U1031" s="150">
        <f>+VLOOKUP(PROVEEDORES[[#This Row],[PROVEEDOR]],Terceros!$A:$E,4,FALSE)</f>
        <v>0</v>
      </c>
      <c r="V1031" s="150">
        <f>+YEAR(PROVEEDORES[[#This Row],[FECHA DE FACTURACIÓN]])</f>
        <v>2023</v>
      </c>
      <c r="W1031" s="150">
        <f>+MATCH(PROVEEDORES[[#This Row],[año facturado]],Retenciones!$1:$1,0)</f>
        <v>6</v>
      </c>
      <c r="X1031" s="151">
        <f>+VLOOKUP(PROVEEDORES[[#This Row],[ID RETENCION]],Retenciones!$A$1:$O$25,PROVEEDORES[[#This Row],[indicador de columna]],FALSE)</f>
        <v>0</v>
      </c>
      <c r="Y1031" s="152">
        <f>+VLOOKUP(PROVEEDORES[[#This Row],[ID RETENCION]],Retenciones!$A$1:$O$25,2,FALSE)</f>
        <v>0</v>
      </c>
      <c r="Z1031" s="153" t="b">
        <f>+OR(COUNTIF(PROVEEDORES[[#This Row],[PROVEEDOR]],"*"&amp;'Palabra que no opera y Listas d'!$A$2&amp;"*"))</f>
        <v>0</v>
      </c>
    </row>
    <row r="1032" spans="1:26" ht="27.75" customHeight="1" x14ac:dyDescent="0.3">
      <c r="A1032" s="144" t="str">
        <f>+IF(PROVEEDORES[[#This Row],[FECHA DE PAGO]]=PROVEEDORES[[#This Row],[FECHA DE FACTURACIÓN]],"DE CONTADO","CRÉDITO")</f>
        <v>CRÉDITO</v>
      </c>
      <c r="B1032" s="144" t="str">
        <f>+IF((PROVEEDORES[[#This Row],[FECHA DE PAGO]]-PROVEEDORES[[#This Row],[FECHA DE FACTURACIÓN]])&gt;PROVEEDORES[[#This Row],[PLAZO Días]],"PAGO VENCIDO")</f>
        <v>PAGO VENCIDO</v>
      </c>
      <c r="C1032" s="144">
        <f>+VLOOKUP(PROVEEDORES[[#This Row],[PROVEEDOR]],TERCEROS_INFO[#All],2,FALSE)</f>
        <v>0</v>
      </c>
      <c r="D1032" s="145">
        <f>+SUMIFS(PROVEEDORES[Total],PROVEEDORES[PROVEEDOR],PROVEEDORES[[#This Row],[PROVEEDOR]],PROVEEDORES[FECHA DE PAGO],"")</f>
        <v>3130000</v>
      </c>
      <c r="E1032" s="146"/>
      <c r="F1032" s="144">
        <f>+VLOOKUP(PROVEEDORES[[#This Row],[PROVEEDOR]],
                       Terceros!$A:$G,
                       5,
                       FALSE)</f>
        <v>0</v>
      </c>
      <c r="G1032" s="122">
        <v>45273</v>
      </c>
      <c r="H1032" s="102" t="s">
        <v>487</v>
      </c>
      <c r="I1032" s="122">
        <v>45252</v>
      </c>
      <c r="J1032" s="103" t="s">
        <v>1276</v>
      </c>
      <c r="K1032" s="103" t="s">
        <v>1512</v>
      </c>
      <c r="L1032" s="103"/>
      <c r="M1032" s="105">
        <v>2250000</v>
      </c>
      <c r="N1032" s="147">
        <v>0</v>
      </c>
      <c r="O1032" s="147">
        <v>0</v>
      </c>
      <c r="P1032" s="148">
        <v>0</v>
      </c>
      <c r="Q1032" s="147">
        <v>0</v>
      </c>
      <c r="R1032" s="149">
        <v>2250000</v>
      </c>
      <c r="S10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2" s="150">
        <f ca="1">+IF(PROVEEDORES[[#This Row],[FECHA DE PAGO]]=0,TODAY()-PROVEEDORES[[#This Row],[FECHA DE FACTURACIÓN]]-PROVEEDORES[[#This Row],[PLAZO Días]],0)</f>
        <v>0</v>
      </c>
      <c r="U1032" s="150">
        <f>+VLOOKUP(PROVEEDORES[[#This Row],[PROVEEDOR]],Terceros!$A:$E,4,FALSE)</f>
        <v>0</v>
      </c>
      <c r="V1032" s="150">
        <f>+YEAR(PROVEEDORES[[#This Row],[FECHA DE FACTURACIÓN]])</f>
        <v>2023</v>
      </c>
      <c r="W1032" s="150">
        <f>+MATCH(PROVEEDORES[[#This Row],[año facturado]],Retenciones!$1:$1,0)</f>
        <v>6</v>
      </c>
      <c r="X1032" s="151">
        <f>+VLOOKUP(PROVEEDORES[[#This Row],[ID RETENCION]],Retenciones!$A$1:$O$25,PROVEEDORES[[#This Row],[indicador de columna]],FALSE)</f>
        <v>0</v>
      </c>
      <c r="Y1032" s="152">
        <f>+VLOOKUP(PROVEEDORES[[#This Row],[ID RETENCION]],Retenciones!$A$1:$O$25,2,FALSE)</f>
        <v>0</v>
      </c>
      <c r="Z1032" s="153" t="b">
        <f>+OR(COUNTIF(PROVEEDORES[[#This Row],[PROVEEDOR]],"*"&amp;'Palabra que no opera y Listas d'!$A$2&amp;"*"))</f>
        <v>0</v>
      </c>
    </row>
    <row r="1033" spans="1:26" ht="27.75" customHeight="1" x14ac:dyDescent="0.3">
      <c r="A1033" s="144" t="str">
        <f>+IF(PROVEEDORES[[#This Row],[FECHA DE PAGO]]=PROVEEDORES[[#This Row],[FECHA DE FACTURACIÓN]],"DE CONTADO","CRÉDITO")</f>
        <v>CRÉDITO</v>
      </c>
      <c r="B1033" s="144" t="str">
        <f>+IF((PROVEEDORES[[#This Row],[FECHA DE PAGO]]-PROVEEDORES[[#This Row],[FECHA DE FACTURACIÓN]])&gt;PROVEEDORES[[#This Row],[PLAZO Días]],"PAGO VENCIDO")</f>
        <v>PAGO VENCIDO</v>
      </c>
      <c r="C1033" s="144">
        <f>+VLOOKUP(PROVEEDORES[[#This Row],[PROVEEDOR]],TERCEROS_INFO[#All],2,FALSE)</f>
        <v>0</v>
      </c>
      <c r="D1033" s="145">
        <f>+SUMIFS(PROVEEDORES[Total],PROVEEDORES[PROVEEDOR],PROVEEDORES[[#This Row],[PROVEEDOR]],PROVEEDORES[FECHA DE PAGO],"")</f>
        <v>0</v>
      </c>
      <c r="E1033" s="146"/>
      <c r="F1033" s="144">
        <f>+VLOOKUP(PROVEEDORES[[#This Row],[PROVEEDOR]],
                       Terceros!$A:$G,
                       5,
                       FALSE)</f>
        <v>0</v>
      </c>
      <c r="G1033" s="122">
        <v>45273</v>
      </c>
      <c r="H1033" s="102" t="s">
        <v>537</v>
      </c>
      <c r="I1033" s="122">
        <v>45258</v>
      </c>
      <c r="J1033" s="103" t="s">
        <v>1247</v>
      </c>
      <c r="K1033" s="103" t="s">
        <v>1512</v>
      </c>
      <c r="L1033" s="103"/>
      <c r="M1033" s="105">
        <v>821850</v>
      </c>
      <c r="N1033" s="147">
        <v>0</v>
      </c>
      <c r="O1033" s="147">
        <v>0</v>
      </c>
      <c r="P1033" s="148">
        <v>0</v>
      </c>
      <c r="Q1033" s="147">
        <v>0</v>
      </c>
      <c r="R1033" s="149">
        <v>821850</v>
      </c>
      <c r="S10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3" s="150">
        <f ca="1">+IF(PROVEEDORES[[#This Row],[FECHA DE PAGO]]=0,TODAY()-PROVEEDORES[[#This Row],[FECHA DE FACTURACIÓN]]-PROVEEDORES[[#This Row],[PLAZO Días]],0)</f>
        <v>0</v>
      </c>
      <c r="U1033" s="150">
        <f>+VLOOKUP(PROVEEDORES[[#This Row],[PROVEEDOR]],Terceros!$A:$E,4,FALSE)</f>
        <v>0</v>
      </c>
      <c r="V1033" s="150">
        <f>+YEAR(PROVEEDORES[[#This Row],[FECHA DE FACTURACIÓN]])</f>
        <v>2023</v>
      </c>
      <c r="W1033" s="150">
        <f>+MATCH(PROVEEDORES[[#This Row],[año facturado]],Retenciones!$1:$1,0)</f>
        <v>6</v>
      </c>
      <c r="X1033" s="151">
        <f>+VLOOKUP(PROVEEDORES[[#This Row],[ID RETENCION]],Retenciones!$A$1:$O$25,PROVEEDORES[[#This Row],[indicador de columna]],FALSE)</f>
        <v>0</v>
      </c>
      <c r="Y1033" s="152">
        <f>+VLOOKUP(PROVEEDORES[[#This Row],[ID RETENCION]],Retenciones!$A$1:$O$25,2,FALSE)</f>
        <v>0</v>
      </c>
      <c r="Z1033" s="153" t="b">
        <f>+OR(COUNTIF(PROVEEDORES[[#This Row],[PROVEEDOR]],"*"&amp;'Palabra que no opera y Listas d'!$A$2&amp;"*"))</f>
        <v>0</v>
      </c>
    </row>
    <row r="1034" spans="1:26" ht="27.75" customHeight="1" x14ac:dyDescent="0.3">
      <c r="A1034" s="144" t="str">
        <f>+IF(PROVEEDORES[[#This Row],[FECHA DE PAGO]]=PROVEEDORES[[#This Row],[FECHA DE FACTURACIÓN]],"DE CONTADO","CRÉDITO")</f>
        <v>CRÉDITO</v>
      </c>
      <c r="B1034" s="144" t="str">
        <f>+IF((PROVEEDORES[[#This Row],[FECHA DE PAGO]]-PROVEEDORES[[#This Row],[FECHA DE FACTURACIÓN]])&gt;PROVEEDORES[[#This Row],[PLAZO Días]],"PAGO VENCIDO")</f>
        <v>PAGO VENCIDO</v>
      </c>
      <c r="C1034" s="144">
        <f>+VLOOKUP(PROVEEDORES[[#This Row],[PROVEEDOR]],TERCEROS_INFO[#All],2,FALSE)</f>
        <v>0</v>
      </c>
      <c r="D1034" s="145">
        <f>+SUMIFS(PROVEEDORES[Total],PROVEEDORES[PROVEEDOR],PROVEEDORES[[#This Row],[PROVEEDOR]],PROVEEDORES[FECHA DE PAGO],"")</f>
        <v>0</v>
      </c>
      <c r="E1034" s="146"/>
      <c r="F1034" s="144" t="str">
        <f>+VLOOKUP(PROVEEDORES[[#This Row],[PROVEEDOR]],
                       Terceros!$A:$G,
                       5,
                       FALSE)</f>
        <v>2,5% con base</v>
      </c>
      <c r="G1034" s="122">
        <v>45273</v>
      </c>
      <c r="H1034" s="102" t="s">
        <v>222</v>
      </c>
      <c r="I1034" s="122">
        <v>45272</v>
      </c>
      <c r="J1034" s="103" t="s">
        <v>1316</v>
      </c>
      <c r="K1034" s="103" t="s">
        <v>516</v>
      </c>
      <c r="L1034" s="103"/>
      <c r="M1034" s="105">
        <v>1900000</v>
      </c>
      <c r="N1034" s="147">
        <v>361000</v>
      </c>
      <c r="O1034" s="147">
        <v>0</v>
      </c>
      <c r="P1034" s="148">
        <v>2.5000000000000001E-2</v>
      </c>
      <c r="Q1034" s="147">
        <v>47500</v>
      </c>
      <c r="R1034" s="149">
        <v>2213500</v>
      </c>
      <c r="S10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4" s="150">
        <f ca="1">+IF(PROVEEDORES[[#This Row],[FECHA DE PAGO]]=0,TODAY()-PROVEEDORES[[#This Row],[FECHA DE FACTURACIÓN]]-PROVEEDORES[[#This Row],[PLAZO Días]],0)</f>
        <v>0</v>
      </c>
      <c r="U1034" s="150">
        <f>+VLOOKUP(PROVEEDORES[[#This Row],[PROVEEDOR]],Terceros!$A:$E,4,FALSE)</f>
        <v>0.19</v>
      </c>
      <c r="V1034" s="150">
        <f>+YEAR(PROVEEDORES[[#This Row],[FECHA DE FACTURACIÓN]])</f>
        <v>2023</v>
      </c>
      <c r="W1034" s="150">
        <f>+MATCH(PROVEEDORES[[#This Row],[año facturado]],Retenciones!$1:$1,0)</f>
        <v>6</v>
      </c>
      <c r="X1034" s="151" t="e">
        <f>+VLOOKUP(PROVEEDORES[[#This Row],[ID RETENCION]],Retenciones!$A$1:$O$25,PROVEEDORES[[#This Row],[indicador de columna]],FALSE)</f>
        <v>#N/A</v>
      </c>
      <c r="Y1034" s="152" t="e">
        <f>+VLOOKUP(PROVEEDORES[[#This Row],[ID RETENCION]],Retenciones!$A$1:$O$25,2,FALSE)</f>
        <v>#N/A</v>
      </c>
      <c r="Z1034" s="153" t="b">
        <f>+OR(COUNTIF(PROVEEDORES[[#This Row],[PROVEEDOR]],"*"&amp;'Palabra que no opera y Listas d'!$A$2&amp;"*"))</f>
        <v>0</v>
      </c>
    </row>
    <row r="1035" spans="1:26" ht="27.75" customHeight="1" x14ac:dyDescent="0.3">
      <c r="A1035" s="144" t="str">
        <f>+IF(PROVEEDORES[[#This Row],[FECHA DE PAGO]]=PROVEEDORES[[#This Row],[FECHA DE FACTURACIÓN]],"DE CONTADO","CRÉDITO")</f>
        <v>DE CONTADO</v>
      </c>
      <c r="B1035" s="144" t="b">
        <f>+IF((PROVEEDORES[[#This Row],[FECHA DE PAGO]]-PROVEEDORES[[#This Row],[FECHA DE FACTURACIÓN]])&gt;PROVEEDORES[[#This Row],[PLAZO Días]],"PAGO VENCIDO")</f>
        <v>0</v>
      </c>
      <c r="C1035" s="144">
        <f>+VLOOKUP(PROVEEDORES[[#This Row],[PROVEEDOR]],TERCEROS_INFO[#All],2,FALSE)</f>
        <v>0</v>
      </c>
      <c r="D1035" s="145">
        <f>+SUMIFS(PROVEEDORES[Total],PROVEEDORES[PROVEEDOR],PROVEEDORES[[#This Row],[PROVEEDOR]],PROVEEDORES[FECHA DE PAGO],"")</f>
        <v>0</v>
      </c>
      <c r="E1035" s="146"/>
      <c r="F1035" s="144">
        <f>+VLOOKUP(PROVEEDORES[[#This Row],[PROVEEDOR]],
                       Terceros!$A:$G,
                       5,
                       FALSE)</f>
        <v>0</v>
      </c>
      <c r="G1035" s="122">
        <v>45273</v>
      </c>
      <c r="H1035" s="102" t="s">
        <v>1799</v>
      </c>
      <c r="I1035" s="122">
        <v>45273</v>
      </c>
      <c r="J1035" s="103">
        <v>1312</v>
      </c>
      <c r="K1035" s="103" t="s">
        <v>1512</v>
      </c>
      <c r="L1035" s="103"/>
      <c r="M1035" s="105">
        <v>1172300</v>
      </c>
      <c r="N1035" s="147">
        <v>0</v>
      </c>
      <c r="O1035" s="147">
        <v>0</v>
      </c>
      <c r="P1035" s="148">
        <v>0</v>
      </c>
      <c r="Q1035" s="147">
        <v>0</v>
      </c>
      <c r="R1035" s="149">
        <v>1172300</v>
      </c>
      <c r="S10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5" s="150">
        <f ca="1">+IF(PROVEEDORES[[#This Row],[FECHA DE PAGO]]=0,TODAY()-PROVEEDORES[[#This Row],[FECHA DE FACTURACIÓN]]-PROVEEDORES[[#This Row],[PLAZO Días]],0)</f>
        <v>0</v>
      </c>
      <c r="U1035" s="150">
        <f>+VLOOKUP(PROVEEDORES[[#This Row],[PROVEEDOR]],Terceros!$A:$E,4,FALSE)</f>
        <v>0</v>
      </c>
      <c r="V1035" s="150">
        <f>+YEAR(PROVEEDORES[[#This Row],[FECHA DE FACTURACIÓN]])</f>
        <v>2023</v>
      </c>
      <c r="W1035" s="150">
        <f>+MATCH(PROVEEDORES[[#This Row],[año facturado]],Retenciones!$1:$1,0)</f>
        <v>6</v>
      </c>
      <c r="X1035" s="151">
        <f>+VLOOKUP(PROVEEDORES[[#This Row],[ID RETENCION]],Retenciones!$A$1:$O$25,PROVEEDORES[[#This Row],[indicador de columna]],FALSE)</f>
        <v>0</v>
      </c>
      <c r="Y1035" s="152">
        <f>+VLOOKUP(PROVEEDORES[[#This Row],[ID RETENCION]],Retenciones!$A$1:$O$25,2,FALSE)</f>
        <v>0</v>
      </c>
      <c r="Z1035" s="153" t="b">
        <f>+OR(COUNTIF(PROVEEDORES[[#This Row],[PROVEEDOR]],"*"&amp;'Palabra que no opera y Listas d'!$A$2&amp;"*"))</f>
        <v>0</v>
      </c>
    </row>
    <row r="1036" spans="1:26" ht="27.75" customHeight="1" x14ac:dyDescent="0.3">
      <c r="A1036" s="144" t="str">
        <f>+IF(PROVEEDORES[[#This Row],[FECHA DE PAGO]]=PROVEEDORES[[#This Row],[FECHA DE FACTURACIÓN]],"DE CONTADO","CRÉDITO")</f>
        <v>DE CONTADO</v>
      </c>
      <c r="B1036" s="144" t="b">
        <f>+IF((PROVEEDORES[[#This Row],[FECHA DE PAGO]]-PROVEEDORES[[#This Row],[FECHA DE FACTURACIÓN]])&gt;PROVEEDORES[[#This Row],[PLAZO Días]],"PAGO VENCIDO")</f>
        <v>0</v>
      </c>
      <c r="C1036" s="144">
        <f>+VLOOKUP(PROVEEDORES[[#This Row],[PROVEEDOR]],TERCEROS_INFO[#All],2,FALSE)</f>
        <v>0</v>
      </c>
      <c r="D1036" s="145">
        <f>+SUMIFS(PROVEEDORES[Total],PROVEEDORES[PROVEEDOR],PROVEEDORES[[#This Row],[PROVEEDOR]],PROVEEDORES[FECHA DE PAGO],"")</f>
        <v>0</v>
      </c>
      <c r="E1036" s="146"/>
      <c r="F1036" s="144">
        <f>+VLOOKUP(PROVEEDORES[[#This Row],[PROVEEDOR]],
                       Terceros!$A:$G,
                       5,
                       FALSE)</f>
        <v>0</v>
      </c>
      <c r="G1036" s="122">
        <v>45273</v>
      </c>
      <c r="H1036" s="102" t="s">
        <v>474</v>
      </c>
      <c r="I1036" s="122">
        <v>45273</v>
      </c>
      <c r="J1036" s="103" t="s">
        <v>477</v>
      </c>
      <c r="K1036" s="103" t="s">
        <v>1512</v>
      </c>
      <c r="L1036" s="103"/>
      <c r="M1036" s="105">
        <v>1500000</v>
      </c>
      <c r="N1036" s="147">
        <v>0</v>
      </c>
      <c r="O1036" s="147">
        <v>0</v>
      </c>
      <c r="P1036" s="148">
        <v>0</v>
      </c>
      <c r="Q1036" s="147">
        <v>0</v>
      </c>
      <c r="R1036" s="149">
        <v>1500000</v>
      </c>
      <c r="S10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6" s="150">
        <f ca="1">+IF(PROVEEDORES[[#This Row],[FECHA DE PAGO]]=0,TODAY()-PROVEEDORES[[#This Row],[FECHA DE FACTURACIÓN]]-PROVEEDORES[[#This Row],[PLAZO Días]],0)</f>
        <v>0</v>
      </c>
      <c r="U1036" s="150">
        <f>+VLOOKUP(PROVEEDORES[[#This Row],[PROVEEDOR]],Terceros!$A:$E,4,FALSE)</f>
        <v>0</v>
      </c>
      <c r="V1036" s="150">
        <f>+YEAR(PROVEEDORES[[#This Row],[FECHA DE FACTURACIÓN]])</f>
        <v>2023</v>
      </c>
      <c r="W1036" s="150">
        <f>+MATCH(PROVEEDORES[[#This Row],[año facturado]],Retenciones!$1:$1,0)</f>
        <v>6</v>
      </c>
      <c r="X1036" s="151">
        <f>+VLOOKUP(PROVEEDORES[[#This Row],[ID RETENCION]],Retenciones!$A$1:$O$25,PROVEEDORES[[#This Row],[indicador de columna]],FALSE)</f>
        <v>0</v>
      </c>
      <c r="Y1036" s="152">
        <f>+VLOOKUP(PROVEEDORES[[#This Row],[ID RETENCION]],Retenciones!$A$1:$O$25,2,FALSE)</f>
        <v>0</v>
      </c>
      <c r="Z1036" s="153" t="b">
        <f>+OR(COUNTIF(PROVEEDORES[[#This Row],[PROVEEDOR]],"*"&amp;'Palabra que no opera y Listas d'!$A$2&amp;"*"))</f>
        <v>1</v>
      </c>
    </row>
    <row r="1037" spans="1:26" ht="27.75" customHeight="1" x14ac:dyDescent="0.3">
      <c r="A1037" s="144" t="str">
        <f>+IF(PROVEEDORES[[#This Row],[FECHA DE PAGO]]=PROVEEDORES[[#This Row],[FECHA DE FACTURACIÓN]],"DE CONTADO","CRÉDITO")</f>
        <v>CRÉDITO</v>
      </c>
      <c r="B1037" s="144" t="str">
        <f>+IF((PROVEEDORES[[#This Row],[FECHA DE PAGO]]-PROVEEDORES[[#This Row],[FECHA DE FACTURACIÓN]])&gt;PROVEEDORES[[#This Row],[PLAZO Días]],"PAGO VENCIDO")</f>
        <v>PAGO VENCIDO</v>
      </c>
      <c r="C1037" s="144">
        <f>+VLOOKUP(PROVEEDORES[[#This Row],[PROVEEDOR]],TERCEROS_INFO[#All],2,FALSE)</f>
        <v>0</v>
      </c>
      <c r="D1037" s="145">
        <f>+SUMIFS(PROVEEDORES[Total],PROVEEDORES[PROVEEDOR],PROVEEDORES[[#This Row],[PROVEEDOR]],PROVEEDORES[FECHA DE PAGO],"")</f>
        <v>0</v>
      </c>
      <c r="E1037" s="146"/>
      <c r="F1037" s="144">
        <f>+VLOOKUP(PROVEEDORES[[#This Row],[PROVEEDOR]],
                       Terceros!$A:$G,
                       5,
                       FALSE)</f>
        <v>0</v>
      </c>
      <c r="G1037" s="122">
        <v>45274</v>
      </c>
      <c r="H1037" s="102" t="s">
        <v>537</v>
      </c>
      <c r="I1037" s="122">
        <v>45253</v>
      </c>
      <c r="J1037" s="103" t="s">
        <v>1246</v>
      </c>
      <c r="K1037" s="103" t="s">
        <v>1512</v>
      </c>
      <c r="L1037" s="103"/>
      <c r="M1037" s="105">
        <v>22500</v>
      </c>
      <c r="N1037" s="147">
        <v>0</v>
      </c>
      <c r="O1037" s="147">
        <v>0</v>
      </c>
      <c r="P1037" s="148">
        <v>0</v>
      </c>
      <c r="Q1037" s="147">
        <v>0</v>
      </c>
      <c r="R1037" s="149">
        <v>22500</v>
      </c>
      <c r="S10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7" s="150">
        <f ca="1">+IF(PROVEEDORES[[#This Row],[FECHA DE PAGO]]=0,TODAY()-PROVEEDORES[[#This Row],[FECHA DE FACTURACIÓN]]-PROVEEDORES[[#This Row],[PLAZO Días]],0)</f>
        <v>0</v>
      </c>
      <c r="U1037" s="150">
        <f>+VLOOKUP(PROVEEDORES[[#This Row],[PROVEEDOR]],Terceros!$A:$E,4,FALSE)</f>
        <v>0</v>
      </c>
      <c r="V1037" s="150">
        <f>+YEAR(PROVEEDORES[[#This Row],[FECHA DE FACTURACIÓN]])</f>
        <v>2023</v>
      </c>
      <c r="W1037" s="150">
        <f>+MATCH(PROVEEDORES[[#This Row],[año facturado]],Retenciones!$1:$1,0)</f>
        <v>6</v>
      </c>
      <c r="X1037" s="151">
        <f>+VLOOKUP(PROVEEDORES[[#This Row],[ID RETENCION]],Retenciones!$A$1:$O$25,PROVEEDORES[[#This Row],[indicador de columna]],FALSE)</f>
        <v>0</v>
      </c>
      <c r="Y1037" s="152">
        <f>+VLOOKUP(PROVEEDORES[[#This Row],[ID RETENCION]],Retenciones!$A$1:$O$25,2,FALSE)</f>
        <v>0</v>
      </c>
      <c r="Z1037" s="153" t="b">
        <f>+OR(COUNTIF(PROVEEDORES[[#This Row],[PROVEEDOR]],"*"&amp;'Palabra que no opera y Listas d'!$A$2&amp;"*"))</f>
        <v>0</v>
      </c>
    </row>
    <row r="1038" spans="1:26" ht="27.75" customHeight="1" x14ac:dyDescent="0.3">
      <c r="A1038" s="144" t="str">
        <f>+IF(PROVEEDORES[[#This Row],[FECHA DE PAGO]]=PROVEEDORES[[#This Row],[FECHA DE FACTURACIÓN]],"DE CONTADO","CRÉDITO")</f>
        <v>DE CONTADO</v>
      </c>
      <c r="B1038" s="144" t="b">
        <f>+IF((PROVEEDORES[[#This Row],[FECHA DE PAGO]]-PROVEEDORES[[#This Row],[FECHA DE FACTURACIÓN]])&gt;PROVEEDORES[[#This Row],[PLAZO Días]],"PAGO VENCIDO")</f>
        <v>0</v>
      </c>
      <c r="C1038" s="144">
        <f>+VLOOKUP(PROVEEDORES[[#This Row],[PROVEEDOR]],TERCEROS_INFO[#All],2,FALSE)</f>
        <v>0</v>
      </c>
      <c r="D1038" s="145">
        <f>+SUMIFS(PROVEEDORES[Total],PROVEEDORES[PROVEEDOR],PROVEEDORES[[#This Row],[PROVEEDOR]],PROVEEDORES[FECHA DE PAGO],"")</f>
        <v>0</v>
      </c>
      <c r="E1038" s="146"/>
      <c r="F1038" s="144" t="str">
        <f>+VLOOKUP(PROVEEDORES[[#This Row],[PROVEEDOR]],
                       Terceros!$A:$G,
                       5,
                       FALSE)</f>
        <v>2,5% con base</v>
      </c>
      <c r="G1038" s="122">
        <v>45274</v>
      </c>
      <c r="H1038" s="102" t="s">
        <v>71</v>
      </c>
      <c r="I1038" s="122">
        <v>45274</v>
      </c>
      <c r="J1038" s="103" t="s">
        <v>1508</v>
      </c>
      <c r="K1038" s="103" t="s">
        <v>1512</v>
      </c>
      <c r="L1038" s="103"/>
      <c r="M1038" s="105">
        <v>-12000000</v>
      </c>
      <c r="N1038" s="147">
        <v>-2280000</v>
      </c>
      <c r="O1038" s="147">
        <v>0</v>
      </c>
      <c r="P1038" s="148">
        <v>0</v>
      </c>
      <c r="Q1038" s="147">
        <v>0</v>
      </c>
      <c r="R1038" s="149">
        <v>0</v>
      </c>
      <c r="S10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8" s="150">
        <f ca="1">+IF(PROVEEDORES[[#This Row],[FECHA DE PAGO]]=0,TODAY()-PROVEEDORES[[#This Row],[FECHA DE FACTURACIÓN]]-PROVEEDORES[[#This Row],[PLAZO Días]],0)</f>
        <v>0</v>
      </c>
      <c r="U1038" s="150">
        <f>+VLOOKUP(PROVEEDORES[[#This Row],[PROVEEDOR]],Terceros!$A:$E,4,FALSE)</f>
        <v>0.19</v>
      </c>
      <c r="V1038" s="150">
        <f>+YEAR(PROVEEDORES[[#This Row],[FECHA DE FACTURACIÓN]])</f>
        <v>2023</v>
      </c>
      <c r="W1038" s="150">
        <f>+MATCH(PROVEEDORES[[#This Row],[año facturado]],Retenciones!$1:$1,0)</f>
        <v>6</v>
      </c>
      <c r="X1038" s="151" t="e">
        <f>+VLOOKUP(PROVEEDORES[[#This Row],[ID RETENCION]],Retenciones!$A$1:$O$25,PROVEEDORES[[#This Row],[indicador de columna]],FALSE)</f>
        <v>#N/A</v>
      </c>
      <c r="Y1038" s="152" t="e">
        <f>+VLOOKUP(PROVEEDORES[[#This Row],[ID RETENCION]],Retenciones!$A$1:$O$25,2,FALSE)</f>
        <v>#N/A</v>
      </c>
      <c r="Z1038" s="153" t="b">
        <f>+OR(COUNTIF(PROVEEDORES[[#This Row],[PROVEEDOR]],"*"&amp;'Palabra que no opera y Listas d'!$A$2&amp;"*"))</f>
        <v>0</v>
      </c>
    </row>
    <row r="1039" spans="1:26" ht="27.75" customHeight="1" x14ac:dyDescent="0.3">
      <c r="A1039" s="144" t="str">
        <f>+IF(PROVEEDORES[[#This Row],[FECHA DE PAGO]]=PROVEEDORES[[#This Row],[FECHA DE FACTURACIÓN]],"DE CONTADO","CRÉDITO")</f>
        <v>DE CONTADO</v>
      </c>
      <c r="B1039" s="144" t="b">
        <f>+IF((PROVEEDORES[[#This Row],[FECHA DE PAGO]]-PROVEEDORES[[#This Row],[FECHA DE FACTURACIÓN]])&gt;PROVEEDORES[[#This Row],[PLAZO Días]],"PAGO VENCIDO")</f>
        <v>0</v>
      </c>
      <c r="C1039" s="144">
        <f>+VLOOKUP(PROVEEDORES[[#This Row],[PROVEEDOR]],TERCEROS_INFO[#All],2,FALSE)</f>
        <v>0</v>
      </c>
      <c r="D1039" s="145">
        <f>+SUMIFS(PROVEEDORES[Total],PROVEEDORES[PROVEEDOR],PROVEEDORES[[#This Row],[PROVEEDOR]],PROVEEDORES[FECHA DE PAGO],"")</f>
        <v>0</v>
      </c>
      <c r="E1039" s="146"/>
      <c r="F1039" s="144">
        <f>+VLOOKUP(PROVEEDORES[[#This Row],[PROVEEDOR]],
                       Terceros!$A:$G,
                       5,
                       FALSE)</f>
        <v>0</v>
      </c>
      <c r="G1039" s="122">
        <v>45274</v>
      </c>
      <c r="H1039" s="102" t="s">
        <v>1801</v>
      </c>
      <c r="I1039" s="122">
        <v>45274</v>
      </c>
      <c r="J1039" s="103"/>
      <c r="K1039" s="103" t="s">
        <v>1512</v>
      </c>
      <c r="L1039" s="103"/>
      <c r="M1039" s="105">
        <v>1300850</v>
      </c>
      <c r="N1039" s="147">
        <v>0</v>
      </c>
      <c r="O1039" s="147">
        <v>0</v>
      </c>
      <c r="P1039" s="148">
        <v>0</v>
      </c>
      <c r="Q1039" s="147">
        <v>0</v>
      </c>
      <c r="R1039" s="149">
        <v>1300850</v>
      </c>
      <c r="S10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9" s="150">
        <f ca="1">+IF(PROVEEDORES[[#This Row],[FECHA DE PAGO]]=0,TODAY()-PROVEEDORES[[#This Row],[FECHA DE FACTURACIÓN]]-PROVEEDORES[[#This Row],[PLAZO Días]],0)</f>
        <v>0</v>
      </c>
      <c r="U1039" s="150">
        <f>+VLOOKUP(PROVEEDORES[[#This Row],[PROVEEDOR]],Terceros!$A:$E,4,FALSE)</f>
        <v>0</v>
      </c>
      <c r="V1039" s="150">
        <f>+YEAR(PROVEEDORES[[#This Row],[FECHA DE FACTURACIÓN]])</f>
        <v>2023</v>
      </c>
      <c r="W1039" s="150">
        <f>+MATCH(PROVEEDORES[[#This Row],[año facturado]],Retenciones!$1:$1,0)</f>
        <v>6</v>
      </c>
      <c r="X1039" s="151">
        <f>+VLOOKUP(PROVEEDORES[[#This Row],[ID RETENCION]],Retenciones!$A$1:$O$25,PROVEEDORES[[#This Row],[indicador de columna]],FALSE)</f>
        <v>0</v>
      </c>
      <c r="Y1039" s="152">
        <f>+VLOOKUP(PROVEEDORES[[#This Row],[ID RETENCION]],Retenciones!$A$1:$O$25,2,FALSE)</f>
        <v>0</v>
      </c>
      <c r="Z1039" s="153" t="b">
        <f>+OR(COUNTIF(PROVEEDORES[[#This Row],[PROVEEDOR]],"*"&amp;'Palabra que no opera y Listas d'!$A$2&amp;"*"))</f>
        <v>0</v>
      </c>
    </row>
    <row r="1040" spans="1:26" ht="27.75" customHeight="1" x14ac:dyDescent="0.3">
      <c r="A1040" s="144" t="str">
        <f>+IF(PROVEEDORES[[#This Row],[FECHA DE PAGO]]=PROVEEDORES[[#This Row],[FECHA DE FACTURACIÓN]],"DE CONTADO","CRÉDITO")</f>
        <v>CRÉDITO</v>
      </c>
      <c r="B1040" s="144" t="str">
        <f>+IF((PROVEEDORES[[#This Row],[FECHA DE PAGO]]-PROVEEDORES[[#This Row],[FECHA DE FACTURACIÓN]])&gt;PROVEEDORES[[#This Row],[PLAZO Días]],"PAGO VENCIDO")</f>
        <v>PAGO VENCIDO</v>
      </c>
      <c r="C1040" s="144">
        <f>+VLOOKUP(PROVEEDORES[[#This Row],[PROVEEDOR]],TERCEROS_INFO[#All],2,FALSE)</f>
        <v>0</v>
      </c>
      <c r="D1040" s="145">
        <f>+SUMIFS(PROVEEDORES[Total],PROVEEDORES[PROVEEDOR],PROVEEDORES[[#This Row],[PROVEEDOR]],PROVEEDORES[FECHA DE PAGO],"")</f>
        <v>0</v>
      </c>
      <c r="E1040" s="146"/>
      <c r="F1040" s="144">
        <f>+VLOOKUP(PROVEEDORES[[#This Row],[PROVEEDOR]],
                       Terceros!$A:$G,
                       5,
                       FALSE)</f>
        <v>0</v>
      </c>
      <c r="G1040" s="122">
        <v>45275</v>
      </c>
      <c r="H1040" s="102" t="s">
        <v>404</v>
      </c>
      <c r="I1040" s="122">
        <v>45261</v>
      </c>
      <c r="J1040" s="103"/>
      <c r="K1040" s="103" t="s">
        <v>1512</v>
      </c>
      <c r="L1040" s="103"/>
      <c r="M1040" s="105">
        <v>777310</v>
      </c>
      <c r="N1040" s="147">
        <v>0</v>
      </c>
      <c r="O1040" s="147">
        <v>0</v>
      </c>
      <c r="P1040" s="148">
        <v>0</v>
      </c>
      <c r="Q1040" s="147">
        <v>0</v>
      </c>
      <c r="R1040" s="149">
        <v>777310</v>
      </c>
      <c r="S10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0" s="150">
        <f ca="1">+IF(PROVEEDORES[[#This Row],[FECHA DE PAGO]]=0,TODAY()-PROVEEDORES[[#This Row],[FECHA DE FACTURACIÓN]]-PROVEEDORES[[#This Row],[PLAZO Días]],0)</f>
        <v>0</v>
      </c>
      <c r="U1040" s="150">
        <f>+VLOOKUP(PROVEEDORES[[#This Row],[PROVEEDOR]],Terceros!$A:$E,4,FALSE)</f>
        <v>0</v>
      </c>
      <c r="V1040" s="150">
        <f>+YEAR(PROVEEDORES[[#This Row],[FECHA DE FACTURACIÓN]])</f>
        <v>2023</v>
      </c>
      <c r="W1040" s="150">
        <f>+MATCH(PROVEEDORES[[#This Row],[año facturado]],Retenciones!$1:$1,0)</f>
        <v>6</v>
      </c>
      <c r="X1040" s="151">
        <f>+VLOOKUP(PROVEEDORES[[#This Row],[ID RETENCION]],Retenciones!$A$1:$O$25,PROVEEDORES[[#This Row],[indicador de columna]],FALSE)</f>
        <v>0</v>
      </c>
      <c r="Y1040" s="152">
        <f>+VLOOKUP(PROVEEDORES[[#This Row],[ID RETENCION]],Retenciones!$A$1:$O$25,2,FALSE)</f>
        <v>0</v>
      </c>
      <c r="Z1040" s="153" t="b">
        <f>+OR(COUNTIF(PROVEEDORES[[#This Row],[PROVEEDOR]],"*"&amp;'Palabra que no opera y Listas d'!$A$2&amp;"*"))</f>
        <v>1</v>
      </c>
    </row>
    <row r="1041" spans="1:26" ht="27.75" customHeight="1" x14ac:dyDescent="0.3">
      <c r="A1041" s="144" t="str">
        <f>+IF(PROVEEDORES[[#This Row],[FECHA DE PAGO]]=PROVEEDORES[[#This Row],[FECHA DE FACTURACIÓN]],"DE CONTADO","CRÉDITO")</f>
        <v>DE CONTADO</v>
      </c>
      <c r="B1041" s="144" t="b">
        <f>+IF((PROVEEDORES[[#This Row],[FECHA DE PAGO]]-PROVEEDORES[[#This Row],[FECHA DE FACTURACIÓN]])&gt;PROVEEDORES[[#This Row],[PLAZO Días]],"PAGO VENCIDO")</f>
        <v>0</v>
      </c>
      <c r="C1041" s="144">
        <f>+VLOOKUP(PROVEEDORES[[#This Row],[PROVEEDOR]],TERCEROS_INFO[#All],2,FALSE)</f>
        <v>0</v>
      </c>
      <c r="D1041" s="145">
        <f>+SUMIFS(PROVEEDORES[Total],PROVEEDORES[PROVEEDOR],PROVEEDORES[[#This Row],[PROVEEDOR]],PROVEEDORES[FECHA DE PAGO],"")</f>
        <v>0</v>
      </c>
      <c r="E1041" s="146"/>
      <c r="F1041" s="144">
        <f>+VLOOKUP(PROVEEDORES[[#This Row],[PROVEEDOR]],
                       Terceros!$A:$G,
                       5,
                       FALSE)</f>
        <v>0</v>
      </c>
      <c r="G1041" s="122">
        <v>45275</v>
      </c>
      <c r="H1041" s="102" t="s">
        <v>537</v>
      </c>
      <c r="I1041" s="122">
        <v>45275</v>
      </c>
      <c r="J1041" s="103" t="s">
        <v>1332</v>
      </c>
      <c r="K1041" s="103" t="s">
        <v>1512</v>
      </c>
      <c r="L1041" s="103"/>
      <c r="M1041" s="105">
        <v>180000</v>
      </c>
      <c r="N1041" s="147">
        <v>0</v>
      </c>
      <c r="O1041" s="147">
        <v>0</v>
      </c>
      <c r="P1041" s="148">
        <v>0</v>
      </c>
      <c r="Q1041" s="147">
        <v>0</v>
      </c>
      <c r="R1041" s="149">
        <v>180000</v>
      </c>
      <c r="S10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1" s="150">
        <f ca="1">+IF(PROVEEDORES[[#This Row],[FECHA DE PAGO]]=0,TODAY()-PROVEEDORES[[#This Row],[FECHA DE FACTURACIÓN]]-PROVEEDORES[[#This Row],[PLAZO Días]],0)</f>
        <v>0</v>
      </c>
      <c r="U1041" s="150">
        <f>+VLOOKUP(PROVEEDORES[[#This Row],[PROVEEDOR]],Terceros!$A:$E,4,FALSE)</f>
        <v>0</v>
      </c>
      <c r="V1041" s="150">
        <f>+YEAR(PROVEEDORES[[#This Row],[FECHA DE FACTURACIÓN]])</f>
        <v>2023</v>
      </c>
      <c r="W1041" s="150">
        <f>+MATCH(PROVEEDORES[[#This Row],[año facturado]],Retenciones!$1:$1,0)</f>
        <v>6</v>
      </c>
      <c r="X1041" s="151">
        <f>+VLOOKUP(PROVEEDORES[[#This Row],[ID RETENCION]],Retenciones!$A$1:$O$25,PROVEEDORES[[#This Row],[indicador de columna]],FALSE)</f>
        <v>0</v>
      </c>
      <c r="Y1041" s="152">
        <f>+VLOOKUP(PROVEEDORES[[#This Row],[ID RETENCION]],Retenciones!$A$1:$O$25,2,FALSE)</f>
        <v>0</v>
      </c>
      <c r="Z1041" s="153" t="b">
        <f>+OR(COUNTIF(PROVEEDORES[[#This Row],[PROVEEDOR]],"*"&amp;'Palabra que no opera y Listas d'!$A$2&amp;"*"))</f>
        <v>0</v>
      </c>
    </row>
    <row r="1042" spans="1:26" ht="27.75" customHeight="1" x14ac:dyDescent="0.3">
      <c r="A1042" s="144" t="str">
        <f>+IF(PROVEEDORES[[#This Row],[FECHA DE PAGO]]=PROVEEDORES[[#This Row],[FECHA DE FACTURACIÓN]],"DE CONTADO","CRÉDITO")</f>
        <v>DE CONTADO</v>
      </c>
      <c r="B1042" s="144" t="b">
        <f>+IF((PROVEEDORES[[#This Row],[FECHA DE PAGO]]-PROVEEDORES[[#This Row],[FECHA DE FACTURACIÓN]])&gt;PROVEEDORES[[#This Row],[PLAZO Días]],"PAGO VENCIDO")</f>
        <v>0</v>
      </c>
      <c r="C1042" s="144">
        <f>+VLOOKUP(PROVEEDORES[[#This Row],[PROVEEDOR]],TERCEROS_INFO[#All],2,FALSE)</f>
        <v>0</v>
      </c>
      <c r="D1042" s="145">
        <f>+SUMIFS(PROVEEDORES[Total],PROVEEDORES[PROVEEDOR],PROVEEDORES[[#This Row],[PROVEEDOR]],PROVEEDORES[FECHA DE PAGO],"")</f>
        <v>0</v>
      </c>
      <c r="E1042" s="146"/>
      <c r="F1042" s="144" t="str">
        <f>+VLOOKUP(PROVEEDORES[[#This Row],[PROVEEDOR]],
                       Terceros!$A:$G,
                       5,
                       FALSE)</f>
        <v>2,5% con base</v>
      </c>
      <c r="G1042" s="122">
        <v>45276</v>
      </c>
      <c r="H1042" s="102" t="s">
        <v>510</v>
      </c>
      <c r="I1042" s="122">
        <v>45276</v>
      </c>
      <c r="J1042" s="103" t="s">
        <v>1345</v>
      </c>
      <c r="K1042" s="103" t="s">
        <v>1512</v>
      </c>
      <c r="L1042" s="103"/>
      <c r="M1042" s="105">
        <v>516000</v>
      </c>
      <c r="N1042" s="147">
        <v>98040</v>
      </c>
      <c r="O1042" s="147">
        <v>0</v>
      </c>
      <c r="P1042" s="148">
        <v>0</v>
      </c>
      <c r="Q1042" s="147">
        <v>0</v>
      </c>
      <c r="R1042" s="149">
        <v>614040</v>
      </c>
      <c r="S10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2" s="150">
        <f ca="1">+IF(PROVEEDORES[[#This Row],[FECHA DE PAGO]]=0,TODAY()-PROVEEDORES[[#This Row],[FECHA DE FACTURACIÓN]]-PROVEEDORES[[#This Row],[PLAZO Días]],0)</f>
        <v>0</v>
      </c>
      <c r="U1042" s="150">
        <f>+VLOOKUP(PROVEEDORES[[#This Row],[PROVEEDOR]],Terceros!$A:$E,4,FALSE)</f>
        <v>0.19</v>
      </c>
      <c r="V1042" s="150">
        <f>+YEAR(PROVEEDORES[[#This Row],[FECHA DE FACTURACIÓN]])</f>
        <v>2023</v>
      </c>
      <c r="W1042" s="150">
        <f>+MATCH(PROVEEDORES[[#This Row],[año facturado]],Retenciones!$1:$1,0)</f>
        <v>6</v>
      </c>
      <c r="X1042" s="151" t="e">
        <f>+VLOOKUP(PROVEEDORES[[#This Row],[ID RETENCION]],Retenciones!$A$1:$O$25,PROVEEDORES[[#This Row],[indicador de columna]],FALSE)</f>
        <v>#N/A</v>
      </c>
      <c r="Y1042" s="152" t="e">
        <f>+VLOOKUP(PROVEEDORES[[#This Row],[ID RETENCION]],Retenciones!$A$1:$O$25,2,FALSE)</f>
        <v>#N/A</v>
      </c>
      <c r="Z1042" s="153" t="b">
        <f>+OR(COUNTIF(PROVEEDORES[[#This Row],[PROVEEDOR]],"*"&amp;'Palabra que no opera y Listas d'!$A$2&amp;"*"))</f>
        <v>0</v>
      </c>
    </row>
    <row r="1043" spans="1:26" ht="27.75" customHeight="1" x14ac:dyDescent="0.3">
      <c r="A1043" s="144" t="str">
        <f>+IF(PROVEEDORES[[#This Row],[FECHA DE PAGO]]=PROVEEDORES[[#This Row],[FECHA DE FACTURACIÓN]],"DE CONTADO","CRÉDITO")</f>
        <v>DE CONTADO</v>
      </c>
      <c r="B1043" s="144" t="b">
        <f>+IF((PROVEEDORES[[#This Row],[FECHA DE PAGO]]-PROVEEDORES[[#This Row],[FECHA DE FACTURACIÓN]])&gt;PROVEEDORES[[#This Row],[PLAZO Días]],"PAGO VENCIDO")</f>
        <v>0</v>
      </c>
      <c r="C1043" s="144">
        <f>+VLOOKUP(PROVEEDORES[[#This Row],[PROVEEDOR]],TERCEROS_INFO[#All],2,FALSE)</f>
        <v>0</v>
      </c>
      <c r="D1043" s="145">
        <f>+SUMIFS(PROVEEDORES[Total],PROVEEDORES[PROVEEDOR],PROVEEDORES[[#This Row],[PROVEEDOR]],PROVEEDORES[FECHA DE PAGO],"")</f>
        <v>0</v>
      </c>
      <c r="E1043" s="146"/>
      <c r="F1043" s="144">
        <f>+VLOOKUP(PROVEEDORES[[#This Row],[PROVEEDOR]],
                       Terceros!$A:$G,
                       5,
                       FALSE)</f>
        <v>0</v>
      </c>
      <c r="G1043" s="122">
        <v>45277</v>
      </c>
      <c r="H1043" s="102" t="s">
        <v>537</v>
      </c>
      <c r="I1043" s="122">
        <v>45277</v>
      </c>
      <c r="J1043" s="103" t="s">
        <v>1126</v>
      </c>
      <c r="K1043" s="103" t="s">
        <v>1512</v>
      </c>
      <c r="L1043" s="103"/>
      <c r="M1043" s="105">
        <v>400000</v>
      </c>
      <c r="N1043" s="147">
        <v>0</v>
      </c>
      <c r="O1043" s="147">
        <v>0</v>
      </c>
      <c r="P1043" s="148">
        <v>0</v>
      </c>
      <c r="Q1043" s="147">
        <v>0</v>
      </c>
      <c r="R1043" s="149">
        <v>400000</v>
      </c>
      <c r="S10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3" s="150">
        <f ca="1">+IF(PROVEEDORES[[#This Row],[FECHA DE PAGO]]=0,TODAY()-PROVEEDORES[[#This Row],[FECHA DE FACTURACIÓN]]-PROVEEDORES[[#This Row],[PLAZO Días]],0)</f>
        <v>0</v>
      </c>
      <c r="U1043" s="150">
        <f>+VLOOKUP(PROVEEDORES[[#This Row],[PROVEEDOR]],Terceros!$A:$E,4,FALSE)</f>
        <v>0</v>
      </c>
      <c r="V1043" s="150">
        <f>+YEAR(PROVEEDORES[[#This Row],[FECHA DE FACTURACIÓN]])</f>
        <v>2023</v>
      </c>
      <c r="W1043" s="150">
        <f>+MATCH(PROVEEDORES[[#This Row],[año facturado]],Retenciones!$1:$1,0)</f>
        <v>6</v>
      </c>
      <c r="X1043" s="151">
        <f>+VLOOKUP(PROVEEDORES[[#This Row],[ID RETENCION]],Retenciones!$A$1:$O$25,PROVEEDORES[[#This Row],[indicador de columna]],FALSE)</f>
        <v>0</v>
      </c>
      <c r="Y1043" s="152">
        <f>+VLOOKUP(PROVEEDORES[[#This Row],[ID RETENCION]],Retenciones!$A$1:$O$25,2,FALSE)</f>
        <v>0</v>
      </c>
      <c r="Z1043" s="153" t="b">
        <f>+OR(COUNTIF(PROVEEDORES[[#This Row],[PROVEEDOR]],"*"&amp;'Palabra que no opera y Listas d'!$A$2&amp;"*"))</f>
        <v>0</v>
      </c>
    </row>
    <row r="1044" spans="1:26" ht="27.75" customHeight="1" x14ac:dyDescent="0.3">
      <c r="A1044" s="144" t="str">
        <f>+IF(PROVEEDORES[[#This Row],[FECHA DE PAGO]]=PROVEEDORES[[#This Row],[FECHA DE FACTURACIÓN]],"DE CONTADO","CRÉDITO")</f>
        <v>CRÉDITO</v>
      </c>
      <c r="B1044" s="144" t="str">
        <f>+IF((PROVEEDORES[[#This Row],[FECHA DE PAGO]]-PROVEEDORES[[#This Row],[FECHA DE FACTURACIÓN]])&gt;PROVEEDORES[[#This Row],[PLAZO Días]],"PAGO VENCIDO")</f>
        <v>PAGO VENCIDO</v>
      </c>
      <c r="C1044" s="144">
        <f>+VLOOKUP(PROVEEDORES[[#This Row],[PROVEEDOR]],TERCEROS_INFO[#All],2,FALSE)</f>
        <v>0</v>
      </c>
      <c r="D1044" s="145">
        <f>+SUMIFS(PROVEEDORES[Total],PROVEEDORES[PROVEEDOR],PROVEEDORES[[#This Row],[PROVEEDOR]],PROVEEDORES[FECHA DE PAGO],"")</f>
        <v>31839627.134999998</v>
      </c>
      <c r="E1044" s="146"/>
      <c r="F1044" s="144" t="str">
        <f>+VLOOKUP(PROVEEDORES[[#This Row],[PROVEEDOR]],
                       Terceros!$A:$G,
                       5,
                       FALSE)</f>
        <v>2,5% con base</v>
      </c>
      <c r="G1044" s="122">
        <v>45278</v>
      </c>
      <c r="H1044" s="102" t="s">
        <v>17</v>
      </c>
      <c r="I1044" s="122">
        <v>45237</v>
      </c>
      <c r="J1044" s="103" t="s">
        <v>1229</v>
      </c>
      <c r="K1044" s="103" t="s">
        <v>1512</v>
      </c>
      <c r="L1044" s="103"/>
      <c r="M1044" s="105">
        <v>2007744</v>
      </c>
      <c r="N1044" s="147">
        <v>381471.36</v>
      </c>
      <c r="O1044" s="147">
        <v>0</v>
      </c>
      <c r="P1044" s="148">
        <v>2.5000000000000001E-2</v>
      </c>
      <c r="Q1044" s="147">
        <v>50193.600000000006</v>
      </c>
      <c r="R1044" s="149">
        <v>2339021.7599999998</v>
      </c>
      <c r="S10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4" s="150">
        <f ca="1">+IF(PROVEEDORES[[#This Row],[FECHA DE PAGO]]=0,TODAY()-PROVEEDORES[[#This Row],[FECHA DE FACTURACIÓN]]-PROVEEDORES[[#This Row],[PLAZO Días]],0)</f>
        <v>0</v>
      </c>
      <c r="U1044" s="150">
        <f>+VLOOKUP(PROVEEDORES[[#This Row],[PROVEEDOR]],Terceros!$A:$E,4,FALSE)</f>
        <v>0.19</v>
      </c>
      <c r="V1044" s="150">
        <f>+YEAR(PROVEEDORES[[#This Row],[FECHA DE FACTURACIÓN]])</f>
        <v>2023</v>
      </c>
      <c r="W1044" s="150">
        <f>+MATCH(PROVEEDORES[[#This Row],[año facturado]],Retenciones!$1:$1,0)</f>
        <v>6</v>
      </c>
      <c r="X1044" s="151" t="e">
        <f>+VLOOKUP(PROVEEDORES[[#This Row],[ID RETENCION]],Retenciones!$A$1:$O$25,PROVEEDORES[[#This Row],[indicador de columna]],FALSE)</f>
        <v>#N/A</v>
      </c>
      <c r="Y1044" s="152" t="e">
        <f>+VLOOKUP(PROVEEDORES[[#This Row],[ID RETENCION]],Retenciones!$A$1:$O$25,2,FALSE)</f>
        <v>#N/A</v>
      </c>
      <c r="Z1044" s="153" t="b">
        <f>+OR(COUNTIF(PROVEEDORES[[#This Row],[PROVEEDOR]],"*"&amp;'Palabra que no opera y Listas d'!$A$2&amp;"*"))</f>
        <v>0</v>
      </c>
    </row>
    <row r="1045" spans="1:26" ht="27.75" customHeight="1" x14ac:dyDescent="0.3">
      <c r="A1045" s="144" t="str">
        <f>+IF(PROVEEDORES[[#This Row],[FECHA DE PAGO]]=PROVEEDORES[[#This Row],[FECHA DE FACTURACIÓN]],"DE CONTADO","CRÉDITO")</f>
        <v>CRÉDITO</v>
      </c>
      <c r="B1045" s="144" t="str">
        <f>+IF((PROVEEDORES[[#This Row],[FECHA DE PAGO]]-PROVEEDORES[[#This Row],[FECHA DE FACTURACIÓN]])&gt;PROVEEDORES[[#This Row],[PLAZO Días]],"PAGO VENCIDO")</f>
        <v>PAGO VENCIDO</v>
      </c>
      <c r="C1045" s="144">
        <f>+VLOOKUP(PROVEEDORES[[#This Row],[PROVEEDOR]],TERCEROS_INFO[#All],2,FALSE)</f>
        <v>0</v>
      </c>
      <c r="D1045" s="145">
        <f>+SUMIFS(PROVEEDORES[Total],PROVEEDORES[PROVEEDOR],PROVEEDORES[[#This Row],[PROVEEDOR]],PROVEEDORES[FECHA DE PAGO],"")</f>
        <v>31839627.134999998</v>
      </c>
      <c r="E1045" s="146"/>
      <c r="F1045" s="144" t="str">
        <f>+VLOOKUP(PROVEEDORES[[#This Row],[PROVEEDOR]],
                       Terceros!$A:$G,
                       5,
                       FALSE)</f>
        <v>2,5% con base</v>
      </c>
      <c r="G1045" s="122">
        <v>45278</v>
      </c>
      <c r="H1045" s="102" t="s">
        <v>17</v>
      </c>
      <c r="I1045" s="122">
        <v>45239</v>
      </c>
      <c r="J1045" s="103" t="s">
        <v>1231</v>
      </c>
      <c r="K1045" s="103" t="s">
        <v>1512</v>
      </c>
      <c r="L1045" s="103"/>
      <c r="M1045" s="105">
        <v>10721534</v>
      </c>
      <c r="N1045" s="147">
        <v>2037091.46</v>
      </c>
      <c r="O1045" s="147">
        <v>0</v>
      </c>
      <c r="P1045" s="148">
        <v>2.5000000000000001E-2</v>
      </c>
      <c r="Q1045" s="147">
        <v>268038.35000000003</v>
      </c>
      <c r="R1045" s="149">
        <v>12490587.110000001</v>
      </c>
      <c r="S10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5" s="150">
        <f ca="1">+IF(PROVEEDORES[[#This Row],[FECHA DE PAGO]]=0,TODAY()-PROVEEDORES[[#This Row],[FECHA DE FACTURACIÓN]]-PROVEEDORES[[#This Row],[PLAZO Días]],0)</f>
        <v>0</v>
      </c>
      <c r="U1045" s="150">
        <f>+VLOOKUP(PROVEEDORES[[#This Row],[PROVEEDOR]],Terceros!$A:$E,4,FALSE)</f>
        <v>0.19</v>
      </c>
      <c r="V1045" s="150">
        <f>+YEAR(PROVEEDORES[[#This Row],[FECHA DE FACTURACIÓN]])</f>
        <v>2023</v>
      </c>
      <c r="W1045" s="150">
        <f>+MATCH(PROVEEDORES[[#This Row],[año facturado]],Retenciones!$1:$1,0)</f>
        <v>6</v>
      </c>
      <c r="X1045" s="151" t="e">
        <f>+VLOOKUP(PROVEEDORES[[#This Row],[ID RETENCION]],Retenciones!$A$1:$O$25,PROVEEDORES[[#This Row],[indicador de columna]],FALSE)</f>
        <v>#N/A</v>
      </c>
      <c r="Y1045" s="152" t="e">
        <f>+VLOOKUP(PROVEEDORES[[#This Row],[ID RETENCION]],Retenciones!$A$1:$O$25,2,FALSE)</f>
        <v>#N/A</v>
      </c>
      <c r="Z1045" s="153" t="b">
        <f>+OR(COUNTIF(PROVEEDORES[[#This Row],[PROVEEDOR]],"*"&amp;'Palabra que no opera y Listas d'!$A$2&amp;"*"))</f>
        <v>0</v>
      </c>
    </row>
    <row r="1046" spans="1:26" ht="27.75" customHeight="1" x14ac:dyDescent="0.3">
      <c r="A1046" s="144" t="str">
        <f>+IF(PROVEEDORES[[#This Row],[FECHA DE PAGO]]=PROVEEDORES[[#This Row],[FECHA DE FACTURACIÓN]],"DE CONTADO","CRÉDITO")</f>
        <v>CRÉDITO</v>
      </c>
      <c r="B1046" s="144" t="str">
        <f>+IF((PROVEEDORES[[#This Row],[FECHA DE PAGO]]-PROVEEDORES[[#This Row],[FECHA DE FACTURACIÓN]])&gt;PROVEEDORES[[#This Row],[PLAZO Días]],"PAGO VENCIDO")</f>
        <v>PAGO VENCIDO</v>
      </c>
      <c r="C1046" s="144">
        <f>+VLOOKUP(PROVEEDORES[[#This Row],[PROVEEDOR]],TERCEROS_INFO[#All],2,FALSE)</f>
        <v>0</v>
      </c>
      <c r="D1046" s="145">
        <f>+SUMIFS(PROVEEDORES[Total],PROVEEDORES[PROVEEDOR],PROVEEDORES[[#This Row],[PROVEEDOR]],PROVEEDORES[FECHA DE PAGO],"")</f>
        <v>0</v>
      </c>
      <c r="E1046" s="146"/>
      <c r="F1046" s="144" t="str">
        <f>+VLOOKUP(PROVEEDORES[[#This Row],[PROVEEDOR]],
                       Terceros!$A:$G,
                       5,
                       FALSE)</f>
        <v>2,5% con base</v>
      </c>
      <c r="G1046" s="122">
        <v>45278</v>
      </c>
      <c r="H1046" s="102" t="s">
        <v>956</v>
      </c>
      <c r="I1046" s="122">
        <v>45239</v>
      </c>
      <c r="J1046" s="103" t="s">
        <v>1228</v>
      </c>
      <c r="K1046" s="103" t="s">
        <v>1512</v>
      </c>
      <c r="L1046" s="103"/>
      <c r="M1046" s="105">
        <v>1593276</v>
      </c>
      <c r="N1046" s="147">
        <v>302722.44</v>
      </c>
      <c r="O1046" s="147">
        <v>0</v>
      </c>
      <c r="P1046" s="148">
        <v>2.5000000000000001E-2</v>
      </c>
      <c r="Q1046" s="147">
        <v>39831.9</v>
      </c>
      <c r="R1046" s="149">
        <v>1856166.54</v>
      </c>
      <c r="S10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6" s="150">
        <f ca="1">+IF(PROVEEDORES[[#This Row],[FECHA DE PAGO]]=0,TODAY()-PROVEEDORES[[#This Row],[FECHA DE FACTURACIÓN]]-PROVEEDORES[[#This Row],[PLAZO Días]],0)</f>
        <v>0</v>
      </c>
      <c r="U1046" s="150">
        <f>+VLOOKUP(PROVEEDORES[[#This Row],[PROVEEDOR]],Terceros!$A:$E,4,FALSE)</f>
        <v>0.19</v>
      </c>
      <c r="V1046" s="150">
        <f>+YEAR(PROVEEDORES[[#This Row],[FECHA DE FACTURACIÓN]])</f>
        <v>2023</v>
      </c>
      <c r="W1046" s="150">
        <f>+MATCH(PROVEEDORES[[#This Row],[año facturado]],Retenciones!$1:$1,0)</f>
        <v>6</v>
      </c>
      <c r="X1046" s="151" t="e">
        <f>+VLOOKUP(PROVEEDORES[[#This Row],[ID RETENCION]],Retenciones!$A$1:$O$25,PROVEEDORES[[#This Row],[indicador de columna]],FALSE)</f>
        <v>#N/A</v>
      </c>
      <c r="Y1046" s="152" t="e">
        <f>+VLOOKUP(PROVEEDORES[[#This Row],[ID RETENCION]],Retenciones!$A$1:$O$25,2,FALSE)</f>
        <v>#N/A</v>
      </c>
      <c r="Z1046" s="153" t="b">
        <f>+OR(COUNTIF(PROVEEDORES[[#This Row],[PROVEEDOR]],"*"&amp;'Palabra que no opera y Listas d'!$A$2&amp;"*"))</f>
        <v>0</v>
      </c>
    </row>
    <row r="1047" spans="1:26" ht="27.75" customHeight="1" x14ac:dyDescent="0.3">
      <c r="A1047" s="144" t="str">
        <f>+IF(PROVEEDORES[[#This Row],[FECHA DE PAGO]]=PROVEEDORES[[#This Row],[FECHA DE FACTURACIÓN]],"DE CONTADO","CRÉDITO")</f>
        <v>CRÉDITO</v>
      </c>
      <c r="B1047" s="144" t="str">
        <f>+IF((PROVEEDORES[[#This Row],[FECHA DE PAGO]]-PROVEEDORES[[#This Row],[FECHA DE FACTURACIÓN]])&gt;PROVEEDORES[[#This Row],[PLAZO Días]],"PAGO VENCIDO")</f>
        <v>PAGO VENCIDO</v>
      </c>
      <c r="C1047" s="144">
        <f>+VLOOKUP(PROVEEDORES[[#This Row],[PROVEEDOR]],TERCEROS_INFO[#All],2,FALSE)</f>
        <v>0</v>
      </c>
      <c r="D1047" s="145">
        <f>+SUMIFS(PROVEEDORES[Total],PROVEEDORES[PROVEEDOR],PROVEEDORES[[#This Row],[PROVEEDOR]],PROVEEDORES[FECHA DE PAGO],"")</f>
        <v>0</v>
      </c>
      <c r="E1047" s="146"/>
      <c r="F1047" s="144">
        <f>+VLOOKUP(PROVEEDORES[[#This Row],[PROVEEDOR]],
                       Terceros!$A:$G,
                       5,
                       FALSE)</f>
        <v>0</v>
      </c>
      <c r="G1047" s="122">
        <v>45278</v>
      </c>
      <c r="H1047" s="102" t="s">
        <v>1785</v>
      </c>
      <c r="I1047" s="122">
        <v>45239</v>
      </c>
      <c r="J1047" s="103" t="s">
        <v>1274</v>
      </c>
      <c r="K1047" s="103" t="s">
        <v>1512</v>
      </c>
      <c r="L1047" s="103"/>
      <c r="M1047" s="105">
        <v>606900</v>
      </c>
      <c r="N1047" s="147">
        <v>0</v>
      </c>
      <c r="O1047" s="147">
        <v>0</v>
      </c>
      <c r="P1047" s="148">
        <v>0</v>
      </c>
      <c r="Q1047" s="147">
        <v>0</v>
      </c>
      <c r="R1047" s="149">
        <v>606900</v>
      </c>
      <c r="S10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7" s="150">
        <f ca="1">+IF(PROVEEDORES[[#This Row],[FECHA DE PAGO]]=0,TODAY()-PROVEEDORES[[#This Row],[FECHA DE FACTURACIÓN]]-PROVEEDORES[[#This Row],[PLAZO Días]],0)</f>
        <v>0</v>
      </c>
      <c r="U1047" s="150">
        <f>+VLOOKUP(PROVEEDORES[[#This Row],[PROVEEDOR]],Terceros!$A:$E,4,FALSE)</f>
        <v>0</v>
      </c>
      <c r="V1047" s="150">
        <f>+YEAR(PROVEEDORES[[#This Row],[FECHA DE FACTURACIÓN]])</f>
        <v>2023</v>
      </c>
      <c r="W1047" s="150">
        <f>+MATCH(PROVEEDORES[[#This Row],[año facturado]],Retenciones!$1:$1,0)</f>
        <v>6</v>
      </c>
      <c r="X1047" s="151">
        <f>+VLOOKUP(PROVEEDORES[[#This Row],[ID RETENCION]],Retenciones!$A$1:$O$25,PROVEEDORES[[#This Row],[indicador de columna]],FALSE)</f>
        <v>0</v>
      </c>
      <c r="Y1047" s="152">
        <f>+VLOOKUP(PROVEEDORES[[#This Row],[ID RETENCION]],Retenciones!$A$1:$O$25,2,FALSE)</f>
        <v>0</v>
      </c>
      <c r="Z1047" s="153" t="b">
        <f>+OR(COUNTIF(PROVEEDORES[[#This Row],[PROVEEDOR]],"*"&amp;'Palabra que no opera y Listas d'!$A$2&amp;"*"))</f>
        <v>0</v>
      </c>
    </row>
    <row r="1048" spans="1:26" ht="27.75" customHeight="1" x14ac:dyDescent="0.3">
      <c r="A1048" s="144" t="str">
        <f>+IF(PROVEEDORES[[#This Row],[FECHA DE PAGO]]=PROVEEDORES[[#This Row],[FECHA DE FACTURACIÓN]],"DE CONTADO","CRÉDITO")</f>
        <v>CRÉDITO</v>
      </c>
      <c r="B1048" s="144" t="str">
        <f>+IF((PROVEEDORES[[#This Row],[FECHA DE PAGO]]-PROVEEDORES[[#This Row],[FECHA DE FACTURACIÓN]])&gt;PROVEEDORES[[#This Row],[PLAZO Días]],"PAGO VENCIDO")</f>
        <v>PAGO VENCIDO</v>
      </c>
      <c r="C1048" s="144">
        <f>+VLOOKUP(PROVEEDORES[[#This Row],[PROVEEDOR]],TERCEROS_INFO[#All],2,FALSE)</f>
        <v>0</v>
      </c>
      <c r="D1048" s="145">
        <f>+SUMIFS(PROVEEDORES[Total],PROVEEDORES[PROVEEDOR],PROVEEDORES[[#This Row],[PROVEEDOR]],PROVEEDORES[FECHA DE PAGO],"")</f>
        <v>7281829.8799999999</v>
      </c>
      <c r="E1048" s="146"/>
      <c r="F1048" s="144" t="str">
        <f>+VLOOKUP(PROVEEDORES[[#This Row],[PROVEEDOR]],
                       Terceros!$A:$G,
                       5,
                       FALSE)</f>
        <v>2,5% con base</v>
      </c>
      <c r="G1048" s="122">
        <v>45278</v>
      </c>
      <c r="H1048" s="102" t="s">
        <v>1445</v>
      </c>
      <c r="I1048" s="122">
        <v>45240</v>
      </c>
      <c r="J1048" s="103" t="s">
        <v>1270</v>
      </c>
      <c r="K1048" s="103" t="s">
        <v>1512</v>
      </c>
      <c r="L1048" s="103"/>
      <c r="M1048" s="105">
        <v>105189</v>
      </c>
      <c r="N1048" s="147">
        <v>19985.91</v>
      </c>
      <c r="O1048" s="147">
        <v>0</v>
      </c>
      <c r="P1048" s="148">
        <v>0</v>
      </c>
      <c r="Q1048" s="147">
        <v>0</v>
      </c>
      <c r="R1048" s="149">
        <v>125174.91</v>
      </c>
      <c r="S10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8" s="150">
        <f ca="1">+IF(PROVEEDORES[[#This Row],[FECHA DE PAGO]]=0,TODAY()-PROVEEDORES[[#This Row],[FECHA DE FACTURACIÓN]]-PROVEEDORES[[#This Row],[PLAZO Días]],0)</f>
        <v>0</v>
      </c>
      <c r="U1048" s="150">
        <f>+VLOOKUP(PROVEEDORES[[#This Row],[PROVEEDOR]],Terceros!$A:$E,4,FALSE)</f>
        <v>0.19</v>
      </c>
      <c r="V1048" s="150">
        <f>+YEAR(PROVEEDORES[[#This Row],[FECHA DE FACTURACIÓN]])</f>
        <v>2023</v>
      </c>
      <c r="W1048" s="150">
        <f>+MATCH(PROVEEDORES[[#This Row],[año facturado]],Retenciones!$1:$1,0)</f>
        <v>6</v>
      </c>
      <c r="X1048" s="151" t="e">
        <f>+VLOOKUP(PROVEEDORES[[#This Row],[ID RETENCION]],Retenciones!$A$1:$O$25,PROVEEDORES[[#This Row],[indicador de columna]],FALSE)</f>
        <v>#N/A</v>
      </c>
      <c r="Y1048" s="152" t="e">
        <f>+VLOOKUP(PROVEEDORES[[#This Row],[ID RETENCION]],Retenciones!$A$1:$O$25,2,FALSE)</f>
        <v>#N/A</v>
      </c>
      <c r="Z1048" s="153" t="b">
        <f>+OR(COUNTIF(PROVEEDORES[[#This Row],[PROVEEDOR]],"*"&amp;'Palabra que no opera y Listas d'!$A$2&amp;"*"))</f>
        <v>0</v>
      </c>
    </row>
    <row r="1049" spans="1:26" ht="27.75" customHeight="1" x14ac:dyDescent="0.3">
      <c r="A1049" s="144" t="str">
        <f>+IF(PROVEEDORES[[#This Row],[FECHA DE PAGO]]=PROVEEDORES[[#This Row],[FECHA DE FACTURACIÓN]],"DE CONTADO","CRÉDITO")</f>
        <v>CRÉDITO</v>
      </c>
      <c r="B1049" s="144" t="str">
        <f>+IF((PROVEEDORES[[#This Row],[FECHA DE PAGO]]-PROVEEDORES[[#This Row],[FECHA DE FACTURACIÓN]])&gt;PROVEEDORES[[#This Row],[PLAZO Días]],"PAGO VENCIDO")</f>
        <v>PAGO VENCIDO</v>
      </c>
      <c r="C1049" s="144">
        <f>+VLOOKUP(PROVEEDORES[[#This Row],[PROVEEDOR]],TERCEROS_INFO[#All],2,FALSE)</f>
        <v>0</v>
      </c>
      <c r="D1049" s="145">
        <f>+SUMIFS(PROVEEDORES[Total],PROVEEDORES[PROVEEDOR],PROVEEDORES[[#This Row],[PROVEEDOR]],PROVEEDORES[FECHA DE PAGO],"")</f>
        <v>7281829.8799999999</v>
      </c>
      <c r="E1049" s="146"/>
      <c r="F1049" s="144" t="str">
        <f>+VLOOKUP(PROVEEDORES[[#This Row],[PROVEEDOR]],
                       Terceros!$A:$G,
                       5,
                       FALSE)</f>
        <v>2,5% con base</v>
      </c>
      <c r="G1049" s="122">
        <v>45278</v>
      </c>
      <c r="H1049" s="102" t="s">
        <v>1445</v>
      </c>
      <c r="I1049" s="122">
        <v>45245</v>
      </c>
      <c r="J1049" s="103" t="s">
        <v>1271</v>
      </c>
      <c r="K1049" s="103" t="s">
        <v>1512</v>
      </c>
      <c r="L1049" s="103"/>
      <c r="M1049" s="105">
        <v>3617549</v>
      </c>
      <c r="N1049" s="147">
        <v>687334.31</v>
      </c>
      <c r="O1049" s="147">
        <v>0</v>
      </c>
      <c r="P1049" s="148">
        <v>2.5000000000000001E-2</v>
      </c>
      <c r="Q1049" s="147">
        <v>90438.725000000006</v>
      </c>
      <c r="R1049" s="149">
        <v>4214444.5850000009</v>
      </c>
      <c r="S10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9" s="150">
        <f ca="1">+IF(PROVEEDORES[[#This Row],[FECHA DE PAGO]]=0,TODAY()-PROVEEDORES[[#This Row],[FECHA DE FACTURACIÓN]]-PROVEEDORES[[#This Row],[PLAZO Días]],0)</f>
        <v>0</v>
      </c>
      <c r="U1049" s="150">
        <f>+VLOOKUP(PROVEEDORES[[#This Row],[PROVEEDOR]],Terceros!$A:$E,4,FALSE)</f>
        <v>0.19</v>
      </c>
      <c r="V1049" s="150">
        <f>+YEAR(PROVEEDORES[[#This Row],[FECHA DE FACTURACIÓN]])</f>
        <v>2023</v>
      </c>
      <c r="W1049" s="150">
        <f>+MATCH(PROVEEDORES[[#This Row],[año facturado]],Retenciones!$1:$1,0)</f>
        <v>6</v>
      </c>
      <c r="X1049" s="151" t="e">
        <f>+VLOOKUP(PROVEEDORES[[#This Row],[ID RETENCION]],Retenciones!$A$1:$O$25,PROVEEDORES[[#This Row],[indicador de columna]],FALSE)</f>
        <v>#N/A</v>
      </c>
      <c r="Y1049" s="152" t="e">
        <f>+VLOOKUP(PROVEEDORES[[#This Row],[ID RETENCION]],Retenciones!$A$1:$O$25,2,FALSE)</f>
        <v>#N/A</v>
      </c>
      <c r="Z1049" s="153" t="b">
        <f>+OR(COUNTIF(PROVEEDORES[[#This Row],[PROVEEDOR]],"*"&amp;'Palabra que no opera y Listas d'!$A$2&amp;"*"))</f>
        <v>0</v>
      </c>
    </row>
    <row r="1050" spans="1:26" ht="27.75" customHeight="1" x14ac:dyDescent="0.3">
      <c r="A1050" s="144" t="str">
        <f>+IF(PROVEEDORES[[#This Row],[FECHA DE PAGO]]=PROVEEDORES[[#This Row],[FECHA DE FACTURACIÓN]],"DE CONTADO","CRÉDITO")</f>
        <v>CRÉDITO</v>
      </c>
      <c r="B1050" s="144" t="str">
        <f>+IF((PROVEEDORES[[#This Row],[FECHA DE PAGO]]-PROVEEDORES[[#This Row],[FECHA DE FACTURACIÓN]])&gt;PROVEEDORES[[#This Row],[PLAZO Días]],"PAGO VENCIDO")</f>
        <v>PAGO VENCIDO</v>
      </c>
      <c r="C1050" s="144">
        <f>+VLOOKUP(PROVEEDORES[[#This Row],[PROVEEDOR]],TERCEROS_INFO[#All],2,FALSE)</f>
        <v>0</v>
      </c>
      <c r="D1050" s="145">
        <f>+SUMIFS(PROVEEDORES[Total],PROVEEDORES[PROVEEDOR],PROVEEDORES[[#This Row],[PROVEEDOR]],PROVEEDORES[FECHA DE PAGO],"")</f>
        <v>31839627.134999998</v>
      </c>
      <c r="E1050" s="146"/>
      <c r="F1050" s="144" t="str">
        <f>+VLOOKUP(PROVEEDORES[[#This Row],[PROVEEDOR]],
                       Terceros!$A:$G,
                       5,
                       FALSE)</f>
        <v>2,5% con base</v>
      </c>
      <c r="G1050" s="122">
        <v>45278</v>
      </c>
      <c r="H1050" s="102" t="s">
        <v>17</v>
      </c>
      <c r="I1050" s="122">
        <v>45245</v>
      </c>
      <c r="J1050" s="103" t="s">
        <v>1260</v>
      </c>
      <c r="K1050" s="103" t="s">
        <v>1512</v>
      </c>
      <c r="L1050" s="103"/>
      <c r="M1050" s="105">
        <v>1809303</v>
      </c>
      <c r="N1050" s="147">
        <v>343767.57</v>
      </c>
      <c r="O1050" s="147">
        <v>0</v>
      </c>
      <c r="P1050" s="148">
        <v>2.5000000000000001E-2</v>
      </c>
      <c r="Q1050" s="147">
        <v>45232.575000000004</v>
      </c>
      <c r="R1050" s="149">
        <v>2107837.9949999996</v>
      </c>
      <c r="S10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0" s="150">
        <f ca="1">+IF(PROVEEDORES[[#This Row],[FECHA DE PAGO]]=0,TODAY()-PROVEEDORES[[#This Row],[FECHA DE FACTURACIÓN]]-PROVEEDORES[[#This Row],[PLAZO Días]],0)</f>
        <v>0</v>
      </c>
      <c r="U1050" s="150">
        <f>+VLOOKUP(PROVEEDORES[[#This Row],[PROVEEDOR]],Terceros!$A:$E,4,FALSE)</f>
        <v>0.19</v>
      </c>
      <c r="V1050" s="150">
        <f>+YEAR(PROVEEDORES[[#This Row],[FECHA DE FACTURACIÓN]])</f>
        <v>2023</v>
      </c>
      <c r="W1050" s="150">
        <f>+MATCH(PROVEEDORES[[#This Row],[año facturado]],Retenciones!$1:$1,0)</f>
        <v>6</v>
      </c>
      <c r="X1050" s="151" t="e">
        <f>+VLOOKUP(PROVEEDORES[[#This Row],[ID RETENCION]],Retenciones!$A$1:$O$25,PROVEEDORES[[#This Row],[indicador de columna]],FALSE)</f>
        <v>#N/A</v>
      </c>
      <c r="Y1050" s="152" t="e">
        <f>+VLOOKUP(PROVEEDORES[[#This Row],[ID RETENCION]],Retenciones!$A$1:$O$25,2,FALSE)</f>
        <v>#N/A</v>
      </c>
      <c r="Z1050" s="153" t="b">
        <f>+OR(COUNTIF(PROVEEDORES[[#This Row],[PROVEEDOR]],"*"&amp;'Palabra que no opera y Listas d'!$A$2&amp;"*"))</f>
        <v>0</v>
      </c>
    </row>
    <row r="1051" spans="1:26" ht="27.75" customHeight="1" x14ac:dyDescent="0.3">
      <c r="A1051" s="144" t="str">
        <f>+IF(PROVEEDORES[[#This Row],[FECHA DE PAGO]]=PROVEEDORES[[#This Row],[FECHA DE FACTURACIÓN]],"DE CONTADO","CRÉDITO")</f>
        <v>CRÉDITO</v>
      </c>
      <c r="B1051" s="144" t="str">
        <f>+IF((PROVEEDORES[[#This Row],[FECHA DE PAGO]]-PROVEEDORES[[#This Row],[FECHA DE FACTURACIÓN]])&gt;PROVEEDORES[[#This Row],[PLAZO Días]],"PAGO VENCIDO")</f>
        <v>PAGO VENCIDO</v>
      </c>
      <c r="C1051" s="144">
        <f>+VLOOKUP(PROVEEDORES[[#This Row],[PROVEEDOR]],TERCEROS_INFO[#All],2,FALSE)</f>
        <v>0</v>
      </c>
      <c r="D1051" s="145" t="e">
        <f>+SUMIFS(PROVEEDORES[Total],PROVEEDORES[PROVEEDOR],PROVEEDORES[[#This Row],[PROVEEDOR]],PROVEEDORES[FECHA DE PAGO],"")</f>
        <v>#N/A</v>
      </c>
      <c r="E1051" s="146"/>
      <c r="F1051" s="144">
        <f>+VLOOKUP(PROVEEDORES[[#This Row],[PROVEEDOR]],
                       Terceros!$A:$G,
                       5,
                       FALSE)</f>
        <v>0</v>
      </c>
      <c r="G1051" s="122">
        <v>45278</v>
      </c>
      <c r="H1051" s="102" t="s">
        <v>16</v>
      </c>
      <c r="I1051" s="122">
        <v>45247</v>
      </c>
      <c r="J1051" s="103" t="s">
        <v>1236</v>
      </c>
      <c r="K1051" s="103" t="s">
        <v>1512</v>
      </c>
      <c r="L1051" s="103"/>
      <c r="M1051" s="105">
        <v>1350000</v>
      </c>
      <c r="N1051" s="147">
        <v>256500</v>
      </c>
      <c r="O1051" s="147">
        <v>0</v>
      </c>
      <c r="P1051" s="148">
        <v>0</v>
      </c>
      <c r="Q1051" s="147">
        <v>0</v>
      </c>
      <c r="R1051" s="149">
        <v>1606500</v>
      </c>
      <c r="S10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1" s="150">
        <f ca="1">+IF(PROVEEDORES[[#This Row],[FECHA DE PAGO]]=0,TODAY()-PROVEEDORES[[#This Row],[FECHA DE FACTURACIÓN]]-PROVEEDORES[[#This Row],[PLAZO Días]],0)</f>
        <v>0</v>
      </c>
      <c r="U1051" s="150">
        <f>+VLOOKUP(PROVEEDORES[[#This Row],[PROVEEDOR]],Terceros!$A:$E,4,FALSE)</f>
        <v>0.19</v>
      </c>
      <c r="V1051" s="150">
        <f>+YEAR(PROVEEDORES[[#This Row],[FECHA DE FACTURACIÓN]])</f>
        <v>2023</v>
      </c>
      <c r="W1051" s="150">
        <f>+MATCH(PROVEEDORES[[#This Row],[año facturado]],Retenciones!$1:$1,0)</f>
        <v>6</v>
      </c>
      <c r="X1051" s="151" t="e">
        <f>+VLOOKUP(PROVEEDORES[[#This Row],[ID RETENCION]],Retenciones!$A$1:$O$25,PROVEEDORES[[#This Row],[indicador de columna]],FALSE)</f>
        <v>#N/A</v>
      </c>
      <c r="Y1051" s="152" t="e">
        <f>+VLOOKUP(PROVEEDORES[[#This Row],[ID RETENCION]],Retenciones!$A$1:$O$25,2,FALSE)</f>
        <v>#N/A</v>
      </c>
      <c r="Z1051" s="153" t="b">
        <f>+OR(COUNTIF(PROVEEDORES[[#This Row],[PROVEEDOR]],"*"&amp;'Palabra que no opera y Listas d'!$A$2&amp;"*"))</f>
        <v>0</v>
      </c>
    </row>
    <row r="1052" spans="1:26" ht="27.75" customHeight="1" x14ac:dyDescent="0.3">
      <c r="A1052" s="144" t="str">
        <f>+IF(PROVEEDORES[[#This Row],[FECHA DE PAGO]]=PROVEEDORES[[#This Row],[FECHA DE FACTURACIÓN]],"DE CONTADO","CRÉDITO")</f>
        <v>CRÉDITO</v>
      </c>
      <c r="B1052" s="144" t="str">
        <f>+IF((PROVEEDORES[[#This Row],[FECHA DE PAGO]]-PROVEEDORES[[#This Row],[FECHA DE FACTURACIÓN]])&gt;PROVEEDORES[[#This Row],[PLAZO Días]],"PAGO VENCIDO")</f>
        <v>PAGO VENCIDO</v>
      </c>
      <c r="C1052" s="144">
        <f>+VLOOKUP(PROVEEDORES[[#This Row],[PROVEEDOR]],TERCEROS_INFO[#All],2,FALSE)</f>
        <v>0</v>
      </c>
      <c r="D1052" s="145">
        <f>+SUMIFS(PROVEEDORES[Total],PROVEEDORES[PROVEEDOR],PROVEEDORES[[#This Row],[PROVEEDOR]],PROVEEDORES[FECHA DE PAGO],"")</f>
        <v>26134091.5</v>
      </c>
      <c r="E1052" s="146"/>
      <c r="F1052" s="144">
        <f>+VLOOKUP(PROVEEDORES[[#This Row],[PROVEEDOR]],
                       Terceros!$A:$G,
                       5,
                       FALSE)</f>
        <v>0</v>
      </c>
      <c r="G1052" s="122">
        <v>45278</v>
      </c>
      <c r="H1052" s="102" t="s">
        <v>238</v>
      </c>
      <c r="I1052" s="122">
        <v>45251</v>
      </c>
      <c r="J1052" s="103">
        <v>1831</v>
      </c>
      <c r="K1052" s="103" t="s">
        <v>1512</v>
      </c>
      <c r="L1052" s="103"/>
      <c r="M1052" s="105">
        <v>602000</v>
      </c>
      <c r="N1052" s="147">
        <v>0</v>
      </c>
      <c r="O1052" s="147">
        <v>0</v>
      </c>
      <c r="P1052" s="148">
        <v>0</v>
      </c>
      <c r="Q1052" s="147">
        <v>0</v>
      </c>
      <c r="R1052" s="149">
        <v>602000</v>
      </c>
      <c r="S10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2" s="150">
        <f ca="1">+IF(PROVEEDORES[[#This Row],[FECHA DE PAGO]]=0,TODAY()-PROVEEDORES[[#This Row],[FECHA DE FACTURACIÓN]]-PROVEEDORES[[#This Row],[PLAZO Días]],0)</f>
        <v>0</v>
      </c>
      <c r="U1052" s="150">
        <f>+VLOOKUP(PROVEEDORES[[#This Row],[PROVEEDOR]],Terceros!$A:$E,4,FALSE)</f>
        <v>0</v>
      </c>
      <c r="V1052" s="150">
        <f>+YEAR(PROVEEDORES[[#This Row],[FECHA DE FACTURACIÓN]])</f>
        <v>2023</v>
      </c>
      <c r="W1052" s="150">
        <f>+MATCH(PROVEEDORES[[#This Row],[año facturado]],Retenciones!$1:$1,0)</f>
        <v>6</v>
      </c>
      <c r="X1052" s="151">
        <f>+VLOOKUP(PROVEEDORES[[#This Row],[ID RETENCION]],Retenciones!$A$1:$O$25,PROVEEDORES[[#This Row],[indicador de columna]],FALSE)</f>
        <v>0</v>
      </c>
      <c r="Y1052" s="152">
        <f>+VLOOKUP(PROVEEDORES[[#This Row],[ID RETENCION]],Retenciones!$A$1:$O$25,2,FALSE)</f>
        <v>0</v>
      </c>
      <c r="Z1052" s="153" t="b">
        <f>+OR(COUNTIF(PROVEEDORES[[#This Row],[PROVEEDOR]],"*"&amp;'Palabra que no opera y Listas d'!$A$2&amp;"*"))</f>
        <v>0</v>
      </c>
    </row>
    <row r="1053" spans="1:26" ht="27.75" customHeight="1" x14ac:dyDescent="0.3">
      <c r="A1053" s="144" t="str">
        <f>+IF(PROVEEDORES[[#This Row],[FECHA DE PAGO]]=PROVEEDORES[[#This Row],[FECHA DE FACTURACIÓN]],"DE CONTADO","CRÉDITO")</f>
        <v>CRÉDITO</v>
      </c>
      <c r="B1053" s="144" t="str">
        <f>+IF((PROVEEDORES[[#This Row],[FECHA DE PAGO]]-PROVEEDORES[[#This Row],[FECHA DE FACTURACIÓN]])&gt;PROVEEDORES[[#This Row],[PLAZO Días]],"PAGO VENCIDO")</f>
        <v>PAGO VENCIDO</v>
      </c>
      <c r="C1053" s="144">
        <f>+VLOOKUP(PROVEEDORES[[#This Row],[PROVEEDOR]],TERCEROS_INFO[#All],2,FALSE)</f>
        <v>0</v>
      </c>
      <c r="D1053" s="145">
        <f>+SUMIFS(PROVEEDORES[Total],PROVEEDORES[PROVEEDOR],PROVEEDORES[[#This Row],[PROVEEDOR]],PROVEEDORES[FECHA DE PAGO],"")</f>
        <v>26134091.5</v>
      </c>
      <c r="E1053" s="146"/>
      <c r="F1053" s="144">
        <f>+VLOOKUP(PROVEEDORES[[#This Row],[PROVEEDOR]],
                       Terceros!$A:$G,
                       5,
                       FALSE)</f>
        <v>0</v>
      </c>
      <c r="G1053" s="122">
        <v>45278</v>
      </c>
      <c r="H1053" s="102" t="s">
        <v>238</v>
      </c>
      <c r="I1053" s="122">
        <v>45252</v>
      </c>
      <c r="J1053" s="103">
        <v>1832</v>
      </c>
      <c r="K1053" s="103" t="s">
        <v>1512</v>
      </c>
      <c r="L1053" s="103"/>
      <c r="M1053" s="105">
        <v>584800</v>
      </c>
      <c r="N1053" s="147">
        <v>0</v>
      </c>
      <c r="O1053" s="147">
        <v>0</v>
      </c>
      <c r="P1053" s="148">
        <v>0</v>
      </c>
      <c r="Q1053" s="147">
        <v>0</v>
      </c>
      <c r="R1053" s="149">
        <v>584800</v>
      </c>
      <c r="S10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3" s="150">
        <f ca="1">+IF(PROVEEDORES[[#This Row],[FECHA DE PAGO]]=0,TODAY()-PROVEEDORES[[#This Row],[FECHA DE FACTURACIÓN]]-PROVEEDORES[[#This Row],[PLAZO Días]],0)</f>
        <v>0</v>
      </c>
      <c r="U1053" s="150">
        <f>+VLOOKUP(PROVEEDORES[[#This Row],[PROVEEDOR]],Terceros!$A:$E,4,FALSE)</f>
        <v>0</v>
      </c>
      <c r="V1053" s="150">
        <f>+YEAR(PROVEEDORES[[#This Row],[FECHA DE FACTURACIÓN]])</f>
        <v>2023</v>
      </c>
      <c r="W1053" s="150">
        <f>+MATCH(PROVEEDORES[[#This Row],[año facturado]],Retenciones!$1:$1,0)</f>
        <v>6</v>
      </c>
      <c r="X1053" s="151">
        <f>+VLOOKUP(PROVEEDORES[[#This Row],[ID RETENCION]],Retenciones!$A$1:$O$25,PROVEEDORES[[#This Row],[indicador de columna]],FALSE)</f>
        <v>0</v>
      </c>
      <c r="Y1053" s="152">
        <f>+VLOOKUP(PROVEEDORES[[#This Row],[ID RETENCION]],Retenciones!$A$1:$O$25,2,FALSE)</f>
        <v>0</v>
      </c>
      <c r="Z1053" s="153" t="b">
        <f>+OR(COUNTIF(PROVEEDORES[[#This Row],[PROVEEDOR]],"*"&amp;'Palabra que no opera y Listas d'!$A$2&amp;"*"))</f>
        <v>0</v>
      </c>
    </row>
    <row r="1054" spans="1:26" ht="27.75" customHeight="1" x14ac:dyDescent="0.3">
      <c r="A1054" s="144" t="str">
        <f>+IF(PROVEEDORES[[#This Row],[FECHA DE PAGO]]=PROVEEDORES[[#This Row],[FECHA DE FACTURACIÓN]],"DE CONTADO","CRÉDITO")</f>
        <v>CRÉDITO</v>
      </c>
      <c r="B1054" s="144" t="str">
        <f>+IF((PROVEEDORES[[#This Row],[FECHA DE PAGO]]-PROVEEDORES[[#This Row],[FECHA DE FACTURACIÓN]])&gt;PROVEEDORES[[#This Row],[PLAZO Días]],"PAGO VENCIDO")</f>
        <v>PAGO VENCIDO</v>
      </c>
      <c r="C1054" s="144">
        <f>+VLOOKUP(PROVEEDORES[[#This Row],[PROVEEDOR]],TERCEROS_INFO[#All],2,FALSE)</f>
        <v>0</v>
      </c>
      <c r="D1054" s="145" t="e">
        <f>+SUMIFS(PROVEEDORES[Total],PROVEEDORES[PROVEEDOR],PROVEEDORES[[#This Row],[PROVEEDOR]],PROVEEDORES[FECHA DE PAGO],"")</f>
        <v>#N/A</v>
      </c>
      <c r="E1054" s="146"/>
      <c r="F1054" s="144">
        <f>+VLOOKUP(PROVEEDORES[[#This Row],[PROVEEDOR]],
                       Terceros!$A:$G,
                       5,
                       FALSE)</f>
        <v>0</v>
      </c>
      <c r="G1054" s="122">
        <v>45278</v>
      </c>
      <c r="H1054" s="102" t="s">
        <v>16</v>
      </c>
      <c r="I1054" s="122">
        <v>45257</v>
      </c>
      <c r="J1054" s="103" t="s">
        <v>1272</v>
      </c>
      <c r="K1054" s="103" t="s">
        <v>1512</v>
      </c>
      <c r="L1054" s="103"/>
      <c r="M1054" s="105">
        <v>137997.5</v>
      </c>
      <c r="N1054" s="147">
        <v>26219.525000000001</v>
      </c>
      <c r="O1054" s="147">
        <v>0</v>
      </c>
      <c r="P1054" s="148">
        <v>0</v>
      </c>
      <c r="Q1054" s="147">
        <v>0</v>
      </c>
      <c r="R1054" s="149">
        <v>164217.02499999999</v>
      </c>
      <c r="S10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4" s="150">
        <f ca="1">+IF(PROVEEDORES[[#This Row],[FECHA DE PAGO]]=0,TODAY()-PROVEEDORES[[#This Row],[FECHA DE FACTURACIÓN]]-PROVEEDORES[[#This Row],[PLAZO Días]],0)</f>
        <v>0</v>
      </c>
      <c r="U1054" s="150">
        <f>+VLOOKUP(PROVEEDORES[[#This Row],[PROVEEDOR]],Terceros!$A:$E,4,FALSE)</f>
        <v>0.19</v>
      </c>
      <c r="V1054" s="150">
        <f>+YEAR(PROVEEDORES[[#This Row],[FECHA DE FACTURACIÓN]])</f>
        <v>2023</v>
      </c>
      <c r="W1054" s="150">
        <f>+MATCH(PROVEEDORES[[#This Row],[año facturado]],Retenciones!$1:$1,0)</f>
        <v>6</v>
      </c>
      <c r="X1054" s="151" t="e">
        <f>+VLOOKUP(PROVEEDORES[[#This Row],[ID RETENCION]],Retenciones!$A$1:$O$25,PROVEEDORES[[#This Row],[indicador de columna]],FALSE)</f>
        <v>#N/A</v>
      </c>
      <c r="Y1054" s="152" t="e">
        <f>+VLOOKUP(PROVEEDORES[[#This Row],[ID RETENCION]],Retenciones!$A$1:$O$25,2,FALSE)</f>
        <v>#N/A</v>
      </c>
      <c r="Z1054" s="153" t="b">
        <f>+OR(COUNTIF(PROVEEDORES[[#This Row],[PROVEEDOR]],"*"&amp;'Palabra que no opera y Listas d'!$A$2&amp;"*"))</f>
        <v>0</v>
      </c>
    </row>
    <row r="1055" spans="1:26" ht="27.75" customHeight="1" x14ac:dyDescent="0.3">
      <c r="A1055" s="144" t="str">
        <f>+IF(PROVEEDORES[[#This Row],[FECHA DE PAGO]]=PROVEEDORES[[#This Row],[FECHA DE FACTURACIÓN]],"DE CONTADO","CRÉDITO")</f>
        <v>CRÉDITO</v>
      </c>
      <c r="B1055" s="144" t="str">
        <f>+IF((PROVEEDORES[[#This Row],[FECHA DE PAGO]]-PROVEEDORES[[#This Row],[FECHA DE FACTURACIÓN]])&gt;PROVEEDORES[[#This Row],[PLAZO Días]],"PAGO VENCIDO")</f>
        <v>PAGO VENCIDO</v>
      </c>
      <c r="C1055" s="144">
        <f>+VLOOKUP(PROVEEDORES[[#This Row],[PROVEEDOR]],TERCEROS_INFO[#All],2,FALSE)</f>
        <v>0</v>
      </c>
      <c r="D1055" s="145">
        <f>+SUMIFS(PROVEEDORES[Total],PROVEEDORES[PROVEEDOR],PROVEEDORES[[#This Row],[PROVEEDOR]],PROVEEDORES[FECHA DE PAGO],"")</f>
        <v>26134091.5</v>
      </c>
      <c r="E1055" s="146"/>
      <c r="F1055" s="144">
        <f>+VLOOKUP(PROVEEDORES[[#This Row],[PROVEEDOR]],
                       Terceros!$A:$G,
                       5,
                       FALSE)</f>
        <v>0</v>
      </c>
      <c r="G1055" s="122">
        <v>45278</v>
      </c>
      <c r="H1055" s="102" t="s">
        <v>238</v>
      </c>
      <c r="I1055" s="122">
        <v>45260</v>
      </c>
      <c r="J1055" s="103">
        <v>1835</v>
      </c>
      <c r="K1055" s="103" t="s">
        <v>1512</v>
      </c>
      <c r="L1055" s="103"/>
      <c r="M1055" s="105">
        <v>172000</v>
      </c>
      <c r="N1055" s="147">
        <v>0</v>
      </c>
      <c r="O1055" s="147">
        <v>0</v>
      </c>
      <c r="P1055" s="148">
        <v>0</v>
      </c>
      <c r="Q1055" s="147">
        <v>0</v>
      </c>
      <c r="R1055" s="149">
        <v>172000</v>
      </c>
      <c r="S10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5" s="150">
        <f ca="1">+IF(PROVEEDORES[[#This Row],[FECHA DE PAGO]]=0,TODAY()-PROVEEDORES[[#This Row],[FECHA DE FACTURACIÓN]]-PROVEEDORES[[#This Row],[PLAZO Días]],0)</f>
        <v>0</v>
      </c>
      <c r="U1055" s="150">
        <f>+VLOOKUP(PROVEEDORES[[#This Row],[PROVEEDOR]],Terceros!$A:$E,4,FALSE)</f>
        <v>0</v>
      </c>
      <c r="V1055" s="150">
        <f>+YEAR(PROVEEDORES[[#This Row],[FECHA DE FACTURACIÓN]])</f>
        <v>2023</v>
      </c>
      <c r="W1055" s="150">
        <f>+MATCH(PROVEEDORES[[#This Row],[año facturado]],Retenciones!$1:$1,0)</f>
        <v>6</v>
      </c>
      <c r="X1055" s="151">
        <f>+VLOOKUP(PROVEEDORES[[#This Row],[ID RETENCION]],Retenciones!$A$1:$O$25,PROVEEDORES[[#This Row],[indicador de columna]],FALSE)</f>
        <v>0</v>
      </c>
      <c r="Y1055" s="152">
        <f>+VLOOKUP(PROVEEDORES[[#This Row],[ID RETENCION]],Retenciones!$A$1:$O$25,2,FALSE)</f>
        <v>0</v>
      </c>
      <c r="Z1055" s="153" t="b">
        <f>+OR(COUNTIF(PROVEEDORES[[#This Row],[PROVEEDOR]],"*"&amp;'Palabra que no opera y Listas d'!$A$2&amp;"*"))</f>
        <v>0</v>
      </c>
    </row>
    <row r="1056" spans="1:26" ht="27.75" customHeight="1" x14ac:dyDescent="0.3">
      <c r="A1056" s="144" t="str">
        <f>+IF(PROVEEDORES[[#This Row],[FECHA DE PAGO]]=PROVEEDORES[[#This Row],[FECHA DE FACTURACIÓN]],"DE CONTADO","CRÉDITO")</f>
        <v>CRÉDITO</v>
      </c>
      <c r="B1056" s="144" t="str">
        <f>+IF((PROVEEDORES[[#This Row],[FECHA DE PAGO]]-PROVEEDORES[[#This Row],[FECHA DE FACTURACIÓN]])&gt;PROVEEDORES[[#This Row],[PLAZO Días]],"PAGO VENCIDO")</f>
        <v>PAGO VENCIDO</v>
      </c>
      <c r="C1056" s="144">
        <f>+VLOOKUP(PROVEEDORES[[#This Row],[PROVEEDOR]],TERCEROS_INFO[#All],2,FALSE)</f>
        <v>0</v>
      </c>
      <c r="D1056" s="145">
        <f>+SUMIFS(PROVEEDORES[Total],PROVEEDORES[PROVEEDOR],PROVEEDORES[[#This Row],[PROVEEDOR]],PROVEEDORES[FECHA DE PAGO],"")</f>
        <v>26134091.5</v>
      </c>
      <c r="E1056" s="146"/>
      <c r="F1056" s="144">
        <f>+VLOOKUP(PROVEEDORES[[#This Row],[PROVEEDOR]],
                       Terceros!$A:$G,
                       5,
                       FALSE)</f>
        <v>0</v>
      </c>
      <c r="G1056" s="122">
        <v>45278</v>
      </c>
      <c r="H1056" s="102" t="s">
        <v>238</v>
      </c>
      <c r="I1056" s="122">
        <v>45260</v>
      </c>
      <c r="J1056" s="103">
        <v>1836</v>
      </c>
      <c r="K1056" s="103" t="s">
        <v>1512</v>
      </c>
      <c r="L1056" s="103"/>
      <c r="M1056" s="105">
        <v>447200</v>
      </c>
      <c r="N1056" s="147">
        <v>0</v>
      </c>
      <c r="O1056" s="147">
        <v>0</v>
      </c>
      <c r="P1056" s="148">
        <v>0</v>
      </c>
      <c r="Q1056" s="147">
        <v>0</v>
      </c>
      <c r="R1056" s="149">
        <v>447200</v>
      </c>
      <c r="S10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6" s="150">
        <f ca="1">+IF(PROVEEDORES[[#This Row],[FECHA DE PAGO]]=0,TODAY()-PROVEEDORES[[#This Row],[FECHA DE FACTURACIÓN]]-PROVEEDORES[[#This Row],[PLAZO Días]],0)</f>
        <v>0</v>
      </c>
      <c r="U1056" s="150">
        <f>+VLOOKUP(PROVEEDORES[[#This Row],[PROVEEDOR]],Terceros!$A:$E,4,FALSE)</f>
        <v>0</v>
      </c>
      <c r="V1056" s="150">
        <f>+YEAR(PROVEEDORES[[#This Row],[FECHA DE FACTURACIÓN]])</f>
        <v>2023</v>
      </c>
      <c r="W1056" s="150">
        <f>+MATCH(PROVEEDORES[[#This Row],[año facturado]],Retenciones!$1:$1,0)</f>
        <v>6</v>
      </c>
      <c r="X1056" s="151">
        <f>+VLOOKUP(PROVEEDORES[[#This Row],[ID RETENCION]],Retenciones!$A$1:$O$25,PROVEEDORES[[#This Row],[indicador de columna]],FALSE)</f>
        <v>0</v>
      </c>
      <c r="Y1056" s="152">
        <f>+VLOOKUP(PROVEEDORES[[#This Row],[ID RETENCION]],Retenciones!$A$1:$O$25,2,FALSE)</f>
        <v>0</v>
      </c>
      <c r="Z1056" s="153" t="b">
        <f>+OR(COUNTIF(PROVEEDORES[[#This Row],[PROVEEDOR]],"*"&amp;'Palabra que no opera y Listas d'!$A$2&amp;"*"))</f>
        <v>0</v>
      </c>
    </row>
    <row r="1057" spans="1:26" ht="27.75" customHeight="1" x14ac:dyDescent="0.3">
      <c r="A1057" s="144" t="str">
        <f>+IF(PROVEEDORES[[#This Row],[FECHA DE PAGO]]=PROVEEDORES[[#This Row],[FECHA DE FACTURACIÓN]],"DE CONTADO","CRÉDITO")</f>
        <v>CRÉDITO</v>
      </c>
      <c r="B1057" s="144" t="str">
        <f>+IF((PROVEEDORES[[#This Row],[FECHA DE PAGO]]-PROVEEDORES[[#This Row],[FECHA DE FACTURACIÓN]])&gt;PROVEEDORES[[#This Row],[PLAZO Días]],"PAGO VENCIDO")</f>
        <v>PAGO VENCIDO</v>
      </c>
      <c r="C1057" s="144">
        <f>+VLOOKUP(PROVEEDORES[[#This Row],[PROVEEDOR]],TERCEROS_INFO[#All],2,FALSE)</f>
        <v>0</v>
      </c>
      <c r="D1057" s="145">
        <f>+SUMIFS(PROVEEDORES[Total],PROVEEDORES[PROVEEDOR],PROVEEDORES[[#This Row],[PROVEEDOR]],PROVEEDORES[FECHA DE PAGO],"")</f>
        <v>26134091.5</v>
      </c>
      <c r="E1057" s="146"/>
      <c r="F1057" s="144">
        <f>+VLOOKUP(PROVEEDORES[[#This Row],[PROVEEDOR]],
                       Terceros!$A:$G,
                       5,
                       FALSE)</f>
        <v>0</v>
      </c>
      <c r="G1057" s="122">
        <v>45278</v>
      </c>
      <c r="H1057" s="102" t="s">
        <v>238</v>
      </c>
      <c r="I1057" s="122">
        <v>45260</v>
      </c>
      <c r="J1057" s="103">
        <v>1837</v>
      </c>
      <c r="K1057" s="103" t="s">
        <v>1512</v>
      </c>
      <c r="L1057" s="103"/>
      <c r="M1057" s="105">
        <v>516000</v>
      </c>
      <c r="N1057" s="147">
        <v>0</v>
      </c>
      <c r="O1057" s="147">
        <v>0</v>
      </c>
      <c r="P1057" s="148">
        <v>0</v>
      </c>
      <c r="Q1057" s="147">
        <v>0</v>
      </c>
      <c r="R1057" s="149">
        <v>516000</v>
      </c>
      <c r="S10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7" s="150">
        <f ca="1">+IF(PROVEEDORES[[#This Row],[FECHA DE PAGO]]=0,TODAY()-PROVEEDORES[[#This Row],[FECHA DE FACTURACIÓN]]-PROVEEDORES[[#This Row],[PLAZO Días]],0)</f>
        <v>0</v>
      </c>
      <c r="U1057" s="150">
        <f>+VLOOKUP(PROVEEDORES[[#This Row],[PROVEEDOR]],Terceros!$A:$E,4,FALSE)</f>
        <v>0</v>
      </c>
      <c r="V1057" s="150">
        <f>+YEAR(PROVEEDORES[[#This Row],[FECHA DE FACTURACIÓN]])</f>
        <v>2023</v>
      </c>
      <c r="W1057" s="150">
        <f>+MATCH(PROVEEDORES[[#This Row],[año facturado]],Retenciones!$1:$1,0)</f>
        <v>6</v>
      </c>
      <c r="X1057" s="151">
        <f>+VLOOKUP(PROVEEDORES[[#This Row],[ID RETENCION]],Retenciones!$A$1:$O$25,PROVEEDORES[[#This Row],[indicador de columna]],FALSE)</f>
        <v>0</v>
      </c>
      <c r="Y1057" s="152">
        <f>+VLOOKUP(PROVEEDORES[[#This Row],[ID RETENCION]],Retenciones!$A$1:$O$25,2,FALSE)</f>
        <v>0</v>
      </c>
      <c r="Z1057" s="153" t="b">
        <f>+OR(COUNTIF(PROVEEDORES[[#This Row],[PROVEEDOR]],"*"&amp;'Palabra que no opera y Listas d'!$A$2&amp;"*"))</f>
        <v>0</v>
      </c>
    </row>
    <row r="1058" spans="1:26" ht="27.75" customHeight="1" x14ac:dyDescent="0.3">
      <c r="A1058" s="144" t="str">
        <f>+IF(PROVEEDORES[[#This Row],[FECHA DE PAGO]]=PROVEEDORES[[#This Row],[FECHA DE FACTURACIÓN]],"DE CONTADO","CRÉDITO")</f>
        <v>CRÉDITO</v>
      </c>
      <c r="B1058" s="144" t="str">
        <f>+IF((PROVEEDORES[[#This Row],[FECHA DE PAGO]]-PROVEEDORES[[#This Row],[FECHA DE FACTURACIÓN]])&gt;PROVEEDORES[[#This Row],[PLAZO Días]],"PAGO VENCIDO")</f>
        <v>PAGO VENCIDO</v>
      </c>
      <c r="C1058" s="144">
        <f>+VLOOKUP(PROVEEDORES[[#This Row],[PROVEEDOR]],TERCEROS_INFO[#All],2,FALSE)</f>
        <v>0</v>
      </c>
      <c r="D1058" s="145">
        <f>+SUMIFS(PROVEEDORES[Total],PROVEEDORES[PROVEEDOR],PROVEEDORES[[#This Row],[PROVEEDOR]],PROVEEDORES[FECHA DE PAGO],"")</f>
        <v>26134091.5</v>
      </c>
      <c r="E1058" s="146"/>
      <c r="F1058" s="144">
        <f>+VLOOKUP(PROVEEDORES[[#This Row],[PROVEEDOR]],
                       Terceros!$A:$G,
                       5,
                       FALSE)</f>
        <v>0</v>
      </c>
      <c r="G1058" s="122">
        <v>45278</v>
      </c>
      <c r="H1058" s="102" t="s">
        <v>238</v>
      </c>
      <c r="I1058" s="122">
        <v>45260</v>
      </c>
      <c r="J1058" s="103">
        <v>1841</v>
      </c>
      <c r="K1058" s="103" t="s">
        <v>1512</v>
      </c>
      <c r="L1058" s="103"/>
      <c r="M1058" s="105">
        <v>1097790</v>
      </c>
      <c r="N1058" s="147">
        <v>0</v>
      </c>
      <c r="O1058" s="147">
        <v>0</v>
      </c>
      <c r="P1058" s="148">
        <v>0</v>
      </c>
      <c r="Q1058" s="147">
        <v>0</v>
      </c>
      <c r="R1058" s="149">
        <v>1097790</v>
      </c>
      <c r="S10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8" s="150">
        <f ca="1">+IF(PROVEEDORES[[#This Row],[FECHA DE PAGO]]=0,TODAY()-PROVEEDORES[[#This Row],[FECHA DE FACTURACIÓN]]-PROVEEDORES[[#This Row],[PLAZO Días]],0)</f>
        <v>0</v>
      </c>
      <c r="U1058" s="150">
        <f>+VLOOKUP(PROVEEDORES[[#This Row],[PROVEEDOR]],Terceros!$A:$E,4,FALSE)</f>
        <v>0</v>
      </c>
      <c r="V1058" s="150">
        <f>+YEAR(PROVEEDORES[[#This Row],[FECHA DE FACTURACIÓN]])</f>
        <v>2023</v>
      </c>
      <c r="W1058" s="150">
        <f>+MATCH(PROVEEDORES[[#This Row],[año facturado]],Retenciones!$1:$1,0)</f>
        <v>6</v>
      </c>
      <c r="X1058" s="151">
        <f>+VLOOKUP(PROVEEDORES[[#This Row],[ID RETENCION]],Retenciones!$A$1:$O$25,PROVEEDORES[[#This Row],[indicador de columna]],FALSE)</f>
        <v>0</v>
      </c>
      <c r="Y1058" s="152">
        <f>+VLOOKUP(PROVEEDORES[[#This Row],[ID RETENCION]],Retenciones!$A$1:$O$25,2,FALSE)</f>
        <v>0</v>
      </c>
      <c r="Z1058" s="153" t="b">
        <f>+OR(COUNTIF(PROVEEDORES[[#This Row],[PROVEEDOR]],"*"&amp;'Palabra que no opera y Listas d'!$A$2&amp;"*"))</f>
        <v>0</v>
      </c>
    </row>
    <row r="1059" spans="1:26" ht="27.75" customHeight="1" x14ac:dyDescent="0.3">
      <c r="A1059" s="144" t="str">
        <f>+IF(PROVEEDORES[[#This Row],[FECHA DE PAGO]]=PROVEEDORES[[#This Row],[FECHA DE FACTURACIÓN]],"DE CONTADO","CRÉDITO")</f>
        <v>CRÉDITO</v>
      </c>
      <c r="B1059" s="144" t="str">
        <f>+IF((PROVEEDORES[[#This Row],[FECHA DE PAGO]]-PROVEEDORES[[#This Row],[FECHA DE FACTURACIÓN]])&gt;PROVEEDORES[[#This Row],[PLAZO Días]],"PAGO VENCIDO")</f>
        <v>PAGO VENCIDO</v>
      </c>
      <c r="C1059" s="144">
        <f>+VLOOKUP(PROVEEDORES[[#This Row],[PROVEEDOR]],TERCEROS_INFO[#All],2,FALSE)</f>
        <v>0</v>
      </c>
      <c r="D1059" s="145">
        <f>+SUMIFS(PROVEEDORES[Total],PROVEEDORES[PROVEEDOR],PROVEEDORES[[#This Row],[PROVEEDOR]],PROVEEDORES[FECHA DE PAGO],"")</f>
        <v>26134091.5</v>
      </c>
      <c r="E1059" s="146"/>
      <c r="F1059" s="144">
        <f>+VLOOKUP(PROVEEDORES[[#This Row],[PROVEEDOR]],
                       Terceros!$A:$G,
                       5,
                       FALSE)</f>
        <v>0</v>
      </c>
      <c r="G1059" s="122">
        <v>45278</v>
      </c>
      <c r="H1059" s="102" t="s">
        <v>238</v>
      </c>
      <c r="I1059" s="122">
        <v>45260</v>
      </c>
      <c r="J1059" s="103">
        <v>1851</v>
      </c>
      <c r="K1059" s="103" t="s">
        <v>1512</v>
      </c>
      <c r="L1059" s="103"/>
      <c r="M1059" s="105">
        <v>756800</v>
      </c>
      <c r="N1059" s="147">
        <v>0</v>
      </c>
      <c r="O1059" s="147">
        <v>0</v>
      </c>
      <c r="P1059" s="148">
        <v>0</v>
      </c>
      <c r="Q1059" s="147">
        <v>0</v>
      </c>
      <c r="R1059" s="149">
        <v>756800</v>
      </c>
      <c r="S10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9" s="150">
        <f ca="1">+IF(PROVEEDORES[[#This Row],[FECHA DE PAGO]]=0,TODAY()-PROVEEDORES[[#This Row],[FECHA DE FACTURACIÓN]]-PROVEEDORES[[#This Row],[PLAZO Días]],0)</f>
        <v>0</v>
      </c>
      <c r="U1059" s="150">
        <f>+VLOOKUP(PROVEEDORES[[#This Row],[PROVEEDOR]],Terceros!$A:$E,4,FALSE)</f>
        <v>0</v>
      </c>
      <c r="V1059" s="150">
        <f>+YEAR(PROVEEDORES[[#This Row],[FECHA DE FACTURACIÓN]])</f>
        <v>2023</v>
      </c>
      <c r="W1059" s="150">
        <f>+MATCH(PROVEEDORES[[#This Row],[año facturado]],Retenciones!$1:$1,0)</f>
        <v>6</v>
      </c>
      <c r="X1059" s="151">
        <f>+VLOOKUP(PROVEEDORES[[#This Row],[ID RETENCION]],Retenciones!$A$1:$O$25,PROVEEDORES[[#This Row],[indicador de columna]],FALSE)</f>
        <v>0</v>
      </c>
      <c r="Y1059" s="152">
        <f>+VLOOKUP(PROVEEDORES[[#This Row],[ID RETENCION]],Retenciones!$A$1:$O$25,2,FALSE)</f>
        <v>0</v>
      </c>
      <c r="Z1059" s="153" t="b">
        <f>+OR(COUNTIF(PROVEEDORES[[#This Row],[PROVEEDOR]],"*"&amp;'Palabra que no opera y Listas d'!$A$2&amp;"*"))</f>
        <v>0</v>
      </c>
    </row>
    <row r="1060" spans="1:26" ht="27.75" customHeight="1" x14ac:dyDescent="0.3">
      <c r="A1060" s="144" t="str">
        <f>+IF(PROVEEDORES[[#This Row],[FECHA DE PAGO]]=PROVEEDORES[[#This Row],[FECHA DE FACTURACIÓN]],"DE CONTADO","CRÉDITO")</f>
        <v>CRÉDITO</v>
      </c>
      <c r="B1060" s="144" t="str">
        <f>+IF((PROVEEDORES[[#This Row],[FECHA DE PAGO]]-PROVEEDORES[[#This Row],[FECHA DE FACTURACIÓN]])&gt;PROVEEDORES[[#This Row],[PLAZO Días]],"PAGO VENCIDO")</f>
        <v>PAGO VENCIDO</v>
      </c>
      <c r="C1060" s="144">
        <f>+VLOOKUP(PROVEEDORES[[#This Row],[PROVEEDOR]],TERCEROS_INFO[#All],2,FALSE)</f>
        <v>0</v>
      </c>
      <c r="D1060" s="145">
        <f>+SUMIFS(PROVEEDORES[Total],PROVEEDORES[PROVEEDOR],PROVEEDORES[[#This Row],[PROVEEDOR]],PROVEEDORES[FECHA DE PAGO],"")</f>
        <v>26134091.5</v>
      </c>
      <c r="E1060" s="146"/>
      <c r="F1060" s="144">
        <f>+VLOOKUP(PROVEEDORES[[#This Row],[PROVEEDOR]],
                       Terceros!$A:$G,
                       5,
                       FALSE)</f>
        <v>0</v>
      </c>
      <c r="G1060" s="122">
        <v>45278</v>
      </c>
      <c r="H1060" s="102" t="s">
        <v>238</v>
      </c>
      <c r="I1060" s="122">
        <v>45260</v>
      </c>
      <c r="J1060" s="103">
        <v>1850</v>
      </c>
      <c r="K1060" s="103" t="s">
        <v>1512</v>
      </c>
      <c r="L1060" s="103"/>
      <c r="M1060" s="105">
        <v>1177770</v>
      </c>
      <c r="N1060" s="147">
        <v>0</v>
      </c>
      <c r="O1060" s="147">
        <v>0</v>
      </c>
      <c r="P1060" s="148">
        <v>0</v>
      </c>
      <c r="Q1060" s="147">
        <v>0</v>
      </c>
      <c r="R1060" s="149">
        <v>1177770</v>
      </c>
      <c r="S10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0" s="150">
        <f ca="1">+IF(PROVEEDORES[[#This Row],[FECHA DE PAGO]]=0,TODAY()-PROVEEDORES[[#This Row],[FECHA DE FACTURACIÓN]]-PROVEEDORES[[#This Row],[PLAZO Días]],0)</f>
        <v>0</v>
      </c>
      <c r="U1060" s="150">
        <f>+VLOOKUP(PROVEEDORES[[#This Row],[PROVEEDOR]],Terceros!$A:$E,4,FALSE)</f>
        <v>0</v>
      </c>
      <c r="V1060" s="150">
        <f>+YEAR(PROVEEDORES[[#This Row],[FECHA DE FACTURACIÓN]])</f>
        <v>2023</v>
      </c>
      <c r="W1060" s="150">
        <f>+MATCH(PROVEEDORES[[#This Row],[año facturado]],Retenciones!$1:$1,0)</f>
        <v>6</v>
      </c>
      <c r="X1060" s="151">
        <f>+VLOOKUP(PROVEEDORES[[#This Row],[ID RETENCION]],Retenciones!$A$1:$O$25,PROVEEDORES[[#This Row],[indicador de columna]],FALSE)</f>
        <v>0</v>
      </c>
      <c r="Y1060" s="152">
        <f>+VLOOKUP(PROVEEDORES[[#This Row],[ID RETENCION]],Retenciones!$A$1:$O$25,2,FALSE)</f>
        <v>0</v>
      </c>
      <c r="Z1060" s="153" t="b">
        <f>+OR(COUNTIF(PROVEEDORES[[#This Row],[PROVEEDOR]],"*"&amp;'Palabra que no opera y Listas d'!$A$2&amp;"*"))</f>
        <v>0</v>
      </c>
    </row>
    <row r="1061" spans="1:26" ht="27.75" customHeight="1" x14ac:dyDescent="0.3">
      <c r="A1061" s="144" t="str">
        <f>+IF(PROVEEDORES[[#This Row],[FECHA DE PAGO]]=PROVEEDORES[[#This Row],[FECHA DE FACTURACIÓN]],"DE CONTADO","CRÉDITO")</f>
        <v>CRÉDITO</v>
      </c>
      <c r="B1061" s="144" t="str">
        <f>+IF((PROVEEDORES[[#This Row],[FECHA DE PAGO]]-PROVEEDORES[[#This Row],[FECHA DE FACTURACIÓN]])&gt;PROVEEDORES[[#This Row],[PLAZO Días]],"PAGO VENCIDO")</f>
        <v>PAGO VENCIDO</v>
      </c>
      <c r="C1061" s="144">
        <f>+VLOOKUP(PROVEEDORES[[#This Row],[PROVEEDOR]],TERCEROS_INFO[#All],2,FALSE)</f>
        <v>0</v>
      </c>
      <c r="D1061" s="145">
        <f>+SUMIFS(PROVEEDORES[Total],PROVEEDORES[PROVEEDOR],PROVEEDORES[[#This Row],[PROVEEDOR]],PROVEEDORES[FECHA DE PAGO],"")</f>
        <v>26134091.5</v>
      </c>
      <c r="E1061" s="146"/>
      <c r="F1061" s="144">
        <f>+VLOOKUP(PROVEEDORES[[#This Row],[PROVEEDOR]],
                       Terceros!$A:$G,
                       5,
                       FALSE)</f>
        <v>0</v>
      </c>
      <c r="G1061" s="122">
        <v>45278</v>
      </c>
      <c r="H1061" s="102" t="s">
        <v>238</v>
      </c>
      <c r="I1061" s="122">
        <v>45264</v>
      </c>
      <c r="J1061" s="103">
        <v>1853</v>
      </c>
      <c r="K1061" s="103" t="s">
        <v>516</v>
      </c>
      <c r="L1061" s="103"/>
      <c r="M1061" s="105">
        <v>619200</v>
      </c>
      <c r="N1061" s="147">
        <v>0</v>
      </c>
      <c r="O1061" s="147">
        <v>0</v>
      </c>
      <c r="P1061" s="148">
        <v>0</v>
      </c>
      <c r="Q1061" s="147">
        <v>0</v>
      </c>
      <c r="R1061" s="149">
        <v>619200</v>
      </c>
      <c r="S10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1" s="150">
        <f ca="1">+IF(PROVEEDORES[[#This Row],[FECHA DE PAGO]]=0,TODAY()-PROVEEDORES[[#This Row],[FECHA DE FACTURACIÓN]]-PROVEEDORES[[#This Row],[PLAZO Días]],0)</f>
        <v>0</v>
      </c>
      <c r="U1061" s="150">
        <f>+VLOOKUP(PROVEEDORES[[#This Row],[PROVEEDOR]],Terceros!$A:$E,4,FALSE)</f>
        <v>0</v>
      </c>
      <c r="V1061" s="150">
        <f>+YEAR(PROVEEDORES[[#This Row],[FECHA DE FACTURACIÓN]])</f>
        <v>2023</v>
      </c>
      <c r="W1061" s="150">
        <f>+MATCH(PROVEEDORES[[#This Row],[año facturado]],Retenciones!$1:$1,0)</f>
        <v>6</v>
      </c>
      <c r="X1061" s="151">
        <f>+VLOOKUP(PROVEEDORES[[#This Row],[ID RETENCION]],Retenciones!$A$1:$O$25,PROVEEDORES[[#This Row],[indicador de columna]],FALSE)</f>
        <v>0</v>
      </c>
      <c r="Y1061" s="152">
        <f>+VLOOKUP(PROVEEDORES[[#This Row],[ID RETENCION]],Retenciones!$A$1:$O$25,2,FALSE)</f>
        <v>0</v>
      </c>
      <c r="Z1061" s="153" t="b">
        <f>+OR(COUNTIF(PROVEEDORES[[#This Row],[PROVEEDOR]],"*"&amp;'Palabra que no opera y Listas d'!$A$2&amp;"*"))</f>
        <v>0</v>
      </c>
    </row>
    <row r="1062" spans="1:26" ht="27.75" customHeight="1" x14ac:dyDescent="0.3">
      <c r="A1062" s="144" t="str">
        <f>+IF(PROVEEDORES[[#This Row],[FECHA DE PAGO]]=PROVEEDORES[[#This Row],[FECHA DE FACTURACIÓN]],"DE CONTADO","CRÉDITO")</f>
        <v>CRÉDITO</v>
      </c>
      <c r="B1062" s="144" t="str">
        <f>+IF((PROVEEDORES[[#This Row],[FECHA DE PAGO]]-PROVEEDORES[[#This Row],[FECHA DE FACTURACIÓN]])&gt;PROVEEDORES[[#This Row],[PLAZO Días]],"PAGO VENCIDO")</f>
        <v>PAGO VENCIDO</v>
      </c>
      <c r="C1062" s="144">
        <f>+VLOOKUP(PROVEEDORES[[#This Row],[PROVEEDOR]],TERCEROS_INFO[#All],2,FALSE)</f>
        <v>0</v>
      </c>
      <c r="D1062" s="145">
        <f>+SUMIFS(PROVEEDORES[Total],PROVEEDORES[PROVEEDOR],PROVEEDORES[[#This Row],[PROVEEDOR]],PROVEEDORES[FECHA DE PAGO],"")</f>
        <v>26134091.5</v>
      </c>
      <c r="E1062" s="146"/>
      <c r="F1062" s="144">
        <f>+VLOOKUP(PROVEEDORES[[#This Row],[PROVEEDOR]],
                       Terceros!$A:$G,
                       5,
                       FALSE)</f>
        <v>0</v>
      </c>
      <c r="G1062" s="122">
        <v>45278</v>
      </c>
      <c r="H1062" s="102" t="s">
        <v>238</v>
      </c>
      <c r="I1062" s="122">
        <v>45267</v>
      </c>
      <c r="J1062" s="103">
        <v>1854</v>
      </c>
      <c r="K1062" s="103" t="s">
        <v>1512</v>
      </c>
      <c r="L1062" s="103"/>
      <c r="M1062" s="105">
        <v>344000</v>
      </c>
      <c r="N1062" s="147">
        <v>0</v>
      </c>
      <c r="O1062" s="147">
        <v>0</v>
      </c>
      <c r="P1062" s="148">
        <v>0</v>
      </c>
      <c r="Q1062" s="147">
        <v>0</v>
      </c>
      <c r="R1062" s="149">
        <v>344000</v>
      </c>
      <c r="S10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2" s="150">
        <f ca="1">+IF(PROVEEDORES[[#This Row],[FECHA DE PAGO]]=0,TODAY()-PROVEEDORES[[#This Row],[FECHA DE FACTURACIÓN]]-PROVEEDORES[[#This Row],[PLAZO Días]],0)</f>
        <v>0</v>
      </c>
      <c r="U1062" s="150">
        <f>+VLOOKUP(PROVEEDORES[[#This Row],[PROVEEDOR]],Terceros!$A:$E,4,FALSE)</f>
        <v>0</v>
      </c>
      <c r="V1062" s="150">
        <f>+YEAR(PROVEEDORES[[#This Row],[FECHA DE FACTURACIÓN]])</f>
        <v>2023</v>
      </c>
      <c r="W1062" s="150">
        <f>+MATCH(PROVEEDORES[[#This Row],[año facturado]],Retenciones!$1:$1,0)</f>
        <v>6</v>
      </c>
      <c r="X1062" s="151">
        <f>+VLOOKUP(PROVEEDORES[[#This Row],[ID RETENCION]],Retenciones!$A$1:$O$25,PROVEEDORES[[#This Row],[indicador de columna]],FALSE)</f>
        <v>0</v>
      </c>
      <c r="Y1062" s="152">
        <f>+VLOOKUP(PROVEEDORES[[#This Row],[ID RETENCION]],Retenciones!$A$1:$O$25,2,FALSE)</f>
        <v>0</v>
      </c>
      <c r="Z1062" s="153" t="b">
        <f>+OR(COUNTIF(PROVEEDORES[[#This Row],[PROVEEDOR]],"*"&amp;'Palabra que no opera y Listas d'!$A$2&amp;"*"))</f>
        <v>0</v>
      </c>
    </row>
    <row r="1063" spans="1:26" ht="27.75" customHeight="1" x14ac:dyDescent="0.3">
      <c r="A1063" s="144" t="str">
        <f>+IF(PROVEEDORES[[#This Row],[FECHA DE PAGO]]=PROVEEDORES[[#This Row],[FECHA DE FACTURACIÓN]],"DE CONTADO","CRÉDITO")</f>
        <v>CRÉDITO</v>
      </c>
      <c r="B1063" s="144" t="str">
        <f>+IF((PROVEEDORES[[#This Row],[FECHA DE PAGO]]-PROVEEDORES[[#This Row],[FECHA DE FACTURACIÓN]])&gt;PROVEEDORES[[#This Row],[PLAZO Días]],"PAGO VENCIDO")</f>
        <v>PAGO VENCIDO</v>
      </c>
      <c r="C1063" s="144">
        <f>+VLOOKUP(PROVEEDORES[[#This Row],[PROVEEDOR]],TERCEROS_INFO[#All],2,FALSE)</f>
        <v>0</v>
      </c>
      <c r="D1063" s="145">
        <f>+SUMIFS(PROVEEDORES[Total],PROVEEDORES[PROVEEDOR],PROVEEDORES[[#This Row],[PROVEEDOR]],PROVEEDORES[FECHA DE PAGO],"")</f>
        <v>26134091.5</v>
      </c>
      <c r="E1063" s="146"/>
      <c r="F1063" s="144">
        <f>+VLOOKUP(PROVEEDORES[[#This Row],[PROVEEDOR]],
                       Terceros!$A:$G,
                       5,
                       FALSE)</f>
        <v>0</v>
      </c>
      <c r="G1063" s="122">
        <v>45278</v>
      </c>
      <c r="H1063" s="102" t="s">
        <v>238</v>
      </c>
      <c r="I1063" s="122">
        <v>45267</v>
      </c>
      <c r="J1063" s="103">
        <v>1863</v>
      </c>
      <c r="K1063" s="103" t="s">
        <v>1512</v>
      </c>
      <c r="L1063" s="103"/>
      <c r="M1063" s="105">
        <v>430000</v>
      </c>
      <c r="N1063" s="147">
        <v>0</v>
      </c>
      <c r="O1063" s="147">
        <v>0</v>
      </c>
      <c r="P1063" s="148">
        <v>0</v>
      </c>
      <c r="Q1063" s="147">
        <v>0</v>
      </c>
      <c r="R1063" s="149">
        <v>430000</v>
      </c>
      <c r="S10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3" s="150">
        <f ca="1">+IF(PROVEEDORES[[#This Row],[FECHA DE PAGO]]=0,TODAY()-PROVEEDORES[[#This Row],[FECHA DE FACTURACIÓN]]-PROVEEDORES[[#This Row],[PLAZO Días]],0)</f>
        <v>0</v>
      </c>
      <c r="U1063" s="150">
        <f>+VLOOKUP(PROVEEDORES[[#This Row],[PROVEEDOR]],Terceros!$A:$E,4,FALSE)</f>
        <v>0</v>
      </c>
      <c r="V1063" s="150">
        <f>+YEAR(PROVEEDORES[[#This Row],[FECHA DE FACTURACIÓN]])</f>
        <v>2023</v>
      </c>
      <c r="W1063" s="150">
        <f>+MATCH(PROVEEDORES[[#This Row],[año facturado]],Retenciones!$1:$1,0)</f>
        <v>6</v>
      </c>
      <c r="X1063" s="151">
        <f>+VLOOKUP(PROVEEDORES[[#This Row],[ID RETENCION]],Retenciones!$A$1:$O$25,PROVEEDORES[[#This Row],[indicador de columna]],FALSE)</f>
        <v>0</v>
      </c>
      <c r="Y1063" s="152">
        <f>+VLOOKUP(PROVEEDORES[[#This Row],[ID RETENCION]],Retenciones!$A$1:$O$25,2,FALSE)</f>
        <v>0</v>
      </c>
      <c r="Z1063" s="153" t="b">
        <f>+OR(COUNTIF(PROVEEDORES[[#This Row],[PROVEEDOR]],"*"&amp;'Palabra que no opera y Listas d'!$A$2&amp;"*"))</f>
        <v>0</v>
      </c>
    </row>
    <row r="1064" spans="1:26" ht="27.75" customHeight="1" x14ac:dyDescent="0.3">
      <c r="A1064" s="144" t="str">
        <f>+IF(PROVEEDORES[[#This Row],[FECHA DE PAGO]]=PROVEEDORES[[#This Row],[FECHA DE FACTURACIÓN]],"DE CONTADO","CRÉDITO")</f>
        <v>DE CONTADO</v>
      </c>
      <c r="B1064" s="144" t="b">
        <f>+IF((PROVEEDORES[[#This Row],[FECHA DE PAGO]]-PROVEEDORES[[#This Row],[FECHA DE FACTURACIÓN]])&gt;PROVEEDORES[[#This Row],[PLAZO Días]],"PAGO VENCIDO")</f>
        <v>0</v>
      </c>
      <c r="C1064" s="144">
        <f>+VLOOKUP(PROVEEDORES[[#This Row],[PROVEEDOR]],TERCEROS_INFO[#All],2,FALSE)</f>
        <v>0</v>
      </c>
      <c r="D1064" s="145">
        <f>+SUMIFS(PROVEEDORES[Total],PROVEEDORES[PROVEEDOR],PROVEEDORES[[#This Row],[PROVEEDOR]],PROVEEDORES[FECHA DE PAGO],"")</f>
        <v>224000</v>
      </c>
      <c r="E1064" s="146"/>
      <c r="F1064" s="144">
        <f>+VLOOKUP(PROVEEDORES[[#This Row],[PROVEEDOR]],
                       Terceros!$A:$G,
                       5,
                       FALSE)</f>
        <v>0</v>
      </c>
      <c r="G1064" s="122">
        <v>45278</v>
      </c>
      <c r="H1064" s="102" t="s">
        <v>539</v>
      </c>
      <c r="I1064" s="122">
        <v>45278</v>
      </c>
      <c r="J1064" s="103" t="s">
        <v>1422</v>
      </c>
      <c r="K1064" s="103" t="s">
        <v>1512</v>
      </c>
      <c r="L1064" s="103"/>
      <c r="M1064" s="105">
        <v>34500</v>
      </c>
      <c r="N1064" s="147">
        <v>0</v>
      </c>
      <c r="O1064" s="147">
        <v>0</v>
      </c>
      <c r="P1064" s="148">
        <v>0</v>
      </c>
      <c r="Q1064" s="147">
        <v>0</v>
      </c>
      <c r="R1064" s="149">
        <v>34500</v>
      </c>
      <c r="S10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4" s="150">
        <f ca="1">+IF(PROVEEDORES[[#This Row],[FECHA DE PAGO]]=0,TODAY()-PROVEEDORES[[#This Row],[FECHA DE FACTURACIÓN]]-PROVEEDORES[[#This Row],[PLAZO Días]],0)</f>
        <v>0</v>
      </c>
      <c r="U1064" s="150">
        <f>+VLOOKUP(PROVEEDORES[[#This Row],[PROVEEDOR]],Terceros!$A:$E,4,FALSE)</f>
        <v>0</v>
      </c>
      <c r="V1064" s="150">
        <f>+YEAR(PROVEEDORES[[#This Row],[FECHA DE FACTURACIÓN]])</f>
        <v>2023</v>
      </c>
      <c r="W1064" s="150">
        <f>+MATCH(PROVEEDORES[[#This Row],[año facturado]],Retenciones!$1:$1,0)</f>
        <v>6</v>
      </c>
      <c r="X1064" s="151">
        <f>+VLOOKUP(PROVEEDORES[[#This Row],[ID RETENCION]],Retenciones!$A$1:$O$25,PROVEEDORES[[#This Row],[indicador de columna]],FALSE)</f>
        <v>0</v>
      </c>
      <c r="Y1064" s="152">
        <f>+VLOOKUP(PROVEEDORES[[#This Row],[ID RETENCION]],Retenciones!$A$1:$O$25,2,FALSE)</f>
        <v>0</v>
      </c>
      <c r="Z1064" s="153" t="b">
        <f>+OR(COUNTIF(PROVEEDORES[[#This Row],[PROVEEDOR]],"*"&amp;'Palabra que no opera y Listas d'!$A$2&amp;"*"))</f>
        <v>0</v>
      </c>
    </row>
    <row r="1065" spans="1:26" ht="27.75" customHeight="1" x14ac:dyDescent="0.3">
      <c r="A1065" s="144" t="str">
        <f>+IF(PROVEEDORES[[#This Row],[FECHA DE PAGO]]=PROVEEDORES[[#This Row],[FECHA DE FACTURACIÓN]],"DE CONTADO","CRÉDITO")</f>
        <v>DE CONTADO</v>
      </c>
      <c r="B1065" s="144" t="b">
        <f>+IF((PROVEEDORES[[#This Row],[FECHA DE PAGO]]-PROVEEDORES[[#This Row],[FECHA DE FACTURACIÓN]])&gt;PROVEEDORES[[#This Row],[PLAZO Días]],"PAGO VENCIDO")</f>
        <v>0</v>
      </c>
      <c r="C1065" s="144">
        <f>+VLOOKUP(PROVEEDORES[[#This Row],[PROVEEDOR]],TERCEROS_INFO[#All],2,FALSE)</f>
        <v>0</v>
      </c>
      <c r="D1065" s="145">
        <f>+SUMIFS(PROVEEDORES[Total],PROVEEDORES[PROVEEDOR],PROVEEDORES[[#This Row],[PROVEEDOR]],PROVEEDORES[FECHA DE PAGO],"")</f>
        <v>224000</v>
      </c>
      <c r="E1065" s="146"/>
      <c r="F1065" s="144">
        <f>+VLOOKUP(PROVEEDORES[[#This Row],[PROVEEDOR]],
                       Terceros!$A:$G,
                       5,
                       FALSE)</f>
        <v>0</v>
      </c>
      <c r="G1065" s="122">
        <v>45278</v>
      </c>
      <c r="H1065" s="102" t="s">
        <v>539</v>
      </c>
      <c r="I1065" s="122">
        <v>45278</v>
      </c>
      <c r="J1065" s="103" t="s">
        <v>1481</v>
      </c>
      <c r="K1065" s="103" t="s">
        <v>1512</v>
      </c>
      <c r="L1065" s="103"/>
      <c r="M1065" s="105">
        <v>418000</v>
      </c>
      <c r="N1065" s="147">
        <v>0</v>
      </c>
      <c r="O1065" s="147">
        <v>0</v>
      </c>
      <c r="P1065" s="148">
        <v>0</v>
      </c>
      <c r="Q1065" s="147">
        <v>0</v>
      </c>
      <c r="R1065" s="149">
        <v>418000</v>
      </c>
      <c r="S10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5" s="150">
        <f ca="1">+IF(PROVEEDORES[[#This Row],[FECHA DE PAGO]]=0,TODAY()-PROVEEDORES[[#This Row],[FECHA DE FACTURACIÓN]]-PROVEEDORES[[#This Row],[PLAZO Días]],0)</f>
        <v>0</v>
      </c>
      <c r="U1065" s="150">
        <f>+VLOOKUP(PROVEEDORES[[#This Row],[PROVEEDOR]],Terceros!$A:$E,4,FALSE)</f>
        <v>0</v>
      </c>
      <c r="V1065" s="150">
        <f>+YEAR(PROVEEDORES[[#This Row],[FECHA DE FACTURACIÓN]])</f>
        <v>2023</v>
      </c>
      <c r="W1065" s="150">
        <f>+MATCH(PROVEEDORES[[#This Row],[año facturado]],Retenciones!$1:$1,0)</f>
        <v>6</v>
      </c>
      <c r="X1065" s="151">
        <f>+VLOOKUP(PROVEEDORES[[#This Row],[ID RETENCION]],Retenciones!$A$1:$O$25,PROVEEDORES[[#This Row],[indicador de columna]],FALSE)</f>
        <v>0</v>
      </c>
      <c r="Y1065" s="152">
        <f>+VLOOKUP(PROVEEDORES[[#This Row],[ID RETENCION]],Retenciones!$A$1:$O$25,2,FALSE)</f>
        <v>0</v>
      </c>
      <c r="Z1065" s="153" t="b">
        <f>+OR(COUNTIF(PROVEEDORES[[#This Row],[PROVEEDOR]],"*"&amp;'Palabra que no opera y Listas d'!$A$2&amp;"*"))</f>
        <v>0</v>
      </c>
    </row>
    <row r="1066" spans="1:26" ht="27.75" customHeight="1" x14ac:dyDescent="0.3">
      <c r="A1066" s="144" t="str">
        <f>+IF(PROVEEDORES[[#This Row],[FECHA DE PAGO]]=PROVEEDORES[[#This Row],[FECHA DE FACTURACIÓN]],"DE CONTADO","CRÉDITO")</f>
        <v>DE CONTADO</v>
      </c>
      <c r="B1066" s="144" t="b">
        <f>+IF((PROVEEDORES[[#This Row],[FECHA DE PAGO]]-PROVEEDORES[[#This Row],[FECHA DE FACTURACIÓN]])&gt;PROVEEDORES[[#This Row],[PLAZO Días]],"PAGO VENCIDO")</f>
        <v>0</v>
      </c>
      <c r="C1066" s="144">
        <f>+VLOOKUP(PROVEEDORES[[#This Row],[PROVEEDOR]],TERCEROS_INFO[#All],2,FALSE)</f>
        <v>0</v>
      </c>
      <c r="D1066" s="145">
        <f>+SUMIFS(PROVEEDORES[Total],PROVEEDORES[PROVEEDOR],PROVEEDORES[[#This Row],[PROVEEDOR]],PROVEEDORES[FECHA DE PAGO],"")</f>
        <v>0</v>
      </c>
      <c r="E1066" s="146"/>
      <c r="F1066" s="144" t="str">
        <f>+VLOOKUP(PROVEEDORES[[#This Row],[PROVEEDOR]],
                       Terceros!$A:$G,
                       5,
                       FALSE)</f>
        <v>2,5% con base</v>
      </c>
      <c r="G1066" s="122">
        <v>45278</v>
      </c>
      <c r="H1066" s="102" t="s">
        <v>1340</v>
      </c>
      <c r="I1066" s="122">
        <v>45278</v>
      </c>
      <c r="J1066" s="103" t="s">
        <v>1343</v>
      </c>
      <c r="K1066" s="103" t="s">
        <v>1512</v>
      </c>
      <c r="L1066" s="103"/>
      <c r="M1066" s="105">
        <v>630252</v>
      </c>
      <c r="N1066" s="147">
        <v>119747.88</v>
      </c>
      <c r="O1066" s="147">
        <v>0</v>
      </c>
      <c r="P1066" s="148">
        <v>0</v>
      </c>
      <c r="Q1066" s="147">
        <v>0</v>
      </c>
      <c r="R1066" s="149">
        <v>749999.88</v>
      </c>
      <c r="S10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6" s="150">
        <f ca="1">+IF(PROVEEDORES[[#This Row],[FECHA DE PAGO]]=0,TODAY()-PROVEEDORES[[#This Row],[FECHA DE FACTURACIÓN]]-PROVEEDORES[[#This Row],[PLAZO Días]],0)</f>
        <v>0</v>
      </c>
      <c r="U1066" s="150">
        <f>+VLOOKUP(PROVEEDORES[[#This Row],[PROVEEDOR]],Terceros!$A:$E,4,FALSE)</f>
        <v>0.19</v>
      </c>
      <c r="V1066" s="150">
        <f>+YEAR(PROVEEDORES[[#This Row],[FECHA DE FACTURACIÓN]])</f>
        <v>2023</v>
      </c>
      <c r="W1066" s="150">
        <f>+MATCH(PROVEEDORES[[#This Row],[año facturado]],Retenciones!$1:$1,0)</f>
        <v>6</v>
      </c>
      <c r="X1066" s="151" t="e">
        <f>+VLOOKUP(PROVEEDORES[[#This Row],[ID RETENCION]],Retenciones!$A$1:$O$25,PROVEEDORES[[#This Row],[indicador de columna]],FALSE)</f>
        <v>#N/A</v>
      </c>
      <c r="Y1066" s="152" t="e">
        <f>+VLOOKUP(PROVEEDORES[[#This Row],[ID RETENCION]],Retenciones!$A$1:$O$25,2,FALSE)</f>
        <v>#N/A</v>
      </c>
      <c r="Z1066" s="153" t="b">
        <f>+OR(COUNTIF(PROVEEDORES[[#This Row],[PROVEEDOR]],"*"&amp;'Palabra que no opera y Listas d'!$A$2&amp;"*"))</f>
        <v>0</v>
      </c>
    </row>
    <row r="1067" spans="1:26" ht="27.75" customHeight="1" x14ac:dyDescent="0.3">
      <c r="A1067" s="144" t="str">
        <f>+IF(PROVEEDORES[[#This Row],[FECHA DE PAGO]]=PROVEEDORES[[#This Row],[FECHA DE FACTURACIÓN]],"DE CONTADO","CRÉDITO")</f>
        <v>DE CONTADO</v>
      </c>
      <c r="B1067" s="144" t="b">
        <f>+IF((PROVEEDORES[[#This Row],[FECHA DE PAGO]]-PROVEEDORES[[#This Row],[FECHA DE FACTURACIÓN]])&gt;PROVEEDORES[[#This Row],[PLAZO Días]],"PAGO VENCIDO")</f>
        <v>0</v>
      </c>
      <c r="C1067" s="144">
        <f>+VLOOKUP(PROVEEDORES[[#This Row],[PROVEEDOR]],TERCEROS_INFO[#All],2,FALSE)</f>
        <v>0</v>
      </c>
      <c r="D1067" s="145">
        <f>+SUMIFS(PROVEEDORES[Total],PROVEEDORES[PROVEEDOR],PROVEEDORES[[#This Row],[PROVEEDOR]],PROVEEDORES[FECHA DE PAGO],"")</f>
        <v>0</v>
      </c>
      <c r="E1067" s="146"/>
      <c r="F1067" s="144" t="str">
        <f>+VLOOKUP(PROVEEDORES[[#This Row],[PROVEEDOR]],
                       Terceros!$A:$G,
                       5,
                       FALSE)</f>
        <v>2,5% con base</v>
      </c>
      <c r="G1067" s="122">
        <v>45278</v>
      </c>
      <c r="H1067" s="102" t="s">
        <v>510</v>
      </c>
      <c r="I1067" s="122">
        <v>45278</v>
      </c>
      <c r="J1067" s="103" t="s">
        <v>1344</v>
      </c>
      <c r="K1067" s="103" t="s">
        <v>1512</v>
      </c>
      <c r="L1067" s="103"/>
      <c r="M1067" s="105">
        <v>1000000</v>
      </c>
      <c r="N1067" s="147">
        <v>190000</v>
      </c>
      <c r="O1067" s="147">
        <v>0</v>
      </c>
      <c r="P1067" s="148">
        <v>0</v>
      </c>
      <c r="Q1067" s="147">
        <v>0</v>
      </c>
      <c r="R1067" s="149">
        <v>1190000</v>
      </c>
      <c r="S10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7" s="150">
        <f ca="1">+IF(PROVEEDORES[[#This Row],[FECHA DE PAGO]]=0,TODAY()-PROVEEDORES[[#This Row],[FECHA DE FACTURACIÓN]]-PROVEEDORES[[#This Row],[PLAZO Días]],0)</f>
        <v>0</v>
      </c>
      <c r="U1067" s="150">
        <f>+VLOOKUP(PROVEEDORES[[#This Row],[PROVEEDOR]],Terceros!$A:$E,4,FALSE)</f>
        <v>0.19</v>
      </c>
      <c r="V1067" s="150">
        <f>+YEAR(PROVEEDORES[[#This Row],[FECHA DE FACTURACIÓN]])</f>
        <v>2023</v>
      </c>
      <c r="W1067" s="150">
        <f>+MATCH(PROVEEDORES[[#This Row],[año facturado]],Retenciones!$1:$1,0)</f>
        <v>6</v>
      </c>
      <c r="X1067" s="151" t="e">
        <f>+VLOOKUP(PROVEEDORES[[#This Row],[ID RETENCION]],Retenciones!$A$1:$O$25,PROVEEDORES[[#This Row],[indicador de columna]],FALSE)</f>
        <v>#N/A</v>
      </c>
      <c r="Y1067" s="152" t="e">
        <f>+VLOOKUP(PROVEEDORES[[#This Row],[ID RETENCION]],Retenciones!$A$1:$O$25,2,FALSE)</f>
        <v>#N/A</v>
      </c>
      <c r="Z1067" s="153" t="b">
        <f>+OR(COUNTIF(PROVEEDORES[[#This Row],[PROVEEDOR]],"*"&amp;'Palabra que no opera y Listas d'!$A$2&amp;"*"))</f>
        <v>0</v>
      </c>
    </row>
    <row r="1068" spans="1:26" ht="27.75" customHeight="1" x14ac:dyDescent="0.3">
      <c r="A1068" s="144" t="str">
        <f>+IF(PROVEEDORES[[#This Row],[FECHA DE PAGO]]=PROVEEDORES[[#This Row],[FECHA DE FACTURACIÓN]],"DE CONTADO","CRÉDITO")</f>
        <v>CRÉDITO</v>
      </c>
      <c r="B1068" s="144" t="str">
        <f>+IF((PROVEEDORES[[#This Row],[FECHA DE PAGO]]-PROVEEDORES[[#This Row],[FECHA DE FACTURACIÓN]])&gt;PROVEEDORES[[#This Row],[PLAZO Días]],"PAGO VENCIDO")</f>
        <v>PAGO VENCIDO</v>
      </c>
      <c r="C1068" s="144">
        <f>+VLOOKUP(PROVEEDORES[[#This Row],[PROVEEDOR]],TERCEROS_INFO[#All],2,FALSE)</f>
        <v>0</v>
      </c>
      <c r="D1068" s="145">
        <f>+SUMIFS(PROVEEDORES[Total],PROVEEDORES[PROVEEDOR],PROVEEDORES[[#This Row],[PROVEEDOR]],PROVEEDORES[FECHA DE PAGO],"")</f>
        <v>9349257.8100000005</v>
      </c>
      <c r="E1068" s="146"/>
      <c r="F1068" s="144" t="str">
        <f>+VLOOKUP(PROVEEDORES[[#This Row],[PROVEEDOR]],
                       Terceros!$A:$G,
                       5,
                       FALSE)</f>
        <v>2,5% con base</v>
      </c>
      <c r="G1068" s="122">
        <v>45280</v>
      </c>
      <c r="H1068" s="102" t="s">
        <v>242</v>
      </c>
      <c r="I1068" s="122">
        <v>45246</v>
      </c>
      <c r="J1068" s="103" t="s">
        <v>1253</v>
      </c>
      <c r="K1068" s="103" t="s">
        <v>1512</v>
      </c>
      <c r="L1068" s="103"/>
      <c r="M1068" s="105">
        <v>2491740</v>
      </c>
      <c r="N1068" s="147">
        <v>473430.6</v>
      </c>
      <c r="O1068" s="147">
        <v>0</v>
      </c>
      <c r="P1068" s="148">
        <v>2.5000000000000001E-2</v>
      </c>
      <c r="Q1068" s="147">
        <v>62293.5</v>
      </c>
      <c r="R1068" s="149">
        <v>2902877.1</v>
      </c>
      <c r="S10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8" s="150">
        <f ca="1">+IF(PROVEEDORES[[#This Row],[FECHA DE PAGO]]=0,TODAY()-PROVEEDORES[[#This Row],[FECHA DE FACTURACIÓN]]-PROVEEDORES[[#This Row],[PLAZO Días]],0)</f>
        <v>0</v>
      </c>
      <c r="U1068" s="150">
        <f>+VLOOKUP(PROVEEDORES[[#This Row],[PROVEEDOR]],Terceros!$A:$E,4,FALSE)</f>
        <v>0.19</v>
      </c>
      <c r="V1068" s="150">
        <f>+YEAR(PROVEEDORES[[#This Row],[FECHA DE FACTURACIÓN]])</f>
        <v>2023</v>
      </c>
      <c r="W1068" s="150">
        <f>+MATCH(PROVEEDORES[[#This Row],[año facturado]],Retenciones!$1:$1,0)</f>
        <v>6</v>
      </c>
      <c r="X1068" s="151" t="e">
        <f>+VLOOKUP(PROVEEDORES[[#This Row],[ID RETENCION]],Retenciones!$A$1:$O$25,PROVEEDORES[[#This Row],[indicador de columna]],FALSE)</f>
        <v>#N/A</v>
      </c>
      <c r="Y1068" s="152" t="e">
        <f>+VLOOKUP(PROVEEDORES[[#This Row],[ID RETENCION]],Retenciones!$A$1:$O$25,2,FALSE)</f>
        <v>#N/A</v>
      </c>
      <c r="Z1068" s="153" t="b">
        <f>+OR(COUNTIF(PROVEEDORES[[#This Row],[PROVEEDOR]],"*"&amp;'Palabra que no opera y Listas d'!$A$2&amp;"*"))</f>
        <v>0</v>
      </c>
    </row>
    <row r="1069" spans="1:26" ht="27.75" customHeight="1" x14ac:dyDescent="0.3">
      <c r="A1069" s="144" t="str">
        <f>+IF(PROVEEDORES[[#This Row],[FECHA DE PAGO]]=PROVEEDORES[[#This Row],[FECHA DE FACTURACIÓN]],"DE CONTADO","CRÉDITO")</f>
        <v>CRÉDITO</v>
      </c>
      <c r="B1069" s="144" t="str">
        <f>+IF((PROVEEDORES[[#This Row],[FECHA DE PAGO]]-PROVEEDORES[[#This Row],[FECHA DE FACTURACIÓN]])&gt;PROVEEDORES[[#This Row],[PLAZO Días]],"PAGO VENCIDO")</f>
        <v>PAGO VENCIDO</v>
      </c>
      <c r="C1069" s="144">
        <f>+VLOOKUP(PROVEEDORES[[#This Row],[PROVEEDOR]],TERCEROS_INFO[#All],2,FALSE)</f>
        <v>0</v>
      </c>
      <c r="D1069" s="145">
        <f>+SUMIFS(PROVEEDORES[Total],PROVEEDORES[PROVEEDOR],PROVEEDORES[[#This Row],[PROVEEDOR]],PROVEEDORES[FECHA DE PAGO],"")</f>
        <v>9343197</v>
      </c>
      <c r="E1069" s="146"/>
      <c r="F1069" s="144" t="str">
        <f>+VLOOKUP(PROVEEDORES[[#This Row],[PROVEEDOR]],
                       Terceros!$A:$G,
                       5,
                       FALSE)</f>
        <v>2,5% con base</v>
      </c>
      <c r="G1069" s="122">
        <v>45280</v>
      </c>
      <c r="H1069" s="102" t="s">
        <v>466</v>
      </c>
      <c r="I1069" s="122">
        <v>45247</v>
      </c>
      <c r="J1069" s="103" t="s">
        <v>1256</v>
      </c>
      <c r="K1069" s="103" t="s">
        <v>1512</v>
      </c>
      <c r="L1069" s="103"/>
      <c r="M1069" s="105">
        <v>763000</v>
      </c>
      <c r="N1069" s="147">
        <v>144970</v>
      </c>
      <c r="O1069" s="147">
        <v>0</v>
      </c>
      <c r="P1069" s="148">
        <v>0</v>
      </c>
      <c r="Q1069" s="147">
        <v>0</v>
      </c>
      <c r="R1069" s="149">
        <v>907970</v>
      </c>
      <c r="S10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9" s="150">
        <f ca="1">+IF(PROVEEDORES[[#This Row],[FECHA DE PAGO]]=0,TODAY()-PROVEEDORES[[#This Row],[FECHA DE FACTURACIÓN]]-PROVEEDORES[[#This Row],[PLAZO Días]],0)</f>
        <v>0</v>
      </c>
      <c r="U1069" s="150">
        <f>+VLOOKUP(PROVEEDORES[[#This Row],[PROVEEDOR]],Terceros!$A:$E,4,FALSE)</f>
        <v>0.19</v>
      </c>
      <c r="V1069" s="150">
        <f>+YEAR(PROVEEDORES[[#This Row],[FECHA DE FACTURACIÓN]])</f>
        <v>2023</v>
      </c>
      <c r="W1069" s="150">
        <f>+MATCH(PROVEEDORES[[#This Row],[año facturado]],Retenciones!$1:$1,0)</f>
        <v>6</v>
      </c>
      <c r="X1069" s="151" t="e">
        <f>+VLOOKUP(PROVEEDORES[[#This Row],[ID RETENCION]],Retenciones!$A$1:$O$25,PROVEEDORES[[#This Row],[indicador de columna]],FALSE)</f>
        <v>#N/A</v>
      </c>
      <c r="Y1069" s="152" t="e">
        <f>+VLOOKUP(PROVEEDORES[[#This Row],[ID RETENCION]],Retenciones!$A$1:$O$25,2,FALSE)</f>
        <v>#N/A</v>
      </c>
      <c r="Z1069" s="153" t="b">
        <f>+OR(COUNTIF(PROVEEDORES[[#This Row],[PROVEEDOR]],"*"&amp;'Palabra que no opera y Listas d'!$A$2&amp;"*"))</f>
        <v>0</v>
      </c>
    </row>
    <row r="1070" spans="1:26" ht="27.75" customHeight="1" x14ac:dyDescent="0.3">
      <c r="A1070" s="144" t="str">
        <f>+IF(PROVEEDORES[[#This Row],[FECHA DE PAGO]]=PROVEEDORES[[#This Row],[FECHA DE FACTURACIÓN]],"DE CONTADO","CRÉDITO")</f>
        <v>CRÉDITO</v>
      </c>
      <c r="B1070" s="144" t="str">
        <f>+IF((PROVEEDORES[[#This Row],[FECHA DE PAGO]]-PROVEEDORES[[#This Row],[FECHA DE FACTURACIÓN]])&gt;PROVEEDORES[[#This Row],[PLAZO Días]],"PAGO VENCIDO")</f>
        <v>PAGO VENCIDO</v>
      </c>
      <c r="C1070" s="144">
        <f>+VLOOKUP(PROVEEDORES[[#This Row],[PROVEEDOR]],TERCEROS_INFO[#All],2,FALSE)</f>
        <v>0</v>
      </c>
      <c r="D1070" s="145">
        <f>+SUMIFS(PROVEEDORES[Total],PROVEEDORES[PROVEEDOR],PROVEEDORES[[#This Row],[PROVEEDOR]],PROVEEDORES[FECHA DE PAGO],"")</f>
        <v>9343197</v>
      </c>
      <c r="E1070" s="146"/>
      <c r="F1070" s="144" t="str">
        <f>+VLOOKUP(PROVEEDORES[[#This Row],[PROVEEDOR]],
                       Terceros!$A:$G,
                       5,
                       FALSE)</f>
        <v>2,5% con base</v>
      </c>
      <c r="G1070" s="122">
        <v>45280</v>
      </c>
      <c r="H1070" s="102" t="s">
        <v>466</v>
      </c>
      <c r="I1070" s="122">
        <v>45251</v>
      </c>
      <c r="J1070" s="103" t="s">
        <v>1257</v>
      </c>
      <c r="K1070" s="103" t="s">
        <v>1512</v>
      </c>
      <c r="L1070" s="103"/>
      <c r="M1070" s="105">
        <v>1008000</v>
      </c>
      <c r="N1070" s="147">
        <v>191520</v>
      </c>
      <c r="O1070" s="147">
        <v>0</v>
      </c>
      <c r="P1070" s="148">
        <v>0</v>
      </c>
      <c r="Q1070" s="147">
        <v>0</v>
      </c>
      <c r="R1070" s="149">
        <v>1199520</v>
      </c>
      <c r="S10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0" s="150">
        <f ca="1">+IF(PROVEEDORES[[#This Row],[FECHA DE PAGO]]=0,TODAY()-PROVEEDORES[[#This Row],[FECHA DE FACTURACIÓN]]-PROVEEDORES[[#This Row],[PLAZO Días]],0)</f>
        <v>0</v>
      </c>
      <c r="U1070" s="150">
        <f>+VLOOKUP(PROVEEDORES[[#This Row],[PROVEEDOR]],Terceros!$A:$E,4,FALSE)</f>
        <v>0.19</v>
      </c>
      <c r="V1070" s="150">
        <f>+YEAR(PROVEEDORES[[#This Row],[FECHA DE FACTURACIÓN]])</f>
        <v>2023</v>
      </c>
      <c r="W1070" s="150">
        <f>+MATCH(PROVEEDORES[[#This Row],[año facturado]],Retenciones!$1:$1,0)</f>
        <v>6</v>
      </c>
      <c r="X1070" s="151" t="e">
        <f>+VLOOKUP(PROVEEDORES[[#This Row],[ID RETENCION]],Retenciones!$A$1:$O$25,PROVEEDORES[[#This Row],[indicador de columna]],FALSE)</f>
        <v>#N/A</v>
      </c>
      <c r="Y1070" s="152" t="e">
        <f>+VLOOKUP(PROVEEDORES[[#This Row],[ID RETENCION]],Retenciones!$A$1:$O$25,2,FALSE)</f>
        <v>#N/A</v>
      </c>
      <c r="Z1070" s="153" t="b">
        <f>+OR(COUNTIF(PROVEEDORES[[#This Row],[PROVEEDOR]],"*"&amp;'Palabra que no opera y Listas d'!$A$2&amp;"*"))</f>
        <v>0</v>
      </c>
    </row>
    <row r="1071" spans="1:26" ht="27.75" customHeight="1" x14ac:dyDescent="0.3">
      <c r="A1071" s="144" t="str">
        <f>+IF(PROVEEDORES[[#This Row],[FECHA DE PAGO]]=PROVEEDORES[[#This Row],[FECHA DE FACTURACIÓN]],"DE CONTADO","CRÉDITO")</f>
        <v>CRÉDITO</v>
      </c>
      <c r="B1071" s="144" t="str">
        <f>+IF((PROVEEDORES[[#This Row],[FECHA DE PAGO]]-PROVEEDORES[[#This Row],[FECHA DE FACTURACIÓN]])&gt;PROVEEDORES[[#This Row],[PLAZO Días]],"PAGO VENCIDO")</f>
        <v>PAGO VENCIDO</v>
      </c>
      <c r="C1071" s="144">
        <f>+VLOOKUP(PROVEEDORES[[#This Row],[PROVEEDOR]],TERCEROS_INFO[#All],2,FALSE)</f>
        <v>0</v>
      </c>
      <c r="D1071" s="145">
        <f>+SUMIFS(PROVEEDORES[Total],PROVEEDORES[PROVEEDOR],PROVEEDORES[[#This Row],[PROVEEDOR]],PROVEEDORES[FECHA DE PAGO],"")</f>
        <v>353983.35</v>
      </c>
      <c r="E1071" s="146"/>
      <c r="F1071" s="144" t="str">
        <f>+VLOOKUP(PROVEEDORES[[#This Row],[PROVEEDOR]],
                       Terceros!$A:$G,
                       5,
                       FALSE)</f>
        <v>2,5% con base</v>
      </c>
      <c r="G1071" s="122">
        <v>45280</v>
      </c>
      <c r="H1071" s="102" t="s">
        <v>385</v>
      </c>
      <c r="I1071" s="122">
        <v>45253</v>
      </c>
      <c r="J1071" s="103" t="s">
        <v>1268</v>
      </c>
      <c r="K1071" s="103" t="s">
        <v>1512</v>
      </c>
      <c r="L1071" s="103"/>
      <c r="M1071" s="105">
        <v>545547</v>
      </c>
      <c r="N1071" s="147">
        <v>27277.350000000002</v>
      </c>
      <c r="O1071" s="147">
        <v>0</v>
      </c>
      <c r="P1071" s="148">
        <v>0</v>
      </c>
      <c r="Q1071" s="147">
        <v>0</v>
      </c>
      <c r="R1071" s="149">
        <v>572824.35</v>
      </c>
      <c r="S10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1" s="150">
        <f ca="1">+IF(PROVEEDORES[[#This Row],[FECHA DE PAGO]]=0,TODAY()-PROVEEDORES[[#This Row],[FECHA DE FACTURACIÓN]]-PROVEEDORES[[#This Row],[PLAZO Días]],0)</f>
        <v>0</v>
      </c>
      <c r="U1071" s="150">
        <f>+VLOOKUP(PROVEEDORES[[#This Row],[PROVEEDOR]],Terceros!$A:$E,4,FALSE)</f>
        <v>0.05</v>
      </c>
      <c r="V1071" s="150">
        <f>+YEAR(PROVEEDORES[[#This Row],[FECHA DE FACTURACIÓN]])</f>
        <v>2023</v>
      </c>
      <c r="W1071" s="150">
        <f>+MATCH(PROVEEDORES[[#This Row],[año facturado]],Retenciones!$1:$1,0)</f>
        <v>6</v>
      </c>
      <c r="X1071" s="151" t="e">
        <f>+VLOOKUP(PROVEEDORES[[#This Row],[ID RETENCION]],Retenciones!$A$1:$O$25,PROVEEDORES[[#This Row],[indicador de columna]],FALSE)</f>
        <v>#N/A</v>
      </c>
      <c r="Y1071" s="152" t="e">
        <f>+VLOOKUP(PROVEEDORES[[#This Row],[ID RETENCION]],Retenciones!$A$1:$O$25,2,FALSE)</f>
        <v>#N/A</v>
      </c>
      <c r="Z1071" s="153" t="b">
        <f>+OR(COUNTIF(PROVEEDORES[[#This Row],[PROVEEDOR]],"*"&amp;'Palabra que no opera y Listas d'!$A$2&amp;"*"))</f>
        <v>1</v>
      </c>
    </row>
    <row r="1072" spans="1:26" ht="27.75" customHeight="1" x14ac:dyDescent="0.3">
      <c r="A1072" s="144" t="str">
        <f>+IF(PROVEEDORES[[#This Row],[FECHA DE PAGO]]=PROVEEDORES[[#This Row],[FECHA DE FACTURACIÓN]],"DE CONTADO","CRÉDITO")</f>
        <v>CRÉDITO</v>
      </c>
      <c r="B1072" s="144" t="str">
        <f>+IF((PROVEEDORES[[#This Row],[FECHA DE PAGO]]-PROVEEDORES[[#This Row],[FECHA DE FACTURACIÓN]])&gt;PROVEEDORES[[#This Row],[PLAZO Días]],"PAGO VENCIDO")</f>
        <v>PAGO VENCIDO</v>
      </c>
      <c r="C1072" s="144">
        <f>+VLOOKUP(PROVEEDORES[[#This Row],[PROVEEDOR]],TERCEROS_INFO[#All],2,FALSE)</f>
        <v>0</v>
      </c>
      <c r="D1072" s="145">
        <f>+SUMIFS(PROVEEDORES[Total],PROVEEDORES[PROVEEDOR],PROVEEDORES[[#This Row],[PROVEEDOR]],PROVEEDORES[FECHA DE PAGO],"")</f>
        <v>0</v>
      </c>
      <c r="E1072" s="146"/>
      <c r="F1072" s="144">
        <f>+VLOOKUP(PROVEEDORES[[#This Row],[PROVEEDOR]],
                       Terceros!$A:$G,
                       5,
                       FALSE)</f>
        <v>0</v>
      </c>
      <c r="G1072" s="122">
        <v>45280</v>
      </c>
      <c r="H1072" s="102" t="s">
        <v>845</v>
      </c>
      <c r="I1072" s="122">
        <v>45278</v>
      </c>
      <c r="J1072" s="103" t="s">
        <v>1336</v>
      </c>
      <c r="K1072" s="103" t="s">
        <v>516</v>
      </c>
      <c r="L1072" s="103"/>
      <c r="M1072" s="105">
        <v>500000</v>
      </c>
      <c r="N1072" s="147">
        <v>0</v>
      </c>
      <c r="O1072" s="147">
        <v>0</v>
      </c>
      <c r="P1072" s="148">
        <v>0</v>
      </c>
      <c r="Q1072" s="147">
        <v>0</v>
      </c>
      <c r="R1072" s="149">
        <v>500000</v>
      </c>
      <c r="S10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2" s="150">
        <f ca="1">+IF(PROVEEDORES[[#This Row],[FECHA DE PAGO]]=0,TODAY()-PROVEEDORES[[#This Row],[FECHA DE FACTURACIÓN]]-PROVEEDORES[[#This Row],[PLAZO Días]],0)</f>
        <v>0</v>
      </c>
      <c r="U1072" s="150">
        <f>+VLOOKUP(PROVEEDORES[[#This Row],[PROVEEDOR]],Terceros!$A:$E,4,FALSE)</f>
        <v>0</v>
      </c>
      <c r="V1072" s="150">
        <f>+YEAR(PROVEEDORES[[#This Row],[FECHA DE FACTURACIÓN]])</f>
        <v>2023</v>
      </c>
      <c r="W1072" s="150">
        <f>+MATCH(PROVEEDORES[[#This Row],[año facturado]],Retenciones!$1:$1,0)</f>
        <v>6</v>
      </c>
      <c r="X1072" s="151">
        <f>+VLOOKUP(PROVEEDORES[[#This Row],[ID RETENCION]],Retenciones!$A$1:$O$25,PROVEEDORES[[#This Row],[indicador de columna]],FALSE)</f>
        <v>0</v>
      </c>
      <c r="Y1072" s="152">
        <f>+VLOOKUP(PROVEEDORES[[#This Row],[ID RETENCION]],Retenciones!$A$1:$O$25,2,FALSE)</f>
        <v>0</v>
      </c>
      <c r="Z1072" s="153" t="b">
        <f>+OR(COUNTIF(PROVEEDORES[[#This Row],[PROVEEDOR]],"*"&amp;'Palabra que no opera y Listas d'!$A$2&amp;"*"))</f>
        <v>0</v>
      </c>
    </row>
    <row r="1073" spans="1:26" ht="27.75" customHeight="1" x14ac:dyDescent="0.3">
      <c r="A1073" s="144" t="str">
        <f>+IF(PROVEEDORES[[#This Row],[FECHA DE PAGO]]=PROVEEDORES[[#This Row],[FECHA DE FACTURACIÓN]],"DE CONTADO","CRÉDITO")</f>
        <v>DE CONTADO</v>
      </c>
      <c r="B1073" s="144" t="b">
        <f>+IF((PROVEEDORES[[#This Row],[FECHA DE PAGO]]-PROVEEDORES[[#This Row],[FECHA DE FACTURACIÓN]])&gt;PROVEEDORES[[#This Row],[PLAZO Días]],"PAGO VENCIDO")</f>
        <v>0</v>
      </c>
      <c r="C1073" s="144">
        <f>+VLOOKUP(PROVEEDORES[[#This Row],[PROVEEDOR]],TERCEROS_INFO[#All],2,FALSE)</f>
        <v>0</v>
      </c>
      <c r="D1073" s="145">
        <f>+SUMIFS(PROVEEDORES[Total],PROVEEDORES[PROVEEDOR],PROVEEDORES[[#This Row],[PROVEEDOR]],PROVEEDORES[FECHA DE PAGO],"")</f>
        <v>0</v>
      </c>
      <c r="E1073" s="146"/>
      <c r="F1073" s="144">
        <f>+VLOOKUP(PROVEEDORES[[#This Row],[PROVEEDOR]],
                       Terceros!$A:$G,
                       5,
                       FALSE)</f>
        <v>0</v>
      </c>
      <c r="G1073" s="122">
        <v>45280</v>
      </c>
      <c r="H1073" s="102" t="s">
        <v>537</v>
      </c>
      <c r="I1073" s="122">
        <v>45280</v>
      </c>
      <c r="J1073" s="103" t="s">
        <v>1335</v>
      </c>
      <c r="K1073" s="103" t="s">
        <v>1512</v>
      </c>
      <c r="L1073" s="103"/>
      <c r="M1073" s="105">
        <v>665000</v>
      </c>
      <c r="N1073" s="147">
        <v>0</v>
      </c>
      <c r="O1073" s="147">
        <v>0</v>
      </c>
      <c r="P1073" s="148">
        <v>0</v>
      </c>
      <c r="Q1073" s="147">
        <v>0</v>
      </c>
      <c r="R1073" s="149">
        <v>665000</v>
      </c>
      <c r="S10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3" s="150">
        <f ca="1">+IF(PROVEEDORES[[#This Row],[FECHA DE PAGO]]=0,TODAY()-PROVEEDORES[[#This Row],[FECHA DE FACTURACIÓN]]-PROVEEDORES[[#This Row],[PLAZO Días]],0)</f>
        <v>0</v>
      </c>
      <c r="U1073" s="150">
        <f>+VLOOKUP(PROVEEDORES[[#This Row],[PROVEEDOR]],Terceros!$A:$E,4,FALSE)</f>
        <v>0</v>
      </c>
      <c r="V1073" s="150">
        <f>+YEAR(PROVEEDORES[[#This Row],[FECHA DE FACTURACIÓN]])</f>
        <v>2023</v>
      </c>
      <c r="W1073" s="150">
        <f>+MATCH(PROVEEDORES[[#This Row],[año facturado]],Retenciones!$1:$1,0)</f>
        <v>6</v>
      </c>
      <c r="X1073" s="151">
        <f>+VLOOKUP(PROVEEDORES[[#This Row],[ID RETENCION]],Retenciones!$A$1:$O$25,PROVEEDORES[[#This Row],[indicador de columna]],FALSE)</f>
        <v>0</v>
      </c>
      <c r="Y1073" s="152">
        <f>+VLOOKUP(PROVEEDORES[[#This Row],[ID RETENCION]],Retenciones!$A$1:$O$25,2,FALSE)</f>
        <v>0</v>
      </c>
      <c r="Z1073" s="153" t="b">
        <f>+OR(COUNTIF(PROVEEDORES[[#This Row],[PROVEEDOR]],"*"&amp;'Palabra que no opera y Listas d'!$A$2&amp;"*"))</f>
        <v>0</v>
      </c>
    </row>
    <row r="1074" spans="1:26" ht="27.75" customHeight="1" x14ac:dyDescent="0.3">
      <c r="A1074" s="144" t="str">
        <f>+IF(PROVEEDORES[[#This Row],[FECHA DE PAGO]]=PROVEEDORES[[#This Row],[FECHA DE FACTURACIÓN]],"DE CONTADO","CRÉDITO")</f>
        <v>DE CONTADO</v>
      </c>
      <c r="B1074" s="144" t="b">
        <f>+IF((PROVEEDORES[[#This Row],[FECHA DE PAGO]]-PROVEEDORES[[#This Row],[FECHA DE FACTURACIÓN]])&gt;PROVEEDORES[[#This Row],[PLAZO Días]],"PAGO VENCIDO")</f>
        <v>0</v>
      </c>
      <c r="C1074" s="144">
        <f>+VLOOKUP(PROVEEDORES[[#This Row],[PROVEEDOR]],TERCEROS_INFO[#All],2,FALSE)</f>
        <v>0</v>
      </c>
      <c r="D1074" s="145">
        <f>+SUMIFS(PROVEEDORES[Total],PROVEEDORES[PROVEEDOR],PROVEEDORES[[#This Row],[PROVEEDOR]],PROVEEDORES[FECHA DE PAGO],"")</f>
        <v>0</v>
      </c>
      <c r="E1074" s="146"/>
      <c r="F1074" s="144">
        <f>+VLOOKUP(PROVEEDORES[[#This Row],[PROVEEDOR]],
                       Terceros!$A:$G,
                       5,
                       FALSE)</f>
        <v>0</v>
      </c>
      <c r="G1074" s="122">
        <v>45280</v>
      </c>
      <c r="H1074" s="102" t="s">
        <v>1801</v>
      </c>
      <c r="I1074" s="122">
        <v>45280</v>
      </c>
      <c r="J1074" s="103"/>
      <c r="K1074" s="103" t="s">
        <v>1512</v>
      </c>
      <c r="L1074" s="103"/>
      <c r="M1074" s="105">
        <v>1048450</v>
      </c>
      <c r="N1074" s="147">
        <v>0</v>
      </c>
      <c r="O1074" s="147">
        <v>0</v>
      </c>
      <c r="P1074" s="148">
        <v>0</v>
      </c>
      <c r="Q1074" s="147">
        <v>0</v>
      </c>
      <c r="R1074" s="149">
        <v>1048450</v>
      </c>
      <c r="S10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4" s="150">
        <f ca="1">+IF(PROVEEDORES[[#This Row],[FECHA DE PAGO]]=0,TODAY()-PROVEEDORES[[#This Row],[FECHA DE FACTURACIÓN]]-PROVEEDORES[[#This Row],[PLAZO Días]],0)</f>
        <v>0</v>
      </c>
      <c r="U1074" s="150">
        <f>+VLOOKUP(PROVEEDORES[[#This Row],[PROVEEDOR]],Terceros!$A:$E,4,FALSE)</f>
        <v>0</v>
      </c>
      <c r="V1074" s="150">
        <f>+YEAR(PROVEEDORES[[#This Row],[FECHA DE FACTURACIÓN]])</f>
        <v>2023</v>
      </c>
      <c r="W1074" s="150">
        <f>+MATCH(PROVEEDORES[[#This Row],[año facturado]],Retenciones!$1:$1,0)</f>
        <v>6</v>
      </c>
      <c r="X1074" s="151">
        <f>+VLOOKUP(PROVEEDORES[[#This Row],[ID RETENCION]],Retenciones!$A$1:$O$25,PROVEEDORES[[#This Row],[indicador de columna]],FALSE)</f>
        <v>0</v>
      </c>
      <c r="Y1074" s="152">
        <f>+VLOOKUP(PROVEEDORES[[#This Row],[ID RETENCION]],Retenciones!$A$1:$O$25,2,FALSE)</f>
        <v>0</v>
      </c>
      <c r="Z1074" s="153" t="b">
        <f>+OR(COUNTIF(PROVEEDORES[[#This Row],[PROVEEDOR]],"*"&amp;'Palabra que no opera y Listas d'!$A$2&amp;"*"))</f>
        <v>0</v>
      </c>
    </row>
    <row r="1075" spans="1:26" ht="27.75" customHeight="1" x14ac:dyDescent="0.3">
      <c r="A1075" s="144" t="str">
        <f>+IF(PROVEEDORES[[#This Row],[FECHA DE PAGO]]=PROVEEDORES[[#This Row],[FECHA DE FACTURACIÓN]],"DE CONTADO","CRÉDITO")</f>
        <v>CRÉDITO</v>
      </c>
      <c r="B1075" s="144" t="str">
        <f>+IF((PROVEEDORES[[#This Row],[FECHA DE PAGO]]-PROVEEDORES[[#This Row],[FECHA DE FACTURACIÓN]])&gt;PROVEEDORES[[#This Row],[PLAZO Días]],"PAGO VENCIDO")</f>
        <v>PAGO VENCIDO</v>
      </c>
      <c r="C1075" s="144">
        <f>+VLOOKUP(PROVEEDORES[[#This Row],[PROVEEDOR]],TERCEROS_INFO[#All],2,FALSE)</f>
        <v>0</v>
      </c>
      <c r="D1075" s="145">
        <f>+SUMIFS(PROVEEDORES[Total],PROVEEDORES[PROVEEDOR],PROVEEDORES[[#This Row],[PROVEEDOR]],PROVEEDORES[FECHA DE PAGO],"")</f>
        <v>0</v>
      </c>
      <c r="E1075" s="146"/>
      <c r="F1075" s="144" t="str">
        <f>+VLOOKUP(PROVEEDORES[[#This Row],[PROVEEDOR]],
                       Terceros!$A:$G,
                       5,
                       FALSE)</f>
        <v>2,5% con base</v>
      </c>
      <c r="G1075" s="122">
        <v>45281</v>
      </c>
      <c r="H1075" s="102" t="s">
        <v>1574</v>
      </c>
      <c r="I1075" s="122">
        <v>45246</v>
      </c>
      <c r="J1075" s="103" t="s">
        <v>1248</v>
      </c>
      <c r="K1075" s="103" t="s">
        <v>1512</v>
      </c>
      <c r="L1075" s="103"/>
      <c r="M1075" s="105">
        <v>1996000</v>
      </c>
      <c r="N1075" s="147">
        <v>379240</v>
      </c>
      <c r="O1075" s="147">
        <v>0</v>
      </c>
      <c r="P1075" s="148">
        <v>2.5000000000000001E-2</v>
      </c>
      <c r="Q1075" s="147">
        <v>49900</v>
      </c>
      <c r="R1075" s="149">
        <v>2325340</v>
      </c>
      <c r="S10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5" s="150">
        <f ca="1">+IF(PROVEEDORES[[#This Row],[FECHA DE PAGO]]=0,TODAY()-PROVEEDORES[[#This Row],[FECHA DE FACTURACIÓN]]-PROVEEDORES[[#This Row],[PLAZO Días]],0)</f>
        <v>0</v>
      </c>
      <c r="U1075" s="150">
        <f>+VLOOKUP(PROVEEDORES[[#This Row],[PROVEEDOR]],Terceros!$A:$E,4,FALSE)</f>
        <v>0.19</v>
      </c>
      <c r="V1075" s="150">
        <f>+YEAR(PROVEEDORES[[#This Row],[FECHA DE FACTURACIÓN]])</f>
        <v>2023</v>
      </c>
      <c r="W1075" s="150">
        <f>+MATCH(PROVEEDORES[[#This Row],[año facturado]],Retenciones!$1:$1,0)</f>
        <v>6</v>
      </c>
      <c r="X1075" s="151" t="e">
        <f>+VLOOKUP(PROVEEDORES[[#This Row],[ID RETENCION]],Retenciones!$A$1:$O$25,PROVEEDORES[[#This Row],[indicador de columna]],FALSE)</f>
        <v>#N/A</v>
      </c>
      <c r="Y1075" s="152" t="e">
        <f>+VLOOKUP(PROVEEDORES[[#This Row],[ID RETENCION]],Retenciones!$A$1:$O$25,2,FALSE)</f>
        <v>#N/A</v>
      </c>
      <c r="Z1075" s="153" t="b">
        <f>+OR(COUNTIF(PROVEEDORES[[#This Row],[PROVEEDOR]],"*"&amp;'Palabra que no opera y Listas d'!$A$2&amp;"*"))</f>
        <v>0</v>
      </c>
    </row>
    <row r="1076" spans="1:26" ht="27.75" customHeight="1" x14ac:dyDescent="0.3">
      <c r="A1076" s="144" t="str">
        <f>+IF(PROVEEDORES[[#This Row],[FECHA DE PAGO]]=PROVEEDORES[[#This Row],[FECHA DE FACTURACIÓN]],"DE CONTADO","CRÉDITO")</f>
        <v>CRÉDITO</v>
      </c>
      <c r="B1076" s="144" t="str">
        <f>+IF((PROVEEDORES[[#This Row],[FECHA DE PAGO]]-PROVEEDORES[[#This Row],[FECHA DE FACTURACIÓN]])&gt;PROVEEDORES[[#This Row],[PLAZO Días]],"PAGO VENCIDO")</f>
        <v>PAGO VENCIDO</v>
      </c>
      <c r="C1076" s="144">
        <f>+VLOOKUP(PROVEEDORES[[#This Row],[PROVEEDOR]],TERCEROS_INFO[#All],2,FALSE)</f>
        <v>0</v>
      </c>
      <c r="D1076" s="145">
        <f>+SUMIFS(PROVEEDORES[Total],PROVEEDORES[PROVEEDOR],PROVEEDORES[[#This Row],[PROVEEDOR]],PROVEEDORES[FECHA DE PAGO],"")</f>
        <v>2095000</v>
      </c>
      <c r="E1076" s="146"/>
      <c r="F1076" s="144">
        <f>+VLOOKUP(PROVEEDORES[[#This Row],[PROVEEDOR]],
                       Terceros!$A:$G,
                       5,
                       FALSE)</f>
        <v>0</v>
      </c>
      <c r="G1076" s="122">
        <v>45281</v>
      </c>
      <c r="H1076" s="102" t="s">
        <v>1781</v>
      </c>
      <c r="I1076" s="122">
        <v>45250</v>
      </c>
      <c r="J1076" s="103" t="s">
        <v>1277</v>
      </c>
      <c r="K1076" s="103" t="s">
        <v>1512</v>
      </c>
      <c r="L1076" s="103"/>
      <c r="M1076" s="105">
        <v>2610000</v>
      </c>
      <c r="N1076" s="147">
        <v>0</v>
      </c>
      <c r="O1076" s="147">
        <v>0</v>
      </c>
      <c r="P1076" s="148">
        <v>0</v>
      </c>
      <c r="Q1076" s="147">
        <v>0</v>
      </c>
      <c r="R1076" s="149">
        <v>2610000</v>
      </c>
      <c r="S10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6" s="150">
        <f ca="1">+IF(PROVEEDORES[[#This Row],[FECHA DE PAGO]]=0,TODAY()-PROVEEDORES[[#This Row],[FECHA DE FACTURACIÓN]]-PROVEEDORES[[#This Row],[PLAZO Días]],0)</f>
        <v>0</v>
      </c>
      <c r="U1076" s="150">
        <f>+VLOOKUP(PROVEEDORES[[#This Row],[PROVEEDOR]],Terceros!$A:$E,4,FALSE)</f>
        <v>0</v>
      </c>
      <c r="V1076" s="150">
        <f>+YEAR(PROVEEDORES[[#This Row],[FECHA DE FACTURACIÓN]])</f>
        <v>2023</v>
      </c>
      <c r="W1076" s="150">
        <f>+MATCH(PROVEEDORES[[#This Row],[año facturado]],Retenciones!$1:$1,0)</f>
        <v>6</v>
      </c>
      <c r="X1076" s="151">
        <f>+VLOOKUP(PROVEEDORES[[#This Row],[ID RETENCION]],Retenciones!$A$1:$O$25,PROVEEDORES[[#This Row],[indicador de columna]],FALSE)</f>
        <v>0</v>
      </c>
      <c r="Y1076" s="152">
        <f>+VLOOKUP(PROVEEDORES[[#This Row],[ID RETENCION]],Retenciones!$A$1:$O$25,2,FALSE)</f>
        <v>0</v>
      </c>
      <c r="Z1076" s="153" t="b">
        <f>+OR(COUNTIF(PROVEEDORES[[#This Row],[PROVEEDOR]],"*"&amp;'Palabra que no opera y Listas d'!$A$2&amp;"*"))</f>
        <v>0</v>
      </c>
    </row>
    <row r="1077" spans="1:26" ht="27.75" customHeight="1" x14ac:dyDescent="0.3">
      <c r="A1077" s="144" t="str">
        <f>+IF(PROVEEDORES[[#This Row],[FECHA DE PAGO]]=PROVEEDORES[[#This Row],[FECHA DE FACTURACIÓN]],"DE CONTADO","CRÉDITO")</f>
        <v>CRÉDITO</v>
      </c>
      <c r="B1077" s="144" t="str">
        <f>+IF((PROVEEDORES[[#This Row],[FECHA DE PAGO]]-PROVEEDORES[[#This Row],[FECHA DE FACTURACIÓN]])&gt;PROVEEDORES[[#This Row],[PLAZO Días]],"PAGO VENCIDO")</f>
        <v>PAGO VENCIDO</v>
      </c>
      <c r="C1077" s="144">
        <f>+VLOOKUP(PROVEEDORES[[#This Row],[PROVEEDOR]],TERCEROS_INFO[#All],2,FALSE)</f>
        <v>0</v>
      </c>
      <c r="D1077" s="145">
        <f>+SUMIFS(PROVEEDORES[Total],PROVEEDORES[PROVEEDOR],PROVEEDORES[[#This Row],[PROVEEDOR]],PROVEEDORES[FECHA DE PAGO],"")</f>
        <v>0</v>
      </c>
      <c r="E1077" s="146"/>
      <c r="F1077" s="144">
        <f>+VLOOKUP(PROVEEDORES[[#This Row],[PROVEEDOR]],
                       Terceros!$A:$G,
                       5,
                       FALSE)</f>
        <v>0</v>
      </c>
      <c r="G1077" s="122">
        <v>45281</v>
      </c>
      <c r="H1077" s="102" t="s">
        <v>1789</v>
      </c>
      <c r="I1077" s="122">
        <v>45251</v>
      </c>
      <c r="J1077" s="103" t="s">
        <v>1275</v>
      </c>
      <c r="K1077" s="103" t="s">
        <v>1512</v>
      </c>
      <c r="L1077" s="103"/>
      <c r="M1077" s="105">
        <v>1479000</v>
      </c>
      <c r="N1077" s="147">
        <v>0</v>
      </c>
      <c r="O1077" s="147">
        <v>0</v>
      </c>
      <c r="P1077" s="148">
        <v>0</v>
      </c>
      <c r="Q1077" s="147">
        <v>0</v>
      </c>
      <c r="R1077" s="149">
        <v>1479000</v>
      </c>
      <c r="S10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7" s="150">
        <f ca="1">+IF(PROVEEDORES[[#This Row],[FECHA DE PAGO]]=0,TODAY()-PROVEEDORES[[#This Row],[FECHA DE FACTURACIÓN]]-PROVEEDORES[[#This Row],[PLAZO Días]],0)</f>
        <v>0</v>
      </c>
      <c r="U1077" s="150">
        <f>+VLOOKUP(PROVEEDORES[[#This Row],[PROVEEDOR]],Terceros!$A:$E,4,FALSE)</f>
        <v>0</v>
      </c>
      <c r="V1077" s="150">
        <f>+YEAR(PROVEEDORES[[#This Row],[FECHA DE FACTURACIÓN]])</f>
        <v>2023</v>
      </c>
      <c r="W1077" s="150">
        <f>+MATCH(PROVEEDORES[[#This Row],[año facturado]],Retenciones!$1:$1,0)</f>
        <v>6</v>
      </c>
      <c r="X1077" s="151">
        <f>+VLOOKUP(PROVEEDORES[[#This Row],[ID RETENCION]],Retenciones!$A$1:$O$25,PROVEEDORES[[#This Row],[indicador de columna]],FALSE)</f>
        <v>0</v>
      </c>
      <c r="Y1077" s="152">
        <f>+VLOOKUP(PROVEEDORES[[#This Row],[ID RETENCION]],Retenciones!$A$1:$O$25,2,FALSE)</f>
        <v>0</v>
      </c>
      <c r="Z1077" s="153" t="b">
        <f>+OR(COUNTIF(PROVEEDORES[[#This Row],[PROVEEDOR]],"*"&amp;'Palabra que no opera y Listas d'!$A$2&amp;"*"))</f>
        <v>0</v>
      </c>
    </row>
    <row r="1078" spans="1:26" ht="27.75" customHeight="1" x14ac:dyDescent="0.3">
      <c r="A1078" s="144" t="str">
        <f>+IF(PROVEEDORES[[#This Row],[FECHA DE PAGO]]=PROVEEDORES[[#This Row],[FECHA DE FACTURACIÓN]],"DE CONTADO","CRÉDITO")</f>
        <v>CRÉDITO</v>
      </c>
      <c r="B1078" s="144" t="str">
        <f>+IF((PROVEEDORES[[#This Row],[FECHA DE PAGO]]-PROVEEDORES[[#This Row],[FECHA DE FACTURACIÓN]])&gt;PROVEEDORES[[#This Row],[PLAZO Días]],"PAGO VENCIDO")</f>
        <v>PAGO VENCIDO</v>
      </c>
      <c r="C1078" s="144">
        <f>+VLOOKUP(PROVEEDORES[[#This Row],[PROVEEDOR]],TERCEROS_INFO[#All],2,FALSE)</f>
        <v>0</v>
      </c>
      <c r="D1078" s="145">
        <f>+SUMIFS(PROVEEDORES[Total],PROVEEDORES[PROVEEDOR],PROVEEDORES[[#This Row],[PROVEEDOR]],PROVEEDORES[FECHA DE PAGO],"")</f>
        <v>0</v>
      </c>
      <c r="E1078" s="146"/>
      <c r="F1078" s="144" t="str">
        <f>+VLOOKUP(PROVEEDORES[[#This Row],[PROVEEDOR]],
                       Terceros!$A:$G,
                       5,
                       FALSE)</f>
        <v>2,5% con base</v>
      </c>
      <c r="G1078" s="122">
        <v>45281</v>
      </c>
      <c r="H1078" s="102" t="s">
        <v>19</v>
      </c>
      <c r="I1078" s="122">
        <v>45253</v>
      </c>
      <c r="J1078" s="103" t="s">
        <v>1273</v>
      </c>
      <c r="K1078" s="103" t="s">
        <v>1512</v>
      </c>
      <c r="L1078" s="103"/>
      <c r="M1078" s="105">
        <v>2961970</v>
      </c>
      <c r="N1078" s="147">
        <v>562774.30000000005</v>
      </c>
      <c r="O1078" s="147">
        <v>0</v>
      </c>
      <c r="P1078" s="148">
        <v>2.5000000000000001E-2</v>
      </c>
      <c r="Q1078" s="147">
        <v>74049.25</v>
      </c>
      <c r="R1078" s="149">
        <v>3450695.05</v>
      </c>
      <c r="S10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8" s="150">
        <f ca="1">+IF(PROVEEDORES[[#This Row],[FECHA DE PAGO]]=0,TODAY()-PROVEEDORES[[#This Row],[FECHA DE FACTURACIÓN]]-PROVEEDORES[[#This Row],[PLAZO Días]],0)</f>
        <v>0</v>
      </c>
      <c r="U1078" s="150">
        <f>+VLOOKUP(PROVEEDORES[[#This Row],[PROVEEDOR]],Terceros!$A:$E,4,FALSE)</f>
        <v>0.19</v>
      </c>
      <c r="V1078" s="150">
        <f>+YEAR(PROVEEDORES[[#This Row],[FECHA DE FACTURACIÓN]])</f>
        <v>2023</v>
      </c>
      <c r="W1078" s="150">
        <f>+MATCH(PROVEEDORES[[#This Row],[año facturado]],Retenciones!$1:$1,0)</f>
        <v>6</v>
      </c>
      <c r="X1078" s="151" t="e">
        <f>+VLOOKUP(PROVEEDORES[[#This Row],[ID RETENCION]],Retenciones!$A$1:$O$25,PROVEEDORES[[#This Row],[indicador de columna]],FALSE)</f>
        <v>#N/A</v>
      </c>
      <c r="Y1078" s="152" t="e">
        <f>+VLOOKUP(PROVEEDORES[[#This Row],[ID RETENCION]],Retenciones!$A$1:$O$25,2,FALSE)</f>
        <v>#N/A</v>
      </c>
      <c r="Z1078" s="153" t="b">
        <f>+OR(COUNTIF(PROVEEDORES[[#This Row],[PROVEEDOR]],"*"&amp;'Palabra que no opera y Listas d'!$A$2&amp;"*"))</f>
        <v>0</v>
      </c>
    </row>
    <row r="1079" spans="1:26" ht="27.75" customHeight="1" x14ac:dyDescent="0.3">
      <c r="A1079" s="144" t="str">
        <f>+IF(PROVEEDORES[[#This Row],[FECHA DE PAGO]]=PROVEEDORES[[#This Row],[FECHA DE FACTURACIÓN]],"DE CONTADO","CRÉDITO")</f>
        <v>CRÉDITO</v>
      </c>
      <c r="B1079" s="144" t="str">
        <f>+IF((PROVEEDORES[[#This Row],[FECHA DE PAGO]]-PROVEEDORES[[#This Row],[FECHA DE FACTURACIÓN]])&gt;PROVEEDORES[[#This Row],[PLAZO Días]],"PAGO VENCIDO")</f>
        <v>PAGO VENCIDO</v>
      </c>
      <c r="C1079" s="144">
        <f>+VLOOKUP(PROVEEDORES[[#This Row],[PROVEEDOR]],TERCEROS_INFO[#All],2,FALSE)</f>
        <v>0</v>
      </c>
      <c r="D1079" s="145">
        <f>+SUMIFS(PROVEEDORES[Total],PROVEEDORES[PROVEEDOR],PROVEEDORES[[#This Row],[PROVEEDOR]],PROVEEDORES[FECHA DE PAGO],"")</f>
        <v>0</v>
      </c>
      <c r="E1079" s="146"/>
      <c r="F1079" s="144" t="str">
        <f>+VLOOKUP(PROVEEDORES[[#This Row],[PROVEEDOR]],
                       Terceros!$A:$G,
                       5,
                       FALSE)</f>
        <v>2,5% con base</v>
      </c>
      <c r="G1079" s="122">
        <v>45281</v>
      </c>
      <c r="H1079" s="102" t="s">
        <v>1136</v>
      </c>
      <c r="I1079" s="122">
        <v>45274</v>
      </c>
      <c r="J1079" s="103" t="s">
        <v>1334</v>
      </c>
      <c r="K1079" s="103" t="s">
        <v>1512</v>
      </c>
      <c r="L1079" s="103"/>
      <c r="M1079" s="105">
        <v>-26639</v>
      </c>
      <c r="N1079" s="147">
        <v>-5061.41</v>
      </c>
      <c r="O1079" s="147">
        <v>0</v>
      </c>
      <c r="P1079" s="148">
        <v>0</v>
      </c>
      <c r="Q1079" s="147">
        <v>0</v>
      </c>
      <c r="R1079" s="149">
        <v>-31700.41</v>
      </c>
      <c r="S10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9" s="150">
        <f ca="1">+IF(PROVEEDORES[[#This Row],[FECHA DE PAGO]]=0,TODAY()-PROVEEDORES[[#This Row],[FECHA DE FACTURACIÓN]]-PROVEEDORES[[#This Row],[PLAZO Días]],0)</f>
        <v>0</v>
      </c>
      <c r="U1079" s="150">
        <f>+VLOOKUP(PROVEEDORES[[#This Row],[PROVEEDOR]],Terceros!$A:$E,4,FALSE)</f>
        <v>0.19</v>
      </c>
      <c r="V1079" s="150">
        <f>+YEAR(PROVEEDORES[[#This Row],[FECHA DE FACTURACIÓN]])</f>
        <v>2023</v>
      </c>
      <c r="W1079" s="150">
        <f>+MATCH(PROVEEDORES[[#This Row],[año facturado]],Retenciones!$1:$1,0)</f>
        <v>6</v>
      </c>
      <c r="X1079" s="151" t="e">
        <f>+VLOOKUP(PROVEEDORES[[#This Row],[ID RETENCION]],Retenciones!$A$1:$O$25,PROVEEDORES[[#This Row],[indicador de columna]],FALSE)</f>
        <v>#N/A</v>
      </c>
      <c r="Y1079" s="152" t="e">
        <f>+VLOOKUP(PROVEEDORES[[#This Row],[ID RETENCION]],Retenciones!$A$1:$O$25,2,FALSE)</f>
        <v>#N/A</v>
      </c>
      <c r="Z1079" s="153" t="b">
        <f>+OR(COUNTIF(PROVEEDORES[[#This Row],[PROVEEDOR]],"*"&amp;'Palabra que no opera y Listas d'!$A$2&amp;"*"))</f>
        <v>0</v>
      </c>
    </row>
    <row r="1080" spans="1:26" ht="27.75" customHeight="1" x14ac:dyDescent="0.3">
      <c r="A1080" s="144" t="str">
        <f>+IF(PROVEEDORES[[#This Row],[FECHA DE PAGO]]=PROVEEDORES[[#This Row],[FECHA DE FACTURACIÓN]],"DE CONTADO","CRÉDITO")</f>
        <v>CRÉDITO</v>
      </c>
      <c r="B1080" s="144" t="str">
        <f>+IF((PROVEEDORES[[#This Row],[FECHA DE PAGO]]-PROVEEDORES[[#This Row],[FECHA DE FACTURACIÓN]])&gt;PROVEEDORES[[#This Row],[PLAZO Días]],"PAGO VENCIDO")</f>
        <v>PAGO VENCIDO</v>
      </c>
      <c r="C1080" s="144">
        <f>+VLOOKUP(PROVEEDORES[[#This Row],[PROVEEDOR]],TERCEROS_INFO[#All],2,FALSE)</f>
        <v>0</v>
      </c>
      <c r="D1080" s="145">
        <f>+SUMIFS(PROVEEDORES[Total],PROVEEDORES[PROVEEDOR],PROVEEDORES[[#This Row],[PROVEEDOR]],PROVEEDORES[FECHA DE PAGO],"")</f>
        <v>0</v>
      </c>
      <c r="E1080" s="146"/>
      <c r="F1080" s="144" t="str">
        <f>+VLOOKUP(PROVEEDORES[[#This Row],[PROVEEDOR]],
                       Terceros!$A:$G,
                       5,
                       FALSE)</f>
        <v>2,5% con base</v>
      </c>
      <c r="G1080" s="122">
        <v>45281</v>
      </c>
      <c r="H1080" s="102" t="s">
        <v>1136</v>
      </c>
      <c r="I1080" s="122">
        <v>45274</v>
      </c>
      <c r="J1080" s="103" t="s">
        <v>1333</v>
      </c>
      <c r="K1080" s="103" t="s">
        <v>1512</v>
      </c>
      <c r="L1080" s="103"/>
      <c r="M1080" s="105">
        <v>649719</v>
      </c>
      <c r="N1080" s="147">
        <v>123446.61</v>
      </c>
      <c r="O1080" s="147">
        <v>0</v>
      </c>
      <c r="P1080" s="148">
        <v>0</v>
      </c>
      <c r="Q1080" s="147">
        <v>0</v>
      </c>
      <c r="R1080" s="149">
        <v>773165.61</v>
      </c>
      <c r="S10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0" s="150">
        <f ca="1">+IF(PROVEEDORES[[#This Row],[FECHA DE PAGO]]=0,TODAY()-PROVEEDORES[[#This Row],[FECHA DE FACTURACIÓN]]-PROVEEDORES[[#This Row],[PLAZO Días]],0)</f>
        <v>0</v>
      </c>
      <c r="U1080" s="150">
        <f>+VLOOKUP(PROVEEDORES[[#This Row],[PROVEEDOR]],Terceros!$A:$E,4,FALSE)</f>
        <v>0.19</v>
      </c>
      <c r="V1080" s="150">
        <f>+YEAR(PROVEEDORES[[#This Row],[FECHA DE FACTURACIÓN]])</f>
        <v>2023</v>
      </c>
      <c r="W1080" s="150">
        <f>+MATCH(PROVEEDORES[[#This Row],[año facturado]],Retenciones!$1:$1,0)</f>
        <v>6</v>
      </c>
      <c r="X1080" s="151" t="e">
        <f>+VLOOKUP(PROVEEDORES[[#This Row],[ID RETENCION]],Retenciones!$A$1:$O$25,PROVEEDORES[[#This Row],[indicador de columna]],FALSE)</f>
        <v>#N/A</v>
      </c>
      <c r="Y1080" s="152" t="e">
        <f>+VLOOKUP(PROVEEDORES[[#This Row],[ID RETENCION]],Retenciones!$A$1:$O$25,2,FALSE)</f>
        <v>#N/A</v>
      </c>
      <c r="Z1080" s="153" t="b">
        <f>+OR(COUNTIF(PROVEEDORES[[#This Row],[PROVEEDOR]],"*"&amp;'Palabra que no opera y Listas d'!$A$2&amp;"*"))</f>
        <v>0</v>
      </c>
    </row>
    <row r="1081" spans="1:26" ht="27.75" customHeight="1" x14ac:dyDescent="0.3">
      <c r="A1081" s="144" t="str">
        <f>+IF(PROVEEDORES[[#This Row],[FECHA DE PAGO]]=PROVEEDORES[[#This Row],[FECHA DE FACTURACIÓN]],"DE CONTADO","CRÉDITO")</f>
        <v>CRÉDITO</v>
      </c>
      <c r="B1081" s="144" t="str">
        <f>+IF((PROVEEDORES[[#This Row],[FECHA DE PAGO]]-PROVEEDORES[[#This Row],[FECHA DE FACTURACIÓN]])&gt;PROVEEDORES[[#This Row],[PLAZO Días]],"PAGO VENCIDO")</f>
        <v>PAGO VENCIDO</v>
      </c>
      <c r="C1081" s="144">
        <f>+VLOOKUP(PROVEEDORES[[#This Row],[PROVEEDOR]],TERCEROS_INFO[#All],2,FALSE)</f>
        <v>0</v>
      </c>
      <c r="D1081" s="145">
        <f>+SUMIFS(PROVEEDORES[Total],PROVEEDORES[PROVEEDOR],PROVEEDORES[[#This Row],[PROVEEDOR]],PROVEEDORES[FECHA DE PAGO],"")</f>
        <v>0</v>
      </c>
      <c r="E1081" s="146"/>
      <c r="F1081" s="144">
        <f>+VLOOKUP(PROVEEDORES[[#This Row],[PROVEEDOR]],
                       Terceros!$A:$G,
                       5,
                       FALSE)</f>
        <v>0</v>
      </c>
      <c r="G1081" s="122">
        <v>45281</v>
      </c>
      <c r="H1081" s="102" t="s">
        <v>397</v>
      </c>
      <c r="I1081" s="122">
        <v>45280</v>
      </c>
      <c r="J1081" s="103" t="s">
        <v>1379</v>
      </c>
      <c r="K1081" s="103" t="s">
        <v>1512</v>
      </c>
      <c r="L1081" s="103"/>
      <c r="M1081" s="105">
        <v>82000</v>
      </c>
      <c r="N1081" s="147">
        <v>0</v>
      </c>
      <c r="O1081" s="147">
        <v>0</v>
      </c>
      <c r="P1081" s="148">
        <v>0</v>
      </c>
      <c r="Q1081" s="147">
        <v>0</v>
      </c>
      <c r="R1081" s="149">
        <v>82000</v>
      </c>
      <c r="S10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1" s="150">
        <f ca="1">+IF(PROVEEDORES[[#This Row],[FECHA DE PAGO]]=0,TODAY()-PROVEEDORES[[#This Row],[FECHA DE FACTURACIÓN]]-PROVEEDORES[[#This Row],[PLAZO Días]],0)</f>
        <v>0</v>
      </c>
      <c r="U1081" s="150">
        <f>+VLOOKUP(PROVEEDORES[[#This Row],[PROVEEDOR]],Terceros!$A:$E,4,FALSE)</f>
        <v>0</v>
      </c>
      <c r="V1081" s="150">
        <f>+YEAR(PROVEEDORES[[#This Row],[FECHA DE FACTURACIÓN]])</f>
        <v>2023</v>
      </c>
      <c r="W1081" s="150">
        <f>+MATCH(PROVEEDORES[[#This Row],[año facturado]],Retenciones!$1:$1,0)</f>
        <v>6</v>
      </c>
      <c r="X1081" s="151">
        <f>+VLOOKUP(PROVEEDORES[[#This Row],[ID RETENCION]],Retenciones!$A$1:$O$25,PROVEEDORES[[#This Row],[indicador de columna]],FALSE)</f>
        <v>0</v>
      </c>
      <c r="Y1081" s="152">
        <f>+VLOOKUP(PROVEEDORES[[#This Row],[ID RETENCION]],Retenciones!$A$1:$O$25,2,FALSE)</f>
        <v>0</v>
      </c>
      <c r="Z1081" s="153" t="b">
        <f>+OR(COUNTIF(PROVEEDORES[[#This Row],[PROVEEDOR]],"*"&amp;'Palabra que no opera y Listas d'!$A$2&amp;"*"))</f>
        <v>1</v>
      </c>
    </row>
    <row r="1082" spans="1:26" ht="27.75" customHeight="1" x14ac:dyDescent="0.3">
      <c r="A1082" s="144" t="str">
        <f>+IF(PROVEEDORES[[#This Row],[FECHA DE PAGO]]=PROVEEDORES[[#This Row],[FECHA DE FACTURACIÓN]],"DE CONTADO","CRÉDITO")</f>
        <v>CRÉDITO</v>
      </c>
      <c r="B1082" s="144" t="str">
        <f>+IF((PROVEEDORES[[#This Row],[FECHA DE PAGO]]-PROVEEDORES[[#This Row],[FECHA DE FACTURACIÓN]])&gt;PROVEEDORES[[#This Row],[PLAZO Días]],"PAGO VENCIDO")</f>
        <v>PAGO VENCIDO</v>
      </c>
      <c r="C1082" s="144">
        <f>+VLOOKUP(PROVEEDORES[[#This Row],[PROVEEDOR]],TERCEROS_INFO[#All],2,FALSE)</f>
        <v>0</v>
      </c>
      <c r="D1082" s="145">
        <f>+SUMIFS(PROVEEDORES[Total],PROVEEDORES[PROVEEDOR],PROVEEDORES[[#This Row],[PROVEEDOR]],PROVEEDORES[FECHA DE PAGO],"")</f>
        <v>0</v>
      </c>
      <c r="E1082" s="146"/>
      <c r="F1082" s="144" t="str">
        <f>+VLOOKUP(PROVEEDORES[[#This Row],[PROVEEDOR]],
                       Terceros!$A:$G,
                       5,
                       FALSE)</f>
        <v>2,5% con base</v>
      </c>
      <c r="G1082" s="122">
        <v>45282</v>
      </c>
      <c r="H1082" s="102" t="s">
        <v>467</v>
      </c>
      <c r="I1082" s="122">
        <v>45251</v>
      </c>
      <c r="J1082" s="103" t="s">
        <v>1250</v>
      </c>
      <c r="K1082" s="103" t="s">
        <v>1512</v>
      </c>
      <c r="L1082" s="103"/>
      <c r="M1082" s="105">
        <v>1411768</v>
      </c>
      <c r="N1082" s="147">
        <v>268235.92</v>
      </c>
      <c r="O1082" s="147">
        <v>0</v>
      </c>
      <c r="P1082" s="148">
        <v>2.5000000000000001E-2</v>
      </c>
      <c r="Q1082" s="147">
        <v>35294.200000000004</v>
      </c>
      <c r="R1082" s="149">
        <v>1644709.72</v>
      </c>
      <c r="S10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2" s="150">
        <f ca="1">+IF(PROVEEDORES[[#This Row],[FECHA DE PAGO]]=0,TODAY()-PROVEEDORES[[#This Row],[FECHA DE FACTURACIÓN]]-PROVEEDORES[[#This Row],[PLAZO Días]],0)</f>
        <v>0</v>
      </c>
      <c r="U1082" s="150">
        <f>+VLOOKUP(PROVEEDORES[[#This Row],[PROVEEDOR]],Terceros!$A:$E,4,FALSE)</f>
        <v>0.19</v>
      </c>
      <c r="V1082" s="150">
        <f>+YEAR(PROVEEDORES[[#This Row],[FECHA DE FACTURACIÓN]])</f>
        <v>2023</v>
      </c>
      <c r="W1082" s="150">
        <f>+MATCH(PROVEEDORES[[#This Row],[año facturado]],Retenciones!$1:$1,0)</f>
        <v>6</v>
      </c>
      <c r="X1082" s="151" t="e">
        <f>+VLOOKUP(PROVEEDORES[[#This Row],[ID RETENCION]],Retenciones!$A$1:$O$25,PROVEEDORES[[#This Row],[indicador de columna]],FALSE)</f>
        <v>#N/A</v>
      </c>
      <c r="Y1082" s="152" t="e">
        <f>+VLOOKUP(PROVEEDORES[[#This Row],[ID RETENCION]],Retenciones!$A$1:$O$25,2,FALSE)</f>
        <v>#N/A</v>
      </c>
      <c r="Z1082" s="153" t="b">
        <f>+OR(COUNTIF(PROVEEDORES[[#This Row],[PROVEEDOR]],"*"&amp;'Palabra que no opera y Listas d'!$A$2&amp;"*"))</f>
        <v>0</v>
      </c>
    </row>
    <row r="1083" spans="1:26" ht="27.75" customHeight="1" x14ac:dyDescent="0.3">
      <c r="A1083" s="144" t="str">
        <f>+IF(PROVEEDORES[[#This Row],[FECHA DE PAGO]]=PROVEEDORES[[#This Row],[FECHA DE FACTURACIÓN]],"DE CONTADO","CRÉDITO")</f>
        <v>CRÉDITO</v>
      </c>
      <c r="B1083" s="144" t="str">
        <f>+IF((PROVEEDORES[[#This Row],[FECHA DE PAGO]]-PROVEEDORES[[#This Row],[FECHA DE FACTURACIÓN]])&gt;PROVEEDORES[[#This Row],[PLAZO Días]],"PAGO VENCIDO")</f>
        <v>PAGO VENCIDO</v>
      </c>
      <c r="C1083" s="144">
        <f>+VLOOKUP(PROVEEDORES[[#This Row],[PROVEEDOR]],TERCEROS_INFO[#All],2,FALSE)</f>
        <v>0</v>
      </c>
      <c r="D1083" s="145">
        <f>+SUMIFS(PROVEEDORES[Total],PROVEEDORES[PROVEEDOR],PROVEEDORES[[#This Row],[PROVEEDOR]],PROVEEDORES[FECHA DE PAGO],"")</f>
        <v>0</v>
      </c>
      <c r="E1083" s="146"/>
      <c r="F1083" s="144">
        <f>+VLOOKUP(PROVEEDORES[[#This Row],[PROVEEDOR]],
                       Terceros!$A:$G,
                       5,
                       FALSE)</f>
        <v>0</v>
      </c>
      <c r="G1083" s="122">
        <v>45282</v>
      </c>
      <c r="H1083" s="102" t="s">
        <v>1788</v>
      </c>
      <c r="I1083" s="122">
        <v>45251</v>
      </c>
      <c r="J1083" s="103" t="s">
        <v>1278</v>
      </c>
      <c r="K1083" s="103" t="s">
        <v>1512</v>
      </c>
      <c r="L1083" s="103"/>
      <c r="M1083" s="105">
        <v>6427500</v>
      </c>
      <c r="N1083" s="147">
        <v>0</v>
      </c>
      <c r="O1083" s="147">
        <v>0</v>
      </c>
      <c r="P1083" s="148">
        <v>0</v>
      </c>
      <c r="Q1083" s="147">
        <v>0</v>
      </c>
      <c r="R1083" s="149">
        <v>6427500</v>
      </c>
      <c r="S10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3" s="150">
        <f ca="1">+IF(PROVEEDORES[[#This Row],[FECHA DE PAGO]]=0,TODAY()-PROVEEDORES[[#This Row],[FECHA DE FACTURACIÓN]]-PROVEEDORES[[#This Row],[PLAZO Días]],0)</f>
        <v>0</v>
      </c>
      <c r="U1083" s="150">
        <f>+VLOOKUP(PROVEEDORES[[#This Row],[PROVEEDOR]],Terceros!$A:$E,4,FALSE)</f>
        <v>0</v>
      </c>
      <c r="V1083" s="150">
        <f>+YEAR(PROVEEDORES[[#This Row],[FECHA DE FACTURACIÓN]])</f>
        <v>2023</v>
      </c>
      <c r="W1083" s="150">
        <f>+MATCH(PROVEEDORES[[#This Row],[año facturado]],Retenciones!$1:$1,0)</f>
        <v>6</v>
      </c>
      <c r="X1083" s="151">
        <f>+VLOOKUP(PROVEEDORES[[#This Row],[ID RETENCION]],Retenciones!$A$1:$O$25,PROVEEDORES[[#This Row],[indicador de columna]],FALSE)</f>
        <v>0</v>
      </c>
      <c r="Y1083" s="152">
        <f>+VLOOKUP(PROVEEDORES[[#This Row],[ID RETENCION]],Retenciones!$A$1:$O$25,2,FALSE)</f>
        <v>0</v>
      </c>
      <c r="Z1083" s="153" t="b">
        <f>+OR(COUNTIF(PROVEEDORES[[#This Row],[PROVEEDOR]],"*"&amp;'Palabra que no opera y Listas d'!$A$2&amp;"*"))</f>
        <v>0</v>
      </c>
    </row>
    <row r="1084" spans="1:26" ht="27.75" customHeight="1" x14ac:dyDescent="0.3">
      <c r="A1084" s="144" t="str">
        <f>+IF(PROVEEDORES[[#This Row],[FECHA DE PAGO]]=PROVEEDORES[[#This Row],[FECHA DE FACTURACIÓN]],"DE CONTADO","CRÉDITO")</f>
        <v>CRÉDITO</v>
      </c>
      <c r="B1084" s="144" t="str">
        <f>+IF((PROVEEDORES[[#This Row],[FECHA DE PAGO]]-PROVEEDORES[[#This Row],[FECHA DE FACTURACIÓN]])&gt;PROVEEDORES[[#This Row],[PLAZO Días]],"PAGO VENCIDO")</f>
        <v>PAGO VENCIDO</v>
      </c>
      <c r="C1084" s="144">
        <f>+VLOOKUP(PROVEEDORES[[#This Row],[PROVEEDOR]],TERCEROS_INFO[#All],2,FALSE)</f>
        <v>0</v>
      </c>
      <c r="D1084" s="145">
        <f>+SUMIFS(PROVEEDORES[Total],PROVEEDORES[PROVEEDOR],PROVEEDORES[[#This Row],[PROVEEDOR]],PROVEEDORES[FECHA DE PAGO],"")</f>
        <v>119844463.84</v>
      </c>
      <c r="E1084" s="146"/>
      <c r="F1084" s="144" t="str">
        <f>+VLOOKUP(PROVEEDORES[[#This Row],[PROVEEDOR]],
                       Terceros!$A:$G,
                       5,
                       FALSE)</f>
        <v>2,5% con base</v>
      </c>
      <c r="G1084" s="122">
        <v>45286</v>
      </c>
      <c r="H1084" s="102" t="s">
        <v>8</v>
      </c>
      <c r="I1084" s="122">
        <v>45203</v>
      </c>
      <c r="J1084" s="103" t="s">
        <v>1338</v>
      </c>
      <c r="K1084" s="103" t="s">
        <v>1512</v>
      </c>
      <c r="L1084" s="103"/>
      <c r="M1084" s="105">
        <v>67227</v>
      </c>
      <c r="N1084" s="147">
        <v>12773.130000000001</v>
      </c>
      <c r="O1084" s="147">
        <v>0</v>
      </c>
      <c r="P1084" s="148">
        <v>0</v>
      </c>
      <c r="Q1084" s="147">
        <v>0</v>
      </c>
      <c r="R1084" s="149">
        <v>80000.13</v>
      </c>
      <c r="S10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4" s="150">
        <f ca="1">+IF(PROVEEDORES[[#This Row],[FECHA DE PAGO]]=0,TODAY()-PROVEEDORES[[#This Row],[FECHA DE FACTURACIÓN]]-PROVEEDORES[[#This Row],[PLAZO Días]],0)</f>
        <v>0</v>
      </c>
      <c r="U1084" s="150">
        <f>+VLOOKUP(PROVEEDORES[[#This Row],[PROVEEDOR]],Terceros!$A:$E,4,FALSE)</f>
        <v>0.19</v>
      </c>
      <c r="V1084" s="150">
        <f>+YEAR(PROVEEDORES[[#This Row],[FECHA DE FACTURACIÓN]])</f>
        <v>2023</v>
      </c>
      <c r="W1084" s="150">
        <f>+MATCH(PROVEEDORES[[#This Row],[año facturado]],Retenciones!$1:$1,0)</f>
        <v>6</v>
      </c>
      <c r="X1084" s="151" t="e">
        <f>+VLOOKUP(PROVEEDORES[[#This Row],[ID RETENCION]],Retenciones!$A$1:$O$25,PROVEEDORES[[#This Row],[indicador de columna]],FALSE)</f>
        <v>#N/A</v>
      </c>
      <c r="Y1084" s="152" t="e">
        <f>+VLOOKUP(PROVEEDORES[[#This Row],[ID RETENCION]],Retenciones!$A$1:$O$25,2,FALSE)</f>
        <v>#N/A</v>
      </c>
      <c r="Z1084" s="153" t="b">
        <f>+OR(COUNTIF(PROVEEDORES[[#This Row],[PROVEEDOR]],"*"&amp;'Palabra que no opera y Listas d'!$A$2&amp;"*"))</f>
        <v>0</v>
      </c>
    </row>
    <row r="1085" spans="1:26" ht="27.75" customHeight="1" x14ac:dyDescent="0.3">
      <c r="A1085" s="144" t="str">
        <f>+IF(PROVEEDORES[[#This Row],[FECHA DE PAGO]]=PROVEEDORES[[#This Row],[FECHA DE FACTURACIÓN]],"DE CONTADO","CRÉDITO")</f>
        <v>CRÉDITO</v>
      </c>
      <c r="B1085" s="144" t="str">
        <f>+IF((PROVEEDORES[[#This Row],[FECHA DE PAGO]]-PROVEEDORES[[#This Row],[FECHA DE FACTURACIÓN]])&gt;PROVEEDORES[[#This Row],[PLAZO Días]],"PAGO VENCIDO")</f>
        <v>PAGO VENCIDO</v>
      </c>
      <c r="C1085" s="144">
        <f>+VLOOKUP(PROVEEDORES[[#This Row],[PROVEEDOR]],TERCEROS_INFO[#All],2,FALSE)</f>
        <v>0</v>
      </c>
      <c r="D1085" s="145">
        <f>+SUMIFS(PROVEEDORES[Total],PROVEEDORES[PROVEEDOR],PROVEEDORES[[#This Row],[PROVEEDOR]],PROVEEDORES[FECHA DE PAGO],"")</f>
        <v>31839627.134999998</v>
      </c>
      <c r="E1085" s="146"/>
      <c r="F1085" s="144" t="str">
        <f>+VLOOKUP(PROVEEDORES[[#This Row],[PROVEEDOR]],
                       Terceros!$A:$G,
                       5,
                       FALSE)</f>
        <v>2,5% con base</v>
      </c>
      <c r="G1085" s="122">
        <v>45286</v>
      </c>
      <c r="H1085" s="102" t="s">
        <v>17</v>
      </c>
      <c r="I1085" s="122">
        <v>45252</v>
      </c>
      <c r="J1085" s="103" t="s">
        <v>1259</v>
      </c>
      <c r="K1085" s="103" t="s">
        <v>1512</v>
      </c>
      <c r="L1085" s="103"/>
      <c r="M1085" s="105">
        <v>3851267</v>
      </c>
      <c r="N1085" s="147">
        <v>731740.73</v>
      </c>
      <c r="O1085" s="147">
        <v>0</v>
      </c>
      <c r="P1085" s="148">
        <v>2.5000000000000001E-2</v>
      </c>
      <c r="Q1085" s="147">
        <v>96281.675000000003</v>
      </c>
      <c r="R1085" s="149">
        <v>4486726.0550000006</v>
      </c>
      <c r="S10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5" s="150">
        <f ca="1">+IF(PROVEEDORES[[#This Row],[FECHA DE PAGO]]=0,TODAY()-PROVEEDORES[[#This Row],[FECHA DE FACTURACIÓN]]-PROVEEDORES[[#This Row],[PLAZO Días]],0)</f>
        <v>0</v>
      </c>
      <c r="U1085" s="150">
        <f>+VLOOKUP(PROVEEDORES[[#This Row],[PROVEEDOR]],Terceros!$A:$E,4,FALSE)</f>
        <v>0.19</v>
      </c>
      <c r="V1085" s="150">
        <f>+YEAR(PROVEEDORES[[#This Row],[FECHA DE FACTURACIÓN]])</f>
        <v>2023</v>
      </c>
      <c r="W1085" s="150">
        <f>+MATCH(PROVEEDORES[[#This Row],[año facturado]],Retenciones!$1:$1,0)</f>
        <v>6</v>
      </c>
      <c r="X1085" s="151" t="e">
        <f>+VLOOKUP(PROVEEDORES[[#This Row],[ID RETENCION]],Retenciones!$A$1:$O$25,PROVEEDORES[[#This Row],[indicador de columna]],FALSE)</f>
        <v>#N/A</v>
      </c>
      <c r="Y1085" s="152" t="e">
        <f>+VLOOKUP(PROVEEDORES[[#This Row],[ID RETENCION]],Retenciones!$A$1:$O$25,2,FALSE)</f>
        <v>#N/A</v>
      </c>
      <c r="Z1085" s="153" t="b">
        <f>+OR(COUNTIF(PROVEEDORES[[#This Row],[PROVEEDOR]],"*"&amp;'Palabra que no opera y Listas d'!$A$2&amp;"*"))</f>
        <v>0</v>
      </c>
    </row>
    <row r="1086" spans="1:26" ht="27.75" customHeight="1" x14ac:dyDescent="0.3">
      <c r="A1086" s="144" t="str">
        <f>+IF(PROVEEDORES[[#This Row],[FECHA DE PAGO]]=PROVEEDORES[[#This Row],[FECHA DE FACTURACIÓN]],"DE CONTADO","CRÉDITO")</f>
        <v>CRÉDITO</v>
      </c>
      <c r="B1086" s="144" t="str">
        <f>+IF((PROVEEDORES[[#This Row],[FECHA DE PAGO]]-PROVEEDORES[[#This Row],[FECHA DE FACTURACIÓN]])&gt;PROVEEDORES[[#This Row],[PLAZO Días]],"PAGO VENCIDO")</f>
        <v>PAGO VENCIDO</v>
      </c>
      <c r="C1086" s="144">
        <f>+VLOOKUP(PROVEEDORES[[#This Row],[PROVEEDOR]],TERCEROS_INFO[#All],2,FALSE)</f>
        <v>0</v>
      </c>
      <c r="D1086" s="145">
        <f>+SUMIFS(PROVEEDORES[Total],PROVEEDORES[PROVEEDOR],PROVEEDORES[[#This Row],[PROVEEDOR]],PROVEEDORES[FECHA DE PAGO],"")</f>
        <v>17710735.315650001</v>
      </c>
      <c r="E1086" s="146"/>
      <c r="F1086" s="144" t="str">
        <f>+VLOOKUP(PROVEEDORES[[#This Row],[PROVEEDOR]],
                       Terceros!$A:$G,
                       5,
                       FALSE)</f>
        <v>2,5% con base</v>
      </c>
      <c r="G1086" s="122">
        <v>45286</v>
      </c>
      <c r="H1086" s="102" t="s">
        <v>11</v>
      </c>
      <c r="I1086" s="122">
        <v>45254</v>
      </c>
      <c r="J1086" s="103" t="s">
        <v>1265</v>
      </c>
      <c r="K1086" s="103" t="s">
        <v>1512</v>
      </c>
      <c r="L1086" s="103"/>
      <c r="M1086" s="105">
        <v>21214285</v>
      </c>
      <c r="N1086" s="147">
        <v>4030714.15</v>
      </c>
      <c r="O1086" s="147">
        <v>0</v>
      </c>
      <c r="P1086" s="148">
        <v>2.5000000000000001E-2</v>
      </c>
      <c r="Q1086" s="147">
        <v>530357.125</v>
      </c>
      <c r="R1086" s="149">
        <v>24714642.024999999</v>
      </c>
      <c r="S10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6" s="150">
        <f ca="1">+IF(PROVEEDORES[[#This Row],[FECHA DE PAGO]]=0,TODAY()-PROVEEDORES[[#This Row],[FECHA DE FACTURACIÓN]]-PROVEEDORES[[#This Row],[PLAZO Días]],0)</f>
        <v>0</v>
      </c>
      <c r="U1086" s="150">
        <f>+VLOOKUP(PROVEEDORES[[#This Row],[PROVEEDOR]],Terceros!$A:$E,4,FALSE)</f>
        <v>0.19</v>
      </c>
      <c r="V1086" s="150">
        <f>+YEAR(PROVEEDORES[[#This Row],[FECHA DE FACTURACIÓN]])</f>
        <v>2023</v>
      </c>
      <c r="W1086" s="150">
        <f>+MATCH(PROVEEDORES[[#This Row],[año facturado]],Retenciones!$1:$1,0)</f>
        <v>6</v>
      </c>
      <c r="X1086" s="151" t="e">
        <f>+VLOOKUP(PROVEEDORES[[#This Row],[ID RETENCION]],Retenciones!$A$1:$O$25,PROVEEDORES[[#This Row],[indicador de columna]],FALSE)</f>
        <v>#N/A</v>
      </c>
      <c r="Y1086" s="152" t="e">
        <f>+VLOOKUP(PROVEEDORES[[#This Row],[ID RETENCION]],Retenciones!$A$1:$O$25,2,FALSE)</f>
        <v>#N/A</v>
      </c>
      <c r="Z1086" s="153" t="b">
        <f>+OR(COUNTIF(PROVEEDORES[[#This Row],[PROVEEDOR]],"*"&amp;'Palabra que no opera y Listas d'!$A$2&amp;"*"))</f>
        <v>0</v>
      </c>
    </row>
    <row r="1087" spans="1:26" ht="27.75" customHeight="1" x14ac:dyDescent="0.3">
      <c r="A1087" s="144" t="str">
        <f>+IF(PROVEEDORES[[#This Row],[FECHA DE PAGO]]=PROVEEDORES[[#This Row],[FECHA DE FACTURACIÓN]],"DE CONTADO","CRÉDITO")</f>
        <v>CRÉDITO</v>
      </c>
      <c r="B1087" s="144" t="str">
        <f>+IF((PROVEEDORES[[#This Row],[FECHA DE PAGO]]-PROVEEDORES[[#This Row],[FECHA DE FACTURACIÓN]])&gt;PROVEEDORES[[#This Row],[PLAZO Días]],"PAGO VENCIDO")</f>
        <v>PAGO VENCIDO</v>
      </c>
      <c r="C1087" s="144">
        <f>+VLOOKUP(PROVEEDORES[[#This Row],[PROVEEDOR]],TERCEROS_INFO[#All],2,FALSE)</f>
        <v>0</v>
      </c>
      <c r="D1087" s="145">
        <f>+SUMIFS(PROVEEDORES[Total],PROVEEDORES[PROVEEDOR],PROVEEDORES[[#This Row],[PROVEEDOR]],PROVEEDORES[FECHA DE PAGO],"")</f>
        <v>31839627.134999998</v>
      </c>
      <c r="E1087" s="146"/>
      <c r="F1087" s="144" t="str">
        <f>+VLOOKUP(PROVEEDORES[[#This Row],[PROVEEDOR]],
                       Terceros!$A:$G,
                       5,
                       FALSE)</f>
        <v>2,5% con base</v>
      </c>
      <c r="G1087" s="122">
        <v>45286</v>
      </c>
      <c r="H1087" s="102" t="s">
        <v>17</v>
      </c>
      <c r="I1087" s="122">
        <v>45254</v>
      </c>
      <c r="J1087" s="103" t="s">
        <v>1261</v>
      </c>
      <c r="K1087" s="103" t="s">
        <v>1512</v>
      </c>
      <c r="L1087" s="103"/>
      <c r="M1087" s="105">
        <v>3212390</v>
      </c>
      <c r="N1087" s="147">
        <v>610354.1</v>
      </c>
      <c r="O1087" s="147">
        <v>0</v>
      </c>
      <c r="P1087" s="148">
        <v>2.5000000000000001E-2</v>
      </c>
      <c r="Q1087" s="147">
        <v>80309.75</v>
      </c>
      <c r="R1087" s="149">
        <v>3742434.35</v>
      </c>
      <c r="S10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7" s="150">
        <f ca="1">+IF(PROVEEDORES[[#This Row],[FECHA DE PAGO]]=0,TODAY()-PROVEEDORES[[#This Row],[FECHA DE FACTURACIÓN]]-PROVEEDORES[[#This Row],[PLAZO Días]],0)</f>
        <v>0</v>
      </c>
      <c r="U1087" s="150">
        <f>+VLOOKUP(PROVEEDORES[[#This Row],[PROVEEDOR]],Terceros!$A:$E,4,FALSE)</f>
        <v>0.19</v>
      </c>
      <c r="V1087" s="150">
        <f>+YEAR(PROVEEDORES[[#This Row],[FECHA DE FACTURACIÓN]])</f>
        <v>2023</v>
      </c>
      <c r="W1087" s="150">
        <f>+MATCH(PROVEEDORES[[#This Row],[año facturado]],Retenciones!$1:$1,0)</f>
        <v>6</v>
      </c>
      <c r="X1087" s="151" t="e">
        <f>+VLOOKUP(PROVEEDORES[[#This Row],[ID RETENCION]],Retenciones!$A$1:$O$25,PROVEEDORES[[#This Row],[indicador de columna]],FALSE)</f>
        <v>#N/A</v>
      </c>
      <c r="Y1087" s="152" t="e">
        <f>+VLOOKUP(PROVEEDORES[[#This Row],[ID RETENCION]],Retenciones!$A$1:$O$25,2,FALSE)</f>
        <v>#N/A</v>
      </c>
      <c r="Z1087" s="153" t="b">
        <f>+OR(COUNTIF(PROVEEDORES[[#This Row],[PROVEEDOR]],"*"&amp;'Palabra que no opera y Listas d'!$A$2&amp;"*"))</f>
        <v>0</v>
      </c>
    </row>
    <row r="1088" spans="1:26" ht="27.75" customHeight="1" x14ac:dyDescent="0.3">
      <c r="A1088" s="144" t="str">
        <f>+IF(PROVEEDORES[[#This Row],[FECHA DE PAGO]]=PROVEEDORES[[#This Row],[FECHA DE FACTURACIÓN]],"DE CONTADO","CRÉDITO")</f>
        <v>CRÉDITO</v>
      </c>
      <c r="B1088" s="144" t="str">
        <f>+IF((PROVEEDORES[[#This Row],[FECHA DE PAGO]]-PROVEEDORES[[#This Row],[FECHA DE FACTURACIÓN]])&gt;PROVEEDORES[[#This Row],[PLAZO Días]],"PAGO VENCIDO")</f>
        <v>PAGO VENCIDO</v>
      </c>
      <c r="C1088" s="144">
        <f>+VLOOKUP(PROVEEDORES[[#This Row],[PROVEEDOR]],TERCEROS_INFO[#All],2,FALSE)</f>
        <v>0</v>
      </c>
      <c r="D1088" s="145">
        <f>+SUMIFS(PROVEEDORES[Total],PROVEEDORES[PROVEEDOR],PROVEEDORES[[#This Row],[PROVEEDOR]],PROVEEDORES[FECHA DE PAGO],"")</f>
        <v>17710735.315650001</v>
      </c>
      <c r="E1088" s="146"/>
      <c r="F1088" s="144" t="str">
        <f>+VLOOKUP(PROVEEDORES[[#This Row],[PROVEEDOR]],
                       Terceros!$A:$G,
                       5,
                       FALSE)</f>
        <v>2,5% con base</v>
      </c>
      <c r="G1088" s="122">
        <v>45286</v>
      </c>
      <c r="H1088" s="102" t="s">
        <v>11</v>
      </c>
      <c r="I1088" s="122">
        <v>45254</v>
      </c>
      <c r="J1088" s="103" t="s">
        <v>1264</v>
      </c>
      <c r="K1088" s="103" t="s">
        <v>1512</v>
      </c>
      <c r="L1088" s="103"/>
      <c r="M1088" s="105">
        <v>1260504</v>
      </c>
      <c r="N1088" s="147">
        <v>239495.76</v>
      </c>
      <c r="O1088" s="147">
        <v>0</v>
      </c>
      <c r="P1088" s="148">
        <v>2.5000000000000001E-2</v>
      </c>
      <c r="Q1088" s="147">
        <v>31512.600000000002</v>
      </c>
      <c r="R1088" s="149">
        <v>1468487.16</v>
      </c>
      <c r="S10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8" s="150">
        <f ca="1">+IF(PROVEEDORES[[#This Row],[FECHA DE PAGO]]=0,TODAY()-PROVEEDORES[[#This Row],[FECHA DE FACTURACIÓN]]-PROVEEDORES[[#This Row],[PLAZO Días]],0)</f>
        <v>0</v>
      </c>
      <c r="U1088" s="150">
        <f>+VLOOKUP(PROVEEDORES[[#This Row],[PROVEEDOR]],Terceros!$A:$E,4,FALSE)</f>
        <v>0.19</v>
      </c>
      <c r="V1088" s="150">
        <f>+YEAR(PROVEEDORES[[#This Row],[FECHA DE FACTURACIÓN]])</f>
        <v>2023</v>
      </c>
      <c r="W1088" s="150">
        <f>+MATCH(PROVEEDORES[[#This Row],[año facturado]],Retenciones!$1:$1,0)</f>
        <v>6</v>
      </c>
      <c r="X1088" s="151" t="e">
        <f>+VLOOKUP(PROVEEDORES[[#This Row],[ID RETENCION]],Retenciones!$A$1:$O$25,PROVEEDORES[[#This Row],[indicador de columna]],FALSE)</f>
        <v>#N/A</v>
      </c>
      <c r="Y1088" s="152" t="e">
        <f>+VLOOKUP(PROVEEDORES[[#This Row],[ID RETENCION]],Retenciones!$A$1:$O$25,2,FALSE)</f>
        <v>#N/A</v>
      </c>
      <c r="Z1088" s="153" t="b">
        <f>+OR(COUNTIF(PROVEEDORES[[#This Row],[PROVEEDOR]],"*"&amp;'Palabra que no opera y Listas d'!$A$2&amp;"*"))</f>
        <v>0</v>
      </c>
    </row>
    <row r="1089" spans="1:26" ht="27.75" customHeight="1" x14ac:dyDescent="0.3">
      <c r="A1089" s="144" t="str">
        <f>+IF(PROVEEDORES[[#This Row],[FECHA DE PAGO]]=PROVEEDORES[[#This Row],[FECHA DE FACTURACIÓN]],"DE CONTADO","CRÉDITO")</f>
        <v>CRÉDITO</v>
      </c>
      <c r="B1089" s="144" t="str">
        <f>+IF((PROVEEDORES[[#This Row],[FECHA DE PAGO]]-PROVEEDORES[[#This Row],[FECHA DE FACTURACIÓN]])&gt;PROVEEDORES[[#This Row],[PLAZO Días]],"PAGO VENCIDO")</f>
        <v>PAGO VENCIDO</v>
      </c>
      <c r="C1089" s="144">
        <f>+VLOOKUP(PROVEEDORES[[#This Row],[PROVEEDOR]],TERCEROS_INFO[#All],2,FALSE)</f>
        <v>0</v>
      </c>
      <c r="D1089" s="145">
        <f>+SUMIFS(PROVEEDORES[Total],PROVEEDORES[PROVEEDOR],PROVEEDORES[[#This Row],[PROVEEDOR]],PROVEEDORES[FECHA DE PAGO],"")</f>
        <v>17710735.315650001</v>
      </c>
      <c r="E1089" s="146"/>
      <c r="F1089" s="144" t="str">
        <f>+VLOOKUP(PROVEEDORES[[#This Row],[PROVEEDOR]],
                       Terceros!$A:$G,
                       5,
                       FALSE)</f>
        <v>2,5% con base</v>
      </c>
      <c r="G1089" s="122">
        <v>45286</v>
      </c>
      <c r="H1089" s="102" t="s">
        <v>11</v>
      </c>
      <c r="I1089" s="122">
        <v>45254</v>
      </c>
      <c r="J1089" s="103" t="s">
        <v>1266</v>
      </c>
      <c r="K1089" s="103" t="s">
        <v>1512</v>
      </c>
      <c r="L1089" s="103"/>
      <c r="M1089" s="105">
        <v>49989</v>
      </c>
      <c r="N1089" s="147">
        <v>9497.91</v>
      </c>
      <c r="O1089" s="147">
        <v>0</v>
      </c>
      <c r="P1089" s="148">
        <v>0</v>
      </c>
      <c r="Q1089" s="147">
        <v>0</v>
      </c>
      <c r="R1089" s="149">
        <v>59486.91</v>
      </c>
      <c r="S10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9" s="150">
        <f ca="1">+IF(PROVEEDORES[[#This Row],[FECHA DE PAGO]]=0,TODAY()-PROVEEDORES[[#This Row],[FECHA DE FACTURACIÓN]]-PROVEEDORES[[#This Row],[PLAZO Días]],0)</f>
        <v>0</v>
      </c>
      <c r="U1089" s="150">
        <f>+VLOOKUP(PROVEEDORES[[#This Row],[PROVEEDOR]],Terceros!$A:$E,4,FALSE)</f>
        <v>0.19</v>
      </c>
      <c r="V1089" s="150">
        <f>+YEAR(PROVEEDORES[[#This Row],[FECHA DE FACTURACIÓN]])</f>
        <v>2023</v>
      </c>
      <c r="W1089" s="150">
        <f>+MATCH(PROVEEDORES[[#This Row],[año facturado]],Retenciones!$1:$1,0)</f>
        <v>6</v>
      </c>
      <c r="X1089" s="151" t="e">
        <f>+VLOOKUP(PROVEEDORES[[#This Row],[ID RETENCION]],Retenciones!$A$1:$O$25,PROVEEDORES[[#This Row],[indicador de columna]],FALSE)</f>
        <v>#N/A</v>
      </c>
      <c r="Y1089" s="152" t="e">
        <f>+VLOOKUP(PROVEEDORES[[#This Row],[ID RETENCION]],Retenciones!$A$1:$O$25,2,FALSE)</f>
        <v>#N/A</v>
      </c>
      <c r="Z1089" s="153" t="b">
        <f>+OR(COUNTIF(PROVEEDORES[[#This Row],[PROVEEDOR]],"*"&amp;'Palabra que no opera y Listas d'!$A$2&amp;"*"))</f>
        <v>0</v>
      </c>
    </row>
    <row r="1090" spans="1:26" ht="27.75" customHeight="1" x14ac:dyDescent="0.3">
      <c r="A1090" s="144" t="str">
        <f>+IF(PROVEEDORES[[#This Row],[FECHA DE PAGO]]=PROVEEDORES[[#This Row],[FECHA DE FACTURACIÓN]],"DE CONTADO","CRÉDITO")</f>
        <v>CRÉDITO</v>
      </c>
      <c r="B1090" s="144" t="str">
        <f>+IF((PROVEEDORES[[#This Row],[FECHA DE PAGO]]-PROVEEDORES[[#This Row],[FECHA DE FACTURACIÓN]])&gt;PROVEEDORES[[#This Row],[PLAZO Días]],"PAGO VENCIDO")</f>
        <v>PAGO VENCIDO</v>
      </c>
      <c r="C1090" s="144">
        <f>+VLOOKUP(PROVEEDORES[[#This Row],[PROVEEDOR]],TERCEROS_INFO[#All],2,FALSE)</f>
        <v>0</v>
      </c>
      <c r="D1090" s="145">
        <f>+SUMIFS(PROVEEDORES[Total],PROVEEDORES[PROVEEDOR],PROVEEDORES[[#This Row],[PROVEEDOR]],PROVEEDORES[FECHA DE PAGO],"")</f>
        <v>119844463.84</v>
      </c>
      <c r="E1090" s="146"/>
      <c r="F1090" s="144" t="str">
        <f>+VLOOKUP(PROVEEDORES[[#This Row],[PROVEEDOR]],
                       Terceros!$A:$G,
                       5,
                       FALSE)</f>
        <v>2,5% con base</v>
      </c>
      <c r="G1090" s="122">
        <v>45286</v>
      </c>
      <c r="H1090" s="102" t="s">
        <v>8</v>
      </c>
      <c r="I1090" s="122">
        <v>45281</v>
      </c>
      <c r="J1090" s="103" t="s">
        <v>1337</v>
      </c>
      <c r="K1090" s="103" t="s">
        <v>1512</v>
      </c>
      <c r="L1090" s="103"/>
      <c r="M1090" s="105">
        <v>22815172</v>
      </c>
      <c r="N1090" s="147">
        <v>4334882.68</v>
      </c>
      <c r="O1090" s="147">
        <v>0</v>
      </c>
      <c r="P1090" s="148">
        <v>2.5000000000000001E-2</v>
      </c>
      <c r="Q1090" s="147">
        <v>570379.30000000005</v>
      </c>
      <c r="R1090" s="149">
        <v>26579675.379999999</v>
      </c>
      <c r="S10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0" s="150">
        <f ca="1">+IF(PROVEEDORES[[#This Row],[FECHA DE PAGO]]=0,TODAY()-PROVEEDORES[[#This Row],[FECHA DE FACTURACIÓN]]-PROVEEDORES[[#This Row],[PLAZO Días]],0)</f>
        <v>0</v>
      </c>
      <c r="U1090" s="150">
        <f>+VLOOKUP(PROVEEDORES[[#This Row],[PROVEEDOR]],Terceros!$A:$E,4,FALSE)</f>
        <v>0.19</v>
      </c>
      <c r="V1090" s="150">
        <f>+YEAR(PROVEEDORES[[#This Row],[FECHA DE FACTURACIÓN]])</f>
        <v>2023</v>
      </c>
      <c r="W1090" s="150">
        <f>+MATCH(PROVEEDORES[[#This Row],[año facturado]],Retenciones!$1:$1,0)</f>
        <v>6</v>
      </c>
      <c r="X1090" s="151" t="e">
        <f>+VLOOKUP(PROVEEDORES[[#This Row],[ID RETENCION]],Retenciones!$A$1:$O$25,PROVEEDORES[[#This Row],[indicador de columna]],FALSE)</f>
        <v>#N/A</v>
      </c>
      <c r="Y1090" s="152" t="e">
        <f>+VLOOKUP(PROVEEDORES[[#This Row],[ID RETENCION]],Retenciones!$A$1:$O$25,2,FALSE)</f>
        <v>#N/A</v>
      </c>
      <c r="Z1090" s="153" t="b">
        <f>+OR(COUNTIF(PROVEEDORES[[#This Row],[PROVEEDOR]],"*"&amp;'Palabra que no opera y Listas d'!$A$2&amp;"*"))</f>
        <v>0</v>
      </c>
    </row>
    <row r="1091" spans="1:26" ht="27.75" customHeight="1" x14ac:dyDescent="0.3">
      <c r="A1091" s="144" t="str">
        <f>+IF(PROVEEDORES[[#This Row],[FECHA DE PAGO]]=PROVEEDORES[[#This Row],[FECHA DE FACTURACIÓN]],"DE CONTADO","CRÉDITO")</f>
        <v>CRÉDITO</v>
      </c>
      <c r="B1091" s="144" t="str">
        <f>+IF((PROVEEDORES[[#This Row],[FECHA DE PAGO]]-PROVEEDORES[[#This Row],[FECHA DE FACTURACIÓN]])&gt;PROVEEDORES[[#This Row],[PLAZO Días]],"PAGO VENCIDO")</f>
        <v>PAGO VENCIDO</v>
      </c>
      <c r="C1091" s="144">
        <f>+VLOOKUP(PROVEEDORES[[#This Row],[PROVEEDOR]],TERCEROS_INFO[#All],2,FALSE)</f>
        <v>0</v>
      </c>
      <c r="D1091" s="145">
        <f>+SUMIFS(PROVEEDORES[Total],PROVEEDORES[PROVEEDOR],PROVEEDORES[[#This Row],[PROVEEDOR]],PROVEEDORES[FECHA DE PAGO],"")</f>
        <v>11973060.324999999</v>
      </c>
      <c r="E1091" s="146"/>
      <c r="F1091" s="144" t="str">
        <f>+VLOOKUP(PROVEEDORES[[#This Row],[PROVEEDOR]],
                       Terceros!$A:$G,
                       5,
                       FALSE)</f>
        <v>2,5% con base</v>
      </c>
      <c r="G1091" s="122">
        <v>45287</v>
      </c>
      <c r="H1091" s="102" t="s">
        <v>70</v>
      </c>
      <c r="I1091" s="122">
        <v>45246</v>
      </c>
      <c r="J1091" s="103" t="s">
        <v>1262</v>
      </c>
      <c r="K1091" s="103" t="s">
        <v>1512</v>
      </c>
      <c r="L1091" s="103"/>
      <c r="M1091" s="105">
        <v>16744527</v>
      </c>
      <c r="N1091" s="147">
        <v>3181460.13</v>
      </c>
      <c r="O1091" s="147">
        <v>0</v>
      </c>
      <c r="P1091" s="148">
        <v>2.5000000000000001E-2</v>
      </c>
      <c r="Q1091" s="147">
        <v>418613.17500000005</v>
      </c>
      <c r="R1091" s="149">
        <v>19507373.954999998</v>
      </c>
      <c r="S10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1" s="150">
        <f ca="1">+IF(PROVEEDORES[[#This Row],[FECHA DE PAGO]]=0,TODAY()-PROVEEDORES[[#This Row],[FECHA DE FACTURACIÓN]]-PROVEEDORES[[#This Row],[PLAZO Días]],0)</f>
        <v>0</v>
      </c>
      <c r="U1091" s="150">
        <f>+VLOOKUP(PROVEEDORES[[#This Row],[PROVEEDOR]],Terceros!$A:$E,4,FALSE)</f>
        <v>0.19</v>
      </c>
      <c r="V1091" s="150">
        <f>+YEAR(PROVEEDORES[[#This Row],[FECHA DE FACTURACIÓN]])</f>
        <v>2023</v>
      </c>
      <c r="W1091" s="150">
        <f>+MATCH(PROVEEDORES[[#This Row],[año facturado]],Retenciones!$1:$1,0)</f>
        <v>6</v>
      </c>
      <c r="X1091" s="151" t="e">
        <f>+VLOOKUP(PROVEEDORES[[#This Row],[ID RETENCION]],Retenciones!$A$1:$O$25,PROVEEDORES[[#This Row],[indicador de columna]],FALSE)</f>
        <v>#N/A</v>
      </c>
      <c r="Y1091" s="152" t="e">
        <f>+VLOOKUP(PROVEEDORES[[#This Row],[ID RETENCION]],Retenciones!$A$1:$O$25,2,FALSE)</f>
        <v>#N/A</v>
      </c>
      <c r="Z1091" s="153" t="b">
        <f>+OR(COUNTIF(PROVEEDORES[[#This Row],[PROVEEDOR]],"*"&amp;'Palabra que no opera y Listas d'!$A$2&amp;"*"))</f>
        <v>0</v>
      </c>
    </row>
    <row r="1092" spans="1:26" ht="27.75" customHeight="1" x14ac:dyDescent="0.3">
      <c r="A1092" s="144" t="str">
        <f>+IF(PROVEEDORES[[#This Row],[FECHA DE PAGO]]=PROVEEDORES[[#This Row],[FECHA DE FACTURACIÓN]],"DE CONTADO","CRÉDITO")</f>
        <v>CRÉDITO</v>
      </c>
      <c r="B1092" s="144" t="str">
        <f>+IF((PROVEEDORES[[#This Row],[FECHA DE PAGO]]-PROVEEDORES[[#This Row],[FECHA DE FACTURACIÓN]])&gt;PROVEEDORES[[#This Row],[PLAZO Días]],"PAGO VENCIDO")</f>
        <v>PAGO VENCIDO</v>
      </c>
      <c r="C1092" s="144">
        <f>+VLOOKUP(PROVEEDORES[[#This Row],[PROVEEDOR]],TERCEROS_INFO[#All],2,FALSE)</f>
        <v>0</v>
      </c>
      <c r="D1092" s="145">
        <f>+SUMIFS(PROVEEDORES[Total],PROVEEDORES[PROVEEDOR],PROVEEDORES[[#This Row],[PROVEEDOR]],PROVEEDORES[FECHA DE PAGO],"")</f>
        <v>4198834.75</v>
      </c>
      <c r="E1092" s="146"/>
      <c r="F1092" s="144" t="str">
        <f>+VLOOKUP(PROVEEDORES[[#This Row],[PROVEEDOR]],
                       Terceros!$A:$G,
                       5,
                       FALSE)</f>
        <v>2,5% con base</v>
      </c>
      <c r="G1092" s="122">
        <v>45287</v>
      </c>
      <c r="H1092" s="102" t="s">
        <v>437</v>
      </c>
      <c r="I1092" s="122">
        <v>45252</v>
      </c>
      <c r="J1092" s="103" t="s">
        <v>1269</v>
      </c>
      <c r="K1092" s="103" t="s">
        <v>1512</v>
      </c>
      <c r="L1092" s="103"/>
      <c r="M1092" s="105">
        <v>1071000</v>
      </c>
      <c r="N1092" s="147">
        <v>203490</v>
      </c>
      <c r="O1092" s="147">
        <v>0</v>
      </c>
      <c r="P1092" s="148">
        <v>0</v>
      </c>
      <c r="Q1092" s="147">
        <v>0</v>
      </c>
      <c r="R1092" s="149">
        <v>1274490</v>
      </c>
      <c r="S10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2" s="150">
        <f ca="1">+IF(PROVEEDORES[[#This Row],[FECHA DE PAGO]]=0,TODAY()-PROVEEDORES[[#This Row],[FECHA DE FACTURACIÓN]]-PROVEEDORES[[#This Row],[PLAZO Días]],0)</f>
        <v>0</v>
      </c>
      <c r="U1092" s="150">
        <f>+VLOOKUP(PROVEEDORES[[#This Row],[PROVEEDOR]],Terceros!$A:$E,4,FALSE)</f>
        <v>0.19</v>
      </c>
      <c r="V1092" s="150">
        <f>+YEAR(PROVEEDORES[[#This Row],[FECHA DE FACTURACIÓN]])</f>
        <v>2023</v>
      </c>
      <c r="W1092" s="150">
        <f>+MATCH(PROVEEDORES[[#This Row],[año facturado]],Retenciones!$1:$1,0)</f>
        <v>6</v>
      </c>
      <c r="X1092" s="151" t="e">
        <f>+VLOOKUP(PROVEEDORES[[#This Row],[ID RETENCION]],Retenciones!$A$1:$O$25,PROVEEDORES[[#This Row],[indicador de columna]],FALSE)</f>
        <v>#N/A</v>
      </c>
      <c r="Y1092" s="152" t="e">
        <f>+VLOOKUP(PROVEEDORES[[#This Row],[ID RETENCION]],Retenciones!$A$1:$O$25,2,FALSE)</f>
        <v>#N/A</v>
      </c>
      <c r="Z1092" s="153" t="b">
        <f>+OR(COUNTIF(PROVEEDORES[[#This Row],[PROVEEDOR]],"*"&amp;'Palabra que no opera y Listas d'!$A$2&amp;"*"))</f>
        <v>0</v>
      </c>
    </row>
    <row r="1093" spans="1:26" ht="27.75" customHeight="1" x14ac:dyDescent="0.3">
      <c r="A1093" s="144" t="str">
        <f>+IF(PROVEEDORES[[#This Row],[FECHA DE PAGO]]=PROVEEDORES[[#This Row],[FECHA DE FACTURACIÓN]],"DE CONTADO","CRÉDITO")</f>
        <v>CRÉDITO</v>
      </c>
      <c r="B1093" s="144" t="str">
        <f>+IF((PROVEEDORES[[#This Row],[FECHA DE PAGO]]-PROVEEDORES[[#This Row],[FECHA DE FACTURACIÓN]])&gt;PROVEEDORES[[#This Row],[PLAZO Días]],"PAGO VENCIDO")</f>
        <v>PAGO VENCIDO</v>
      </c>
      <c r="C1093" s="144">
        <f>+VLOOKUP(PROVEEDORES[[#This Row],[PROVEEDOR]],TERCEROS_INFO[#All],2,FALSE)</f>
        <v>0</v>
      </c>
      <c r="D1093" s="145">
        <f>+SUMIFS(PROVEEDORES[Total],PROVEEDORES[PROVEEDOR],PROVEEDORES[[#This Row],[PROVEEDOR]],PROVEEDORES[FECHA DE PAGO],"")</f>
        <v>119844463.84</v>
      </c>
      <c r="E1093" s="146"/>
      <c r="F1093" s="144" t="str">
        <f>+VLOOKUP(PROVEEDORES[[#This Row],[PROVEEDOR]],
                       Terceros!$A:$G,
                       5,
                       FALSE)</f>
        <v>2,5% con base</v>
      </c>
      <c r="G1093" s="122">
        <v>45287</v>
      </c>
      <c r="H1093" s="102" t="s">
        <v>8</v>
      </c>
      <c r="I1093" s="122">
        <v>45261</v>
      </c>
      <c r="J1093" s="103" t="s">
        <v>1364</v>
      </c>
      <c r="K1093" s="103" t="s">
        <v>1512</v>
      </c>
      <c r="L1093" s="103"/>
      <c r="M1093" s="105">
        <v>159664</v>
      </c>
      <c r="N1093" s="147">
        <v>30336.16</v>
      </c>
      <c r="O1093" s="147">
        <v>0</v>
      </c>
      <c r="P1093" s="148">
        <v>0</v>
      </c>
      <c r="Q1093" s="147">
        <v>0</v>
      </c>
      <c r="R1093" s="149">
        <v>190000.16</v>
      </c>
      <c r="S10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3" s="150">
        <f ca="1">+IF(PROVEEDORES[[#This Row],[FECHA DE PAGO]]=0,TODAY()-PROVEEDORES[[#This Row],[FECHA DE FACTURACIÓN]]-PROVEEDORES[[#This Row],[PLAZO Días]],0)</f>
        <v>0</v>
      </c>
      <c r="U1093" s="150">
        <f>+VLOOKUP(PROVEEDORES[[#This Row],[PROVEEDOR]],Terceros!$A:$E,4,FALSE)</f>
        <v>0.19</v>
      </c>
      <c r="V1093" s="150">
        <f>+YEAR(PROVEEDORES[[#This Row],[FECHA DE FACTURACIÓN]])</f>
        <v>2023</v>
      </c>
      <c r="W1093" s="150">
        <f>+MATCH(PROVEEDORES[[#This Row],[año facturado]],Retenciones!$1:$1,0)</f>
        <v>6</v>
      </c>
      <c r="X1093" s="151" t="e">
        <f>+VLOOKUP(PROVEEDORES[[#This Row],[ID RETENCION]],Retenciones!$A$1:$O$25,PROVEEDORES[[#This Row],[indicador de columna]],FALSE)</f>
        <v>#N/A</v>
      </c>
      <c r="Y1093" s="152" t="e">
        <f>+VLOOKUP(PROVEEDORES[[#This Row],[ID RETENCION]],Retenciones!$A$1:$O$25,2,FALSE)</f>
        <v>#N/A</v>
      </c>
      <c r="Z1093" s="153" t="b">
        <f>+OR(COUNTIF(PROVEEDORES[[#This Row],[PROVEEDOR]],"*"&amp;'Palabra que no opera y Listas d'!$A$2&amp;"*"))</f>
        <v>0</v>
      </c>
    </row>
    <row r="1094" spans="1:26" ht="27.75" customHeight="1" x14ac:dyDescent="0.3">
      <c r="A1094" s="144" t="str">
        <f>+IF(PROVEEDORES[[#This Row],[FECHA DE PAGO]]=PROVEEDORES[[#This Row],[FECHA DE FACTURACIÓN]],"DE CONTADO","CRÉDITO")</f>
        <v>CRÉDITO</v>
      </c>
      <c r="B1094" s="144" t="str">
        <f>+IF((PROVEEDORES[[#This Row],[FECHA DE PAGO]]-PROVEEDORES[[#This Row],[FECHA DE FACTURACIÓN]])&gt;PROVEEDORES[[#This Row],[PLAZO Días]],"PAGO VENCIDO")</f>
        <v>PAGO VENCIDO</v>
      </c>
      <c r="C1094" s="144">
        <f>+VLOOKUP(PROVEEDORES[[#This Row],[PROVEEDOR]],TERCEROS_INFO[#All],2,FALSE)</f>
        <v>0</v>
      </c>
      <c r="D1094" s="145">
        <f>+SUMIFS(PROVEEDORES[Total],PROVEEDORES[PROVEEDOR],PROVEEDORES[[#This Row],[PROVEEDOR]],PROVEEDORES[FECHA DE PAGO],"")</f>
        <v>11973060.324999999</v>
      </c>
      <c r="E1094" s="146"/>
      <c r="F1094" s="144" t="str">
        <f>+VLOOKUP(PROVEEDORES[[#This Row],[PROVEEDOR]],
                       Terceros!$A:$G,
                       5,
                       FALSE)</f>
        <v>2,5% con base</v>
      </c>
      <c r="G1094" s="122">
        <v>45287</v>
      </c>
      <c r="H1094" s="102" t="s">
        <v>70</v>
      </c>
      <c r="I1094" s="122">
        <v>45286</v>
      </c>
      <c r="J1094" s="103" t="s">
        <v>1368</v>
      </c>
      <c r="K1094" s="103" t="s">
        <v>1512</v>
      </c>
      <c r="L1094" s="103"/>
      <c r="M1094" s="105">
        <v>-6302521</v>
      </c>
      <c r="N1094" s="147">
        <v>-1197478.99</v>
      </c>
      <c r="O1094" s="147">
        <v>0</v>
      </c>
      <c r="P1094" s="148">
        <v>0</v>
      </c>
      <c r="Q1094" s="147">
        <v>0</v>
      </c>
      <c r="R1094" s="149">
        <v>-7499999.9900000002</v>
      </c>
      <c r="S10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4" s="150">
        <f ca="1">+IF(PROVEEDORES[[#This Row],[FECHA DE PAGO]]=0,TODAY()-PROVEEDORES[[#This Row],[FECHA DE FACTURACIÓN]]-PROVEEDORES[[#This Row],[PLAZO Días]],0)</f>
        <v>0</v>
      </c>
      <c r="U1094" s="150">
        <f>+VLOOKUP(PROVEEDORES[[#This Row],[PROVEEDOR]],Terceros!$A:$E,4,FALSE)</f>
        <v>0.19</v>
      </c>
      <c r="V1094" s="150">
        <f>+YEAR(PROVEEDORES[[#This Row],[FECHA DE FACTURACIÓN]])</f>
        <v>2023</v>
      </c>
      <c r="W1094" s="150">
        <f>+MATCH(PROVEEDORES[[#This Row],[año facturado]],Retenciones!$1:$1,0)</f>
        <v>6</v>
      </c>
      <c r="X1094" s="151" t="e">
        <f>+VLOOKUP(PROVEEDORES[[#This Row],[ID RETENCION]],Retenciones!$A$1:$O$25,PROVEEDORES[[#This Row],[indicador de columna]],FALSE)</f>
        <v>#N/A</v>
      </c>
      <c r="Y1094" s="152" t="e">
        <f>+VLOOKUP(PROVEEDORES[[#This Row],[ID RETENCION]],Retenciones!$A$1:$O$25,2,FALSE)</f>
        <v>#N/A</v>
      </c>
      <c r="Z1094" s="153" t="b">
        <f>+OR(COUNTIF(PROVEEDORES[[#This Row],[PROVEEDOR]],"*"&amp;'Palabra que no opera y Listas d'!$A$2&amp;"*"))</f>
        <v>0</v>
      </c>
    </row>
    <row r="1095" spans="1:26" ht="27.75" customHeight="1" x14ac:dyDescent="0.3">
      <c r="A1095" s="144" t="str">
        <f>+IF(PROVEEDORES[[#This Row],[FECHA DE PAGO]]=PROVEEDORES[[#This Row],[FECHA DE FACTURACIÓN]],"DE CONTADO","CRÉDITO")</f>
        <v>DE CONTADO</v>
      </c>
      <c r="B1095" s="144" t="b">
        <f>+IF((PROVEEDORES[[#This Row],[FECHA DE PAGO]]-PROVEEDORES[[#This Row],[FECHA DE FACTURACIÓN]])&gt;PROVEEDORES[[#This Row],[PLAZO Días]],"PAGO VENCIDO")</f>
        <v>0</v>
      </c>
      <c r="C1095" s="144">
        <f>+VLOOKUP(PROVEEDORES[[#This Row],[PROVEEDOR]],TERCEROS_INFO[#All],2,FALSE)</f>
        <v>0</v>
      </c>
      <c r="D1095" s="145">
        <f>+SUMIFS(PROVEEDORES[Total],PROVEEDORES[PROVEEDOR],PROVEEDORES[[#This Row],[PROVEEDOR]],PROVEEDORES[FECHA DE PAGO],"")</f>
        <v>0</v>
      </c>
      <c r="E1095" s="146"/>
      <c r="F1095" s="144" t="str">
        <f>+VLOOKUP(PROVEEDORES[[#This Row],[PROVEEDOR]],
                       Terceros!$A:$G,
                       5,
                       FALSE)</f>
        <v>2,5% con base</v>
      </c>
      <c r="G1095" s="122">
        <v>45287</v>
      </c>
      <c r="H1095" s="102" t="s">
        <v>71</v>
      </c>
      <c r="I1095" s="122">
        <v>45287</v>
      </c>
      <c r="J1095" s="103" t="s">
        <v>1616</v>
      </c>
      <c r="K1095" s="103" t="s">
        <v>1512</v>
      </c>
      <c r="L1095" s="103" t="s">
        <v>1516</v>
      </c>
      <c r="M1095" s="105">
        <v>6400000</v>
      </c>
      <c r="N1095" s="147">
        <v>0</v>
      </c>
      <c r="O1095" s="147">
        <v>0</v>
      </c>
      <c r="P1095" s="148">
        <v>0</v>
      </c>
      <c r="Q1095" s="147">
        <v>0</v>
      </c>
      <c r="R1095" s="149">
        <v>6400000</v>
      </c>
      <c r="S10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5" s="150">
        <f ca="1">+IF(PROVEEDORES[[#This Row],[FECHA DE PAGO]]=0,TODAY()-PROVEEDORES[[#This Row],[FECHA DE FACTURACIÓN]]-PROVEEDORES[[#This Row],[PLAZO Días]],0)</f>
        <v>0</v>
      </c>
      <c r="U1095" s="150">
        <f>+VLOOKUP(PROVEEDORES[[#This Row],[PROVEEDOR]],Terceros!$A:$E,4,FALSE)</f>
        <v>0.19</v>
      </c>
      <c r="V1095" s="150">
        <f>+YEAR(PROVEEDORES[[#This Row],[FECHA DE FACTURACIÓN]])</f>
        <v>2023</v>
      </c>
      <c r="W1095" s="150">
        <f>+MATCH(PROVEEDORES[[#This Row],[año facturado]],Retenciones!$1:$1,0)</f>
        <v>6</v>
      </c>
      <c r="X1095" s="151" t="e">
        <f>+VLOOKUP(PROVEEDORES[[#This Row],[ID RETENCION]],Retenciones!$A$1:$O$25,PROVEEDORES[[#This Row],[indicador de columna]],FALSE)</f>
        <v>#N/A</v>
      </c>
      <c r="Y1095" s="152" t="e">
        <f>+VLOOKUP(PROVEEDORES[[#This Row],[ID RETENCION]],Retenciones!$A$1:$O$25,2,FALSE)</f>
        <v>#N/A</v>
      </c>
      <c r="Z1095" s="153" t="b">
        <f>+OR(COUNTIF(PROVEEDORES[[#This Row],[PROVEEDOR]],"*"&amp;'Palabra que no opera y Listas d'!$A$2&amp;"*"))</f>
        <v>0</v>
      </c>
    </row>
    <row r="1096" spans="1:26" ht="27.75" customHeight="1" x14ac:dyDescent="0.3">
      <c r="A1096" s="144" t="str">
        <f>+IF(PROVEEDORES[[#This Row],[FECHA DE PAGO]]=PROVEEDORES[[#This Row],[FECHA DE FACTURACIÓN]],"DE CONTADO","CRÉDITO")</f>
        <v>CRÉDITO</v>
      </c>
      <c r="B1096" s="144" t="str">
        <f>+IF((PROVEEDORES[[#This Row],[FECHA DE PAGO]]-PROVEEDORES[[#This Row],[FECHA DE FACTURACIÓN]])&gt;PROVEEDORES[[#This Row],[PLAZO Días]],"PAGO VENCIDO")</f>
        <v>PAGO VENCIDO</v>
      </c>
      <c r="C1096" s="144">
        <f>+VLOOKUP(PROVEEDORES[[#This Row],[PROVEEDOR]],TERCEROS_INFO[#All],2,FALSE)</f>
        <v>0</v>
      </c>
      <c r="D1096" s="145">
        <f>+SUMIFS(PROVEEDORES[Total],PROVEEDORES[PROVEEDOR],PROVEEDORES[[#This Row],[PROVEEDOR]],PROVEEDORES[FECHA DE PAGO],"")</f>
        <v>3461120</v>
      </c>
      <c r="E1096" s="146"/>
      <c r="F1096" s="144" t="str">
        <f>+VLOOKUP(PROVEEDORES[[#This Row],[PROVEEDOR]],
                       Terceros!$A:$G,
                       5,
                       FALSE)</f>
        <v>2,5% con base</v>
      </c>
      <c r="G1096" s="122">
        <v>45288</v>
      </c>
      <c r="H1096" s="102" t="s">
        <v>9</v>
      </c>
      <c r="I1096" s="122">
        <v>45247</v>
      </c>
      <c r="J1096" s="103" t="s">
        <v>1251</v>
      </c>
      <c r="K1096" s="103" t="s">
        <v>1512</v>
      </c>
      <c r="L1096" s="103"/>
      <c r="M1096" s="105">
        <v>2800000</v>
      </c>
      <c r="N1096" s="147">
        <v>532000</v>
      </c>
      <c r="O1096" s="147">
        <v>0</v>
      </c>
      <c r="P1096" s="148">
        <v>2.5000000000000001E-2</v>
      </c>
      <c r="Q1096" s="147">
        <v>70000</v>
      </c>
      <c r="R1096" s="149">
        <v>3262000</v>
      </c>
      <c r="S10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6" s="150">
        <f ca="1">+IF(PROVEEDORES[[#This Row],[FECHA DE PAGO]]=0,TODAY()-PROVEEDORES[[#This Row],[FECHA DE FACTURACIÓN]]-PROVEEDORES[[#This Row],[PLAZO Días]],0)</f>
        <v>0</v>
      </c>
      <c r="U1096" s="150">
        <f>+VLOOKUP(PROVEEDORES[[#This Row],[PROVEEDOR]],Terceros!$A:$E,4,FALSE)</f>
        <v>0.19</v>
      </c>
      <c r="V1096" s="150">
        <f>+YEAR(PROVEEDORES[[#This Row],[FECHA DE FACTURACIÓN]])</f>
        <v>2023</v>
      </c>
      <c r="W1096" s="150">
        <f>+MATCH(PROVEEDORES[[#This Row],[año facturado]],Retenciones!$1:$1,0)</f>
        <v>6</v>
      </c>
      <c r="X1096" s="151" t="e">
        <f>+VLOOKUP(PROVEEDORES[[#This Row],[ID RETENCION]],Retenciones!$A$1:$O$25,PROVEEDORES[[#This Row],[indicador de columna]],FALSE)</f>
        <v>#N/A</v>
      </c>
      <c r="Y1096" s="152" t="e">
        <f>+VLOOKUP(PROVEEDORES[[#This Row],[ID RETENCION]],Retenciones!$A$1:$O$25,2,FALSE)</f>
        <v>#N/A</v>
      </c>
      <c r="Z1096" s="153" t="b">
        <f>+OR(COUNTIF(PROVEEDORES[[#This Row],[PROVEEDOR]],"*"&amp;'Palabra que no opera y Listas d'!$A$2&amp;"*"))</f>
        <v>0</v>
      </c>
    </row>
    <row r="1097" spans="1:26" ht="27.75" customHeight="1" x14ac:dyDescent="0.3">
      <c r="A1097" s="144" t="str">
        <f>+IF(PROVEEDORES[[#This Row],[FECHA DE PAGO]]=PROVEEDORES[[#This Row],[FECHA DE FACTURACIÓN]],"DE CONTADO","CRÉDITO")</f>
        <v>CRÉDITO</v>
      </c>
      <c r="B1097" s="144" t="str">
        <f>+IF((PROVEEDORES[[#This Row],[FECHA DE PAGO]]-PROVEEDORES[[#This Row],[FECHA DE FACTURACIÓN]])&gt;PROVEEDORES[[#This Row],[PLAZO Días]],"PAGO VENCIDO")</f>
        <v>PAGO VENCIDO</v>
      </c>
      <c r="C1097" s="144">
        <f>+VLOOKUP(PROVEEDORES[[#This Row],[PROVEEDOR]],TERCEROS_INFO[#All],2,FALSE)</f>
        <v>0</v>
      </c>
      <c r="D1097" s="145">
        <f>+SUMIFS(PROVEEDORES[Total],PROVEEDORES[PROVEEDOR],PROVEEDORES[[#This Row],[PROVEEDOR]],PROVEEDORES[FECHA DE PAGO],"")</f>
        <v>3461120</v>
      </c>
      <c r="E1097" s="146"/>
      <c r="F1097" s="144" t="str">
        <f>+VLOOKUP(PROVEEDORES[[#This Row],[PROVEEDOR]],
                       Terceros!$A:$G,
                       5,
                       FALSE)</f>
        <v>2,5% con base</v>
      </c>
      <c r="G1097" s="122">
        <v>45288</v>
      </c>
      <c r="H1097" s="102" t="s">
        <v>9</v>
      </c>
      <c r="I1097" s="122">
        <v>45247</v>
      </c>
      <c r="J1097" s="103" t="s">
        <v>1252</v>
      </c>
      <c r="K1097" s="103" t="s">
        <v>1512</v>
      </c>
      <c r="L1097" s="103"/>
      <c r="M1097" s="105">
        <v>380000</v>
      </c>
      <c r="N1097" s="147">
        <v>72200</v>
      </c>
      <c r="O1097" s="147">
        <v>0</v>
      </c>
      <c r="P1097" s="148">
        <v>0</v>
      </c>
      <c r="Q1097" s="147">
        <v>0</v>
      </c>
      <c r="R1097" s="149">
        <v>452200</v>
      </c>
      <c r="S10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7" s="150">
        <f ca="1">+IF(PROVEEDORES[[#This Row],[FECHA DE PAGO]]=0,TODAY()-PROVEEDORES[[#This Row],[FECHA DE FACTURACIÓN]]-PROVEEDORES[[#This Row],[PLAZO Días]],0)</f>
        <v>0</v>
      </c>
      <c r="U1097" s="150">
        <f>+VLOOKUP(PROVEEDORES[[#This Row],[PROVEEDOR]],Terceros!$A:$E,4,FALSE)</f>
        <v>0.19</v>
      </c>
      <c r="V1097" s="150">
        <f>+YEAR(PROVEEDORES[[#This Row],[FECHA DE FACTURACIÓN]])</f>
        <v>2023</v>
      </c>
      <c r="W1097" s="150">
        <f>+MATCH(PROVEEDORES[[#This Row],[año facturado]],Retenciones!$1:$1,0)</f>
        <v>6</v>
      </c>
      <c r="X1097" s="151" t="e">
        <f>+VLOOKUP(PROVEEDORES[[#This Row],[ID RETENCION]],Retenciones!$A$1:$O$25,PROVEEDORES[[#This Row],[indicador de columna]],FALSE)</f>
        <v>#N/A</v>
      </c>
      <c r="Y1097" s="152" t="e">
        <f>+VLOOKUP(PROVEEDORES[[#This Row],[ID RETENCION]],Retenciones!$A$1:$O$25,2,FALSE)</f>
        <v>#N/A</v>
      </c>
      <c r="Z1097" s="153" t="b">
        <f>+OR(COUNTIF(PROVEEDORES[[#This Row],[PROVEEDOR]],"*"&amp;'Palabra que no opera y Listas d'!$A$2&amp;"*"))</f>
        <v>0</v>
      </c>
    </row>
    <row r="1098" spans="1:26" ht="27.75" customHeight="1" x14ac:dyDescent="0.3">
      <c r="A1098" s="144" t="str">
        <f>+IF(PROVEEDORES[[#This Row],[FECHA DE PAGO]]=PROVEEDORES[[#This Row],[FECHA DE FACTURACIÓN]],"DE CONTADO","CRÉDITO")</f>
        <v>CRÉDITO</v>
      </c>
      <c r="B1098" s="144" t="str">
        <f>+IF((PROVEEDORES[[#This Row],[FECHA DE PAGO]]-PROVEEDORES[[#This Row],[FECHA DE FACTURACIÓN]])&gt;PROVEEDORES[[#This Row],[PLAZO Días]],"PAGO VENCIDO")</f>
        <v>PAGO VENCIDO</v>
      </c>
      <c r="C1098" s="144">
        <f>+VLOOKUP(PROVEEDORES[[#This Row],[PROVEEDOR]],TERCEROS_INFO[#All],2,FALSE)</f>
        <v>0</v>
      </c>
      <c r="D1098" s="145">
        <f>+SUMIFS(PROVEEDORES[Total],PROVEEDORES[PROVEEDOR],PROVEEDORES[[#This Row],[PROVEEDOR]],PROVEEDORES[FECHA DE PAGO],"")</f>
        <v>0</v>
      </c>
      <c r="E1098" s="146"/>
      <c r="F1098" s="144" t="str">
        <f>+VLOOKUP(PROVEEDORES[[#This Row],[PROVEEDOR]],
                       Terceros!$A:$G,
                       5,
                       FALSE)</f>
        <v>2,5% con base</v>
      </c>
      <c r="G1098" s="122">
        <v>45288</v>
      </c>
      <c r="H1098" s="102" t="s">
        <v>956</v>
      </c>
      <c r="I1098" s="122">
        <v>45251</v>
      </c>
      <c r="J1098" s="103" t="s">
        <v>1263</v>
      </c>
      <c r="K1098" s="103" t="s">
        <v>1512</v>
      </c>
      <c r="L1098" s="103"/>
      <c r="M1098" s="105">
        <v>756303</v>
      </c>
      <c r="N1098" s="147">
        <v>143697.57</v>
      </c>
      <c r="O1098" s="147">
        <v>0</v>
      </c>
      <c r="P1098" s="148">
        <v>0</v>
      </c>
      <c r="Q1098" s="147">
        <v>0</v>
      </c>
      <c r="R1098" s="149">
        <v>900000.57000000007</v>
      </c>
      <c r="S10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8" s="150">
        <f ca="1">+IF(PROVEEDORES[[#This Row],[FECHA DE PAGO]]=0,TODAY()-PROVEEDORES[[#This Row],[FECHA DE FACTURACIÓN]]-PROVEEDORES[[#This Row],[PLAZO Días]],0)</f>
        <v>0</v>
      </c>
      <c r="U1098" s="150">
        <f>+VLOOKUP(PROVEEDORES[[#This Row],[PROVEEDOR]],Terceros!$A:$E,4,FALSE)</f>
        <v>0.19</v>
      </c>
      <c r="V1098" s="150">
        <f>+YEAR(PROVEEDORES[[#This Row],[FECHA DE FACTURACIÓN]])</f>
        <v>2023</v>
      </c>
      <c r="W1098" s="150">
        <f>+MATCH(PROVEEDORES[[#This Row],[año facturado]],Retenciones!$1:$1,0)</f>
        <v>6</v>
      </c>
      <c r="X1098" s="151" t="e">
        <f>+VLOOKUP(PROVEEDORES[[#This Row],[ID RETENCION]],Retenciones!$A$1:$O$25,PROVEEDORES[[#This Row],[indicador de columna]],FALSE)</f>
        <v>#N/A</v>
      </c>
      <c r="Y1098" s="152" t="e">
        <f>+VLOOKUP(PROVEEDORES[[#This Row],[ID RETENCION]],Retenciones!$A$1:$O$25,2,FALSE)</f>
        <v>#N/A</v>
      </c>
      <c r="Z1098" s="153" t="b">
        <f>+OR(COUNTIF(PROVEEDORES[[#This Row],[PROVEEDOR]],"*"&amp;'Palabra que no opera y Listas d'!$A$2&amp;"*"))</f>
        <v>0</v>
      </c>
    </row>
    <row r="1099" spans="1:26" ht="27.75" customHeight="1" x14ac:dyDescent="0.3">
      <c r="A1099" s="144" t="str">
        <f>+IF(PROVEEDORES[[#This Row],[FECHA DE PAGO]]=PROVEEDORES[[#This Row],[FECHA DE FACTURACIÓN]],"DE CONTADO","CRÉDITO")</f>
        <v>CRÉDITO</v>
      </c>
      <c r="B1099" s="144" t="str">
        <f>+IF((PROVEEDORES[[#This Row],[FECHA DE PAGO]]-PROVEEDORES[[#This Row],[FECHA DE FACTURACIÓN]])&gt;PROVEEDORES[[#This Row],[PLAZO Días]],"PAGO VENCIDO")</f>
        <v>PAGO VENCIDO</v>
      </c>
      <c r="C1099" s="144">
        <f>+VLOOKUP(PROVEEDORES[[#This Row],[PROVEEDOR]],TERCEROS_INFO[#All],2,FALSE)</f>
        <v>0</v>
      </c>
      <c r="D1099" s="145">
        <f>+SUMIFS(PROVEEDORES[Total],PROVEEDORES[PROVEEDOR],PROVEEDORES[[#This Row],[PROVEEDOR]],PROVEEDORES[FECHA DE PAGO],"")</f>
        <v>28179645.060000002</v>
      </c>
      <c r="E1099" s="146"/>
      <c r="F1099" s="144">
        <f>+VLOOKUP(PROVEEDORES[[#This Row],[PROVEEDOR]],
                       Terceros!$A:$G,
                       5,
                       FALSE)</f>
        <v>0</v>
      </c>
      <c r="G1099" s="122">
        <v>45288</v>
      </c>
      <c r="H1099" s="102" t="s">
        <v>18</v>
      </c>
      <c r="I1099" s="122">
        <v>45252</v>
      </c>
      <c r="J1099" s="103" t="s">
        <v>1255</v>
      </c>
      <c r="K1099" s="103" t="s">
        <v>1512</v>
      </c>
      <c r="L1099" s="103"/>
      <c r="M1099" s="105">
        <v>2102085</v>
      </c>
      <c r="N1099" s="147">
        <v>399396.15</v>
      </c>
      <c r="O1099" s="147">
        <v>0</v>
      </c>
      <c r="P1099" s="148">
        <v>0</v>
      </c>
      <c r="Q1099" s="147">
        <v>0</v>
      </c>
      <c r="R1099" s="149">
        <v>2501481.15</v>
      </c>
      <c r="S10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9" s="150">
        <f ca="1">+IF(PROVEEDORES[[#This Row],[FECHA DE PAGO]]=0,TODAY()-PROVEEDORES[[#This Row],[FECHA DE FACTURACIÓN]]-PROVEEDORES[[#This Row],[PLAZO Días]],0)</f>
        <v>0</v>
      </c>
      <c r="U1099" s="150">
        <f>+VLOOKUP(PROVEEDORES[[#This Row],[PROVEEDOR]],Terceros!$A:$E,4,FALSE)</f>
        <v>0.19</v>
      </c>
      <c r="V1099" s="150">
        <f>+YEAR(PROVEEDORES[[#This Row],[FECHA DE FACTURACIÓN]])</f>
        <v>2023</v>
      </c>
      <c r="W1099" s="150">
        <f>+MATCH(PROVEEDORES[[#This Row],[año facturado]],Retenciones!$1:$1,0)</f>
        <v>6</v>
      </c>
      <c r="X1099" s="151" t="e">
        <f>+VLOOKUP(PROVEEDORES[[#This Row],[ID RETENCION]],Retenciones!$A$1:$O$25,PROVEEDORES[[#This Row],[indicador de columna]],FALSE)</f>
        <v>#N/A</v>
      </c>
      <c r="Y1099" s="152" t="e">
        <f>+VLOOKUP(PROVEEDORES[[#This Row],[ID RETENCION]],Retenciones!$A$1:$O$25,2,FALSE)</f>
        <v>#N/A</v>
      </c>
      <c r="Z1099" s="153" t="b">
        <f>+OR(COUNTIF(PROVEEDORES[[#This Row],[PROVEEDOR]],"*"&amp;'Palabra que no opera y Listas d'!$A$2&amp;"*"))</f>
        <v>0</v>
      </c>
    </row>
    <row r="1100" spans="1:26" ht="27.75" customHeight="1" x14ac:dyDescent="0.3">
      <c r="A1100" s="144" t="str">
        <f>+IF(PROVEEDORES[[#This Row],[FECHA DE PAGO]]=PROVEEDORES[[#This Row],[FECHA DE FACTURACIÓN]],"DE CONTADO","CRÉDITO")</f>
        <v>CRÉDITO</v>
      </c>
      <c r="B1100" s="144" t="str">
        <f>+IF((PROVEEDORES[[#This Row],[FECHA DE PAGO]]-PROVEEDORES[[#This Row],[FECHA DE FACTURACIÓN]])&gt;PROVEEDORES[[#This Row],[PLAZO Días]],"PAGO VENCIDO")</f>
        <v>PAGO VENCIDO</v>
      </c>
      <c r="C1100" s="144">
        <f>+VLOOKUP(PROVEEDORES[[#This Row],[PROVEEDOR]],TERCEROS_INFO[#All],2,FALSE)</f>
        <v>0</v>
      </c>
      <c r="D1100" s="145">
        <f>+SUMIFS(PROVEEDORES[Total],PROVEEDORES[PROVEEDOR],PROVEEDORES[[#This Row],[PROVEEDOR]],PROVEEDORES[FECHA DE PAGO],"")</f>
        <v>3533418.74</v>
      </c>
      <c r="E1100" s="146"/>
      <c r="F1100" s="144">
        <f>+VLOOKUP(PROVEEDORES[[#This Row],[PROVEEDOR]],
                       Terceros!$A:$G,
                       5,
                       FALSE)</f>
        <v>0</v>
      </c>
      <c r="G1100" s="122">
        <v>45288</v>
      </c>
      <c r="H1100" s="102" t="s">
        <v>236</v>
      </c>
      <c r="I1100" s="122">
        <v>45253</v>
      </c>
      <c r="J1100" s="103" t="s">
        <v>1315</v>
      </c>
      <c r="K1100" s="103" t="s">
        <v>1512</v>
      </c>
      <c r="L1100" s="103"/>
      <c r="M1100" s="105">
        <v>4760520</v>
      </c>
      <c r="N1100" s="147">
        <v>904498.8</v>
      </c>
      <c r="O1100" s="147">
        <v>0</v>
      </c>
      <c r="P1100" s="148">
        <v>0</v>
      </c>
      <c r="Q1100" s="147">
        <v>0</v>
      </c>
      <c r="R1100" s="149">
        <v>5665018.7999999998</v>
      </c>
      <c r="S11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0" s="150">
        <f ca="1">+IF(PROVEEDORES[[#This Row],[FECHA DE PAGO]]=0,TODAY()-PROVEEDORES[[#This Row],[FECHA DE FACTURACIÓN]]-PROVEEDORES[[#This Row],[PLAZO Días]],0)</f>
        <v>0</v>
      </c>
      <c r="U1100" s="150">
        <f>+VLOOKUP(PROVEEDORES[[#This Row],[PROVEEDOR]],Terceros!$A:$E,4,FALSE)</f>
        <v>0.19</v>
      </c>
      <c r="V1100" s="150">
        <f>+YEAR(PROVEEDORES[[#This Row],[FECHA DE FACTURACIÓN]])</f>
        <v>2023</v>
      </c>
      <c r="W1100" s="150">
        <f>+MATCH(PROVEEDORES[[#This Row],[año facturado]],Retenciones!$1:$1,0)</f>
        <v>6</v>
      </c>
      <c r="X1100" s="151" t="e">
        <f>+VLOOKUP(PROVEEDORES[[#This Row],[ID RETENCION]],Retenciones!$A$1:$O$25,PROVEEDORES[[#This Row],[indicador de columna]],FALSE)</f>
        <v>#N/A</v>
      </c>
      <c r="Y1100" s="152" t="e">
        <f>+VLOOKUP(PROVEEDORES[[#This Row],[ID RETENCION]],Retenciones!$A$1:$O$25,2,FALSE)</f>
        <v>#N/A</v>
      </c>
      <c r="Z1100" s="153" t="b">
        <f>+OR(COUNTIF(PROVEEDORES[[#This Row],[PROVEEDOR]],"*"&amp;'Palabra que no opera y Listas d'!$A$2&amp;"*"))</f>
        <v>0</v>
      </c>
    </row>
    <row r="1101" spans="1:26" ht="27.75" customHeight="1" x14ac:dyDescent="0.3">
      <c r="A1101" s="144" t="str">
        <f>+IF(PROVEEDORES[[#This Row],[FECHA DE PAGO]]=PROVEEDORES[[#This Row],[FECHA DE FACTURACIÓN]],"DE CONTADO","CRÉDITO")</f>
        <v>CRÉDITO</v>
      </c>
      <c r="B1101" s="144" t="str">
        <f>+IF((PROVEEDORES[[#This Row],[FECHA DE PAGO]]-PROVEEDORES[[#This Row],[FECHA DE FACTURACIÓN]])&gt;PROVEEDORES[[#This Row],[PLAZO Días]],"PAGO VENCIDO")</f>
        <v>PAGO VENCIDO</v>
      </c>
      <c r="C1101" s="144">
        <f>+VLOOKUP(PROVEEDORES[[#This Row],[PROVEEDOR]],TERCEROS_INFO[#All],2,FALSE)</f>
        <v>0</v>
      </c>
      <c r="D1101" s="145">
        <f>+SUMIFS(PROVEEDORES[Total],PROVEEDORES[PROVEEDOR],PROVEEDORES[[#This Row],[PROVEEDOR]],PROVEEDORES[FECHA DE PAGO],"")</f>
        <v>5813868.5099999998</v>
      </c>
      <c r="E1101" s="146"/>
      <c r="F1101" s="144" t="str">
        <f>+VLOOKUP(PROVEEDORES[[#This Row],[PROVEEDOR]],
                       Terceros!$A:$G,
                       5,
                       FALSE)</f>
        <v>2,5% con base</v>
      </c>
      <c r="G1101" s="122">
        <v>45288</v>
      </c>
      <c r="H1101" s="102" t="s">
        <v>23</v>
      </c>
      <c r="I1101" s="122">
        <v>45254</v>
      </c>
      <c r="J1101" s="103" t="s">
        <v>1503</v>
      </c>
      <c r="K1101" s="103" t="s">
        <v>516</v>
      </c>
      <c r="L1101" s="103"/>
      <c r="M1101" s="105">
        <v>2695200</v>
      </c>
      <c r="N1101" s="147">
        <v>512088</v>
      </c>
      <c r="O1101" s="147">
        <v>0</v>
      </c>
      <c r="P1101" s="148">
        <v>2.5000000000000001E-2</v>
      </c>
      <c r="Q1101" s="147">
        <v>67380</v>
      </c>
      <c r="R1101" s="149">
        <v>3139908</v>
      </c>
      <c r="S11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1" s="150">
        <f ca="1">+IF(PROVEEDORES[[#This Row],[FECHA DE PAGO]]=0,TODAY()-PROVEEDORES[[#This Row],[FECHA DE FACTURACIÓN]]-PROVEEDORES[[#This Row],[PLAZO Días]],0)</f>
        <v>0</v>
      </c>
      <c r="U1101" s="150">
        <f>+VLOOKUP(PROVEEDORES[[#This Row],[PROVEEDOR]],Terceros!$A:$E,4,FALSE)</f>
        <v>0.19</v>
      </c>
      <c r="V1101" s="150">
        <f>+YEAR(PROVEEDORES[[#This Row],[FECHA DE FACTURACIÓN]])</f>
        <v>2023</v>
      </c>
      <c r="W1101" s="150">
        <f>+MATCH(PROVEEDORES[[#This Row],[año facturado]],Retenciones!$1:$1,0)</f>
        <v>6</v>
      </c>
      <c r="X1101" s="151" t="e">
        <f>+VLOOKUP(PROVEEDORES[[#This Row],[ID RETENCION]],Retenciones!$A$1:$O$25,PROVEEDORES[[#This Row],[indicador de columna]],FALSE)</f>
        <v>#N/A</v>
      </c>
      <c r="Y1101" s="152" t="e">
        <f>+VLOOKUP(PROVEEDORES[[#This Row],[ID RETENCION]],Retenciones!$A$1:$O$25,2,FALSE)</f>
        <v>#N/A</v>
      </c>
      <c r="Z1101" s="153" t="b">
        <f>+OR(COUNTIF(PROVEEDORES[[#This Row],[PROVEEDOR]],"*"&amp;'Palabra que no opera y Listas d'!$A$2&amp;"*"))</f>
        <v>0</v>
      </c>
    </row>
    <row r="1102" spans="1:26" ht="27.75" customHeight="1" x14ac:dyDescent="0.3">
      <c r="A1102" s="144" t="str">
        <f>+IF(PROVEEDORES[[#This Row],[FECHA DE PAGO]]=PROVEEDORES[[#This Row],[FECHA DE FACTURACIÓN]],"DE CONTADO","CRÉDITO")</f>
        <v>CRÉDITO</v>
      </c>
      <c r="B1102" s="144" t="str">
        <f>+IF((PROVEEDORES[[#This Row],[FECHA DE PAGO]]-PROVEEDORES[[#This Row],[FECHA DE FACTURACIÓN]])&gt;PROVEEDORES[[#This Row],[PLAZO Días]],"PAGO VENCIDO")</f>
        <v>PAGO VENCIDO</v>
      </c>
      <c r="C1102" s="144">
        <f>+VLOOKUP(PROVEEDORES[[#This Row],[PROVEEDOR]],TERCEROS_INFO[#All],2,FALSE)</f>
        <v>0</v>
      </c>
      <c r="D1102" s="145">
        <f>+SUMIFS(PROVEEDORES[Total],PROVEEDORES[PROVEEDOR],PROVEEDORES[[#This Row],[PROVEEDOR]],PROVEEDORES[FECHA DE PAGO],"")</f>
        <v>5813868.5099999998</v>
      </c>
      <c r="E1102" s="146"/>
      <c r="F1102" s="144" t="str">
        <f>+VLOOKUP(PROVEEDORES[[#This Row],[PROVEEDOR]],
                       Terceros!$A:$G,
                       5,
                       FALSE)</f>
        <v>2,5% con base</v>
      </c>
      <c r="G1102" s="122">
        <v>45288</v>
      </c>
      <c r="H1102" s="102" t="s">
        <v>23</v>
      </c>
      <c r="I1102" s="122">
        <v>45258</v>
      </c>
      <c r="J1102" s="103" t="s">
        <v>1504</v>
      </c>
      <c r="K1102" s="103" t="s">
        <v>516</v>
      </c>
      <c r="L1102" s="103"/>
      <c r="M1102" s="105">
        <v>898400</v>
      </c>
      <c r="N1102" s="147">
        <v>170696</v>
      </c>
      <c r="O1102" s="147">
        <v>0</v>
      </c>
      <c r="P1102" s="148">
        <v>0</v>
      </c>
      <c r="Q1102" s="147">
        <v>0</v>
      </c>
      <c r="R1102" s="149">
        <v>1069096</v>
      </c>
      <c r="S11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2" s="150">
        <f ca="1">+IF(PROVEEDORES[[#This Row],[FECHA DE PAGO]]=0,TODAY()-PROVEEDORES[[#This Row],[FECHA DE FACTURACIÓN]]-PROVEEDORES[[#This Row],[PLAZO Días]],0)</f>
        <v>0</v>
      </c>
      <c r="U1102" s="150">
        <f>+VLOOKUP(PROVEEDORES[[#This Row],[PROVEEDOR]],Terceros!$A:$E,4,FALSE)</f>
        <v>0.19</v>
      </c>
      <c r="V1102" s="150">
        <f>+YEAR(PROVEEDORES[[#This Row],[FECHA DE FACTURACIÓN]])</f>
        <v>2023</v>
      </c>
      <c r="W1102" s="150">
        <f>+MATCH(PROVEEDORES[[#This Row],[año facturado]],Retenciones!$1:$1,0)</f>
        <v>6</v>
      </c>
      <c r="X1102" s="151" t="e">
        <f>+VLOOKUP(PROVEEDORES[[#This Row],[ID RETENCION]],Retenciones!$A$1:$O$25,PROVEEDORES[[#This Row],[indicador de columna]],FALSE)</f>
        <v>#N/A</v>
      </c>
      <c r="Y1102" s="152" t="e">
        <f>+VLOOKUP(PROVEEDORES[[#This Row],[ID RETENCION]],Retenciones!$A$1:$O$25,2,FALSE)</f>
        <v>#N/A</v>
      </c>
      <c r="Z1102" s="153" t="b">
        <f>+OR(COUNTIF(PROVEEDORES[[#This Row],[PROVEEDOR]],"*"&amp;'Palabra que no opera y Listas d'!$A$2&amp;"*"))</f>
        <v>0</v>
      </c>
    </row>
    <row r="1103" spans="1:26" ht="27.75" customHeight="1" x14ac:dyDescent="0.3">
      <c r="A1103" s="144" t="str">
        <f>+IF(PROVEEDORES[[#This Row],[FECHA DE PAGO]]=PROVEEDORES[[#This Row],[FECHA DE FACTURACIÓN]],"DE CONTADO","CRÉDITO")</f>
        <v>CRÉDITO</v>
      </c>
      <c r="B1103" s="144" t="str">
        <f>+IF((PROVEEDORES[[#This Row],[FECHA DE PAGO]]-PROVEEDORES[[#This Row],[FECHA DE FACTURACIÓN]])&gt;PROVEEDORES[[#This Row],[PLAZO Días]],"PAGO VENCIDO")</f>
        <v>PAGO VENCIDO</v>
      </c>
      <c r="C1103" s="144">
        <f>+VLOOKUP(PROVEEDORES[[#This Row],[PROVEEDOR]],TERCEROS_INFO[#All],2,FALSE)</f>
        <v>0</v>
      </c>
      <c r="D1103" s="145">
        <f>+SUMIFS(PROVEEDORES[Total],PROVEEDORES[PROVEEDOR],PROVEEDORES[[#This Row],[PROVEEDOR]],PROVEEDORES[FECHA DE PAGO],"")</f>
        <v>856185.96</v>
      </c>
      <c r="E1103" s="146"/>
      <c r="F1103" s="144">
        <f>+VLOOKUP(PROVEEDORES[[#This Row],[PROVEEDOR]],
                       Terceros!$A:$G,
                       5,
                       FALSE)</f>
        <v>0</v>
      </c>
      <c r="G1103" s="122">
        <v>45288</v>
      </c>
      <c r="H1103" s="102" t="s">
        <v>209</v>
      </c>
      <c r="I1103" s="122">
        <v>45261</v>
      </c>
      <c r="J1103" s="103" t="s">
        <v>1327</v>
      </c>
      <c r="K1103" s="103" t="s">
        <v>1512</v>
      </c>
      <c r="L1103" s="103"/>
      <c r="M1103" s="105">
        <v>1979981</v>
      </c>
      <c r="N1103" s="147">
        <v>376196.39</v>
      </c>
      <c r="O1103" s="147">
        <v>0</v>
      </c>
      <c r="P1103" s="148">
        <v>0</v>
      </c>
      <c r="Q1103" s="147">
        <v>0</v>
      </c>
      <c r="R1103" s="149">
        <v>2356177.39</v>
      </c>
      <c r="S11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3" s="150">
        <f ca="1">+IF(PROVEEDORES[[#This Row],[FECHA DE PAGO]]=0,TODAY()-PROVEEDORES[[#This Row],[FECHA DE FACTURACIÓN]]-PROVEEDORES[[#This Row],[PLAZO Días]],0)</f>
        <v>0</v>
      </c>
      <c r="U1103" s="150">
        <f>+VLOOKUP(PROVEEDORES[[#This Row],[PROVEEDOR]],Terceros!$A:$E,4,FALSE)</f>
        <v>0.19</v>
      </c>
      <c r="V1103" s="150">
        <f>+YEAR(PROVEEDORES[[#This Row],[FECHA DE FACTURACIÓN]])</f>
        <v>2023</v>
      </c>
      <c r="W1103" s="150">
        <f>+MATCH(PROVEEDORES[[#This Row],[año facturado]],Retenciones!$1:$1,0)</f>
        <v>6</v>
      </c>
      <c r="X1103" s="151" t="e">
        <f>+VLOOKUP(PROVEEDORES[[#This Row],[ID RETENCION]],Retenciones!$A$1:$O$25,PROVEEDORES[[#This Row],[indicador de columna]],FALSE)</f>
        <v>#N/A</v>
      </c>
      <c r="Y1103" s="152" t="e">
        <f>+VLOOKUP(PROVEEDORES[[#This Row],[ID RETENCION]],Retenciones!$A$1:$O$25,2,FALSE)</f>
        <v>#N/A</v>
      </c>
      <c r="Z1103" s="153" t="b">
        <f>+OR(COUNTIF(PROVEEDORES[[#This Row],[PROVEEDOR]],"*"&amp;'Palabra que no opera y Listas d'!$A$2&amp;"*"))</f>
        <v>0</v>
      </c>
    </row>
    <row r="1104" spans="1:26" ht="27.75" customHeight="1" x14ac:dyDescent="0.3">
      <c r="A1104" s="144" t="str">
        <f>+IF(PROVEEDORES[[#This Row],[FECHA DE PAGO]]=PROVEEDORES[[#This Row],[FECHA DE FACTURACIÓN]],"DE CONTADO","CRÉDITO")</f>
        <v>CRÉDITO</v>
      </c>
      <c r="B1104" s="144" t="str">
        <f>+IF((PROVEEDORES[[#This Row],[FECHA DE PAGO]]-PROVEEDORES[[#This Row],[FECHA DE FACTURACIÓN]])&gt;PROVEEDORES[[#This Row],[PLAZO Días]],"PAGO VENCIDO")</f>
        <v>PAGO VENCIDO</v>
      </c>
      <c r="C1104" s="144">
        <f>+VLOOKUP(PROVEEDORES[[#This Row],[PROVEEDOR]],TERCEROS_INFO[#All],2,FALSE)</f>
        <v>0</v>
      </c>
      <c r="D1104" s="145">
        <f>+SUMIFS(PROVEEDORES[Total],PROVEEDORES[PROVEEDOR],PROVEEDORES[[#This Row],[PROVEEDOR]],PROVEEDORES[FECHA DE PAGO],"")</f>
        <v>856185.96</v>
      </c>
      <c r="E1104" s="146"/>
      <c r="F1104" s="144">
        <f>+VLOOKUP(PROVEEDORES[[#This Row],[PROVEEDOR]],
                       Terceros!$A:$G,
                       5,
                       FALSE)</f>
        <v>0</v>
      </c>
      <c r="G1104" s="122">
        <v>45288</v>
      </c>
      <c r="H1104" s="102" t="s">
        <v>209</v>
      </c>
      <c r="I1104" s="122">
        <v>45264</v>
      </c>
      <c r="J1104" s="103" t="s">
        <v>1328</v>
      </c>
      <c r="K1104" s="103" t="s">
        <v>516</v>
      </c>
      <c r="L1104" s="103"/>
      <c r="M1104" s="105">
        <v>1632998</v>
      </c>
      <c r="N1104" s="147">
        <v>310269.62</v>
      </c>
      <c r="O1104" s="147">
        <v>0</v>
      </c>
      <c r="P1104" s="148">
        <v>0</v>
      </c>
      <c r="Q1104" s="147">
        <v>0</v>
      </c>
      <c r="R1104" s="149">
        <v>1943267.62</v>
      </c>
      <c r="S11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4" s="150">
        <f ca="1">+IF(PROVEEDORES[[#This Row],[FECHA DE PAGO]]=0,TODAY()-PROVEEDORES[[#This Row],[FECHA DE FACTURACIÓN]]-PROVEEDORES[[#This Row],[PLAZO Días]],0)</f>
        <v>0</v>
      </c>
      <c r="U1104" s="150">
        <f>+VLOOKUP(PROVEEDORES[[#This Row],[PROVEEDOR]],Terceros!$A:$E,4,FALSE)</f>
        <v>0.19</v>
      </c>
      <c r="V1104" s="150">
        <f>+YEAR(PROVEEDORES[[#This Row],[FECHA DE FACTURACIÓN]])</f>
        <v>2023</v>
      </c>
      <c r="W1104" s="150">
        <f>+MATCH(PROVEEDORES[[#This Row],[año facturado]],Retenciones!$1:$1,0)</f>
        <v>6</v>
      </c>
      <c r="X1104" s="151" t="e">
        <f>+VLOOKUP(PROVEEDORES[[#This Row],[ID RETENCION]],Retenciones!$A$1:$O$25,PROVEEDORES[[#This Row],[indicador de columna]],FALSE)</f>
        <v>#N/A</v>
      </c>
      <c r="Y1104" s="152" t="e">
        <f>+VLOOKUP(PROVEEDORES[[#This Row],[ID RETENCION]],Retenciones!$A$1:$O$25,2,FALSE)</f>
        <v>#N/A</v>
      </c>
      <c r="Z1104" s="153" t="b">
        <f>+OR(COUNTIF(PROVEEDORES[[#This Row],[PROVEEDOR]],"*"&amp;'Palabra que no opera y Listas d'!$A$2&amp;"*"))</f>
        <v>0</v>
      </c>
    </row>
    <row r="1105" spans="1:26" ht="27.75" customHeight="1" x14ac:dyDescent="0.3">
      <c r="A1105" s="144" t="str">
        <f>+IF(PROVEEDORES[[#This Row],[FECHA DE PAGO]]=PROVEEDORES[[#This Row],[FECHA DE FACTURACIÓN]],"DE CONTADO","CRÉDITO")</f>
        <v>CRÉDITO</v>
      </c>
      <c r="B1105" s="144" t="str">
        <f>+IF((PROVEEDORES[[#This Row],[FECHA DE PAGO]]-PROVEEDORES[[#This Row],[FECHA DE FACTURACIÓN]])&gt;PROVEEDORES[[#This Row],[PLAZO Días]],"PAGO VENCIDO")</f>
        <v>PAGO VENCIDO</v>
      </c>
      <c r="C1105" s="144">
        <f>+VLOOKUP(PROVEEDORES[[#This Row],[PROVEEDOR]],TERCEROS_INFO[#All],2,FALSE)</f>
        <v>0</v>
      </c>
      <c r="D1105" s="145">
        <f>+SUMIFS(PROVEEDORES[Total],PROVEEDORES[PROVEEDOR],PROVEEDORES[[#This Row],[PROVEEDOR]],PROVEEDORES[FECHA DE PAGO],"")</f>
        <v>0</v>
      </c>
      <c r="E1105" s="146"/>
      <c r="F1105" s="144" t="str">
        <f>+VLOOKUP(PROVEEDORES[[#This Row],[PROVEEDOR]],
                       Terceros!$A:$G,
                       5,
                       FALSE)</f>
        <v>2,5% con base</v>
      </c>
      <c r="G1105" s="122">
        <v>45288</v>
      </c>
      <c r="H1105" s="102" t="s">
        <v>1192</v>
      </c>
      <c r="I1105" s="122">
        <v>45287</v>
      </c>
      <c r="J1105" s="103" t="s">
        <v>1369</v>
      </c>
      <c r="K1105" s="103" t="s">
        <v>1512</v>
      </c>
      <c r="L1105" s="103"/>
      <c r="M1105" s="105">
        <v>2280672</v>
      </c>
      <c r="N1105" s="147">
        <v>433327.68</v>
      </c>
      <c r="O1105" s="147">
        <v>0</v>
      </c>
      <c r="P1105" s="148">
        <v>2.5000000000000001E-2</v>
      </c>
      <c r="Q1105" s="147">
        <v>57016.800000000003</v>
      </c>
      <c r="R1105" s="149">
        <v>2656982.8800000004</v>
      </c>
      <c r="S11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5" s="150">
        <f ca="1">+IF(PROVEEDORES[[#This Row],[FECHA DE PAGO]]=0,TODAY()-PROVEEDORES[[#This Row],[FECHA DE FACTURACIÓN]]-PROVEEDORES[[#This Row],[PLAZO Días]],0)</f>
        <v>0</v>
      </c>
      <c r="U1105" s="150">
        <f>+VLOOKUP(PROVEEDORES[[#This Row],[PROVEEDOR]],Terceros!$A:$E,4,FALSE)</f>
        <v>0.19</v>
      </c>
      <c r="V1105" s="150">
        <f>+YEAR(PROVEEDORES[[#This Row],[FECHA DE FACTURACIÓN]])</f>
        <v>2023</v>
      </c>
      <c r="W1105" s="150">
        <f>+MATCH(PROVEEDORES[[#This Row],[año facturado]],Retenciones!$1:$1,0)</f>
        <v>6</v>
      </c>
      <c r="X1105" s="151" t="e">
        <f>+VLOOKUP(PROVEEDORES[[#This Row],[ID RETENCION]],Retenciones!$A$1:$O$25,PROVEEDORES[[#This Row],[indicador de columna]],FALSE)</f>
        <v>#N/A</v>
      </c>
      <c r="Y1105" s="152" t="e">
        <f>+VLOOKUP(PROVEEDORES[[#This Row],[ID RETENCION]],Retenciones!$A$1:$O$25,2,FALSE)</f>
        <v>#N/A</v>
      </c>
      <c r="Z1105" s="153" t="b">
        <f>+OR(COUNTIF(PROVEEDORES[[#This Row],[PROVEEDOR]],"*"&amp;'Palabra que no opera y Listas d'!$A$2&amp;"*"))</f>
        <v>0</v>
      </c>
    </row>
    <row r="1106" spans="1:26" ht="27.75" customHeight="1" x14ac:dyDescent="0.3">
      <c r="A1106" s="144" t="str">
        <f>+IF(PROVEEDORES[[#This Row],[FECHA DE PAGO]]=PROVEEDORES[[#This Row],[FECHA DE FACTURACIÓN]],"DE CONTADO","CRÉDITO")</f>
        <v>DE CONTADO</v>
      </c>
      <c r="B1106" s="144" t="b">
        <f>+IF((PROVEEDORES[[#This Row],[FECHA DE PAGO]]-PROVEEDORES[[#This Row],[FECHA DE FACTURACIÓN]])&gt;PROVEEDORES[[#This Row],[PLAZO Días]],"PAGO VENCIDO")</f>
        <v>0</v>
      </c>
      <c r="C1106" s="144">
        <f>+VLOOKUP(PROVEEDORES[[#This Row],[PROVEEDOR]],TERCEROS_INFO[#All],2,FALSE)</f>
        <v>0</v>
      </c>
      <c r="D1106" s="145">
        <f>+SUMIFS(PROVEEDORES[Total],PROVEEDORES[PROVEEDOR],PROVEEDORES[[#This Row],[PROVEEDOR]],PROVEEDORES[FECHA DE PAGO],"")</f>
        <v>0</v>
      </c>
      <c r="E1106" s="146"/>
      <c r="F1106" s="144">
        <f>+VLOOKUP(PROVEEDORES[[#This Row],[PROVEEDOR]],
                       Terceros!$A:$G,
                       5,
                       FALSE)</f>
        <v>0</v>
      </c>
      <c r="G1106" s="122">
        <v>45288</v>
      </c>
      <c r="H1106" s="102" t="s">
        <v>1801</v>
      </c>
      <c r="I1106" s="122">
        <v>45288</v>
      </c>
      <c r="J1106" s="103"/>
      <c r="K1106" s="103" t="s">
        <v>1512</v>
      </c>
      <c r="L1106" s="103"/>
      <c r="M1106" s="105">
        <v>1303050</v>
      </c>
      <c r="N1106" s="147">
        <v>0</v>
      </c>
      <c r="O1106" s="147">
        <v>0</v>
      </c>
      <c r="P1106" s="148">
        <v>0</v>
      </c>
      <c r="Q1106" s="147">
        <v>0</v>
      </c>
      <c r="R1106" s="149">
        <v>1303050</v>
      </c>
      <c r="S11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6" s="150">
        <f ca="1">+IF(PROVEEDORES[[#This Row],[FECHA DE PAGO]]=0,TODAY()-PROVEEDORES[[#This Row],[FECHA DE FACTURACIÓN]]-PROVEEDORES[[#This Row],[PLAZO Días]],0)</f>
        <v>0</v>
      </c>
      <c r="U1106" s="150">
        <f>+VLOOKUP(PROVEEDORES[[#This Row],[PROVEEDOR]],Terceros!$A:$E,4,FALSE)</f>
        <v>0</v>
      </c>
      <c r="V1106" s="150">
        <f>+YEAR(PROVEEDORES[[#This Row],[FECHA DE FACTURACIÓN]])</f>
        <v>2023</v>
      </c>
      <c r="W1106" s="150">
        <f>+MATCH(PROVEEDORES[[#This Row],[año facturado]],Retenciones!$1:$1,0)</f>
        <v>6</v>
      </c>
      <c r="X1106" s="151">
        <f>+VLOOKUP(PROVEEDORES[[#This Row],[ID RETENCION]],Retenciones!$A$1:$O$25,PROVEEDORES[[#This Row],[indicador de columna]],FALSE)</f>
        <v>0</v>
      </c>
      <c r="Y1106" s="152">
        <f>+VLOOKUP(PROVEEDORES[[#This Row],[ID RETENCION]],Retenciones!$A$1:$O$25,2,FALSE)</f>
        <v>0</v>
      </c>
      <c r="Z1106" s="153" t="b">
        <f>+OR(COUNTIF(PROVEEDORES[[#This Row],[PROVEEDOR]],"*"&amp;'Palabra que no opera y Listas d'!$A$2&amp;"*"))</f>
        <v>0</v>
      </c>
    </row>
    <row r="1107" spans="1:26" ht="27.75" customHeight="1" x14ac:dyDescent="0.3">
      <c r="A1107" s="144" t="str">
        <f>+IF(PROVEEDORES[[#This Row],[FECHA DE PAGO]]=PROVEEDORES[[#This Row],[FECHA DE FACTURACIÓN]],"DE CONTADO","CRÉDITO")</f>
        <v>DE CONTADO</v>
      </c>
      <c r="B1107" s="144" t="b">
        <f>+IF((PROVEEDORES[[#This Row],[FECHA DE PAGO]]-PROVEEDORES[[#This Row],[FECHA DE FACTURACIÓN]])&gt;PROVEEDORES[[#This Row],[PLAZO Días]],"PAGO VENCIDO")</f>
        <v>0</v>
      </c>
      <c r="C1107" s="144">
        <f>+VLOOKUP(PROVEEDORES[[#This Row],[PROVEEDOR]],TERCEROS_INFO[#All],2,FALSE)</f>
        <v>0</v>
      </c>
      <c r="D1107" s="145">
        <f>+SUMIFS(PROVEEDORES[Total],PROVEEDORES[PROVEEDOR],PROVEEDORES[[#This Row],[PROVEEDOR]],PROVEEDORES[FECHA DE PAGO],"")</f>
        <v>0</v>
      </c>
      <c r="E1107" s="146"/>
      <c r="F1107" s="144">
        <f>+VLOOKUP(PROVEEDORES[[#This Row],[PROVEEDOR]],
                       Terceros!$A:$G,
                       5,
                       FALSE)</f>
        <v>0</v>
      </c>
      <c r="G1107" s="122">
        <v>45288</v>
      </c>
      <c r="H1107" s="102" t="s">
        <v>845</v>
      </c>
      <c r="I1107" s="122">
        <v>45288</v>
      </c>
      <c r="J1107" s="103" t="s">
        <v>1380</v>
      </c>
      <c r="K1107" s="103" t="s">
        <v>516</v>
      </c>
      <c r="L1107" s="103"/>
      <c r="M1107" s="105">
        <v>248000</v>
      </c>
      <c r="N1107" s="147">
        <v>0</v>
      </c>
      <c r="O1107" s="147">
        <v>0</v>
      </c>
      <c r="P1107" s="148">
        <v>0</v>
      </c>
      <c r="Q1107" s="147">
        <v>0</v>
      </c>
      <c r="R1107" s="149">
        <v>248000</v>
      </c>
      <c r="S11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7" s="150">
        <f ca="1">+IF(PROVEEDORES[[#This Row],[FECHA DE PAGO]]=0,TODAY()-PROVEEDORES[[#This Row],[FECHA DE FACTURACIÓN]]-PROVEEDORES[[#This Row],[PLAZO Días]],0)</f>
        <v>0</v>
      </c>
      <c r="U1107" s="150">
        <f>+VLOOKUP(PROVEEDORES[[#This Row],[PROVEEDOR]],Terceros!$A:$E,4,FALSE)</f>
        <v>0</v>
      </c>
      <c r="V1107" s="150">
        <f>+YEAR(PROVEEDORES[[#This Row],[FECHA DE FACTURACIÓN]])</f>
        <v>2023</v>
      </c>
      <c r="W1107" s="150">
        <f>+MATCH(PROVEEDORES[[#This Row],[año facturado]],Retenciones!$1:$1,0)</f>
        <v>6</v>
      </c>
      <c r="X1107" s="151">
        <f>+VLOOKUP(PROVEEDORES[[#This Row],[ID RETENCION]],Retenciones!$A$1:$O$25,PROVEEDORES[[#This Row],[indicador de columna]],FALSE)</f>
        <v>0</v>
      </c>
      <c r="Y1107" s="152">
        <f>+VLOOKUP(PROVEEDORES[[#This Row],[ID RETENCION]],Retenciones!$A$1:$O$25,2,FALSE)</f>
        <v>0</v>
      </c>
      <c r="Z1107" s="153" t="b">
        <f>+OR(COUNTIF(PROVEEDORES[[#This Row],[PROVEEDOR]],"*"&amp;'Palabra que no opera y Listas d'!$A$2&amp;"*"))</f>
        <v>0</v>
      </c>
    </row>
    <row r="1108" spans="1:26" ht="27.75" customHeight="1" x14ac:dyDescent="0.3">
      <c r="A1108" s="144" t="str">
        <f>+IF(PROVEEDORES[[#This Row],[FECHA DE PAGO]]=PROVEEDORES[[#This Row],[FECHA DE FACTURACIÓN]],"DE CONTADO","CRÉDITO")</f>
        <v>DE CONTADO</v>
      </c>
      <c r="B1108" s="144" t="b">
        <f>+IF((PROVEEDORES[[#This Row],[FECHA DE PAGO]]-PROVEEDORES[[#This Row],[FECHA DE FACTURACIÓN]])&gt;PROVEEDORES[[#This Row],[PLAZO Días]],"PAGO VENCIDO")</f>
        <v>0</v>
      </c>
      <c r="C1108" s="144">
        <f>+VLOOKUP(PROVEEDORES[[#This Row],[PROVEEDOR]],TERCEROS_INFO[#All],2,FALSE)</f>
        <v>0</v>
      </c>
      <c r="D1108" s="145">
        <f>+SUMIFS(PROVEEDORES[Total],PROVEEDORES[PROVEEDOR],PROVEEDORES[[#This Row],[PROVEEDOR]],PROVEEDORES[FECHA DE PAGO],"")</f>
        <v>0</v>
      </c>
      <c r="E1108" s="146"/>
      <c r="F1108" s="144" t="str">
        <f>+VLOOKUP(PROVEEDORES[[#This Row],[PROVEEDOR]],
                       Terceros!$A:$G,
                       5,
                       FALSE)</f>
        <v>2,5% con base</v>
      </c>
      <c r="G1108" s="122">
        <v>45289</v>
      </c>
      <c r="H1108" s="102" t="s">
        <v>1387</v>
      </c>
      <c r="I1108" s="122">
        <v>45289</v>
      </c>
      <c r="J1108" s="103" t="s">
        <v>1388</v>
      </c>
      <c r="K1108" s="103" t="s">
        <v>1512</v>
      </c>
      <c r="L1108" s="103"/>
      <c r="M1108" s="105">
        <v>1981000</v>
      </c>
      <c r="N1108" s="147">
        <v>376390</v>
      </c>
      <c r="O1108" s="147">
        <v>0</v>
      </c>
      <c r="P1108" s="148">
        <v>2.5000000000000001E-2</v>
      </c>
      <c r="Q1108" s="147">
        <v>49525</v>
      </c>
      <c r="R1108" s="149">
        <v>2307865</v>
      </c>
      <c r="S11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8" s="150">
        <f ca="1">+IF(PROVEEDORES[[#This Row],[FECHA DE PAGO]]=0,TODAY()-PROVEEDORES[[#This Row],[FECHA DE FACTURACIÓN]]-PROVEEDORES[[#This Row],[PLAZO Días]],0)</f>
        <v>0</v>
      </c>
      <c r="U1108" s="150">
        <f>+VLOOKUP(PROVEEDORES[[#This Row],[PROVEEDOR]],Terceros!$A:$E,4,FALSE)</f>
        <v>0.19</v>
      </c>
      <c r="V1108" s="150">
        <f>+YEAR(PROVEEDORES[[#This Row],[FECHA DE FACTURACIÓN]])</f>
        <v>2023</v>
      </c>
      <c r="W1108" s="150">
        <f>+MATCH(PROVEEDORES[[#This Row],[año facturado]],Retenciones!$1:$1,0)</f>
        <v>6</v>
      </c>
      <c r="X1108" s="151" t="e">
        <f>+VLOOKUP(PROVEEDORES[[#This Row],[ID RETENCION]],Retenciones!$A$1:$O$25,PROVEEDORES[[#This Row],[indicador de columna]],FALSE)</f>
        <v>#N/A</v>
      </c>
      <c r="Y1108" s="152" t="e">
        <f>+VLOOKUP(PROVEEDORES[[#This Row],[ID RETENCION]],Retenciones!$A$1:$O$25,2,FALSE)</f>
        <v>#N/A</v>
      </c>
      <c r="Z1108" s="153" t="b">
        <f>+OR(COUNTIF(PROVEEDORES[[#This Row],[PROVEEDOR]],"*"&amp;'Palabra que no opera y Listas d'!$A$2&amp;"*"))</f>
        <v>0</v>
      </c>
    </row>
    <row r="1109" spans="1:26" ht="27.75" customHeight="1" x14ac:dyDescent="0.3">
      <c r="A1109" s="144" t="str">
        <f>+IF(PROVEEDORES[[#This Row],[FECHA DE PAGO]]=PROVEEDORES[[#This Row],[FECHA DE FACTURACIÓN]],"DE CONTADO","CRÉDITO")</f>
        <v>DE CONTADO</v>
      </c>
      <c r="B1109" s="144" t="b">
        <f>+IF((PROVEEDORES[[#This Row],[FECHA DE PAGO]]-PROVEEDORES[[#This Row],[FECHA DE FACTURACIÓN]])&gt;PROVEEDORES[[#This Row],[PLAZO Días]],"PAGO VENCIDO")</f>
        <v>0</v>
      </c>
      <c r="C1109" s="144">
        <f>+VLOOKUP(PROVEEDORES[[#This Row],[PROVEEDOR]],TERCEROS_INFO[#All],2,FALSE)</f>
        <v>0</v>
      </c>
      <c r="D1109" s="145">
        <f>+SUMIFS(PROVEEDORES[Total],PROVEEDORES[PROVEEDOR],PROVEEDORES[[#This Row],[PROVEEDOR]],PROVEEDORES[FECHA DE PAGO],"")</f>
        <v>0</v>
      </c>
      <c r="E1109" s="146"/>
      <c r="F1109" s="144">
        <f>+VLOOKUP(PROVEEDORES[[#This Row],[PROVEEDOR]],
                       Terceros!$A:$G,
                       5,
                       FALSE)</f>
        <v>0</v>
      </c>
      <c r="G1109" s="122">
        <v>45289</v>
      </c>
      <c r="H1109" s="102" t="s">
        <v>471</v>
      </c>
      <c r="I1109" s="122">
        <v>45289</v>
      </c>
      <c r="J1109" s="103" t="s">
        <v>1297</v>
      </c>
      <c r="K1109" s="103" t="s">
        <v>1512</v>
      </c>
      <c r="L1109" s="103"/>
      <c r="M1109" s="105">
        <v>245000</v>
      </c>
      <c r="N1109" s="147">
        <v>0</v>
      </c>
      <c r="O1109" s="147">
        <v>0</v>
      </c>
      <c r="P1109" s="148">
        <v>0</v>
      </c>
      <c r="Q1109" s="147">
        <v>0</v>
      </c>
      <c r="R1109" s="149">
        <v>245000</v>
      </c>
      <c r="S11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9" s="150">
        <f ca="1">+IF(PROVEEDORES[[#This Row],[FECHA DE PAGO]]=0,TODAY()-PROVEEDORES[[#This Row],[FECHA DE FACTURACIÓN]]-PROVEEDORES[[#This Row],[PLAZO Días]],0)</f>
        <v>0</v>
      </c>
      <c r="U1109" s="150">
        <f>+VLOOKUP(PROVEEDORES[[#This Row],[PROVEEDOR]],Terceros!$A:$E,4,FALSE)</f>
        <v>0</v>
      </c>
      <c r="V1109" s="150">
        <f>+YEAR(PROVEEDORES[[#This Row],[FECHA DE FACTURACIÓN]])</f>
        <v>2023</v>
      </c>
      <c r="W1109" s="150">
        <f>+MATCH(PROVEEDORES[[#This Row],[año facturado]],Retenciones!$1:$1,0)</f>
        <v>6</v>
      </c>
      <c r="X1109" s="151">
        <f>+VLOOKUP(PROVEEDORES[[#This Row],[ID RETENCION]],Retenciones!$A$1:$O$25,PROVEEDORES[[#This Row],[indicador de columna]],FALSE)</f>
        <v>0</v>
      </c>
      <c r="Y1109" s="152">
        <f>+VLOOKUP(PROVEEDORES[[#This Row],[ID RETENCION]],Retenciones!$A$1:$O$25,2,FALSE)</f>
        <v>0</v>
      </c>
      <c r="Z1109" s="153" t="b">
        <f>+OR(COUNTIF(PROVEEDORES[[#This Row],[PROVEEDOR]],"*"&amp;'Palabra que no opera y Listas d'!$A$2&amp;"*"))</f>
        <v>1</v>
      </c>
    </row>
    <row r="1110" spans="1:26" ht="27.75" customHeight="1" x14ac:dyDescent="0.3">
      <c r="A1110" s="144" t="str">
        <f>+IF(PROVEEDORES[[#This Row],[FECHA DE PAGO]]=PROVEEDORES[[#This Row],[FECHA DE FACTURACIÓN]],"DE CONTADO","CRÉDITO")</f>
        <v>CRÉDITO</v>
      </c>
      <c r="B1110" s="144" t="str">
        <f>+IF((PROVEEDORES[[#This Row],[FECHA DE PAGO]]-PROVEEDORES[[#This Row],[FECHA DE FACTURACIÓN]])&gt;PROVEEDORES[[#This Row],[PLAZO Días]],"PAGO VENCIDO")</f>
        <v>PAGO VENCIDO</v>
      </c>
      <c r="C1110" s="144">
        <f>+VLOOKUP(PROVEEDORES[[#This Row],[PROVEEDOR]],TERCEROS_INFO[#All],2,FALSE)</f>
        <v>0</v>
      </c>
      <c r="D1110" s="145">
        <f>+SUMIFS(PROVEEDORES[Total],PROVEEDORES[PROVEEDOR],PROVEEDORES[[#This Row],[PROVEEDOR]],PROVEEDORES[FECHA DE PAGO],"")</f>
        <v>0</v>
      </c>
      <c r="E1110" s="146"/>
      <c r="F1110" s="144">
        <f>+VLOOKUP(PROVEEDORES[[#This Row],[PROVEEDOR]],
                       Terceros!$A:$G,
                       5,
                       FALSE)</f>
        <v>0</v>
      </c>
      <c r="G1110" s="122">
        <v>45290</v>
      </c>
      <c r="H1110" s="102" t="s">
        <v>496</v>
      </c>
      <c r="I1110" s="122">
        <v>45289</v>
      </c>
      <c r="J1110" s="103" t="s">
        <v>1385</v>
      </c>
      <c r="K1110" s="103" t="s">
        <v>1512</v>
      </c>
      <c r="L1110" s="103"/>
      <c r="M1110" s="105">
        <v>1345000</v>
      </c>
      <c r="N1110" s="147">
        <v>0</v>
      </c>
      <c r="O1110" s="147">
        <v>0</v>
      </c>
      <c r="P1110" s="148">
        <v>0</v>
      </c>
      <c r="Q1110" s="147">
        <v>0</v>
      </c>
      <c r="R1110" s="149">
        <v>1345000</v>
      </c>
      <c r="S11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0" s="150">
        <f ca="1">+IF(PROVEEDORES[[#This Row],[FECHA DE PAGO]]=0,TODAY()-PROVEEDORES[[#This Row],[FECHA DE FACTURACIÓN]]-PROVEEDORES[[#This Row],[PLAZO Días]],0)</f>
        <v>0</v>
      </c>
      <c r="U1110" s="150">
        <f>+VLOOKUP(PROVEEDORES[[#This Row],[PROVEEDOR]],Terceros!$A:$E,4,FALSE)</f>
        <v>0</v>
      </c>
      <c r="V1110" s="150">
        <f>+YEAR(PROVEEDORES[[#This Row],[FECHA DE FACTURACIÓN]])</f>
        <v>2023</v>
      </c>
      <c r="W1110" s="150">
        <f>+MATCH(PROVEEDORES[[#This Row],[año facturado]],Retenciones!$1:$1,0)</f>
        <v>6</v>
      </c>
      <c r="X1110" s="151">
        <f>+VLOOKUP(PROVEEDORES[[#This Row],[ID RETENCION]],Retenciones!$A$1:$O$25,PROVEEDORES[[#This Row],[indicador de columna]],FALSE)</f>
        <v>0</v>
      </c>
      <c r="Y1110" s="152">
        <f>+VLOOKUP(PROVEEDORES[[#This Row],[ID RETENCION]],Retenciones!$A$1:$O$25,2,FALSE)</f>
        <v>0</v>
      </c>
      <c r="Z1110" s="153" t="b">
        <f>+OR(COUNTIF(PROVEEDORES[[#This Row],[PROVEEDOR]],"*"&amp;'Palabra que no opera y Listas d'!$A$2&amp;"*"))</f>
        <v>0</v>
      </c>
    </row>
    <row r="1111" spans="1:26" ht="27.75" customHeight="1" x14ac:dyDescent="0.3">
      <c r="A1111" s="144" t="str">
        <f>+IF(PROVEEDORES[[#This Row],[FECHA DE PAGO]]=PROVEEDORES[[#This Row],[FECHA DE FACTURACIÓN]],"DE CONTADO","CRÉDITO")</f>
        <v>CRÉDITO</v>
      </c>
      <c r="B1111" s="144" t="str">
        <f>+IF((PROVEEDORES[[#This Row],[FECHA DE PAGO]]-PROVEEDORES[[#This Row],[FECHA DE FACTURACIÓN]])&gt;PROVEEDORES[[#This Row],[PLAZO Días]],"PAGO VENCIDO")</f>
        <v>PAGO VENCIDO</v>
      </c>
      <c r="C1111" s="144">
        <f>+VLOOKUP(PROVEEDORES[[#This Row],[PROVEEDOR]],TERCEROS_INFO[#All],2,FALSE)</f>
        <v>0</v>
      </c>
      <c r="D1111" s="145">
        <f>+SUMIFS(PROVEEDORES[Total],PROVEEDORES[PROVEEDOR],PROVEEDORES[[#This Row],[PROVEEDOR]],PROVEEDORES[FECHA DE PAGO],"")</f>
        <v>0</v>
      </c>
      <c r="E1111" s="146"/>
      <c r="F1111" s="144">
        <f>+VLOOKUP(PROVEEDORES[[#This Row],[PROVEEDOR]],
                       Terceros!$A:$G,
                       5,
                       FALSE)</f>
        <v>0</v>
      </c>
      <c r="G1111" s="122">
        <v>45291</v>
      </c>
      <c r="H1111" s="102" t="s">
        <v>496</v>
      </c>
      <c r="I1111" s="122">
        <v>45290</v>
      </c>
      <c r="J1111" s="103" t="s">
        <v>1386</v>
      </c>
      <c r="K1111" s="103" t="s">
        <v>1512</v>
      </c>
      <c r="L1111" s="103"/>
      <c r="M1111" s="105">
        <v>690000</v>
      </c>
      <c r="N1111" s="147">
        <v>0</v>
      </c>
      <c r="O1111" s="147">
        <v>0</v>
      </c>
      <c r="P1111" s="148">
        <v>0</v>
      </c>
      <c r="Q1111" s="147">
        <v>0</v>
      </c>
      <c r="R1111" s="149">
        <v>690000</v>
      </c>
      <c r="S11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1" s="150">
        <f ca="1">+IF(PROVEEDORES[[#This Row],[FECHA DE PAGO]]=0,TODAY()-PROVEEDORES[[#This Row],[FECHA DE FACTURACIÓN]]-PROVEEDORES[[#This Row],[PLAZO Días]],0)</f>
        <v>0</v>
      </c>
      <c r="U1111" s="150">
        <f>+VLOOKUP(PROVEEDORES[[#This Row],[PROVEEDOR]],Terceros!$A:$E,4,FALSE)</f>
        <v>0</v>
      </c>
      <c r="V1111" s="150">
        <f>+YEAR(PROVEEDORES[[#This Row],[FECHA DE FACTURACIÓN]])</f>
        <v>2023</v>
      </c>
      <c r="W1111" s="150">
        <f>+MATCH(PROVEEDORES[[#This Row],[año facturado]],Retenciones!$1:$1,0)</f>
        <v>6</v>
      </c>
      <c r="X1111" s="151">
        <f>+VLOOKUP(PROVEEDORES[[#This Row],[ID RETENCION]],Retenciones!$A$1:$O$25,PROVEEDORES[[#This Row],[indicador de columna]],FALSE)</f>
        <v>0</v>
      </c>
      <c r="Y1111" s="152">
        <f>+VLOOKUP(PROVEEDORES[[#This Row],[ID RETENCION]],Retenciones!$A$1:$O$25,2,FALSE)</f>
        <v>0</v>
      </c>
      <c r="Z1111" s="153" t="b">
        <f>+OR(COUNTIF(PROVEEDORES[[#This Row],[PROVEEDOR]],"*"&amp;'Palabra que no opera y Listas d'!$A$2&amp;"*"))</f>
        <v>0</v>
      </c>
    </row>
    <row r="1112" spans="1:26" ht="27.75" customHeight="1" x14ac:dyDescent="0.3">
      <c r="A1112" s="144" t="str">
        <f>+IF(PROVEEDORES[[#This Row],[FECHA DE PAGO]]=PROVEEDORES[[#This Row],[FECHA DE FACTURACIÓN]],"DE CONTADO","CRÉDITO")</f>
        <v>CRÉDITO</v>
      </c>
      <c r="B1112" s="144" t="str">
        <f>+IF((PROVEEDORES[[#This Row],[FECHA DE PAGO]]-PROVEEDORES[[#This Row],[FECHA DE FACTURACIÓN]])&gt;PROVEEDORES[[#This Row],[PLAZO Días]],"PAGO VENCIDO")</f>
        <v>PAGO VENCIDO</v>
      </c>
      <c r="C1112" s="144">
        <f>+VLOOKUP(PROVEEDORES[[#This Row],[PROVEEDOR]],TERCEROS_INFO[#All],2,FALSE)</f>
        <v>0</v>
      </c>
      <c r="D1112" s="145" t="e">
        <f>+SUMIFS(PROVEEDORES[Total],PROVEEDORES[PROVEEDOR],PROVEEDORES[[#This Row],[PROVEEDOR]],PROVEEDORES[FECHA DE PAGO],"")</f>
        <v>#N/A</v>
      </c>
      <c r="E1112" s="146"/>
      <c r="F1112" s="144">
        <f>+VLOOKUP(PROVEEDORES[[#This Row],[PROVEEDOR]],
                       Terceros!$A:$G,
                       5,
                       FALSE)</f>
        <v>0</v>
      </c>
      <c r="G1112" s="122">
        <v>45293</v>
      </c>
      <c r="H1112" s="102" t="s">
        <v>16</v>
      </c>
      <c r="I1112" s="122">
        <v>45261</v>
      </c>
      <c r="J1112" s="103" t="s">
        <v>1296</v>
      </c>
      <c r="K1112" s="103" t="s">
        <v>1512</v>
      </c>
      <c r="L1112" s="103"/>
      <c r="M1112" s="105">
        <v>537354</v>
      </c>
      <c r="N1112" s="147">
        <v>102097.26</v>
      </c>
      <c r="O1112" s="147">
        <v>0</v>
      </c>
      <c r="P1112" s="148">
        <v>0</v>
      </c>
      <c r="Q1112" s="147">
        <v>0</v>
      </c>
      <c r="R1112" s="149">
        <v>639451.26</v>
      </c>
      <c r="S11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2" s="150">
        <f ca="1">+IF(PROVEEDORES[[#This Row],[FECHA DE PAGO]]=0,TODAY()-PROVEEDORES[[#This Row],[FECHA DE FACTURACIÓN]]-PROVEEDORES[[#This Row],[PLAZO Días]],0)</f>
        <v>0</v>
      </c>
      <c r="U1112" s="150">
        <f>+VLOOKUP(PROVEEDORES[[#This Row],[PROVEEDOR]],Terceros!$A:$E,4,FALSE)</f>
        <v>0.19</v>
      </c>
      <c r="V1112" s="150">
        <f>+YEAR(PROVEEDORES[[#This Row],[FECHA DE FACTURACIÓN]])</f>
        <v>2023</v>
      </c>
      <c r="W1112" s="150">
        <f>+MATCH(PROVEEDORES[[#This Row],[año facturado]],Retenciones!$1:$1,0)</f>
        <v>6</v>
      </c>
      <c r="X1112" s="151" t="e">
        <f>+VLOOKUP(PROVEEDORES[[#This Row],[ID RETENCION]],Retenciones!$A$1:$O$25,PROVEEDORES[[#This Row],[indicador de columna]],FALSE)</f>
        <v>#N/A</v>
      </c>
      <c r="Y1112" s="152" t="e">
        <f>+VLOOKUP(PROVEEDORES[[#This Row],[ID RETENCION]],Retenciones!$A$1:$O$25,2,FALSE)</f>
        <v>#N/A</v>
      </c>
      <c r="Z1112" s="153" t="b">
        <f>+OR(COUNTIF(PROVEEDORES[[#This Row],[PROVEEDOR]],"*"&amp;'Palabra que no opera y Listas d'!$A$2&amp;"*"))</f>
        <v>0</v>
      </c>
    </row>
    <row r="1113" spans="1:26" ht="27.75" customHeight="1" x14ac:dyDescent="0.3">
      <c r="A1113" s="144" t="str">
        <f>+IF(PROVEEDORES[[#This Row],[FECHA DE PAGO]]=PROVEEDORES[[#This Row],[FECHA DE FACTURACIÓN]],"DE CONTADO","CRÉDITO")</f>
        <v>CRÉDITO</v>
      </c>
      <c r="B1113" s="144" t="str">
        <f>+IF((PROVEEDORES[[#This Row],[FECHA DE PAGO]]-PROVEEDORES[[#This Row],[FECHA DE FACTURACIÓN]])&gt;PROVEEDORES[[#This Row],[PLAZO Días]],"PAGO VENCIDO")</f>
        <v>PAGO VENCIDO</v>
      </c>
      <c r="C1113" s="144">
        <f>+VLOOKUP(PROVEEDORES[[#This Row],[PROVEEDOR]],TERCEROS_INFO[#All],2,FALSE)</f>
        <v>0</v>
      </c>
      <c r="D1113" s="145" t="e">
        <f>+SUMIFS(PROVEEDORES[Total],PROVEEDORES[PROVEEDOR],PROVEEDORES[[#This Row],[PROVEEDOR]],PROVEEDORES[FECHA DE PAGO],"")</f>
        <v>#N/A</v>
      </c>
      <c r="E1113" s="146"/>
      <c r="F1113" s="144">
        <f>+VLOOKUP(PROVEEDORES[[#This Row],[PROVEEDOR]],
                       Terceros!$A:$G,
                       5,
                       FALSE)</f>
        <v>0</v>
      </c>
      <c r="G1113" s="122">
        <v>45293</v>
      </c>
      <c r="H1113" s="102" t="s">
        <v>16</v>
      </c>
      <c r="I1113" s="122">
        <v>45274</v>
      </c>
      <c r="J1113" s="103" t="s">
        <v>1325</v>
      </c>
      <c r="K1113" s="103" t="s">
        <v>1512</v>
      </c>
      <c r="L1113" s="103"/>
      <c r="M1113" s="105">
        <v>120904</v>
      </c>
      <c r="N1113" s="147">
        <v>22971.760000000002</v>
      </c>
      <c r="O1113" s="147">
        <v>0</v>
      </c>
      <c r="P1113" s="148">
        <v>0</v>
      </c>
      <c r="Q1113" s="147">
        <v>0</v>
      </c>
      <c r="R1113" s="149">
        <v>143875.76</v>
      </c>
      <c r="S11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3" s="150">
        <f ca="1">+IF(PROVEEDORES[[#This Row],[FECHA DE PAGO]]=0,TODAY()-PROVEEDORES[[#This Row],[FECHA DE FACTURACIÓN]]-PROVEEDORES[[#This Row],[PLAZO Días]],0)</f>
        <v>0</v>
      </c>
      <c r="U1113" s="150">
        <f>+VLOOKUP(PROVEEDORES[[#This Row],[PROVEEDOR]],Terceros!$A:$E,4,FALSE)</f>
        <v>0.19</v>
      </c>
      <c r="V1113" s="150">
        <f>+YEAR(PROVEEDORES[[#This Row],[FECHA DE FACTURACIÓN]])</f>
        <v>2023</v>
      </c>
      <c r="W1113" s="150">
        <f>+MATCH(PROVEEDORES[[#This Row],[año facturado]],Retenciones!$1:$1,0)</f>
        <v>6</v>
      </c>
      <c r="X1113" s="151" t="e">
        <f>+VLOOKUP(PROVEEDORES[[#This Row],[ID RETENCION]],Retenciones!$A$1:$O$25,PROVEEDORES[[#This Row],[indicador de columna]],FALSE)</f>
        <v>#N/A</v>
      </c>
      <c r="Y1113" s="152" t="e">
        <f>+VLOOKUP(PROVEEDORES[[#This Row],[ID RETENCION]],Retenciones!$A$1:$O$25,2,FALSE)</f>
        <v>#N/A</v>
      </c>
      <c r="Z1113" s="153" t="b">
        <f>+OR(COUNTIF(PROVEEDORES[[#This Row],[PROVEEDOR]],"*"&amp;'Palabra que no opera y Listas d'!$A$2&amp;"*"))</f>
        <v>0</v>
      </c>
    </row>
    <row r="1114" spans="1:26" ht="27.75" customHeight="1" x14ac:dyDescent="0.3">
      <c r="A1114" s="144" t="str">
        <f>+IF(PROVEEDORES[[#This Row],[FECHA DE PAGO]]=PROVEEDORES[[#This Row],[FECHA DE FACTURACIÓN]],"DE CONTADO","CRÉDITO")</f>
        <v>CRÉDITO</v>
      </c>
      <c r="B1114" s="144" t="str">
        <f>+IF((PROVEEDORES[[#This Row],[FECHA DE PAGO]]-PROVEEDORES[[#This Row],[FECHA DE FACTURACIÓN]])&gt;PROVEEDORES[[#This Row],[PLAZO Días]],"PAGO VENCIDO")</f>
        <v>PAGO VENCIDO</v>
      </c>
      <c r="C1114" s="144">
        <f>+VLOOKUP(PROVEEDORES[[#This Row],[PROVEEDOR]],TERCEROS_INFO[#All],2,FALSE)</f>
        <v>0</v>
      </c>
      <c r="D1114" s="145">
        <f>+SUMIFS(PROVEEDORES[Total],PROVEEDORES[PROVEEDOR],PROVEEDORES[[#This Row],[PROVEEDOR]],PROVEEDORES[FECHA DE PAGO],"")</f>
        <v>0</v>
      </c>
      <c r="E1114" s="146"/>
      <c r="F1114" s="144">
        <f>+VLOOKUP(PROVEEDORES[[#This Row],[PROVEEDOR]],
                       Terceros!$A:$G,
                       5,
                       FALSE)</f>
        <v>0</v>
      </c>
      <c r="G1114" s="122">
        <v>45293</v>
      </c>
      <c r="H1114" s="102" t="s">
        <v>405</v>
      </c>
      <c r="I1114" s="122">
        <v>45292</v>
      </c>
      <c r="J1114" s="103"/>
      <c r="K1114" s="103" t="s">
        <v>1512</v>
      </c>
      <c r="L1114" s="103"/>
      <c r="M1114" s="105">
        <v>611127</v>
      </c>
      <c r="N1114" s="147">
        <v>0</v>
      </c>
      <c r="O1114" s="147">
        <v>0</v>
      </c>
      <c r="P1114" s="148">
        <v>0</v>
      </c>
      <c r="Q1114" s="147">
        <v>0</v>
      </c>
      <c r="R1114" s="149">
        <v>611127</v>
      </c>
      <c r="S11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4" s="150">
        <f ca="1">+IF(PROVEEDORES[[#This Row],[FECHA DE PAGO]]=0,TODAY()-PROVEEDORES[[#This Row],[FECHA DE FACTURACIÓN]]-PROVEEDORES[[#This Row],[PLAZO Días]],0)</f>
        <v>0</v>
      </c>
      <c r="U1114" s="150">
        <f>+VLOOKUP(PROVEEDORES[[#This Row],[PROVEEDOR]],Terceros!$A:$E,4,FALSE)</f>
        <v>0</v>
      </c>
      <c r="V1114" s="150">
        <f>+YEAR(PROVEEDORES[[#This Row],[FECHA DE FACTURACIÓN]])</f>
        <v>2024</v>
      </c>
      <c r="W1114" s="150">
        <f>+MATCH(PROVEEDORES[[#This Row],[año facturado]],Retenciones!$1:$1,0)</f>
        <v>7</v>
      </c>
      <c r="X1114" s="151">
        <f>+VLOOKUP(PROVEEDORES[[#This Row],[ID RETENCION]],Retenciones!$A$1:$O$25,PROVEEDORES[[#This Row],[indicador de columna]],FALSE)</f>
        <v>0</v>
      </c>
      <c r="Y1114" s="152">
        <f>+VLOOKUP(PROVEEDORES[[#This Row],[ID RETENCION]],Retenciones!$A$1:$O$25,2,FALSE)</f>
        <v>0</v>
      </c>
      <c r="Z1114" s="153" t="b">
        <f>+OR(COUNTIF(PROVEEDORES[[#This Row],[PROVEEDOR]],"*"&amp;'Palabra que no opera y Listas d'!$A$2&amp;"*"))</f>
        <v>1</v>
      </c>
    </row>
    <row r="1115" spans="1:26" ht="27.75" customHeight="1" x14ac:dyDescent="0.3">
      <c r="A1115" s="144" t="str">
        <f>+IF(PROVEEDORES[[#This Row],[FECHA DE PAGO]]=PROVEEDORES[[#This Row],[FECHA DE FACTURACIÓN]],"DE CONTADO","CRÉDITO")</f>
        <v>DE CONTADO</v>
      </c>
      <c r="B1115" s="144" t="b">
        <f>+IF((PROVEEDORES[[#This Row],[FECHA DE PAGO]]-PROVEEDORES[[#This Row],[FECHA DE FACTURACIÓN]])&gt;PROVEEDORES[[#This Row],[PLAZO Días]],"PAGO VENCIDO")</f>
        <v>0</v>
      </c>
      <c r="C1115" s="144">
        <f>+VLOOKUP(PROVEEDORES[[#This Row],[PROVEEDOR]],TERCEROS_INFO[#All],2,FALSE)</f>
        <v>0</v>
      </c>
      <c r="D1115" s="145">
        <f>+SUMIFS(PROVEEDORES[Total],PROVEEDORES[PROVEEDOR],PROVEEDORES[[#This Row],[PROVEEDOR]],PROVEEDORES[FECHA DE PAGO],"")</f>
        <v>0</v>
      </c>
      <c r="E1115" s="146"/>
      <c r="F1115" s="144">
        <f>+VLOOKUP(PROVEEDORES[[#This Row],[PROVEEDOR]],
                       Terceros!$A:$G,
                       5,
                       FALSE)</f>
        <v>0</v>
      </c>
      <c r="G1115" s="122">
        <v>45293</v>
      </c>
      <c r="H1115" s="102" t="s">
        <v>537</v>
      </c>
      <c r="I1115" s="122">
        <v>45293</v>
      </c>
      <c r="J1115" s="103" t="s">
        <v>1126</v>
      </c>
      <c r="K1115" s="103" t="s">
        <v>1512</v>
      </c>
      <c r="L1115" s="103"/>
      <c r="M1115" s="105">
        <v>200000</v>
      </c>
      <c r="N1115" s="147">
        <v>0</v>
      </c>
      <c r="O1115" s="147">
        <v>0</v>
      </c>
      <c r="P1115" s="148">
        <v>0</v>
      </c>
      <c r="Q1115" s="147">
        <v>0</v>
      </c>
      <c r="R1115" s="149">
        <v>200000</v>
      </c>
      <c r="S11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5" s="150">
        <f ca="1">+IF(PROVEEDORES[[#This Row],[FECHA DE PAGO]]=0,TODAY()-PROVEEDORES[[#This Row],[FECHA DE FACTURACIÓN]]-PROVEEDORES[[#This Row],[PLAZO Días]],0)</f>
        <v>0</v>
      </c>
      <c r="U1115" s="150">
        <f>+VLOOKUP(PROVEEDORES[[#This Row],[PROVEEDOR]],Terceros!$A:$E,4,FALSE)</f>
        <v>0</v>
      </c>
      <c r="V1115" s="150">
        <f>+YEAR(PROVEEDORES[[#This Row],[FECHA DE FACTURACIÓN]])</f>
        <v>2024</v>
      </c>
      <c r="W1115" s="150">
        <f>+MATCH(PROVEEDORES[[#This Row],[año facturado]],Retenciones!$1:$1,0)</f>
        <v>7</v>
      </c>
      <c r="X1115" s="151">
        <f>+VLOOKUP(PROVEEDORES[[#This Row],[ID RETENCION]],Retenciones!$A$1:$O$25,PROVEEDORES[[#This Row],[indicador de columna]],FALSE)</f>
        <v>0</v>
      </c>
      <c r="Y1115" s="152">
        <f>+VLOOKUP(PROVEEDORES[[#This Row],[ID RETENCION]],Retenciones!$A$1:$O$25,2,FALSE)</f>
        <v>0</v>
      </c>
      <c r="Z1115" s="153" t="b">
        <f>+OR(COUNTIF(PROVEEDORES[[#This Row],[PROVEEDOR]],"*"&amp;'Palabra que no opera y Listas d'!$A$2&amp;"*"))</f>
        <v>0</v>
      </c>
    </row>
    <row r="1116" spans="1:26" ht="27.75" customHeight="1" x14ac:dyDescent="0.3">
      <c r="A1116" s="144" t="str">
        <f>+IF(PROVEEDORES[[#This Row],[FECHA DE PAGO]]=PROVEEDORES[[#This Row],[FECHA DE FACTURACIÓN]],"DE CONTADO","CRÉDITO")</f>
        <v>DE CONTADO</v>
      </c>
      <c r="B1116" s="144" t="b">
        <f>+IF((PROVEEDORES[[#This Row],[FECHA DE PAGO]]-PROVEEDORES[[#This Row],[FECHA DE FACTURACIÓN]])&gt;PROVEEDORES[[#This Row],[PLAZO Días]],"PAGO VENCIDO")</f>
        <v>0</v>
      </c>
      <c r="C1116" s="144">
        <f>+VLOOKUP(PROVEEDORES[[#This Row],[PROVEEDOR]],TERCEROS_INFO[#All],2,FALSE)</f>
        <v>0</v>
      </c>
      <c r="D1116" s="145">
        <f>+SUMIFS(PROVEEDORES[Total],PROVEEDORES[PROVEEDOR],PROVEEDORES[[#This Row],[PROVEEDOR]],PROVEEDORES[FECHA DE PAGO],"")</f>
        <v>0</v>
      </c>
      <c r="E1116" s="146"/>
      <c r="F1116" s="144">
        <f>+VLOOKUP(PROVEEDORES[[#This Row],[PROVEEDOR]],
                       Terceros!$A:$G,
                       5,
                       FALSE)</f>
        <v>0</v>
      </c>
      <c r="G1116" s="122">
        <v>45293</v>
      </c>
      <c r="H1116" s="102" t="s">
        <v>48</v>
      </c>
      <c r="I1116" s="122">
        <v>45293</v>
      </c>
      <c r="J1116" s="103">
        <v>315688</v>
      </c>
      <c r="K1116" s="103" t="s">
        <v>516</v>
      </c>
      <c r="L1116" s="103"/>
      <c r="M1116" s="105">
        <v>3555000</v>
      </c>
      <c r="N1116" s="147">
        <v>0</v>
      </c>
      <c r="O1116" s="147">
        <v>0</v>
      </c>
      <c r="P1116" s="148">
        <v>0</v>
      </c>
      <c r="Q1116" s="147">
        <v>0</v>
      </c>
      <c r="R1116" s="149">
        <v>3555000</v>
      </c>
      <c r="S11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6" s="150">
        <f ca="1">+IF(PROVEEDORES[[#This Row],[FECHA DE PAGO]]=0,TODAY()-PROVEEDORES[[#This Row],[FECHA DE FACTURACIÓN]]-PROVEEDORES[[#This Row],[PLAZO Días]],0)</f>
        <v>0</v>
      </c>
      <c r="U1116" s="150">
        <f>+VLOOKUP(PROVEEDORES[[#This Row],[PROVEEDOR]],Terceros!$A:$E,4,FALSE)</f>
        <v>0</v>
      </c>
      <c r="V1116" s="150">
        <f>+YEAR(PROVEEDORES[[#This Row],[FECHA DE FACTURACIÓN]])</f>
        <v>2024</v>
      </c>
      <c r="W1116" s="150">
        <f>+MATCH(PROVEEDORES[[#This Row],[año facturado]],Retenciones!$1:$1,0)</f>
        <v>7</v>
      </c>
      <c r="X1116" s="151">
        <f>+VLOOKUP(PROVEEDORES[[#This Row],[ID RETENCION]],Retenciones!$A$1:$O$25,PROVEEDORES[[#This Row],[indicador de columna]],FALSE)</f>
        <v>0</v>
      </c>
      <c r="Y1116" s="152">
        <f>+VLOOKUP(PROVEEDORES[[#This Row],[ID RETENCION]],Retenciones!$A$1:$O$25,2,FALSE)</f>
        <v>0</v>
      </c>
      <c r="Z1116" s="153" t="b">
        <f>+OR(COUNTIF(PROVEEDORES[[#This Row],[PROVEEDOR]],"*"&amp;'Palabra que no opera y Listas d'!$A$2&amp;"*"))</f>
        <v>0</v>
      </c>
    </row>
    <row r="1117" spans="1:26" ht="27.75" customHeight="1" x14ac:dyDescent="0.3">
      <c r="A1117" s="144" t="str">
        <f>+IF(PROVEEDORES[[#This Row],[FECHA DE PAGO]]=PROVEEDORES[[#This Row],[FECHA DE FACTURACIÓN]],"DE CONTADO","CRÉDITO")</f>
        <v>DE CONTADO</v>
      </c>
      <c r="B1117" s="144" t="b">
        <f>+IF((PROVEEDORES[[#This Row],[FECHA DE PAGO]]-PROVEEDORES[[#This Row],[FECHA DE FACTURACIÓN]])&gt;PROVEEDORES[[#This Row],[PLAZO Días]],"PAGO VENCIDO")</f>
        <v>0</v>
      </c>
      <c r="C1117" s="144">
        <f>+VLOOKUP(PROVEEDORES[[#This Row],[PROVEEDOR]],TERCEROS_INFO[#All],2,FALSE)</f>
        <v>0</v>
      </c>
      <c r="D1117" s="145">
        <f>+SUMIFS(PROVEEDORES[Total],PROVEEDORES[PROVEEDOR],PROVEEDORES[[#This Row],[PROVEEDOR]],PROVEEDORES[FECHA DE PAGO],"")</f>
        <v>0</v>
      </c>
      <c r="E1117" s="146"/>
      <c r="F1117" s="144">
        <f>+VLOOKUP(PROVEEDORES[[#This Row],[PROVEEDOR]],
                       Terceros!$A:$G,
                       5,
                       FALSE)</f>
        <v>0</v>
      </c>
      <c r="G1117" s="122">
        <v>45293</v>
      </c>
      <c r="H1117" s="102" t="s">
        <v>191</v>
      </c>
      <c r="I1117" s="122">
        <v>45293</v>
      </c>
      <c r="J1117" s="103" t="s">
        <v>1392</v>
      </c>
      <c r="K1117" s="103" t="s">
        <v>516</v>
      </c>
      <c r="L1117" s="103"/>
      <c r="M1117" s="105">
        <v>1690000</v>
      </c>
      <c r="N1117" s="147">
        <v>0</v>
      </c>
      <c r="O1117" s="147">
        <v>0</v>
      </c>
      <c r="P1117" s="148">
        <v>0</v>
      </c>
      <c r="Q1117" s="147">
        <v>0</v>
      </c>
      <c r="R1117" s="149">
        <v>1690000</v>
      </c>
      <c r="S11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7" s="150">
        <f ca="1">+IF(PROVEEDORES[[#This Row],[FECHA DE PAGO]]=0,TODAY()-PROVEEDORES[[#This Row],[FECHA DE FACTURACIÓN]]-PROVEEDORES[[#This Row],[PLAZO Días]],0)</f>
        <v>0</v>
      </c>
      <c r="U1117" s="150">
        <f>+VLOOKUP(PROVEEDORES[[#This Row],[PROVEEDOR]],Terceros!$A:$E,4,FALSE)</f>
        <v>0</v>
      </c>
      <c r="V1117" s="150">
        <f>+YEAR(PROVEEDORES[[#This Row],[FECHA DE FACTURACIÓN]])</f>
        <v>2024</v>
      </c>
      <c r="W1117" s="150">
        <f>+MATCH(PROVEEDORES[[#This Row],[año facturado]],Retenciones!$1:$1,0)</f>
        <v>7</v>
      </c>
      <c r="X1117" s="151">
        <f>+VLOOKUP(PROVEEDORES[[#This Row],[ID RETENCION]],Retenciones!$A$1:$O$25,PROVEEDORES[[#This Row],[indicador de columna]],FALSE)</f>
        <v>0</v>
      </c>
      <c r="Y1117" s="152">
        <f>+VLOOKUP(PROVEEDORES[[#This Row],[ID RETENCION]],Retenciones!$A$1:$O$25,2,FALSE)</f>
        <v>0</v>
      </c>
      <c r="Z1117" s="153" t="b">
        <f>+OR(COUNTIF(PROVEEDORES[[#This Row],[PROVEEDOR]],"*"&amp;'Palabra que no opera y Listas d'!$A$2&amp;"*"))</f>
        <v>0</v>
      </c>
    </row>
    <row r="1118" spans="1:26" ht="27.75" customHeight="1" x14ac:dyDescent="0.3">
      <c r="A1118" s="144" t="str">
        <f>+IF(PROVEEDORES[[#This Row],[FECHA DE PAGO]]=PROVEEDORES[[#This Row],[FECHA DE FACTURACIÓN]],"DE CONTADO","CRÉDITO")</f>
        <v>CRÉDITO</v>
      </c>
      <c r="B1118" s="144" t="str">
        <f>+IF((PROVEEDORES[[#This Row],[FECHA DE PAGO]]-PROVEEDORES[[#This Row],[FECHA DE FACTURACIÓN]])&gt;PROVEEDORES[[#This Row],[PLAZO Días]],"PAGO VENCIDO")</f>
        <v>PAGO VENCIDO</v>
      </c>
      <c r="C1118" s="144">
        <f>+VLOOKUP(PROVEEDORES[[#This Row],[PROVEEDOR]],TERCEROS_INFO[#All],2,FALSE)</f>
        <v>0</v>
      </c>
      <c r="D1118" s="145">
        <f>+SUMIFS(PROVEEDORES[Total],PROVEEDORES[PROVEEDOR],PROVEEDORES[[#This Row],[PROVEEDOR]],PROVEEDORES[FECHA DE PAGO],"")</f>
        <v>0</v>
      </c>
      <c r="E1118" s="146"/>
      <c r="F1118" s="144">
        <f>+VLOOKUP(PROVEEDORES[[#This Row],[PROVEEDOR]],
                       Terceros!$A:$G,
                       5,
                       FALSE)</f>
        <v>0</v>
      </c>
      <c r="G1118" s="122">
        <v>45294</v>
      </c>
      <c r="H1118" s="102" t="s">
        <v>1782</v>
      </c>
      <c r="I1118" s="122">
        <v>45261</v>
      </c>
      <c r="J1118" s="103" t="s">
        <v>1374</v>
      </c>
      <c r="K1118" s="103" t="s">
        <v>1512</v>
      </c>
      <c r="L1118" s="103"/>
      <c r="M1118" s="105">
        <v>1386600</v>
      </c>
      <c r="N1118" s="147">
        <v>0</v>
      </c>
      <c r="O1118" s="147">
        <v>0</v>
      </c>
      <c r="P1118" s="148">
        <v>0</v>
      </c>
      <c r="Q1118" s="147">
        <v>0</v>
      </c>
      <c r="R1118" s="149">
        <v>1386600</v>
      </c>
      <c r="S11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8" s="150">
        <f ca="1">+IF(PROVEEDORES[[#This Row],[FECHA DE PAGO]]=0,TODAY()-PROVEEDORES[[#This Row],[FECHA DE FACTURACIÓN]]-PROVEEDORES[[#This Row],[PLAZO Días]],0)</f>
        <v>0</v>
      </c>
      <c r="U1118" s="150">
        <f>+VLOOKUP(PROVEEDORES[[#This Row],[PROVEEDOR]],Terceros!$A:$E,4,FALSE)</f>
        <v>0</v>
      </c>
      <c r="V1118" s="150">
        <f>+YEAR(PROVEEDORES[[#This Row],[FECHA DE FACTURACIÓN]])</f>
        <v>2023</v>
      </c>
      <c r="W1118" s="150">
        <f>+MATCH(PROVEEDORES[[#This Row],[año facturado]],Retenciones!$1:$1,0)</f>
        <v>6</v>
      </c>
      <c r="X1118" s="151">
        <f>+VLOOKUP(PROVEEDORES[[#This Row],[ID RETENCION]],Retenciones!$A$1:$O$25,PROVEEDORES[[#This Row],[indicador de columna]],FALSE)</f>
        <v>0</v>
      </c>
      <c r="Y1118" s="152">
        <f>+VLOOKUP(PROVEEDORES[[#This Row],[ID RETENCION]],Retenciones!$A$1:$O$25,2,FALSE)</f>
        <v>0</v>
      </c>
      <c r="Z1118" s="153" t="b">
        <f>+OR(COUNTIF(PROVEEDORES[[#This Row],[PROVEEDOR]],"*"&amp;'Palabra que no opera y Listas d'!$A$2&amp;"*"))</f>
        <v>0</v>
      </c>
    </row>
    <row r="1119" spans="1:26" ht="27.75" customHeight="1" x14ac:dyDescent="0.3">
      <c r="A1119" s="144" t="str">
        <f>+IF(PROVEEDORES[[#This Row],[FECHA DE PAGO]]=PROVEEDORES[[#This Row],[FECHA DE FACTURACIÓN]],"DE CONTADO","CRÉDITO")</f>
        <v>DE CONTADO</v>
      </c>
      <c r="B1119" s="144" t="b">
        <f>+IF((PROVEEDORES[[#This Row],[FECHA DE PAGO]]-PROVEEDORES[[#This Row],[FECHA DE FACTURACIÓN]])&gt;PROVEEDORES[[#This Row],[PLAZO Días]],"PAGO VENCIDO")</f>
        <v>0</v>
      </c>
      <c r="C1119" s="144">
        <f>+VLOOKUP(PROVEEDORES[[#This Row],[PROVEEDOR]],TERCEROS_INFO[#All],2,FALSE)</f>
        <v>0</v>
      </c>
      <c r="D1119" s="145">
        <f>+SUMIFS(PROVEEDORES[Total],PROVEEDORES[PROVEEDOR],PROVEEDORES[[#This Row],[PROVEEDOR]],PROVEEDORES[FECHA DE PAGO],"")</f>
        <v>0</v>
      </c>
      <c r="E1119" s="146"/>
      <c r="F1119" s="144">
        <f>+VLOOKUP(PROVEEDORES[[#This Row],[PROVEEDOR]],
                       Terceros!$A:$G,
                       5,
                       FALSE)</f>
        <v>0</v>
      </c>
      <c r="G1119" s="122">
        <v>45294</v>
      </c>
      <c r="H1119" s="102" t="s">
        <v>1785</v>
      </c>
      <c r="I1119" s="122">
        <v>45294</v>
      </c>
      <c r="J1119" s="103" t="s">
        <v>1417</v>
      </c>
      <c r="K1119" s="103" t="s">
        <v>1512</v>
      </c>
      <c r="L1119" s="103"/>
      <c r="M1119" s="105">
        <v>45000</v>
      </c>
      <c r="N1119" s="147">
        <v>0</v>
      </c>
      <c r="O1119" s="147">
        <v>0</v>
      </c>
      <c r="P1119" s="148">
        <v>0</v>
      </c>
      <c r="Q1119" s="147">
        <v>0</v>
      </c>
      <c r="R1119" s="149">
        <v>45000</v>
      </c>
      <c r="S11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9" s="150">
        <f ca="1">+IF(PROVEEDORES[[#This Row],[FECHA DE PAGO]]=0,TODAY()-PROVEEDORES[[#This Row],[FECHA DE FACTURACIÓN]]-PROVEEDORES[[#This Row],[PLAZO Días]],0)</f>
        <v>0</v>
      </c>
      <c r="U1119" s="150">
        <f>+VLOOKUP(PROVEEDORES[[#This Row],[PROVEEDOR]],Terceros!$A:$E,4,FALSE)</f>
        <v>0</v>
      </c>
      <c r="V1119" s="150">
        <f>+YEAR(PROVEEDORES[[#This Row],[FECHA DE FACTURACIÓN]])</f>
        <v>2024</v>
      </c>
      <c r="W1119" s="150">
        <f>+MATCH(PROVEEDORES[[#This Row],[año facturado]],Retenciones!$1:$1,0)</f>
        <v>7</v>
      </c>
      <c r="X1119" s="151">
        <f>+VLOOKUP(PROVEEDORES[[#This Row],[ID RETENCION]],Retenciones!$A$1:$O$25,PROVEEDORES[[#This Row],[indicador de columna]],FALSE)</f>
        <v>0</v>
      </c>
      <c r="Y1119" s="152">
        <f>+VLOOKUP(PROVEEDORES[[#This Row],[ID RETENCION]],Retenciones!$A$1:$O$25,2,FALSE)</f>
        <v>0</v>
      </c>
      <c r="Z1119" s="153" t="b">
        <f>+OR(COUNTIF(PROVEEDORES[[#This Row],[PROVEEDOR]],"*"&amp;'Palabra que no opera y Listas d'!$A$2&amp;"*"))</f>
        <v>0</v>
      </c>
    </row>
    <row r="1120" spans="1:26" ht="27.75" customHeight="1" x14ac:dyDescent="0.3">
      <c r="A1120" s="144" t="str">
        <f>+IF(PROVEEDORES[[#This Row],[FECHA DE PAGO]]=PROVEEDORES[[#This Row],[FECHA DE FACTURACIÓN]],"DE CONTADO","CRÉDITO")</f>
        <v>DE CONTADO</v>
      </c>
      <c r="B1120" s="144" t="b">
        <f>+IF((PROVEEDORES[[#This Row],[FECHA DE PAGO]]-PROVEEDORES[[#This Row],[FECHA DE FACTURACIÓN]])&gt;PROVEEDORES[[#This Row],[PLAZO Días]],"PAGO VENCIDO")</f>
        <v>0</v>
      </c>
      <c r="C1120" s="144">
        <f>+VLOOKUP(PROVEEDORES[[#This Row],[PROVEEDOR]],TERCEROS_INFO[#All],2,FALSE)</f>
        <v>0</v>
      </c>
      <c r="D1120" s="145">
        <f>+SUMIFS(PROVEEDORES[Total],PROVEEDORES[PROVEEDOR],PROVEEDORES[[#This Row],[PROVEEDOR]],PROVEEDORES[FECHA DE PAGO],"")</f>
        <v>0</v>
      </c>
      <c r="E1120" s="146"/>
      <c r="F1120" s="144">
        <f>+VLOOKUP(PROVEEDORES[[#This Row],[PROVEEDOR]],
                       Terceros!$A:$G,
                       5,
                       FALSE)</f>
        <v>0</v>
      </c>
      <c r="G1120" s="122">
        <v>45294</v>
      </c>
      <c r="H1120" s="102" t="s">
        <v>537</v>
      </c>
      <c r="I1120" s="122">
        <v>45294</v>
      </c>
      <c r="J1120" s="103" t="s">
        <v>1390</v>
      </c>
      <c r="K1120" s="103" t="s">
        <v>1512</v>
      </c>
      <c r="L1120" s="103"/>
      <c r="M1120" s="105">
        <v>5000000</v>
      </c>
      <c r="N1120" s="147">
        <v>0</v>
      </c>
      <c r="O1120" s="147">
        <v>0</v>
      </c>
      <c r="P1120" s="148">
        <v>0</v>
      </c>
      <c r="Q1120" s="147">
        <v>0</v>
      </c>
      <c r="R1120" s="149">
        <v>5000000</v>
      </c>
      <c r="S11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0" s="150">
        <f ca="1">+IF(PROVEEDORES[[#This Row],[FECHA DE PAGO]]=0,TODAY()-PROVEEDORES[[#This Row],[FECHA DE FACTURACIÓN]]-PROVEEDORES[[#This Row],[PLAZO Días]],0)</f>
        <v>0</v>
      </c>
      <c r="U1120" s="150">
        <f>+VLOOKUP(PROVEEDORES[[#This Row],[PROVEEDOR]],Terceros!$A:$E,4,FALSE)</f>
        <v>0</v>
      </c>
      <c r="V1120" s="150">
        <f>+YEAR(PROVEEDORES[[#This Row],[FECHA DE FACTURACIÓN]])</f>
        <v>2024</v>
      </c>
      <c r="W1120" s="150">
        <f>+MATCH(PROVEEDORES[[#This Row],[año facturado]],Retenciones!$1:$1,0)</f>
        <v>7</v>
      </c>
      <c r="X1120" s="151">
        <f>+VLOOKUP(PROVEEDORES[[#This Row],[ID RETENCION]],Retenciones!$A$1:$O$25,PROVEEDORES[[#This Row],[indicador de columna]],FALSE)</f>
        <v>0</v>
      </c>
      <c r="Y1120" s="152">
        <f>+VLOOKUP(PROVEEDORES[[#This Row],[ID RETENCION]],Retenciones!$A$1:$O$25,2,FALSE)</f>
        <v>0</v>
      </c>
      <c r="Z1120" s="153" t="b">
        <f>+OR(COUNTIF(PROVEEDORES[[#This Row],[PROVEEDOR]],"*"&amp;'Palabra que no opera y Listas d'!$A$2&amp;"*"))</f>
        <v>0</v>
      </c>
    </row>
    <row r="1121" spans="1:26" ht="27.75" customHeight="1" x14ac:dyDescent="0.3">
      <c r="A1121" s="144" t="str">
        <f>+IF(PROVEEDORES[[#This Row],[FECHA DE PAGO]]=PROVEEDORES[[#This Row],[FECHA DE FACTURACIÓN]],"DE CONTADO","CRÉDITO")</f>
        <v>DE CONTADO</v>
      </c>
      <c r="B1121" s="144" t="b">
        <f>+IF((PROVEEDORES[[#This Row],[FECHA DE PAGO]]-PROVEEDORES[[#This Row],[FECHA DE FACTURACIÓN]])&gt;PROVEEDORES[[#This Row],[PLAZO Días]],"PAGO VENCIDO")</f>
        <v>0</v>
      </c>
      <c r="C1121" s="144">
        <f>+VLOOKUP(PROVEEDORES[[#This Row],[PROVEEDOR]],TERCEROS_INFO[#All],2,FALSE)</f>
        <v>0</v>
      </c>
      <c r="D1121" s="145">
        <f>+SUMIFS(PROVEEDORES[Total],PROVEEDORES[PROVEEDOR],PROVEEDORES[[#This Row],[PROVEEDOR]],PROVEEDORES[FECHA DE PAGO],"")</f>
        <v>0</v>
      </c>
      <c r="E1121" s="146"/>
      <c r="F1121" s="144">
        <f>+VLOOKUP(PROVEEDORES[[#This Row],[PROVEEDOR]],
                       Terceros!$A:$G,
                       5,
                       FALSE)</f>
        <v>0</v>
      </c>
      <c r="G1121" s="122">
        <v>45296</v>
      </c>
      <c r="H1121" s="102" t="s">
        <v>537</v>
      </c>
      <c r="I1121" s="122">
        <v>45296</v>
      </c>
      <c r="J1121" s="103" t="s">
        <v>1393</v>
      </c>
      <c r="K1121" s="103" t="s">
        <v>1512</v>
      </c>
      <c r="L1121" s="103"/>
      <c r="M1121" s="105">
        <v>942000</v>
      </c>
      <c r="N1121" s="147">
        <v>0</v>
      </c>
      <c r="O1121" s="147">
        <v>0</v>
      </c>
      <c r="P1121" s="148">
        <v>0</v>
      </c>
      <c r="Q1121" s="147">
        <v>0</v>
      </c>
      <c r="R1121" s="149">
        <v>942000</v>
      </c>
      <c r="S11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1" s="150">
        <f ca="1">+IF(PROVEEDORES[[#This Row],[FECHA DE PAGO]]=0,TODAY()-PROVEEDORES[[#This Row],[FECHA DE FACTURACIÓN]]-PROVEEDORES[[#This Row],[PLAZO Días]],0)</f>
        <v>0</v>
      </c>
      <c r="U1121" s="150">
        <f>+VLOOKUP(PROVEEDORES[[#This Row],[PROVEEDOR]],Terceros!$A:$E,4,FALSE)</f>
        <v>0</v>
      </c>
      <c r="V1121" s="150">
        <f>+YEAR(PROVEEDORES[[#This Row],[FECHA DE FACTURACIÓN]])</f>
        <v>2024</v>
      </c>
      <c r="W1121" s="150">
        <f>+MATCH(PROVEEDORES[[#This Row],[año facturado]],Retenciones!$1:$1,0)</f>
        <v>7</v>
      </c>
      <c r="X1121" s="151">
        <f>+VLOOKUP(PROVEEDORES[[#This Row],[ID RETENCION]],Retenciones!$A$1:$O$25,PROVEEDORES[[#This Row],[indicador de columna]],FALSE)</f>
        <v>0</v>
      </c>
      <c r="Y1121" s="152">
        <f>+VLOOKUP(PROVEEDORES[[#This Row],[ID RETENCION]],Retenciones!$A$1:$O$25,2,FALSE)</f>
        <v>0</v>
      </c>
      <c r="Z1121" s="153" t="b">
        <f>+OR(COUNTIF(PROVEEDORES[[#This Row],[PROVEEDOR]],"*"&amp;'Palabra que no opera y Listas d'!$A$2&amp;"*"))</f>
        <v>0</v>
      </c>
    </row>
    <row r="1122" spans="1:26" ht="27.75" customHeight="1" x14ac:dyDescent="0.3">
      <c r="A1122" s="144" t="str">
        <f>+IF(PROVEEDORES[[#This Row],[FECHA DE PAGO]]=PROVEEDORES[[#This Row],[FECHA DE FACTURACIÓN]],"DE CONTADO","CRÉDITO")</f>
        <v>DE CONTADO</v>
      </c>
      <c r="B1122" s="144" t="b">
        <f>+IF((PROVEEDORES[[#This Row],[FECHA DE PAGO]]-PROVEEDORES[[#This Row],[FECHA DE FACTURACIÓN]])&gt;PROVEEDORES[[#This Row],[PLAZO Días]],"PAGO VENCIDO")</f>
        <v>0</v>
      </c>
      <c r="C1122" s="144">
        <f>+VLOOKUP(PROVEEDORES[[#This Row],[PROVEEDOR]],TERCEROS_INFO[#All],2,FALSE)</f>
        <v>0</v>
      </c>
      <c r="D1122" s="145">
        <f>+SUMIFS(PROVEEDORES[Total],PROVEEDORES[PROVEEDOR],PROVEEDORES[[#This Row],[PROVEEDOR]],PROVEEDORES[FECHA DE PAGO],"")</f>
        <v>0</v>
      </c>
      <c r="E1122" s="146"/>
      <c r="F1122" s="144">
        <f>+VLOOKUP(PROVEEDORES[[#This Row],[PROVEEDOR]],
                       Terceros!$A:$G,
                       5,
                       FALSE)</f>
        <v>0</v>
      </c>
      <c r="G1122" s="122">
        <v>45296</v>
      </c>
      <c r="H1122" s="102" t="s">
        <v>1801</v>
      </c>
      <c r="I1122" s="122">
        <v>45296</v>
      </c>
      <c r="J1122" s="103"/>
      <c r="K1122" s="103" t="s">
        <v>1512</v>
      </c>
      <c r="L1122" s="103"/>
      <c r="M1122" s="105">
        <v>1000000</v>
      </c>
      <c r="N1122" s="147">
        <v>0</v>
      </c>
      <c r="O1122" s="147">
        <v>0</v>
      </c>
      <c r="P1122" s="148">
        <v>0</v>
      </c>
      <c r="Q1122" s="147">
        <v>0</v>
      </c>
      <c r="R1122" s="149">
        <v>1000000</v>
      </c>
      <c r="S11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2" s="150">
        <f ca="1">+IF(PROVEEDORES[[#This Row],[FECHA DE PAGO]]=0,TODAY()-PROVEEDORES[[#This Row],[FECHA DE FACTURACIÓN]]-PROVEEDORES[[#This Row],[PLAZO Días]],0)</f>
        <v>0</v>
      </c>
      <c r="U1122" s="150">
        <f>+VLOOKUP(PROVEEDORES[[#This Row],[PROVEEDOR]],Terceros!$A:$E,4,FALSE)</f>
        <v>0</v>
      </c>
      <c r="V1122" s="150">
        <f>+YEAR(PROVEEDORES[[#This Row],[FECHA DE FACTURACIÓN]])</f>
        <v>2024</v>
      </c>
      <c r="W1122" s="150">
        <f>+MATCH(PROVEEDORES[[#This Row],[año facturado]],Retenciones!$1:$1,0)</f>
        <v>7</v>
      </c>
      <c r="X1122" s="151">
        <f>+VLOOKUP(PROVEEDORES[[#This Row],[ID RETENCION]],Retenciones!$A$1:$O$25,PROVEEDORES[[#This Row],[indicador de columna]],FALSE)</f>
        <v>0</v>
      </c>
      <c r="Y1122" s="152">
        <f>+VLOOKUP(PROVEEDORES[[#This Row],[ID RETENCION]],Retenciones!$A$1:$O$25,2,FALSE)</f>
        <v>0</v>
      </c>
      <c r="Z1122" s="153" t="b">
        <f>+OR(COUNTIF(PROVEEDORES[[#This Row],[PROVEEDOR]],"*"&amp;'Palabra que no opera y Listas d'!$A$2&amp;"*"))</f>
        <v>0</v>
      </c>
    </row>
    <row r="1123" spans="1:26" ht="27.75" customHeight="1" x14ac:dyDescent="0.3">
      <c r="A1123" s="144" t="str">
        <f>+IF(PROVEEDORES[[#This Row],[FECHA DE PAGO]]=PROVEEDORES[[#This Row],[FECHA DE FACTURACIÓN]],"DE CONTADO","CRÉDITO")</f>
        <v>DE CONTADO</v>
      </c>
      <c r="B1123" s="144" t="b">
        <f>+IF((PROVEEDORES[[#This Row],[FECHA DE PAGO]]-PROVEEDORES[[#This Row],[FECHA DE FACTURACIÓN]])&gt;PROVEEDORES[[#This Row],[PLAZO Días]],"PAGO VENCIDO")</f>
        <v>0</v>
      </c>
      <c r="C1123" s="144">
        <f>+VLOOKUP(PROVEEDORES[[#This Row],[PROVEEDOR]],TERCEROS_INFO[#All],2,FALSE)</f>
        <v>0</v>
      </c>
      <c r="D1123" s="145">
        <f>+SUMIFS(PROVEEDORES[Total],PROVEEDORES[PROVEEDOR],PROVEEDORES[[#This Row],[PROVEEDOR]],PROVEEDORES[FECHA DE PAGO],"")</f>
        <v>0</v>
      </c>
      <c r="E1123" s="146"/>
      <c r="F1123" s="144">
        <f>+VLOOKUP(PROVEEDORES[[#This Row],[PROVEEDOR]],
                       Terceros!$A:$G,
                       5,
                       FALSE)</f>
        <v>0</v>
      </c>
      <c r="G1123" s="122">
        <v>45297</v>
      </c>
      <c r="H1123" s="102" t="s">
        <v>402</v>
      </c>
      <c r="I1123" s="122">
        <v>45297</v>
      </c>
      <c r="J1123" s="103" t="s">
        <v>1199</v>
      </c>
      <c r="K1123" s="103" t="s">
        <v>1512</v>
      </c>
      <c r="L1123" s="103"/>
      <c r="M1123" s="105">
        <v>7068207</v>
      </c>
      <c r="N1123" s="147">
        <v>0</v>
      </c>
      <c r="O1123" s="147">
        <v>0</v>
      </c>
      <c r="P1123" s="148">
        <v>0</v>
      </c>
      <c r="Q1123" s="147">
        <v>0</v>
      </c>
      <c r="R1123" s="149">
        <v>7068207</v>
      </c>
      <c r="S11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3" s="150">
        <f ca="1">+IF(PROVEEDORES[[#This Row],[FECHA DE PAGO]]=0,TODAY()-PROVEEDORES[[#This Row],[FECHA DE FACTURACIÓN]]-PROVEEDORES[[#This Row],[PLAZO Días]],0)</f>
        <v>0</v>
      </c>
      <c r="U1123" s="150">
        <f>+VLOOKUP(PROVEEDORES[[#This Row],[PROVEEDOR]],Terceros!$A:$E,4,FALSE)</f>
        <v>0</v>
      </c>
      <c r="V1123" s="150">
        <f>+YEAR(PROVEEDORES[[#This Row],[FECHA DE FACTURACIÓN]])</f>
        <v>2024</v>
      </c>
      <c r="W1123" s="150">
        <f>+MATCH(PROVEEDORES[[#This Row],[año facturado]],Retenciones!$1:$1,0)</f>
        <v>7</v>
      </c>
      <c r="X1123" s="151">
        <f>+VLOOKUP(PROVEEDORES[[#This Row],[ID RETENCION]],Retenciones!$A$1:$O$25,PROVEEDORES[[#This Row],[indicador de columna]],FALSE)</f>
        <v>0</v>
      </c>
      <c r="Y1123" s="152">
        <f>+VLOOKUP(PROVEEDORES[[#This Row],[ID RETENCION]],Retenciones!$A$1:$O$25,2,FALSE)</f>
        <v>0</v>
      </c>
      <c r="Z1123" s="153" t="b">
        <f>+OR(COUNTIF(PROVEEDORES[[#This Row],[PROVEEDOR]],"*"&amp;'Palabra que no opera y Listas d'!$A$2&amp;"*"))</f>
        <v>1</v>
      </c>
    </row>
    <row r="1124" spans="1:26" ht="27.75" customHeight="1" x14ac:dyDescent="0.3">
      <c r="A1124" s="144" t="str">
        <f>+IF(PROVEEDORES[[#This Row],[FECHA DE PAGO]]=PROVEEDORES[[#This Row],[FECHA DE FACTURACIÓN]],"DE CONTADO","CRÉDITO")</f>
        <v>CRÉDITO</v>
      </c>
      <c r="B1124" s="144" t="str">
        <f>+IF((PROVEEDORES[[#This Row],[FECHA DE PAGO]]-PROVEEDORES[[#This Row],[FECHA DE FACTURACIÓN]])&gt;PROVEEDORES[[#This Row],[PLAZO Días]],"PAGO VENCIDO")</f>
        <v>PAGO VENCIDO</v>
      </c>
      <c r="C1124" s="144">
        <f>+VLOOKUP(PROVEEDORES[[#This Row],[PROVEEDOR]],TERCEROS_INFO[#All],2,FALSE)</f>
        <v>0</v>
      </c>
      <c r="D1124" s="145">
        <f>+SUMIFS(PROVEEDORES[Total],PROVEEDORES[PROVEEDOR],PROVEEDORES[[#This Row],[PROVEEDOR]],PROVEEDORES[FECHA DE PAGO],"")</f>
        <v>0</v>
      </c>
      <c r="E1124" s="146"/>
      <c r="F1124" s="144">
        <f>+VLOOKUP(PROVEEDORES[[#This Row],[PROVEEDOR]],
                       Terceros!$A:$G,
                       5,
                       FALSE)</f>
        <v>0</v>
      </c>
      <c r="G1124" s="122">
        <v>45300</v>
      </c>
      <c r="H1124" s="102" t="s">
        <v>1789</v>
      </c>
      <c r="I1124" s="122">
        <v>45261</v>
      </c>
      <c r="J1124" s="103" t="s">
        <v>1384</v>
      </c>
      <c r="K1124" s="103" t="s">
        <v>1512</v>
      </c>
      <c r="L1124" s="103"/>
      <c r="M1124" s="105">
        <v>866000</v>
      </c>
      <c r="N1124" s="147">
        <v>0</v>
      </c>
      <c r="O1124" s="147">
        <v>0</v>
      </c>
      <c r="P1124" s="148">
        <v>0</v>
      </c>
      <c r="Q1124" s="147">
        <v>0</v>
      </c>
      <c r="R1124" s="149">
        <v>866000</v>
      </c>
      <c r="S11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4" s="150">
        <f ca="1">+IF(PROVEEDORES[[#This Row],[FECHA DE PAGO]]=0,TODAY()-PROVEEDORES[[#This Row],[FECHA DE FACTURACIÓN]]-PROVEEDORES[[#This Row],[PLAZO Días]],0)</f>
        <v>0</v>
      </c>
      <c r="U1124" s="150">
        <f>+VLOOKUP(PROVEEDORES[[#This Row],[PROVEEDOR]],Terceros!$A:$E,4,FALSE)</f>
        <v>0</v>
      </c>
      <c r="V1124" s="150">
        <f>+YEAR(PROVEEDORES[[#This Row],[FECHA DE FACTURACIÓN]])</f>
        <v>2023</v>
      </c>
      <c r="W1124" s="150">
        <f>+MATCH(PROVEEDORES[[#This Row],[año facturado]],Retenciones!$1:$1,0)</f>
        <v>6</v>
      </c>
      <c r="X1124" s="151">
        <f>+VLOOKUP(PROVEEDORES[[#This Row],[ID RETENCION]],Retenciones!$A$1:$O$25,PROVEEDORES[[#This Row],[indicador de columna]],FALSE)</f>
        <v>0</v>
      </c>
      <c r="Y1124" s="152">
        <f>+VLOOKUP(PROVEEDORES[[#This Row],[ID RETENCION]],Retenciones!$A$1:$O$25,2,FALSE)</f>
        <v>0</v>
      </c>
      <c r="Z1124" s="153" t="b">
        <f>+OR(COUNTIF(PROVEEDORES[[#This Row],[PROVEEDOR]],"*"&amp;'Palabra que no opera y Listas d'!$A$2&amp;"*"))</f>
        <v>0</v>
      </c>
    </row>
    <row r="1125" spans="1:26" ht="27.75" customHeight="1" x14ac:dyDescent="0.3">
      <c r="A1125" s="144" t="str">
        <f>+IF(PROVEEDORES[[#This Row],[FECHA DE PAGO]]=PROVEEDORES[[#This Row],[FECHA DE FACTURACIÓN]],"DE CONTADO","CRÉDITO")</f>
        <v>DE CONTADO</v>
      </c>
      <c r="B1125" s="144" t="b">
        <f>+IF((PROVEEDORES[[#This Row],[FECHA DE PAGO]]-PROVEEDORES[[#This Row],[FECHA DE FACTURACIÓN]])&gt;PROVEEDORES[[#This Row],[PLAZO Días]],"PAGO VENCIDO")</f>
        <v>0</v>
      </c>
      <c r="C1125" s="144">
        <f>+VLOOKUP(PROVEEDORES[[#This Row],[PROVEEDOR]],TERCEROS_INFO[#All],2,FALSE)</f>
        <v>0</v>
      </c>
      <c r="D1125" s="145">
        <f>+SUMIFS(PROVEEDORES[Total],PROVEEDORES[PROVEEDOR],PROVEEDORES[[#This Row],[PROVEEDOR]],PROVEEDORES[FECHA DE PAGO],"")</f>
        <v>0</v>
      </c>
      <c r="E1125" s="146"/>
      <c r="F1125" s="144">
        <f>+VLOOKUP(PROVEEDORES[[#This Row],[PROVEEDOR]],
                       Terceros!$A:$G,
                       5,
                       FALSE)</f>
        <v>0</v>
      </c>
      <c r="G1125" s="122">
        <v>45300</v>
      </c>
      <c r="H1125" s="102" t="s">
        <v>1785</v>
      </c>
      <c r="I1125" s="122">
        <v>45300</v>
      </c>
      <c r="J1125" s="103" t="s">
        <v>1419</v>
      </c>
      <c r="K1125" s="103" t="s">
        <v>1512</v>
      </c>
      <c r="L1125" s="103"/>
      <c r="M1125" s="105">
        <v>68000</v>
      </c>
      <c r="N1125" s="147">
        <v>0</v>
      </c>
      <c r="O1125" s="147">
        <v>0</v>
      </c>
      <c r="P1125" s="148">
        <v>0</v>
      </c>
      <c r="Q1125" s="147">
        <v>0</v>
      </c>
      <c r="R1125" s="149">
        <v>68000</v>
      </c>
      <c r="S11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5" s="150">
        <f ca="1">+IF(PROVEEDORES[[#This Row],[FECHA DE PAGO]]=0,TODAY()-PROVEEDORES[[#This Row],[FECHA DE FACTURACIÓN]]-PROVEEDORES[[#This Row],[PLAZO Días]],0)</f>
        <v>0</v>
      </c>
      <c r="U1125" s="150">
        <f>+VLOOKUP(PROVEEDORES[[#This Row],[PROVEEDOR]],Terceros!$A:$E,4,FALSE)</f>
        <v>0</v>
      </c>
      <c r="V1125" s="150">
        <f>+YEAR(PROVEEDORES[[#This Row],[FECHA DE FACTURACIÓN]])</f>
        <v>2024</v>
      </c>
      <c r="W1125" s="150">
        <f>+MATCH(PROVEEDORES[[#This Row],[año facturado]],Retenciones!$1:$1,0)</f>
        <v>7</v>
      </c>
      <c r="X1125" s="151">
        <f>+VLOOKUP(PROVEEDORES[[#This Row],[ID RETENCION]],Retenciones!$A$1:$O$25,PROVEEDORES[[#This Row],[indicador de columna]],FALSE)</f>
        <v>0</v>
      </c>
      <c r="Y1125" s="152">
        <f>+VLOOKUP(PROVEEDORES[[#This Row],[ID RETENCION]],Retenciones!$A$1:$O$25,2,FALSE)</f>
        <v>0</v>
      </c>
      <c r="Z1125" s="153" t="b">
        <f>+OR(COUNTIF(PROVEEDORES[[#This Row],[PROVEEDOR]],"*"&amp;'Palabra que no opera y Listas d'!$A$2&amp;"*"))</f>
        <v>0</v>
      </c>
    </row>
    <row r="1126" spans="1:26" ht="27.75" customHeight="1" x14ac:dyDescent="0.3">
      <c r="A1126" s="144" t="str">
        <f>+IF(PROVEEDORES[[#This Row],[FECHA DE PAGO]]=PROVEEDORES[[#This Row],[FECHA DE FACTURACIÓN]],"DE CONTADO","CRÉDITO")</f>
        <v>CRÉDITO</v>
      </c>
      <c r="B1126" s="144" t="str">
        <f>+IF((PROVEEDORES[[#This Row],[FECHA DE PAGO]]-PROVEEDORES[[#This Row],[FECHA DE FACTURACIÓN]])&gt;PROVEEDORES[[#This Row],[PLAZO Días]],"PAGO VENCIDO")</f>
        <v>PAGO VENCIDO</v>
      </c>
      <c r="C1126" s="144">
        <f>+VLOOKUP(PROVEEDORES[[#This Row],[PROVEEDOR]],TERCEROS_INFO[#All],2,FALSE)</f>
        <v>0</v>
      </c>
      <c r="D1126" s="145">
        <f>+SUMIFS(PROVEEDORES[Total],PROVEEDORES[PROVEEDOR],PROVEEDORES[[#This Row],[PROVEEDOR]],PROVEEDORES[FECHA DE PAGO],"")</f>
        <v>-12893</v>
      </c>
      <c r="E1126" s="146"/>
      <c r="F1126" s="144" t="str">
        <f>+VLOOKUP(PROVEEDORES[[#This Row],[PROVEEDOR]],
                       Terceros!$A:$G,
                       5,
                       FALSE)</f>
        <v>3,5% sin base</v>
      </c>
      <c r="G1126" s="122">
        <v>45300</v>
      </c>
      <c r="H1126" s="102" t="s">
        <v>1433</v>
      </c>
      <c r="I1126" s="122">
        <v>45292</v>
      </c>
      <c r="J1126" s="103" t="s">
        <v>1395</v>
      </c>
      <c r="K1126" s="103" t="s">
        <v>1512</v>
      </c>
      <c r="L1126" s="103"/>
      <c r="M1126" s="105">
        <v>4394976</v>
      </c>
      <c r="N1126" s="147">
        <v>835045.44000000006</v>
      </c>
      <c r="O1126" s="147">
        <v>0</v>
      </c>
      <c r="P1126" s="148">
        <v>3.5000000000000003E-2</v>
      </c>
      <c r="Q1126" s="147">
        <v>153824.16</v>
      </c>
      <c r="R1126" s="149">
        <v>5076197.28</v>
      </c>
      <c r="S11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6" s="150">
        <f ca="1">+IF(PROVEEDORES[[#This Row],[FECHA DE PAGO]]=0,TODAY()-PROVEEDORES[[#This Row],[FECHA DE FACTURACIÓN]]-PROVEEDORES[[#This Row],[PLAZO Días]],0)</f>
        <v>0</v>
      </c>
      <c r="U1126" s="150">
        <f>+VLOOKUP(PROVEEDORES[[#This Row],[PROVEEDOR]],Terceros!$A:$E,4,FALSE)</f>
        <v>0.19</v>
      </c>
      <c r="V1126" s="150">
        <f>+YEAR(PROVEEDORES[[#This Row],[FECHA DE FACTURACIÓN]])</f>
        <v>2024</v>
      </c>
      <c r="W1126" s="150">
        <f>+MATCH(PROVEEDORES[[#This Row],[año facturado]],Retenciones!$1:$1,0)</f>
        <v>7</v>
      </c>
      <c r="X1126" s="151" t="e">
        <f>+VLOOKUP(PROVEEDORES[[#This Row],[ID RETENCION]],Retenciones!$A$1:$O$25,PROVEEDORES[[#This Row],[indicador de columna]],FALSE)</f>
        <v>#N/A</v>
      </c>
      <c r="Y1126" s="152" t="e">
        <f>+VLOOKUP(PROVEEDORES[[#This Row],[ID RETENCION]],Retenciones!$A$1:$O$25,2,FALSE)</f>
        <v>#N/A</v>
      </c>
      <c r="Z1126" s="153" t="b">
        <f>+OR(COUNTIF(PROVEEDORES[[#This Row],[PROVEEDOR]],"*"&amp;'Palabra que no opera y Listas d'!$A$2&amp;"*"))</f>
        <v>1</v>
      </c>
    </row>
    <row r="1127" spans="1:26" ht="27.75" customHeight="1" x14ac:dyDescent="0.3">
      <c r="A1127" s="144" t="str">
        <f>+IF(PROVEEDORES[[#This Row],[FECHA DE PAGO]]=PROVEEDORES[[#This Row],[FECHA DE FACTURACIÓN]],"DE CONTADO","CRÉDITO")</f>
        <v>CRÉDITO</v>
      </c>
      <c r="B1127" s="144" t="str">
        <f>+IF((PROVEEDORES[[#This Row],[FECHA DE PAGO]]-PROVEEDORES[[#This Row],[FECHA DE FACTURACIÓN]])&gt;PROVEEDORES[[#This Row],[PLAZO Días]],"PAGO VENCIDO")</f>
        <v>PAGO VENCIDO</v>
      </c>
      <c r="C1127" s="144">
        <f>+VLOOKUP(PROVEEDORES[[#This Row],[PROVEEDOR]],TERCEROS_INFO[#All],2,FALSE)</f>
        <v>0</v>
      </c>
      <c r="D1127" s="145">
        <f>+SUMIFS(PROVEEDORES[Total],PROVEEDORES[PROVEEDOR],PROVEEDORES[[#This Row],[PROVEEDOR]],PROVEEDORES[FECHA DE PAGO],"")</f>
        <v>181631</v>
      </c>
      <c r="E1127" s="146"/>
      <c r="F1127" s="144">
        <f>+VLOOKUP(PROVEEDORES[[#This Row],[PROVEEDOR]],
                       Terceros!$A:$G,
                       5,
                       FALSE)</f>
        <v>0</v>
      </c>
      <c r="G1127" s="122">
        <v>45300</v>
      </c>
      <c r="H1127" s="102" t="s">
        <v>383</v>
      </c>
      <c r="I1127" s="122">
        <v>45292</v>
      </c>
      <c r="J1127" s="103" t="s">
        <v>1406</v>
      </c>
      <c r="K1127" s="103" t="s">
        <v>1512</v>
      </c>
      <c r="L1127" s="103"/>
      <c r="M1127" s="105">
        <v>3792544</v>
      </c>
      <c r="N1127" s="147">
        <v>720583.36</v>
      </c>
      <c r="O1127" s="147">
        <v>0</v>
      </c>
      <c r="P1127" s="148">
        <v>0</v>
      </c>
      <c r="Q1127" s="147">
        <v>0</v>
      </c>
      <c r="R1127" s="149">
        <v>4513127.3600000003</v>
      </c>
      <c r="S11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7" s="150">
        <f ca="1">+IF(PROVEEDORES[[#This Row],[FECHA DE PAGO]]=0,TODAY()-PROVEEDORES[[#This Row],[FECHA DE FACTURACIÓN]]-PROVEEDORES[[#This Row],[PLAZO Días]],0)</f>
        <v>0</v>
      </c>
      <c r="U1127" s="150">
        <f>+VLOOKUP(PROVEEDORES[[#This Row],[PROVEEDOR]],Terceros!$A:$E,4,FALSE)</f>
        <v>0.19</v>
      </c>
      <c r="V1127" s="150">
        <f>+YEAR(PROVEEDORES[[#This Row],[FECHA DE FACTURACIÓN]])</f>
        <v>2024</v>
      </c>
      <c r="W1127" s="150">
        <f>+MATCH(PROVEEDORES[[#This Row],[año facturado]],Retenciones!$1:$1,0)</f>
        <v>7</v>
      </c>
      <c r="X1127" s="151" t="e">
        <f>+VLOOKUP(PROVEEDORES[[#This Row],[ID RETENCION]],Retenciones!$A$1:$O$25,PROVEEDORES[[#This Row],[indicador de columna]],FALSE)</f>
        <v>#N/A</v>
      </c>
      <c r="Y1127" s="152" t="e">
        <f>+VLOOKUP(PROVEEDORES[[#This Row],[ID RETENCION]],Retenciones!$A$1:$O$25,2,FALSE)</f>
        <v>#N/A</v>
      </c>
      <c r="Z1127" s="153" t="b">
        <f>+OR(COUNTIF(PROVEEDORES[[#This Row],[PROVEEDOR]],"*"&amp;'Palabra que no opera y Listas d'!$A$2&amp;"*"))</f>
        <v>1</v>
      </c>
    </row>
    <row r="1128" spans="1:26" ht="27.75" customHeight="1" x14ac:dyDescent="0.3">
      <c r="A1128" s="144" t="str">
        <f>+IF(PROVEEDORES[[#This Row],[FECHA DE PAGO]]=PROVEEDORES[[#This Row],[FECHA DE FACTURACIÓN]],"DE CONTADO","CRÉDITO")</f>
        <v>CRÉDITO</v>
      </c>
      <c r="B1128" s="144" t="str">
        <f>+IF((PROVEEDORES[[#This Row],[FECHA DE PAGO]]-PROVEEDORES[[#This Row],[FECHA DE FACTURACIÓN]])&gt;PROVEEDORES[[#This Row],[PLAZO Días]],"PAGO VENCIDO")</f>
        <v>PAGO VENCIDO</v>
      </c>
      <c r="C1128" s="144">
        <f>+VLOOKUP(PROVEEDORES[[#This Row],[PROVEEDOR]],TERCEROS_INFO[#All],2,FALSE)</f>
        <v>0</v>
      </c>
      <c r="D1128" s="145">
        <f>+SUMIFS(PROVEEDORES[Total],PROVEEDORES[PROVEEDOR],PROVEEDORES[[#This Row],[PROVEEDOR]],PROVEEDORES[FECHA DE PAGO],"")</f>
        <v>0</v>
      </c>
      <c r="E1128" s="146"/>
      <c r="F1128" s="144">
        <f>+VLOOKUP(PROVEEDORES[[#This Row],[PROVEEDOR]],
                       Terceros!$A:$G,
                       5,
                       FALSE)</f>
        <v>0</v>
      </c>
      <c r="G1128" s="122">
        <v>45300</v>
      </c>
      <c r="H1128" s="102" t="s">
        <v>497</v>
      </c>
      <c r="I1128" s="122">
        <v>45292</v>
      </c>
      <c r="J1128" s="103" t="s">
        <v>1396</v>
      </c>
      <c r="K1128" s="103" t="s">
        <v>1512</v>
      </c>
      <c r="L1128" s="103"/>
      <c r="M1128" s="105">
        <v>5350576</v>
      </c>
      <c r="N1128" s="147">
        <v>1016609.4400000001</v>
      </c>
      <c r="O1128" s="147">
        <v>0</v>
      </c>
      <c r="P1128" s="148">
        <v>0</v>
      </c>
      <c r="Q1128" s="147">
        <v>0</v>
      </c>
      <c r="R1128" s="149">
        <v>6367185.4400000004</v>
      </c>
      <c r="S11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8" s="150">
        <f ca="1">+IF(PROVEEDORES[[#This Row],[FECHA DE PAGO]]=0,TODAY()-PROVEEDORES[[#This Row],[FECHA DE FACTURACIÓN]]-PROVEEDORES[[#This Row],[PLAZO Días]],0)</f>
        <v>0</v>
      </c>
      <c r="U1128" s="150">
        <f>+VLOOKUP(PROVEEDORES[[#This Row],[PROVEEDOR]],Terceros!$A:$E,4,FALSE)</f>
        <v>0.19</v>
      </c>
      <c r="V1128" s="150">
        <f>+YEAR(PROVEEDORES[[#This Row],[FECHA DE FACTURACIÓN]])</f>
        <v>2024</v>
      </c>
      <c r="W1128" s="150">
        <f>+MATCH(PROVEEDORES[[#This Row],[año facturado]],Retenciones!$1:$1,0)</f>
        <v>7</v>
      </c>
      <c r="X1128" s="151" t="e">
        <f>+VLOOKUP(PROVEEDORES[[#This Row],[ID RETENCION]],Retenciones!$A$1:$O$25,PROVEEDORES[[#This Row],[indicador de columna]],FALSE)</f>
        <v>#N/A</v>
      </c>
      <c r="Y1128" s="152" t="e">
        <f>+VLOOKUP(PROVEEDORES[[#This Row],[ID RETENCION]],Retenciones!$A$1:$O$25,2,FALSE)</f>
        <v>#N/A</v>
      </c>
      <c r="Z1128" s="153" t="b">
        <f>+OR(COUNTIF(PROVEEDORES[[#This Row],[PROVEEDOR]],"*"&amp;'Palabra que no opera y Listas d'!$A$2&amp;"*"))</f>
        <v>1</v>
      </c>
    </row>
    <row r="1129" spans="1:26" ht="27.75" customHeight="1" x14ac:dyDescent="0.3">
      <c r="A1129" s="144" t="str">
        <f>+IF(PROVEEDORES[[#This Row],[FECHA DE PAGO]]=PROVEEDORES[[#This Row],[FECHA DE FACTURACIÓN]],"DE CONTADO","CRÉDITO")</f>
        <v>DE CONTADO</v>
      </c>
      <c r="B1129" s="144" t="b">
        <f>+IF((PROVEEDORES[[#This Row],[FECHA DE PAGO]]-PROVEEDORES[[#This Row],[FECHA DE FACTURACIÓN]])&gt;PROVEEDORES[[#This Row],[PLAZO Días]],"PAGO VENCIDO")</f>
        <v>0</v>
      </c>
      <c r="C1129" s="144">
        <f>+VLOOKUP(PROVEEDORES[[#This Row],[PROVEEDOR]],TERCEROS_INFO[#All],2,FALSE)</f>
        <v>0</v>
      </c>
      <c r="D1129" s="145">
        <f>+SUMIFS(PROVEEDORES[Total],PROVEEDORES[PROVEEDOR],PROVEEDORES[[#This Row],[PROVEEDOR]],PROVEEDORES[FECHA DE PAGO],"")</f>
        <v>0</v>
      </c>
      <c r="E1129" s="146"/>
      <c r="F1129" s="144">
        <f>+VLOOKUP(PROVEEDORES[[#This Row],[PROVEEDOR]],
                       Terceros!$A:$G,
                       5,
                       FALSE)</f>
        <v>0</v>
      </c>
      <c r="G1129" s="122">
        <v>45300</v>
      </c>
      <c r="H1129" s="102" t="s">
        <v>402</v>
      </c>
      <c r="I1129" s="122">
        <v>45300</v>
      </c>
      <c r="J1129" s="103" t="s">
        <v>184</v>
      </c>
      <c r="K1129" s="103" t="s">
        <v>1512</v>
      </c>
      <c r="L1129" s="103"/>
      <c r="M1129" s="105">
        <v>411454</v>
      </c>
      <c r="N1129" s="147">
        <v>0</v>
      </c>
      <c r="O1129" s="147">
        <v>0</v>
      </c>
      <c r="P1129" s="148">
        <v>0</v>
      </c>
      <c r="Q1129" s="147">
        <v>0</v>
      </c>
      <c r="R1129" s="149">
        <v>411454</v>
      </c>
      <c r="S11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9" s="150">
        <f ca="1">+IF(PROVEEDORES[[#This Row],[FECHA DE PAGO]]=0,TODAY()-PROVEEDORES[[#This Row],[FECHA DE FACTURACIÓN]]-PROVEEDORES[[#This Row],[PLAZO Días]],0)</f>
        <v>0</v>
      </c>
      <c r="U1129" s="150">
        <f>+VLOOKUP(PROVEEDORES[[#This Row],[PROVEEDOR]],Terceros!$A:$E,4,FALSE)</f>
        <v>0</v>
      </c>
      <c r="V1129" s="150">
        <f>+YEAR(PROVEEDORES[[#This Row],[FECHA DE FACTURACIÓN]])</f>
        <v>2024</v>
      </c>
      <c r="W1129" s="150">
        <f>+MATCH(PROVEEDORES[[#This Row],[año facturado]],Retenciones!$1:$1,0)</f>
        <v>7</v>
      </c>
      <c r="X1129" s="151">
        <f>+VLOOKUP(PROVEEDORES[[#This Row],[ID RETENCION]],Retenciones!$A$1:$O$25,PROVEEDORES[[#This Row],[indicador de columna]],FALSE)</f>
        <v>0</v>
      </c>
      <c r="Y1129" s="152">
        <f>+VLOOKUP(PROVEEDORES[[#This Row],[ID RETENCION]],Retenciones!$A$1:$O$25,2,FALSE)</f>
        <v>0</v>
      </c>
      <c r="Z1129" s="153" t="b">
        <f>+OR(COUNTIF(PROVEEDORES[[#This Row],[PROVEEDOR]],"*"&amp;'Palabra que no opera y Listas d'!$A$2&amp;"*"))</f>
        <v>1</v>
      </c>
    </row>
    <row r="1130" spans="1:26" ht="27.75" customHeight="1" x14ac:dyDescent="0.3">
      <c r="A1130" s="144" t="str">
        <f>+IF(PROVEEDORES[[#This Row],[FECHA DE PAGO]]=PROVEEDORES[[#This Row],[FECHA DE FACTURACIÓN]],"DE CONTADO","CRÉDITO")</f>
        <v>CRÉDITO</v>
      </c>
      <c r="B1130" s="144" t="str">
        <f>+IF((PROVEEDORES[[#This Row],[FECHA DE PAGO]]-PROVEEDORES[[#This Row],[FECHA DE FACTURACIÓN]])&gt;PROVEEDORES[[#This Row],[PLAZO Días]],"PAGO VENCIDO")</f>
        <v>PAGO VENCIDO</v>
      </c>
      <c r="C1130" s="144">
        <f>+VLOOKUP(PROVEEDORES[[#This Row],[PROVEEDOR]],TERCEROS_INFO[#All],2,FALSE)</f>
        <v>0</v>
      </c>
      <c r="D1130" s="145">
        <f>+SUMIFS(PROVEEDORES[Total],PROVEEDORES[PROVEEDOR],PROVEEDORES[[#This Row],[PROVEEDOR]],PROVEEDORES[FECHA DE PAGO],"")</f>
        <v>8493745.8849999998</v>
      </c>
      <c r="E1130" s="146"/>
      <c r="F1130" s="144" t="str">
        <f>+VLOOKUP(PROVEEDORES[[#This Row],[PROVEEDOR]],
                       Terceros!$A:$G,
                       5,
                       FALSE)</f>
        <v>2,5% con base</v>
      </c>
      <c r="G1130" s="122">
        <v>45301</v>
      </c>
      <c r="H1130" s="102" t="s">
        <v>10</v>
      </c>
      <c r="I1130" s="122">
        <v>45253</v>
      </c>
      <c r="J1130" s="103" t="s">
        <v>1249</v>
      </c>
      <c r="K1130" s="103" t="s">
        <v>1512</v>
      </c>
      <c r="L1130" s="103"/>
      <c r="M1130" s="105">
        <v>8067241</v>
      </c>
      <c r="N1130" s="147">
        <v>1532775.79</v>
      </c>
      <c r="O1130" s="147">
        <v>0</v>
      </c>
      <c r="P1130" s="148">
        <v>2.5000000000000001E-2</v>
      </c>
      <c r="Q1130" s="147">
        <v>201681.02500000002</v>
      </c>
      <c r="R1130" s="149">
        <v>9398335.7649999987</v>
      </c>
      <c r="S11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0" s="150">
        <f ca="1">+IF(PROVEEDORES[[#This Row],[FECHA DE PAGO]]=0,TODAY()-PROVEEDORES[[#This Row],[FECHA DE FACTURACIÓN]]-PROVEEDORES[[#This Row],[PLAZO Días]],0)</f>
        <v>0</v>
      </c>
      <c r="U1130" s="150">
        <f>+VLOOKUP(PROVEEDORES[[#This Row],[PROVEEDOR]],Terceros!$A:$E,4,FALSE)</f>
        <v>0.19</v>
      </c>
      <c r="V1130" s="150">
        <f>+YEAR(PROVEEDORES[[#This Row],[FECHA DE FACTURACIÓN]])</f>
        <v>2023</v>
      </c>
      <c r="W1130" s="150">
        <f>+MATCH(PROVEEDORES[[#This Row],[año facturado]],Retenciones!$1:$1,0)</f>
        <v>6</v>
      </c>
      <c r="X1130" s="151" t="e">
        <f>+VLOOKUP(PROVEEDORES[[#This Row],[ID RETENCION]],Retenciones!$A$1:$O$25,PROVEEDORES[[#This Row],[indicador de columna]],FALSE)</f>
        <v>#N/A</v>
      </c>
      <c r="Y1130" s="152" t="e">
        <f>+VLOOKUP(PROVEEDORES[[#This Row],[ID RETENCION]],Retenciones!$A$1:$O$25,2,FALSE)</f>
        <v>#N/A</v>
      </c>
      <c r="Z1130" s="153" t="b">
        <f>+OR(COUNTIF(PROVEEDORES[[#This Row],[PROVEEDOR]],"*"&amp;'Palabra que no opera y Listas d'!$A$2&amp;"*"))</f>
        <v>0</v>
      </c>
    </row>
    <row r="1131" spans="1:26" ht="27.75" customHeight="1" x14ac:dyDescent="0.3">
      <c r="A1131" s="144" t="str">
        <f>+IF(PROVEEDORES[[#This Row],[FECHA DE PAGO]]=PROVEEDORES[[#This Row],[FECHA DE FACTURACIÓN]],"DE CONTADO","CRÉDITO")</f>
        <v>CRÉDITO</v>
      </c>
      <c r="B1131" s="144" t="str">
        <f>+IF((PROVEEDORES[[#This Row],[FECHA DE PAGO]]-PROVEEDORES[[#This Row],[FECHA DE FACTURACIÓN]])&gt;PROVEEDORES[[#This Row],[PLAZO Días]],"PAGO VENCIDO")</f>
        <v>PAGO VENCIDO</v>
      </c>
      <c r="C1131" s="144">
        <f>+VLOOKUP(PROVEEDORES[[#This Row],[PROVEEDOR]],TERCEROS_INFO[#All],2,FALSE)</f>
        <v>0</v>
      </c>
      <c r="D1131" s="145">
        <f>+SUMIFS(PROVEEDORES[Total],PROVEEDORES[PROVEEDOR],PROVEEDORES[[#This Row],[PROVEEDOR]],PROVEEDORES[FECHA DE PAGO],"")</f>
        <v>0</v>
      </c>
      <c r="E1131" s="146"/>
      <c r="F1131" s="144">
        <f>+VLOOKUP(PROVEEDORES[[#This Row],[PROVEEDOR]],
                       Terceros!$A:$G,
                       5,
                       FALSE)</f>
        <v>0</v>
      </c>
      <c r="G1131" s="122">
        <v>45302</v>
      </c>
      <c r="H1131" s="102" t="s">
        <v>1788</v>
      </c>
      <c r="I1131" s="122">
        <v>45251</v>
      </c>
      <c r="J1131" s="103" t="s">
        <v>1278</v>
      </c>
      <c r="K1131" s="103" t="s">
        <v>1512</v>
      </c>
      <c r="L1131" s="103"/>
      <c r="M1131" s="105">
        <v>600000</v>
      </c>
      <c r="N1131" s="147">
        <v>0</v>
      </c>
      <c r="O1131" s="147">
        <v>0</v>
      </c>
      <c r="P1131" s="148">
        <v>0</v>
      </c>
      <c r="Q1131" s="147">
        <v>0</v>
      </c>
      <c r="R1131" s="149">
        <v>600000</v>
      </c>
      <c r="S11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1" s="150">
        <f ca="1">+IF(PROVEEDORES[[#This Row],[FECHA DE PAGO]]=0,TODAY()-PROVEEDORES[[#This Row],[FECHA DE FACTURACIÓN]]-PROVEEDORES[[#This Row],[PLAZO Días]],0)</f>
        <v>0</v>
      </c>
      <c r="U1131" s="150">
        <f>+VLOOKUP(PROVEEDORES[[#This Row],[PROVEEDOR]],Terceros!$A:$E,4,FALSE)</f>
        <v>0</v>
      </c>
      <c r="V1131" s="150">
        <f>+YEAR(PROVEEDORES[[#This Row],[FECHA DE FACTURACIÓN]])</f>
        <v>2023</v>
      </c>
      <c r="W1131" s="150">
        <f>+MATCH(PROVEEDORES[[#This Row],[año facturado]],Retenciones!$1:$1,0)</f>
        <v>6</v>
      </c>
      <c r="X1131" s="151">
        <f>+VLOOKUP(PROVEEDORES[[#This Row],[ID RETENCION]],Retenciones!$A$1:$O$25,PROVEEDORES[[#This Row],[indicador de columna]],FALSE)</f>
        <v>0</v>
      </c>
      <c r="Y1131" s="152">
        <f>+VLOOKUP(PROVEEDORES[[#This Row],[ID RETENCION]],Retenciones!$A$1:$O$25,2,FALSE)</f>
        <v>0</v>
      </c>
      <c r="Z1131" s="153" t="b">
        <f>+OR(COUNTIF(PROVEEDORES[[#This Row],[PROVEEDOR]],"*"&amp;'Palabra que no opera y Listas d'!$A$2&amp;"*"))</f>
        <v>0</v>
      </c>
    </row>
    <row r="1132" spans="1:26" ht="27.75" customHeight="1" x14ac:dyDescent="0.3">
      <c r="A1132" s="144" t="str">
        <f>+IF(PROVEEDORES[[#This Row],[FECHA DE PAGO]]=PROVEEDORES[[#This Row],[FECHA DE FACTURACIÓN]],"DE CONTADO","CRÉDITO")</f>
        <v>CRÉDITO</v>
      </c>
      <c r="B1132" s="144" t="str">
        <f>+IF((PROVEEDORES[[#This Row],[FECHA DE PAGO]]-PROVEEDORES[[#This Row],[FECHA DE FACTURACIÓN]])&gt;PROVEEDORES[[#This Row],[PLAZO Días]],"PAGO VENCIDO")</f>
        <v>PAGO VENCIDO</v>
      </c>
      <c r="C1132" s="144">
        <f>+VLOOKUP(PROVEEDORES[[#This Row],[PROVEEDOR]],TERCEROS_INFO[#All],2,FALSE)</f>
        <v>0</v>
      </c>
      <c r="D1132" s="145">
        <f>+SUMIFS(PROVEEDORES[Total],PROVEEDORES[PROVEEDOR],PROVEEDORES[[#This Row],[PROVEEDOR]],PROVEEDORES[FECHA DE PAGO],"")</f>
        <v>0</v>
      </c>
      <c r="E1132" s="146"/>
      <c r="F1132" s="144">
        <f>+VLOOKUP(PROVEEDORES[[#This Row],[PROVEEDOR]],
                       Terceros!$A:$G,
                       5,
                       FALSE)</f>
        <v>0</v>
      </c>
      <c r="G1132" s="122">
        <v>45302</v>
      </c>
      <c r="H1132" s="102" t="s">
        <v>309</v>
      </c>
      <c r="I1132" s="122">
        <v>45267</v>
      </c>
      <c r="J1132" s="103" t="s">
        <v>1363</v>
      </c>
      <c r="K1132" s="103" t="s">
        <v>1512</v>
      </c>
      <c r="L1132" s="103"/>
      <c r="M1132" s="105">
        <v>342000</v>
      </c>
      <c r="N1132" s="147">
        <v>0</v>
      </c>
      <c r="O1132" s="147">
        <v>0</v>
      </c>
      <c r="P1132" s="148">
        <v>0</v>
      </c>
      <c r="Q1132" s="147">
        <v>0</v>
      </c>
      <c r="R1132" s="149">
        <v>342000</v>
      </c>
      <c r="S11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2" s="150">
        <f ca="1">+IF(PROVEEDORES[[#This Row],[FECHA DE PAGO]]=0,TODAY()-PROVEEDORES[[#This Row],[FECHA DE FACTURACIÓN]]-PROVEEDORES[[#This Row],[PLAZO Días]],0)</f>
        <v>0</v>
      </c>
      <c r="U1132" s="150">
        <f>+VLOOKUP(PROVEEDORES[[#This Row],[PROVEEDOR]],Terceros!$A:$E,4,FALSE)</f>
        <v>0</v>
      </c>
      <c r="V1132" s="150">
        <f>+YEAR(PROVEEDORES[[#This Row],[FECHA DE FACTURACIÓN]])</f>
        <v>2023</v>
      </c>
      <c r="W1132" s="150">
        <f>+MATCH(PROVEEDORES[[#This Row],[año facturado]],Retenciones!$1:$1,0)</f>
        <v>6</v>
      </c>
      <c r="X1132" s="151">
        <f>+VLOOKUP(PROVEEDORES[[#This Row],[ID RETENCION]],Retenciones!$A$1:$O$25,PROVEEDORES[[#This Row],[indicador de columna]],FALSE)</f>
        <v>0</v>
      </c>
      <c r="Y1132" s="152">
        <f>+VLOOKUP(PROVEEDORES[[#This Row],[ID RETENCION]],Retenciones!$A$1:$O$25,2,FALSE)</f>
        <v>0</v>
      </c>
      <c r="Z1132" s="153" t="b">
        <f>+OR(COUNTIF(PROVEEDORES[[#This Row],[PROVEEDOR]],"*"&amp;'Palabra que no opera y Listas d'!$A$2&amp;"*"))</f>
        <v>0</v>
      </c>
    </row>
    <row r="1133" spans="1:26" ht="27.75" customHeight="1" x14ac:dyDescent="0.3">
      <c r="A1133" s="144" t="str">
        <f>+IF(PROVEEDORES[[#This Row],[FECHA DE PAGO]]=PROVEEDORES[[#This Row],[FECHA DE FACTURACIÓN]],"DE CONTADO","CRÉDITO")</f>
        <v>CRÉDITO</v>
      </c>
      <c r="B1133" s="144" t="str">
        <f>+IF((PROVEEDORES[[#This Row],[FECHA DE PAGO]]-PROVEEDORES[[#This Row],[FECHA DE FACTURACIÓN]])&gt;PROVEEDORES[[#This Row],[PLAZO Días]],"PAGO VENCIDO")</f>
        <v>PAGO VENCIDO</v>
      </c>
      <c r="C1133" s="144">
        <f>+VLOOKUP(PROVEEDORES[[#This Row],[PROVEEDOR]],TERCEROS_INFO[#All],2,FALSE)</f>
        <v>0</v>
      </c>
      <c r="D1133" s="145">
        <f>+SUMIFS(PROVEEDORES[Total],PROVEEDORES[PROVEEDOR],PROVEEDORES[[#This Row],[PROVEEDOR]],PROVEEDORES[FECHA DE PAGO],"")</f>
        <v>0</v>
      </c>
      <c r="E1133" s="146"/>
      <c r="F1133" s="144" t="str">
        <f>+VLOOKUP(PROVEEDORES[[#This Row],[PROVEEDOR]],
                       Terceros!$A:$G,
                       5,
                       FALSE)</f>
        <v>2,5% con base</v>
      </c>
      <c r="G1133" s="122">
        <v>45303</v>
      </c>
      <c r="H1133" s="102" t="s">
        <v>1562</v>
      </c>
      <c r="I1133" s="122">
        <v>45272</v>
      </c>
      <c r="J1133" s="103" t="s">
        <v>1330</v>
      </c>
      <c r="K1133" s="103" t="s">
        <v>1512</v>
      </c>
      <c r="L1133" s="103"/>
      <c r="M1133" s="105">
        <v>361000</v>
      </c>
      <c r="N1133" s="147">
        <v>68590</v>
      </c>
      <c r="O1133" s="147">
        <v>0</v>
      </c>
      <c r="P1133" s="148">
        <v>0</v>
      </c>
      <c r="Q1133" s="147">
        <v>0</v>
      </c>
      <c r="R1133" s="149">
        <v>429590</v>
      </c>
      <c r="S11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3" s="150">
        <f ca="1">+IF(PROVEEDORES[[#This Row],[FECHA DE PAGO]]=0,TODAY()-PROVEEDORES[[#This Row],[FECHA DE FACTURACIÓN]]-PROVEEDORES[[#This Row],[PLAZO Días]],0)</f>
        <v>0</v>
      </c>
      <c r="U1133" s="150">
        <f>+VLOOKUP(PROVEEDORES[[#This Row],[PROVEEDOR]],Terceros!$A:$E,4,FALSE)</f>
        <v>0.19</v>
      </c>
      <c r="V1133" s="150">
        <f>+YEAR(PROVEEDORES[[#This Row],[FECHA DE FACTURACIÓN]])</f>
        <v>2023</v>
      </c>
      <c r="W1133" s="150">
        <f>+MATCH(PROVEEDORES[[#This Row],[año facturado]],Retenciones!$1:$1,0)</f>
        <v>6</v>
      </c>
      <c r="X1133" s="151" t="e">
        <f>+VLOOKUP(PROVEEDORES[[#This Row],[ID RETENCION]],Retenciones!$A$1:$O$25,PROVEEDORES[[#This Row],[indicador de columna]],FALSE)</f>
        <v>#N/A</v>
      </c>
      <c r="Y1133" s="152" t="e">
        <f>+VLOOKUP(PROVEEDORES[[#This Row],[ID RETENCION]],Retenciones!$A$1:$O$25,2,FALSE)</f>
        <v>#N/A</v>
      </c>
      <c r="Z1133" s="153" t="b">
        <f>+OR(COUNTIF(PROVEEDORES[[#This Row],[PROVEEDOR]],"*"&amp;'Palabra que no opera y Listas d'!$A$2&amp;"*"))</f>
        <v>0</v>
      </c>
    </row>
    <row r="1134" spans="1:26" ht="27.75" customHeight="1" x14ac:dyDescent="0.3">
      <c r="A1134" s="144" t="str">
        <f>+IF(PROVEEDORES[[#This Row],[FECHA DE PAGO]]=PROVEEDORES[[#This Row],[FECHA DE FACTURACIÓN]],"DE CONTADO","CRÉDITO")</f>
        <v>CRÉDITO</v>
      </c>
      <c r="B1134" s="144" t="str">
        <f>+IF((PROVEEDORES[[#This Row],[FECHA DE PAGO]]-PROVEEDORES[[#This Row],[FECHA DE FACTURACIÓN]])&gt;PROVEEDORES[[#This Row],[PLAZO Días]],"PAGO VENCIDO")</f>
        <v>PAGO VENCIDO</v>
      </c>
      <c r="C1134" s="144">
        <f>+VLOOKUP(PROVEEDORES[[#This Row],[PROVEEDOR]],TERCEROS_INFO[#All],2,FALSE)</f>
        <v>0</v>
      </c>
      <c r="D1134" s="145">
        <f>+SUMIFS(PROVEEDORES[Total],PROVEEDORES[PROVEEDOR],PROVEEDORES[[#This Row],[PROVEEDOR]],PROVEEDORES[FECHA DE PAGO],"")</f>
        <v>0</v>
      </c>
      <c r="E1134" s="146"/>
      <c r="F1134" s="144" t="str">
        <f>+VLOOKUP(PROVEEDORES[[#This Row],[PROVEEDOR]],
                       Terceros!$A:$G,
                       5,
                       FALSE)</f>
        <v>3,5% sin base</v>
      </c>
      <c r="G1134" s="122">
        <v>45303</v>
      </c>
      <c r="H1134" s="102" t="s">
        <v>398</v>
      </c>
      <c r="I1134" s="122">
        <v>45292</v>
      </c>
      <c r="J1134" s="103" t="s">
        <v>1432</v>
      </c>
      <c r="K1134" s="103" t="s">
        <v>1512</v>
      </c>
      <c r="L1134" s="103"/>
      <c r="M1134" s="105">
        <v>27605</v>
      </c>
      <c r="N1134" s="147">
        <v>5244.95</v>
      </c>
      <c r="O1134" s="147">
        <v>0</v>
      </c>
      <c r="P1134" s="148">
        <v>3.5000000000000003E-2</v>
      </c>
      <c r="Q1134" s="147">
        <v>966.17500000000007</v>
      </c>
      <c r="R1134" s="149">
        <v>31883.774999999998</v>
      </c>
      <c r="S11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4" s="150">
        <f ca="1">+IF(PROVEEDORES[[#This Row],[FECHA DE PAGO]]=0,TODAY()-PROVEEDORES[[#This Row],[FECHA DE FACTURACIÓN]]-PROVEEDORES[[#This Row],[PLAZO Días]],0)</f>
        <v>0</v>
      </c>
      <c r="U1134" s="150">
        <f>+VLOOKUP(PROVEEDORES[[#This Row],[PROVEEDOR]],Terceros!$A:$E,4,FALSE)</f>
        <v>0.19</v>
      </c>
      <c r="V1134" s="150">
        <f>+YEAR(PROVEEDORES[[#This Row],[FECHA DE FACTURACIÓN]])</f>
        <v>2024</v>
      </c>
      <c r="W1134" s="150">
        <f>+MATCH(PROVEEDORES[[#This Row],[año facturado]],Retenciones!$1:$1,0)</f>
        <v>7</v>
      </c>
      <c r="X1134" s="151" t="e">
        <f>+VLOOKUP(PROVEEDORES[[#This Row],[ID RETENCION]],Retenciones!$A$1:$O$25,PROVEEDORES[[#This Row],[indicador de columna]],FALSE)</f>
        <v>#N/A</v>
      </c>
      <c r="Y1134" s="152" t="e">
        <f>+VLOOKUP(PROVEEDORES[[#This Row],[ID RETENCION]],Retenciones!$A$1:$O$25,2,FALSE)</f>
        <v>#N/A</v>
      </c>
      <c r="Z1134" s="153" t="b">
        <f>+OR(COUNTIF(PROVEEDORES[[#This Row],[PROVEEDOR]],"*"&amp;'Palabra que no opera y Listas d'!$A$2&amp;"*"))</f>
        <v>1</v>
      </c>
    </row>
    <row r="1135" spans="1:26" ht="27.75" customHeight="1" x14ac:dyDescent="0.3">
      <c r="A1135" s="144" t="str">
        <f>+IF(PROVEEDORES[[#This Row],[FECHA DE PAGO]]=PROVEEDORES[[#This Row],[FECHA DE FACTURACIÓN]],"DE CONTADO","CRÉDITO")</f>
        <v>CRÉDITO</v>
      </c>
      <c r="B1135" s="144" t="str">
        <f>+IF((PROVEEDORES[[#This Row],[FECHA DE PAGO]]-PROVEEDORES[[#This Row],[FECHA DE FACTURACIÓN]])&gt;PROVEEDORES[[#This Row],[PLAZO Días]],"PAGO VENCIDO")</f>
        <v>PAGO VENCIDO</v>
      </c>
      <c r="C1135" s="144">
        <f>+VLOOKUP(PROVEEDORES[[#This Row],[PROVEEDOR]],TERCEROS_INFO[#All],2,FALSE)</f>
        <v>0</v>
      </c>
      <c r="D1135" s="145">
        <f>+SUMIFS(PROVEEDORES[Total],PROVEEDORES[PROVEEDOR],PROVEEDORES[[#This Row],[PROVEEDOR]],PROVEEDORES[FECHA DE PAGO],"")</f>
        <v>0</v>
      </c>
      <c r="E1135" s="146"/>
      <c r="F1135" s="144">
        <f>+VLOOKUP(PROVEEDORES[[#This Row],[PROVEEDOR]],
                       Terceros!$A:$G,
                       5,
                       FALSE)</f>
        <v>0</v>
      </c>
      <c r="G1135" s="122">
        <v>45303</v>
      </c>
      <c r="H1135" s="102" t="s">
        <v>403</v>
      </c>
      <c r="I1135" s="122">
        <v>45292</v>
      </c>
      <c r="J1135" s="103" t="s">
        <v>1404</v>
      </c>
      <c r="K1135" s="103" t="s">
        <v>1512</v>
      </c>
      <c r="L1135" s="103"/>
      <c r="M1135" s="105">
        <v>458700</v>
      </c>
      <c r="N1135" s="147">
        <v>87153</v>
      </c>
      <c r="O1135" s="147">
        <v>0</v>
      </c>
      <c r="P1135" s="148">
        <v>0</v>
      </c>
      <c r="Q1135" s="147">
        <v>0</v>
      </c>
      <c r="R1135" s="149">
        <v>545853</v>
      </c>
      <c r="S11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5" s="150">
        <f ca="1">+IF(PROVEEDORES[[#This Row],[FECHA DE PAGO]]=0,TODAY()-PROVEEDORES[[#This Row],[FECHA DE FACTURACIÓN]]-PROVEEDORES[[#This Row],[PLAZO Días]],0)</f>
        <v>0</v>
      </c>
      <c r="U1135" s="150">
        <f>+VLOOKUP(PROVEEDORES[[#This Row],[PROVEEDOR]],Terceros!$A:$E,4,FALSE)</f>
        <v>0.19</v>
      </c>
      <c r="V1135" s="150">
        <f>+YEAR(PROVEEDORES[[#This Row],[FECHA DE FACTURACIÓN]])</f>
        <v>2024</v>
      </c>
      <c r="W1135" s="150">
        <f>+MATCH(PROVEEDORES[[#This Row],[año facturado]],Retenciones!$1:$1,0)</f>
        <v>7</v>
      </c>
      <c r="X1135" s="151" t="e">
        <f>+VLOOKUP(PROVEEDORES[[#This Row],[ID RETENCION]],Retenciones!$A$1:$O$25,PROVEEDORES[[#This Row],[indicador de columna]],FALSE)</f>
        <v>#N/A</v>
      </c>
      <c r="Y1135" s="152" t="e">
        <f>+VLOOKUP(PROVEEDORES[[#This Row],[ID RETENCION]],Retenciones!$A$1:$O$25,2,FALSE)</f>
        <v>#N/A</v>
      </c>
      <c r="Z1135" s="153" t="b">
        <f>+OR(COUNTIF(PROVEEDORES[[#This Row],[PROVEEDOR]],"*"&amp;'Palabra que no opera y Listas d'!$A$2&amp;"*"))</f>
        <v>1</v>
      </c>
    </row>
    <row r="1136" spans="1:26" ht="27.75" customHeight="1" x14ac:dyDescent="0.3">
      <c r="A1136" s="144" t="str">
        <f>+IF(PROVEEDORES[[#This Row],[FECHA DE PAGO]]=PROVEEDORES[[#This Row],[FECHA DE FACTURACIÓN]],"DE CONTADO","CRÉDITO")</f>
        <v>CRÉDITO</v>
      </c>
      <c r="B1136" s="144" t="str">
        <f>+IF((PROVEEDORES[[#This Row],[FECHA DE PAGO]]-PROVEEDORES[[#This Row],[FECHA DE FACTURACIÓN]])&gt;PROVEEDORES[[#This Row],[PLAZO Días]],"PAGO VENCIDO")</f>
        <v>PAGO VENCIDO</v>
      </c>
      <c r="C1136" s="144">
        <f>+VLOOKUP(PROVEEDORES[[#This Row],[PROVEEDOR]],TERCEROS_INFO[#All],2,FALSE)</f>
        <v>0</v>
      </c>
      <c r="D1136" s="145">
        <f>+SUMIFS(PROVEEDORES[Total],PROVEEDORES[PROVEEDOR],PROVEEDORES[[#This Row],[PROVEEDOR]],PROVEEDORES[FECHA DE PAGO],"")</f>
        <v>0</v>
      </c>
      <c r="E1136" s="146"/>
      <c r="F1136" s="144" t="str">
        <f>+VLOOKUP(PROVEEDORES[[#This Row],[PROVEEDOR]],
                       Terceros!$A:$G,
                       5,
                       FALSE)</f>
        <v>2,5% con base</v>
      </c>
      <c r="G1136" s="122">
        <v>45303</v>
      </c>
      <c r="H1136" s="102" t="s">
        <v>1192</v>
      </c>
      <c r="I1136" s="122">
        <v>45302</v>
      </c>
      <c r="J1136" s="103" t="s">
        <v>1403</v>
      </c>
      <c r="K1136" s="103" t="s">
        <v>1512</v>
      </c>
      <c r="L1136" s="103"/>
      <c r="M1136" s="105">
        <v>1297479.67</v>
      </c>
      <c r="N1136" s="147">
        <v>246521.1373</v>
      </c>
      <c r="O1136" s="147">
        <v>0</v>
      </c>
      <c r="P1136" s="148">
        <v>2.5000000000000001E-2</v>
      </c>
      <c r="Q1136" s="147">
        <v>32436.991750000001</v>
      </c>
      <c r="R1136" s="149">
        <v>1511563.8155499999</v>
      </c>
      <c r="S11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6" s="150">
        <f ca="1">+IF(PROVEEDORES[[#This Row],[FECHA DE PAGO]]=0,TODAY()-PROVEEDORES[[#This Row],[FECHA DE FACTURACIÓN]]-PROVEEDORES[[#This Row],[PLAZO Días]],0)</f>
        <v>0</v>
      </c>
      <c r="U1136" s="150">
        <f>+VLOOKUP(PROVEEDORES[[#This Row],[PROVEEDOR]],Terceros!$A:$E,4,FALSE)</f>
        <v>0.19</v>
      </c>
      <c r="V1136" s="150">
        <f>+YEAR(PROVEEDORES[[#This Row],[FECHA DE FACTURACIÓN]])</f>
        <v>2024</v>
      </c>
      <c r="W1136" s="150">
        <f>+MATCH(PROVEEDORES[[#This Row],[año facturado]],Retenciones!$1:$1,0)</f>
        <v>7</v>
      </c>
      <c r="X1136" s="151" t="e">
        <f>+VLOOKUP(PROVEEDORES[[#This Row],[ID RETENCION]],Retenciones!$A$1:$O$25,PROVEEDORES[[#This Row],[indicador de columna]],FALSE)</f>
        <v>#N/A</v>
      </c>
      <c r="Y1136" s="152" t="e">
        <f>+VLOOKUP(PROVEEDORES[[#This Row],[ID RETENCION]],Retenciones!$A$1:$O$25,2,FALSE)</f>
        <v>#N/A</v>
      </c>
      <c r="Z1136" s="153" t="b">
        <f>+OR(COUNTIF(PROVEEDORES[[#This Row],[PROVEEDOR]],"*"&amp;'Palabra que no opera y Listas d'!$A$2&amp;"*"))</f>
        <v>0</v>
      </c>
    </row>
    <row r="1137" spans="1:26" ht="27.75" customHeight="1" x14ac:dyDescent="0.3">
      <c r="A1137" s="144" t="str">
        <f>+IF(PROVEEDORES[[#This Row],[FECHA DE PAGO]]=PROVEEDORES[[#This Row],[FECHA DE FACTURACIÓN]],"DE CONTADO","CRÉDITO")</f>
        <v>DE CONTADO</v>
      </c>
      <c r="B1137" s="144" t="b">
        <f>+IF((PROVEEDORES[[#This Row],[FECHA DE PAGO]]-PROVEEDORES[[#This Row],[FECHA DE FACTURACIÓN]])&gt;PROVEEDORES[[#This Row],[PLAZO Días]],"PAGO VENCIDO")</f>
        <v>0</v>
      </c>
      <c r="C1137" s="144">
        <f>+VLOOKUP(PROVEEDORES[[#This Row],[PROVEEDOR]],TERCEROS_INFO[#All],2,FALSE)</f>
        <v>0</v>
      </c>
      <c r="D1137" s="145">
        <f>+SUMIFS(PROVEEDORES[Total],PROVEEDORES[PROVEEDOR],PROVEEDORES[[#This Row],[PROVEEDOR]],PROVEEDORES[FECHA DE PAGO],"")</f>
        <v>0</v>
      </c>
      <c r="E1137" s="146"/>
      <c r="F1137" s="144">
        <f>+VLOOKUP(PROVEEDORES[[#This Row],[PROVEEDOR]],
                       Terceros!$A:$G,
                       5,
                       FALSE)</f>
        <v>0</v>
      </c>
      <c r="G1137" s="122">
        <v>45303</v>
      </c>
      <c r="H1137" s="102" t="s">
        <v>402</v>
      </c>
      <c r="I1137" s="122">
        <v>45303</v>
      </c>
      <c r="J1137" s="103" t="s">
        <v>456</v>
      </c>
      <c r="K1137" s="103" t="s">
        <v>1512</v>
      </c>
      <c r="L1137" s="103"/>
      <c r="M1137" s="105">
        <v>129083</v>
      </c>
      <c r="N1137" s="147">
        <v>0</v>
      </c>
      <c r="O1137" s="147">
        <v>0</v>
      </c>
      <c r="P1137" s="148">
        <v>0</v>
      </c>
      <c r="Q1137" s="147">
        <v>0</v>
      </c>
      <c r="R1137" s="149">
        <v>129083</v>
      </c>
      <c r="S11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7" s="150">
        <f ca="1">+IF(PROVEEDORES[[#This Row],[FECHA DE PAGO]]=0,TODAY()-PROVEEDORES[[#This Row],[FECHA DE FACTURACIÓN]]-PROVEEDORES[[#This Row],[PLAZO Días]],0)</f>
        <v>0</v>
      </c>
      <c r="U1137" s="150">
        <f>+VLOOKUP(PROVEEDORES[[#This Row],[PROVEEDOR]],Terceros!$A:$E,4,FALSE)</f>
        <v>0</v>
      </c>
      <c r="V1137" s="150">
        <f>+YEAR(PROVEEDORES[[#This Row],[FECHA DE FACTURACIÓN]])</f>
        <v>2024</v>
      </c>
      <c r="W1137" s="150">
        <f>+MATCH(PROVEEDORES[[#This Row],[año facturado]],Retenciones!$1:$1,0)</f>
        <v>7</v>
      </c>
      <c r="X1137" s="151">
        <f>+VLOOKUP(PROVEEDORES[[#This Row],[ID RETENCION]],Retenciones!$A$1:$O$25,PROVEEDORES[[#This Row],[indicador de columna]],FALSE)</f>
        <v>0</v>
      </c>
      <c r="Y1137" s="152">
        <f>+VLOOKUP(PROVEEDORES[[#This Row],[ID RETENCION]],Retenciones!$A$1:$O$25,2,FALSE)</f>
        <v>0</v>
      </c>
      <c r="Z1137" s="153" t="b">
        <f>+OR(COUNTIF(PROVEEDORES[[#This Row],[PROVEEDOR]],"*"&amp;'Palabra que no opera y Listas d'!$A$2&amp;"*"))</f>
        <v>1</v>
      </c>
    </row>
    <row r="1138" spans="1:26" ht="27.75" customHeight="1" x14ac:dyDescent="0.3">
      <c r="A1138" s="144" t="str">
        <f>+IF(PROVEEDORES[[#This Row],[FECHA DE PAGO]]=PROVEEDORES[[#This Row],[FECHA DE FACTURACIÓN]],"DE CONTADO","CRÉDITO")</f>
        <v>CRÉDITO</v>
      </c>
      <c r="B1138" s="144" t="str">
        <f>+IF((PROVEEDORES[[#This Row],[FECHA DE PAGO]]-PROVEEDORES[[#This Row],[FECHA DE FACTURACIÓN]])&gt;PROVEEDORES[[#This Row],[PLAZO Días]],"PAGO VENCIDO")</f>
        <v>PAGO VENCIDO</v>
      </c>
      <c r="C1138" s="144">
        <f>+VLOOKUP(PROVEEDORES[[#This Row],[PROVEEDOR]],TERCEROS_INFO[#All],2,FALSE)</f>
        <v>0</v>
      </c>
      <c r="D1138" s="145">
        <f>+SUMIFS(PROVEEDORES[Total],PROVEEDORES[PROVEEDOR],PROVEEDORES[[#This Row],[PROVEEDOR]],PROVEEDORES[FECHA DE PAGO],"")</f>
        <v>0</v>
      </c>
      <c r="E1138" s="146"/>
      <c r="F1138" s="144">
        <f>+VLOOKUP(PROVEEDORES[[#This Row],[PROVEEDOR]],
                       Terceros!$A:$G,
                       5,
                       FALSE)</f>
        <v>0</v>
      </c>
      <c r="G1138" s="122">
        <v>45304</v>
      </c>
      <c r="H1138" s="102" t="s">
        <v>481</v>
      </c>
      <c r="I1138" s="122">
        <v>45289</v>
      </c>
      <c r="J1138" s="103" t="s">
        <v>1381</v>
      </c>
      <c r="K1138" s="103" t="s">
        <v>1512</v>
      </c>
      <c r="L1138" s="103"/>
      <c r="M1138" s="105">
        <v>759000</v>
      </c>
      <c r="N1138" s="147">
        <v>0</v>
      </c>
      <c r="O1138" s="147">
        <v>0</v>
      </c>
      <c r="P1138" s="148">
        <v>0</v>
      </c>
      <c r="Q1138" s="147">
        <v>0</v>
      </c>
      <c r="R1138" s="149">
        <v>759000</v>
      </c>
      <c r="S11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8" s="150">
        <f ca="1">+IF(PROVEEDORES[[#This Row],[FECHA DE PAGO]]=0,TODAY()-PROVEEDORES[[#This Row],[FECHA DE FACTURACIÓN]]-PROVEEDORES[[#This Row],[PLAZO Días]],0)</f>
        <v>0</v>
      </c>
      <c r="U1138" s="150">
        <f>+VLOOKUP(PROVEEDORES[[#This Row],[PROVEEDOR]],Terceros!$A:$E,4,FALSE)</f>
        <v>0</v>
      </c>
      <c r="V1138" s="150">
        <f>+YEAR(PROVEEDORES[[#This Row],[FECHA DE FACTURACIÓN]])</f>
        <v>2023</v>
      </c>
      <c r="W1138" s="150">
        <f>+MATCH(PROVEEDORES[[#This Row],[año facturado]],Retenciones!$1:$1,0)</f>
        <v>6</v>
      </c>
      <c r="X1138" s="151">
        <f>+VLOOKUP(PROVEEDORES[[#This Row],[ID RETENCION]],Retenciones!$A$1:$O$25,PROVEEDORES[[#This Row],[indicador de columna]],FALSE)</f>
        <v>0</v>
      </c>
      <c r="Y1138" s="152">
        <f>+VLOOKUP(PROVEEDORES[[#This Row],[ID RETENCION]],Retenciones!$A$1:$O$25,2,FALSE)</f>
        <v>0</v>
      </c>
      <c r="Z1138" s="153" t="b">
        <f>+OR(COUNTIF(PROVEEDORES[[#This Row],[PROVEEDOR]],"*"&amp;'Palabra que no opera y Listas d'!$A$2&amp;"*"))</f>
        <v>0</v>
      </c>
    </row>
    <row r="1139" spans="1:26" ht="27.75" customHeight="1" x14ac:dyDescent="0.3">
      <c r="A1139" s="144" t="str">
        <f>+IF(PROVEEDORES[[#This Row],[FECHA DE PAGO]]=PROVEEDORES[[#This Row],[FECHA DE FACTURACIÓN]],"DE CONTADO","CRÉDITO")</f>
        <v>DE CONTADO</v>
      </c>
      <c r="B1139" s="144" t="b">
        <f>+IF((PROVEEDORES[[#This Row],[FECHA DE PAGO]]-PROVEEDORES[[#This Row],[FECHA DE FACTURACIÓN]])&gt;PROVEEDORES[[#This Row],[PLAZO Días]],"PAGO VENCIDO")</f>
        <v>0</v>
      </c>
      <c r="C1139" s="144">
        <f>+VLOOKUP(PROVEEDORES[[#This Row],[PROVEEDOR]],TERCEROS_INFO[#All],2,FALSE)</f>
        <v>0</v>
      </c>
      <c r="D1139" s="145">
        <f>+SUMIFS(PROVEEDORES[Total],PROVEEDORES[PROVEEDOR],PROVEEDORES[[#This Row],[PROVEEDOR]],PROVEEDORES[FECHA DE PAGO],"")</f>
        <v>550000</v>
      </c>
      <c r="E1139" s="146"/>
      <c r="F1139" s="144">
        <f>+VLOOKUP(PROVEEDORES[[#This Row],[PROVEEDOR]],
                       Terceros!$A:$G,
                       5,
                       FALSE)</f>
        <v>0</v>
      </c>
      <c r="G1139" s="122">
        <v>45304</v>
      </c>
      <c r="H1139" s="102" t="s">
        <v>1784</v>
      </c>
      <c r="I1139" s="122">
        <v>45304</v>
      </c>
      <c r="J1139" s="103" t="s">
        <v>1424</v>
      </c>
      <c r="K1139" s="103" t="s">
        <v>1512</v>
      </c>
      <c r="L1139" s="103"/>
      <c r="M1139" s="105">
        <v>720000</v>
      </c>
      <c r="N1139" s="147">
        <v>0</v>
      </c>
      <c r="O1139" s="147">
        <v>0</v>
      </c>
      <c r="P1139" s="148">
        <v>0</v>
      </c>
      <c r="Q1139" s="147">
        <v>0</v>
      </c>
      <c r="R1139" s="149">
        <v>720000</v>
      </c>
      <c r="S11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9" s="150">
        <f ca="1">+IF(PROVEEDORES[[#This Row],[FECHA DE PAGO]]=0,TODAY()-PROVEEDORES[[#This Row],[FECHA DE FACTURACIÓN]]-PROVEEDORES[[#This Row],[PLAZO Días]],0)</f>
        <v>0</v>
      </c>
      <c r="U1139" s="150">
        <f>+VLOOKUP(PROVEEDORES[[#This Row],[PROVEEDOR]],Terceros!$A:$E,4,FALSE)</f>
        <v>0</v>
      </c>
      <c r="V1139" s="150">
        <f>+YEAR(PROVEEDORES[[#This Row],[FECHA DE FACTURACIÓN]])</f>
        <v>2024</v>
      </c>
      <c r="W1139" s="150">
        <f>+MATCH(PROVEEDORES[[#This Row],[año facturado]],Retenciones!$1:$1,0)</f>
        <v>7</v>
      </c>
      <c r="X1139" s="151">
        <f>+VLOOKUP(PROVEEDORES[[#This Row],[ID RETENCION]],Retenciones!$A$1:$O$25,PROVEEDORES[[#This Row],[indicador de columna]],FALSE)</f>
        <v>0</v>
      </c>
      <c r="Y1139" s="152">
        <f>+VLOOKUP(PROVEEDORES[[#This Row],[ID RETENCION]],Retenciones!$A$1:$O$25,2,FALSE)</f>
        <v>0</v>
      </c>
      <c r="Z1139" s="153" t="b">
        <f>+OR(COUNTIF(PROVEEDORES[[#This Row],[PROVEEDOR]],"*"&amp;'Palabra que no opera y Listas d'!$A$2&amp;"*"))</f>
        <v>0</v>
      </c>
    </row>
    <row r="1140" spans="1:26" ht="27.75" customHeight="1" x14ac:dyDescent="0.3">
      <c r="A1140" s="144" t="str">
        <f>+IF(PROVEEDORES[[#This Row],[FECHA DE PAGO]]=PROVEEDORES[[#This Row],[FECHA DE FACTURACIÓN]],"DE CONTADO","CRÉDITO")</f>
        <v>DE CONTADO</v>
      </c>
      <c r="B1140" s="144" t="b">
        <f>+IF((PROVEEDORES[[#This Row],[FECHA DE PAGO]]-PROVEEDORES[[#This Row],[FECHA DE FACTURACIÓN]])&gt;PROVEEDORES[[#This Row],[PLAZO Días]],"PAGO VENCIDO")</f>
        <v>0</v>
      </c>
      <c r="C1140" s="144">
        <f>+VLOOKUP(PROVEEDORES[[#This Row],[PROVEEDOR]],TERCEROS_INFO[#All],2,FALSE)</f>
        <v>0</v>
      </c>
      <c r="D1140" s="145">
        <f>+SUMIFS(PROVEEDORES[Total],PROVEEDORES[PROVEEDOR],PROVEEDORES[[#This Row],[PROVEEDOR]],PROVEEDORES[FECHA DE PAGO],"")</f>
        <v>0</v>
      </c>
      <c r="E1140" s="146"/>
      <c r="F1140" s="144">
        <f>+VLOOKUP(PROVEEDORES[[#This Row],[PROVEEDOR]],
                       Terceros!$A:$G,
                       5,
                       FALSE)</f>
        <v>0</v>
      </c>
      <c r="G1140" s="122">
        <v>45306</v>
      </c>
      <c r="H1140" s="102" t="s">
        <v>537</v>
      </c>
      <c r="I1140" s="122">
        <v>45306</v>
      </c>
      <c r="J1140" s="103" t="s">
        <v>1426</v>
      </c>
      <c r="K1140" s="103" t="s">
        <v>1512</v>
      </c>
      <c r="L1140" s="103"/>
      <c r="M1140" s="105">
        <v>462000</v>
      </c>
      <c r="N1140" s="147">
        <v>0</v>
      </c>
      <c r="O1140" s="147">
        <v>0</v>
      </c>
      <c r="P1140" s="148">
        <v>0</v>
      </c>
      <c r="Q1140" s="147">
        <v>0</v>
      </c>
      <c r="R1140" s="149">
        <v>462000</v>
      </c>
      <c r="S11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0" s="150">
        <f ca="1">+IF(PROVEEDORES[[#This Row],[FECHA DE PAGO]]=0,TODAY()-PROVEEDORES[[#This Row],[FECHA DE FACTURACIÓN]]-PROVEEDORES[[#This Row],[PLAZO Días]],0)</f>
        <v>0</v>
      </c>
      <c r="U1140" s="150">
        <f>+VLOOKUP(PROVEEDORES[[#This Row],[PROVEEDOR]],Terceros!$A:$E,4,FALSE)</f>
        <v>0</v>
      </c>
      <c r="V1140" s="150">
        <f>+YEAR(PROVEEDORES[[#This Row],[FECHA DE FACTURACIÓN]])</f>
        <v>2024</v>
      </c>
      <c r="W1140" s="150">
        <f>+MATCH(PROVEEDORES[[#This Row],[año facturado]],Retenciones!$1:$1,0)</f>
        <v>7</v>
      </c>
      <c r="X1140" s="151">
        <f>+VLOOKUP(PROVEEDORES[[#This Row],[ID RETENCION]],Retenciones!$A$1:$O$25,PROVEEDORES[[#This Row],[indicador de columna]],FALSE)</f>
        <v>0</v>
      </c>
      <c r="Y1140" s="152">
        <f>+VLOOKUP(PROVEEDORES[[#This Row],[ID RETENCION]],Retenciones!$A$1:$O$25,2,FALSE)</f>
        <v>0</v>
      </c>
      <c r="Z1140" s="153" t="b">
        <f>+OR(COUNTIF(PROVEEDORES[[#This Row],[PROVEEDOR]],"*"&amp;'Palabra que no opera y Listas d'!$A$2&amp;"*"))</f>
        <v>0</v>
      </c>
    </row>
    <row r="1141" spans="1:26" ht="27.75" customHeight="1" x14ac:dyDescent="0.3">
      <c r="A1141" s="144" t="str">
        <f>+IF(PROVEEDORES[[#This Row],[FECHA DE PAGO]]=PROVEEDORES[[#This Row],[FECHA DE FACTURACIÓN]],"DE CONTADO","CRÉDITO")</f>
        <v>DE CONTADO</v>
      </c>
      <c r="B1141" s="144" t="b">
        <f>+IF((PROVEEDORES[[#This Row],[FECHA DE PAGO]]-PROVEEDORES[[#This Row],[FECHA DE FACTURACIÓN]])&gt;PROVEEDORES[[#This Row],[PLAZO Días]],"PAGO VENCIDO")</f>
        <v>0</v>
      </c>
      <c r="C1141" s="144">
        <f>+VLOOKUP(PROVEEDORES[[#This Row],[PROVEEDOR]],TERCEROS_INFO[#All],2,FALSE)</f>
        <v>0</v>
      </c>
      <c r="D1141" s="145">
        <f>+SUMIFS(PROVEEDORES[Total],PROVEEDORES[PROVEEDOR],PROVEEDORES[[#This Row],[PROVEEDOR]],PROVEEDORES[FECHA DE PAGO],"")</f>
        <v>0</v>
      </c>
      <c r="E1141" s="146"/>
      <c r="F1141" s="144">
        <f>+VLOOKUP(PROVEEDORES[[#This Row],[PROVEEDOR]],
                       Terceros!$A:$G,
                       5,
                       FALSE)</f>
        <v>0</v>
      </c>
      <c r="G1141" s="122">
        <v>45306</v>
      </c>
      <c r="H1141" s="102" t="s">
        <v>1801</v>
      </c>
      <c r="I1141" s="122">
        <v>45306</v>
      </c>
      <c r="J1141" s="103"/>
      <c r="K1141" s="103" t="s">
        <v>1512</v>
      </c>
      <c r="L1141" s="103"/>
      <c r="M1141" s="105">
        <v>1000000</v>
      </c>
      <c r="N1141" s="147">
        <v>0</v>
      </c>
      <c r="O1141" s="147">
        <v>0</v>
      </c>
      <c r="P1141" s="148">
        <v>0</v>
      </c>
      <c r="Q1141" s="147">
        <v>0</v>
      </c>
      <c r="R1141" s="149">
        <v>1000000</v>
      </c>
      <c r="S11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1" s="150">
        <f ca="1">+IF(PROVEEDORES[[#This Row],[FECHA DE PAGO]]=0,TODAY()-PROVEEDORES[[#This Row],[FECHA DE FACTURACIÓN]]-PROVEEDORES[[#This Row],[PLAZO Días]],0)</f>
        <v>0</v>
      </c>
      <c r="U1141" s="150">
        <f>+VLOOKUP(PROVEEDORES[[#This Row],[PROVEEDOR]],Terceros!$A:$E,4,FALSE)</f>
        <v>0</v>
      </c>
      <c r="V1141" s="150">
        <f>+YEAR(PROVEEDORES[[#This Row],[FECHA DE FACTURACIÓN]])</f>
        <v>2024</v>
      </c>
      <c r="W1141" s="150">
        <f>+MATCH(PROVEEDORES[[#This Row],[año facturado]],Retenciones!$1:$1,0)</f>
        <v>7</v>
      </c>
      <c r="X1141" s="151">
        <f>+VLOOKUP(PROVEEDORES[[#This Row],[ID RETENCION]],Retenciones!$A$1:$O$25,PROVEEDORES[[#This Row],[indicador de columna]],FALSE)</f>
        <v>0</v>
      </c>
      <c r="Y1141" s="152">
        <f>+VLOOKUP(PROVEEDORES[[#This Row],[ID RETENCION]],Retenciones!$A$1:$O$25,2,FALSE)</f>
        <v>0</v>
      </c>
      <c r="Z1141" s="153" t="b">
        <f>+OR(COUNTIF(PROVEEDORES[[#This Row],[PROVEEDOR]],"*"&amp;'Palabra que no opera y Listas d'!$A$2&amp;"*"))</f>
        <v>0</v>
      </c>
    </row>
    <row r="1142" spans="1:26" ht="27.75" customHeight="1" x14ac:dyDescent="0.3">
      <c r="A1142" s="144" t="str">
        <f>+IF(PROVEEDORES[[#This Row],[FECHA DE PAGO]]=PROVEEDORES[[#This Row],[FECHA DE FACTURACIÓN]],"DE CONTADO","CRÉDITO")</f>
        <v>CRÉDITO</v>
      </c>
      <c r="B1142" s="144" t="b">
        <f>+IF((PROVEEDORES[[#This Row],[FECHA DE PAGO]]-PROVEEDORES[[#This Row],[FECHA DE FACTURACIÓN]])&gt;PROVEEDORES[[#This Row],[PLAZO Días]],"PAGO VENCIDO")</f>
        <v>0</v>
      </c>
      <c r="C1142" s="144">
        <f>+VLOOKUP(PROVEEDORES[[#This Row],[PROVEEDOR]],TERCEROS_INFO[#All],2,FALSE)</f>
        <v>0</v>
      </c>
      <c r="D1142" s="145">
        <f>+SUMIFS(PROVEEDORES[Total],PROVEEDORES[PROVEEDOR],PROVEEDORES[[#This Row],[PROVEEDOR]],PROVEEDORES[FECHA DE PAGO],"")</f>
        <v>0</v>
      </c>
      <c r="E1142" s="146"/>
      <c r="F1142" s="144">
        <f>+VLOOKUP(PROVEEDORES[[#This Row],[PROVEEDOR]],
                       Terceros!$A:$G,
                       5,
                       FALSE)</f>
        <v>0</v>
      </c>
      <c r="G1142" s="122">
        <v>45306</v>
      </c>
      <c r="H1142" s="102" t="s">
        <v>496</v>
      </c>
      <c r="I1142" s="122">
        <v>45307</v>
      </c>
      <c r="J1142" s="103" t="s">
        <v>1420</v>
      </c>
      <c r="K1142" s="103" t="s">
        <v>1512</v>
      </c>
      <c r="L1142" s="103"/>
      <c r="M1142" s="105">
        <v>2717000</v>
      </c>
      <c r="N1142" s="147">
        <v>0</v>
      </c>
      <c r="O1142" s="147">
        <v>0</v>
      </c>
      <c r="P1142" s="148">
        <v>0</v>
      </c>
      <c r="Q1142" s="147">
        <v>0</v>
      </c>
      <c r="R1142" s="149">
        <v>2717000</v>
      </c>
      <c r="S11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2" s="150">
        <f ca="1">+IF(PROVEEDORES[[#This Row],[FECHA DE PAGO]]=0,TODAY()-PROVEEDORES[[#This Row],[FECHA DE FACTURACIÓN]]-PROVEEDORES[[#This Row],[PLAZO Días]],0)</f>
        <v>0</v>
      </c>
      <c r="U1142" s="150">
        <f>+VLOOKUP(PROVEEDORES[[#This Row],[PROVEEDOR]],Terceros!$A:$E,4,FALSE)</f>
        <v>0</v>
      </c>
      <c r="V1142" s="150">
        <f>+YEAR(PROVEEDORES[[#This Row],[FECHA DE FACTURACIÓN]])</f>
        <v>2024</v>
      </c>
      <c r="W1142" s="150">
        <f>+MATCH(PROVEEDORES[[#This Row],[año facturado]],Retenciones!$1:$1,0)</f>
        <v>7</v>
      </c>
      <c r="X1142" s="151">
        <f>+VLOOKUP(PROVEEDORES[[#This Row],[ID RETENCION]],Retenciones!$A$1:$O$25,PROVEEDORES[[#This Row],[indicador de columna]],FALSE)</f>
        <v>0</v>
      </c>
      <c r="Y1142" s="152">
        <f>+VLOOKUP(PROVEEDORES[[#This Row],[ID RETENCION]],Retenciones!$A$1:$O$25,2,FALSE)</f>
        <v>0</v>
      </c>
      <c r="Z1142" s="153" t="b">
        <f>+OR(COUNTIF(PROVEEDORES[[#This Row],[PROVEEDOR]],"*"&amp;'Palabra que no opera y Listas d'!$A$2&amp;"*"))</f>
        <v>0</v>
      </c>
    </row>
    <row r="1143" spans="1:26" ht="27.75" customHeight="1" x14ac:dyDescent="0.3">
      <c r="A1143" s="144" t="str">
        <f>+IF(PROVEEDORES[[#This Row],[FECHA DE PAGO]]=PROVEEDORES[[#This Row],[FECHA DE FACTURACIÓN]],"DE CONTADO","CRÉDITO")</f>
        <v>CRÉDITO</v>
      </c>
      <c r="B1143" s="144" t="str">
        <f>+IF((PROVEEDORES[[#This Row],[FECHA DE PAGO]]-PROVEEDORES[[#This Row],[FECHA DE FACTURACIÓN]])&gt;PROVEEDORES[[#This Row],[PLAZO Días]],"PAGO VENCIDO")</f>
        <v>PAGO VENCIDO</v>
      </c>
      <c r="C1143" s="144">
        <f>+VLOOKUP(PROVEEDORES[[#This Row],[PROVEEDOR]],TERCEROS_INFO[#All],2,FALSE)</f>
        <v>0</v>
      </c>
      <c r="D1143" s="145" t="e">
        <f>+SUMIFS(PROVEEDORES[Total],PROVEEDORES[PROVEEDOR],PROVEEDORES[[#This Row],[PROVEEDOR]],PROVEEDORES[FECHA DE PAGO],"")</f>
        <v>#N/A</v>
      </c>
      <c r="E1143" s="146"/>
      <c r="F1143" s="144">
        <f>+VLOOKUP(PROVEEDORES[[#This Row],[PROVEEDOR]],
                       Terceros!$A:$G,
                       5,
                       FALSE)</f>
        <v>0</v>
      </c>
      <c r="G1143" s="122">
        <v>45307</v>
      </c>
      <c r="H1143" s="102" t="s">
        <v>16</v>
      </c>
      <c r="I1143" s="122">
        <v>45231</v>
      </c>
      <c r="J1143" s="103" t="s">
        <v>1409</v>
      </c>
      <c r="K1143" s="103" t="s">
        <v>1512</v>
      </c>
      <c r="L1143" s="103"/>
      <c r="M1143" s="105">
        <v>138397.19</v>
      </c>
      <c r="N1143" s="147">
        <v>26295.466100000001</v>
      </c>
      <c r="O1143" s="147">
        <v>0</v>
      </c>
      <c r="P1143" s="148">
        <v>0</v>
      </c>
      <c r="Q1143" s="147">
        <v>0</v>
      </c>
      <c r="R1143" s="149">
        <v>164692.65609999999</v>
      </c>
      <c r="S11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3" s="150">
        <f ca="1">+IF(PROVEEDORES[[#This Row],[FECHA DE PAGO]]=0,TODAY()-PROVEEDORES[[#This Row],[FECHA DE FACTURACIÓN]]-PROVEEDORES[[#This Row],[PLAZO Días]],0)</f>
        <v>0</v>
      </c>
      <c r="U1143" s="150">
        <f>+VLOOKUP(PROVEEDORES[[#This Row],[PROVEEDOR]],Terceros!$A:$E,4,FALSE)</f>
        <v>0.19</v>
      </c>
      <c r="V1143" s="150">
        <f>+YEAR(PROVEEDORES[[#This Row],[FECHA DE FACTURACIÓN]])</f>
        <v>2023</v>
      </c>
      <c r="W1143" s="150">
        <f>+MATCH(PROVEEDORES[[#This Row],[año facturado]],Retenciones!$1:$1,0)</f>
        <v>6</v>
      </c>
      <c r="X1143" s="151" t="e">
        <f>+VLOOKUP(PROVEEDORES[[#This Row],[ID RETENCION]],Retenciones!$A$1:$O$25,PROVEEDORES[[#This Row],[indicador de columna]],FALSE)</f>
        <v>#N/A</v>
      </c>
      <c r="Y1143" s="152" t="e">
        <f>+VLOOKUP(PROVEEDORES[[#This Row],[ID RETENCION]],Retenciones!$A$1:$O$25,2,FALSE)</f>
        <v>#N/A</v>
      </c>
      <c r="Z1143" s="153" t="b">
        <f>+OR(COUNTIF(PROVEEDORES[[#This Row],[PROVEEDOR]],"*"&amp;'Palabra que no opera y Listas d'!$A$2&amp;"*"))</f>
        <v>0</v>
      </c>
    </row>
    <row r="1144" spans="1:26" ht="27.75" customHeight="1" x14ac:dyDescent="0.3">
      <c r="A1144" s="144" t="str">
        <f>+IF(PROVEEDORES[[#This Row],[FECHA DE PAGO]]=PROVEEDORES[[#This Row],[FECHA DE FACTURACIÓN]],"DE CONTADO","CRÉDITO")</f>
        <v>CRÉDITO</v>
      </c>
      <c r="B1144" s="144" t="str">
        <f>+IF((PROVEEDORES[[#This Row],[FECHA DE PAGO]]-PROVEEDORES[[#This Row],[FECHA DE FACTURACIÓN]])&gt;PROVEEDORES[[#This Row],[PLAZO Días]],"PAGO VENCIDO")</f>
        <v>PAGO VENCIDO</v>
      </c>
      <c r="C1144" s="144">
        <f>+VLOOKUP(PROVEEDORES[[#This Row],[PROVEEDOR]],TERCEROS_INFO[#All],2,FALSE)</f>
        <v>0</v>
      </c>
      <c r="D1144" s="145" t="e">
        <f>+SUMIFS(PROVEEDORES[Total],PROVEEDORES[PROVEEDOR],PROVEEDORES[[#This Row],[PROVEEDOR]],PROVEEDORES[FECHA DE PAGO],"")</f>
        <v>#N/A</v>
      </c>
      <c r="E1144" s="146"/>
      <c r="F1144" s="144">
        <f>+VLOOKUP(PROVEEDORES[[#This Row],[PROVEEDOR]],
                       Terceros!$A:$G,
                       5,
                       FALSE)</f>
        <v>0</v>
      </c>
      <c r="G1144" s="122">
        <v>45307</v>
      </c>
      <c r="H1144" s="102" t="s">
        <v>16</v>
      </c>
      <c r="I1144" s="122">
        <v>45279</v>
      </c>
      <c r="J1144" s="103" t="s">
        <v>1349</v>
      </c>
      <c r="K1144" s="103" t="s">
        <v>1512</v>
      </c>
      <c r="L1144" s="103"/>
      <c r="M1144" s="105">
        <v>1106631</v>
      </c>
      <c r="N1144" s="147">
        <v>210259.89</v>
      </c>
      <c r="O1144" s="147">
        <v>0</v>
      </c>
      <c r="P1144" s="148">
        <v>0</v>
      </c>
      <c r="Q1144" s="147">
        <v>0</v>
      </c>
      <c r="R1144" s="149">
        <v>1316890.8900000001</v>
      </c>
      <c r="S11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4" s="150">
        <f ca="1">+IF(PROVEEDORES[[#This Row],[FECHA DE PAGO]]=0,TODAY()-PROVEEDORES[[#This Row],[FECHA DE FACTURACIÓN]]-PROVEEDORES[[#This Row],[PLAZO Días]],0)</f>
        <v>0</v>
      </c>
      <c r="U1144" s="150">
        <f>+VLOOKUP(PROVEEDORES[[#This Row],[PROVEEDOR]],Terceros!$A:$E,4,FALSE)</f>
        <v>0.19</v>
      </c>
      <c r="V1144" s="150">
        <f>+YEAR(PROVEEDORES[[#This Row],[FECHA DE FACTURACIÓN]])</f>
        <v>2023</v>
      </c>
      <c r="W1144" s="150">
        <f>+MATCH(PROVEEDORES[[#This Row],[año facturado]],Retenciones!$1:$1,0)</f>
        <v>6</v>
      </c>
      <c r="X1144" s="151" t="e">
        <f>+VLOOKUP(PROVEEDORES[[#This Row],[ID RETENCION]],Retenciones!$A$1:$O$25,PROVEEDORES[[#This Row],[indicador de columna]],FALSE)</f>
        <v>#N/A</v>
      </c>
      <c r="Y1144" s="152" t="e">
        <f>+VLOOKUP(PROVEEDORES[[#This Row],[ID RETENCION]],Retenciones!$A$1:$O$25,2,FALSE)</f>
        <v>#N/A</v>
      </c>
      <c r="Z1144" s="153" t="b">
        <f>+OR(COUNTIF(PROVEEDORES[[#This Row],[PROVEEDOR]],"*"&amp;'Palabra que no opera y Listas d'!$A$2&amp;"*"))</f>
        <v>0</v>
      </c>
    </row>
    <row r="1145" spans="1:26" ht="27.75" customHeight="1" x14ac:dyDescent="0.3">
      <c r="A1145" s="144" t="str">
        <f>+IF(PROVEEDORES[[#This Row],[FECHA DE PAGO]]=PROVEEDORES[[#This Row],[FECHA DE FACTURACIÓN]],"DE CONTADO","CRÉDITO")</f>
        <v>CRÉDITO</v>
      </c>
      <c r="B1145" s="144" t="str">
        <f>+IF((PROVEEDORES[[#This Row],[FECHA DE PAGO]]-PROVEEDORES[[#This Row],[FECHA DE FACTURACIÓN]])&gt;PROVEEDORES[[#This Row],[PLAZO Días]],"PAGO VENCIDO")</f>
        <v>PAGO VENCIDO</v>
      </c>
      <c r="C1145" s="144">
        <f>+VLOOKUP(PROVEEDORES[[#This Row],[PROVEEDOR]],TERCEROS_INFO[#All],2,FALSE)</f>
        <v>0</v>
      </c>
      <c r="D1145" s="145">
        <f>+SUMIFS(PROVEEDORES[Total],PROVEEDORES[PROVEEDOR],PROVEEDORES[[#This Row],[PROVEEDOR]],PROVEEDORES[FECHA DE PAGO],"")</f>
        <v>181631</v>
      </c>
      <c r="E1145" s="146"/>
      <c r="F1145" s="144">
        <f>+VLOOKUP(PROVEEDORES[[#This Row],[PROVEEDOR]],
                       Terceros!$A:$G,
                       5,
                       FALSE)</f>
        <v>0</v>
      </c>
      <c r="G1145" s="122">
        <v>45307</v>
      </c>
      <c r="H1145" s="102" t="s">
        <v>383</v>
      </c>
      <c r="I1145" s="122">
        <v>45292</v>
      </c>
      <c r="J1145" s="103" t="s">
        <v>1405</v>
      </c>
      <c r="K1145" s="103" t="s">
        <v>1512</v>
      </c>
      <c r="L1145" s="103"/>
      <c r="M1145" s="105">
        <v>992451</v>
      </c>
      <c r="N1145" s="147">
        <v>188565.69</v>
      </c>
      <c r="O1145" s="147">
        <v>0</v>
      </c>
      <c r="P1145" s="148">
        <v>0.04</v>
      </c>
      <c r="Q1145" s="147">
        <v>39698.04</v>
      </c>
      <c r="R1145" s="149">
        <v>1141318.6499999999</v>
      </c>
      <c r="S11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5" s="150">
        <f ca="1">+IF(PROVEEDORES[[#This Row],[FECHA DE PAGO]]=0,TODAY()-PROVEEDORES[[#This Row],[FECHA DE FACTURACIÓN]]-PROVEEDORES[[#This Row],[PLAZO Días]],0)</f>
        <v>0</v>
      </c>
      <c r="U1145" s="150">
        <f>+VLOOKUP(PROVEEDORES[[#This Row],[PROVEEDOR]],Terceros!$A:$E,4,FALSE)</f>
        <v>0.19</v>
      </c>
      <c r="V1145" s="150">
        <f>+YEAR(PROVEEDORES[[#This Row],[FECHA DE FACTURACIÓN]])</f>
        <v>2024</v>
      </c>
      <c r="W1145" s="150">
        <f>+MATCH(PROVEEDORES[[#This Row],[año facturado]],Retenciones!$1:$1,0)</f>
        <v>7</v>
      </c>
      <c r="X1145" s="151" t="e">
        <f>+VLOOKUP(PROVEEDORES[[#This Row],[ID RETENCION]],Retenciones!$A$1:$O$25,PROVEEDORES[[#This Row],[indicador de columna]],FALSE)</f>
        <v>#N/A</v>
      </c>
      <c r="Y1145" s="152" t="e">
        <f>+VLOOKUP(PROVEEDORES[[#This Row],[ID RETENCION]],Retenciones!$A$1:$O$25,2,FALSE)</f>
        <v>#N/A</v>
      </c>
      <c r="Z1145" s="153" t="b">
        <f>+OR(COUNTIF(PROVEEDORES[[#This Row],[PROVEEDOR]],"*"&amp;'Palabra que no opera y Listas d'!$A$2&amp;"*"))</f>
        <v>1</v>
      </c>
    </row>
    <row r="1146" spans="1:26" ht="27.75" customHeight="1" x14ac:dyDescent="0.3">
      <c r="A1146" s="144" t="str">
        <f>+IF(PROVEEDORES[[#This Row],[FECHA DE PAGO]]=PROVEEDORES[[#This Row],[FECHA DE FACTURACIÓN]],"DE CONTADO","CRÉDITO")</f>
        <v>CRÉDITO</v>
      </c>
      <c r="B1146" s="144" t="str">
        <f>+IF((PROVEEDORES[[#This Row],[FECHA DE PAGO]]-PROVEEDORES[[#This Row],[FECHA DE FACTURACIÓN]])&gt;PROVEEDORES[[#This Row],[PLAZO Días]],"PAGO VENCIDO")</f>
        <v>PAGO VENCIDO</v>
      </c>
      <c r="C1146" s="144">
        <f>+VLOOKUP(PROVEEDORES[[#This Row],[PROVEEDOR]],TERCEROS_INFO[#All],2,FALSE)</f>
        <v>0</v>
      </c>
      <c r="D1146" s="145">
        <f>+SUMIFS(PROVEEDORES[Total],PROVEEDORES[PROVEEDOR],PROVEEDORES[[#This Row],[PROVEEDOR]],PROVEEDORES[FECHA DE PAGO],"")</f>
        <v>0</v>
      </c>
      <c r="E1146" s="146"/>
      <c r="F1146" s="144" t="str">
        <f>+VLOOKUP(PROVEEDORES[[#This Row],[PROVEEDOR]],
                       Terceros!$A:$G,
                       5,
                       FALSE)</f>
        <v>3,5% sin base</v>
      </c>
      <c r="G1146" s="122">
        <v>45307</v>
      </c>
      <c r="H1146" s="102" t="s">
        <v>409</v>
      </c>
      <c r="I1146" s="122">
        <v>45292</v>
      </c>
      <c r="J1146" s="103" t="s">
        <v>1408</v>
      </c>
      <c r="K1146" s="103" t="s">
        <v>1512</v>
      </c>
      <c r="L1146" s="103"/>
      <c r="M1146" s="105">
        <v>246493</v>
      </c>
      <c r="N1146" s="147">
        <v>46833.67</v>
      </c>
      <c r="O1146" s="147">
        <v>0</v>
      </c>
      <c r="P1146" s="148">
        <v>3.5000000000000003E-2</v>
      </c>
      <c r="Q1146" s="147">
        <v>8627.255000000001</v>
      </c>
      <c r="R1146" s="149">
        <v>284699.41499999998</v>
      </c>
      <c r="S11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6" s="150">
        <f ca="1">+IF(PROVEEDORES[[#This Row],[FECHA DE PAGO]]=0,TODAY()-PROVEEDORES[[#This Row],[FECHA DE FACTURACIÓN]]-PROVEEDORES[[#This Row],[PLAZO Días]],0)</f>
        <v>0</v>
      </c>
      <c r="U1146" s="150">
        <f>+VLOOKUP(PROVEEDORES[[#This Row],[PROVEEDOR]],Terceros!$A:$E,4,FALSE)</f>
        <v>0.19</v>
      </c>
      <c r="V1146" s="150">
        <f>+YEAR(PROVEEDORES[[#This Row],[FECHA DE FACTURACIÓN]])</f>
        <v>2024</v>
      </c>
      <c r="W1146" s="150">
        <f>+MATCH(PROVEEDORES[[#This Row],[año facturado]],Retenciones!$1:$1,0)</f>
        <v>7</v>
      </c>
      <c r="X1146" s="151" t="e">
        <f>+VLOOKUP(PROVEEDORES[[#This Row],[ID RETENCION]],Retenciones!$A$1:$O$25,PROVEEDORES[[#This Row],[indicador de columna]],FALSE)</f>
        <v>#N/A</v>
      </c>
      <c r="Y1146" s="152" t="e">
        <f>+VLOOKUP(PROVEEDORES[[#This Row],[ID RETENCION]],Retenciones!$A$1:$O$25,2,FALSE)</f>
        <v>#N/A</v>
      </c>
      <c r="Z1146" s="153" t="b">
        <f>+OR(COUNTIF(PROVEEDORES[[#This Row],[PROVEEDOR]],"*"&amp;'Palabra que no opera y Listas d'!$A$2&amp;"*"))</f>
        <v>1</v>
      </c>
    </row>
    <row r="1147" spans="1:26" ht="27.75" customHeight="1" x14ac:dyDescent="0.3">
      <c r="A1147" s="144" t="str">
        <f>+IF(PROVEEDORES[[#This Row],[FECHA DE PAGO]]=PROVEEDORES[[#This Row],[FECHA DE FACTURACIÓN]],"DE CONTADO","CRÉDITO")</f>
        <v>CRÉDITO</v>
      </c>
      <c r="B1147" s="144" t="str">
        <f>+IF((PROVEEDORES[[#This Row],[FECHA DE PAGO]]-PROVEEDORES[[#This Row],[FECHA DE FACTURACIÓN]])&gt;PROVEEDORES[[#This Row],[PLAZO Días]],"PAGO VENCIDO")</f>
        <v>PAGO VENCIDO</v>
      </c>
      <c r="C1147" s="144">
        <f>+VLOOKUP(PROVEEDORES[[#This Row],[PROVEEDOR]],TERCEROS_INFO[#All],2,FALSE)</f>
        <v>0</v>
      </c>
      <c r="D1147" s="145">
        <f>+SUMIFS(PROVEEDORES[Total],PROVEEDORES[PROVEEDOR],PROVEEDORES[[#This Row],[PROVEEDOR]],PROVEEDORES[FECHA DE PAGO],"")</f>
        <v>0</v>
      </c>
      <c r="E1147" s="146"/>
      <c r="F1147" s="144">
        <f>+VLOOKUP(PROVEEDORES[[#This Row],[PROVEEDOR]],
                       Terceros!$A:$G,
                       5,
                       FALSE)</f>
        <v>0</v>
      </c>
      <c r="G1147" s="122">
        <v>45307</v>
      </c>
      <c r="H1147" s="102" t="s">
        <v>388</v>
      </c>
      <c r="I1147" s="122">
        <v>45292</v>
      </c>
      <c r="J1147" s="103" t="s">
        <v>1407</v>
      </c>
      <c r="K1147" s="103" t="s">
        <v>1512</v>
      </c>
      <c r="L1147" s="103"/>
      <c r="M1147" s="105">
        <v>2202761</v>
      </c>
      <c r="N1147" s="147">
        <v>0</v>
      </c>
      <c r="O1147" s="147">
        <v>0</v>
      </c>
      <c r="P1147" s="148">
        <v>0</v>
      </c>
      <c r="Q1147" s="147">
        <v>0</v>
      </c>
      <c r="R1147" s="149">
        <v>2202761</v>
      </c>
      <c r="S11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7" s="150">
        <f ca="1">+IF(PROVEEDORES[[#This Row],[FECHA DE PAGO]]=0,TODAY()-PROVEEDORES[[#This Row],[FECHA DE FACTURACIÓN]]-PROVEEDORES[[#This Row],[PLAZO Días]],0)</f>
        <v>0</v>
      </c>
      <c r="U1147" s="150">
        <f>+VLOOKUP(PROVEEDORES[[#This Row],[PROVEEDOR]],Terceros!$A:$E,4,FALSE)</f>
        <v>0</v>
      </c>
      <c r="V1147" s="150">
        <f>+YEAR(PROVEEDORES[[#This Row],[FECHA DE FACTURACIÓN]])</f>
        <v>2024</v>
      </c>
      <c r="W1147" s="150">
        <f>+MATCH(PROVEEDORES[[#This Row],[año facturado]],Retenciones!$1:$1,0)</f>
        <v>7</v>
      </c>
      <c r="X1147" s="151">
        <f>+VLOOKUP(PROVEEDORES[[#This Row],[ID RETENCION]],Retenciones!$A$1:$O$25,PROVEEDORES[[#This Row],[indicador de columna]],FALSE)</f>
        <v>0</v>
      </c>
      <c r="Y1147" s="152">
        <f>+VLOOKUP(PROVEEDORES[[#This Row],[ID RETENCION]],Retenciones!$A$1:$O$25,2,FALSE)</f>
        <v>0</v>
      </c>
      <c r="Z1147" s="153" t="b">
        <f>+OR(COUNTIF(PROVEEDORES[[#This Row],[PROVEEDOR]],"*"&amp;'Palabra que no opera y Listas d'!$A$2&amp;"*"))</f>
        <v>1</v>
      </c>
    </row>
    <row r="1148" spans="1:26" ht="27.75" customHeight="1" x14ac:dyDescent="0.3">
      <c r="A1148" s="144" t="str">
        <f>+IF(PROVEEDORES[[#This Row],[FECHA DE PAGO]]=PROVEEDORES[[#This Row],[FECHA DE FACTURACIÓN]],"DE CONTADO","CRÉDITO")</f>
        <v>CRÉDITO</v>
      </c>
      <c r="B1148" s="144" t="str">
        <f>+IF((PROVEEDORES[[#This Row],[FECHA DE PAGO]]-PROVEEDORES[[#This Row],[FECHA DE FACTURACIÓN]])&gt;PROVEEDORES[[#This Row],[PLAZO Días]],"PAGO VENCIDO")</f>
        <v>PAGO VENCIDO</v>
      </c>
      <c r="C1148" s="144">
        <f>+VLOOKUP(PROVEEDORES[[#This Row],[PROVEEDOR]],TERCEROS_INFO[#All],2,FALSE)</f>
        <v>0</v>
      </c>
      <c r="D1148" s="145">
        <f>+SUMIFS(PROVEEDORES[Total],PROVEEDORES[PROVEEDOR],PROVEEDORES[[#This Row],[PROVEEDOR]],PROVEEDORES[FECHA DE PAGO],"")</f>
        <v>0</v>
      </c>
      <c r="E1148" s="146"/>
      <c r="F1148" s="144">
        <f>+VLOOKUP(PROVEEDORES[[#This Row],[PROVEEDOR]],
                       Terceros!$A:$G,
                       5,
                       FALSE)</f>
        <v>0</v>
      </c>
      <c r="G1148" s="122">
        <v>45307</v>
      </c>
      <c r="H1148" s="102" t="s">
        <v>391</v>
      </c>
      <c r="I1148" s="122">
        <v>45292</v>
      </c>
      <c r="J1148" s="103" t="s">
        <v>1394</v>
      </c>
      <c r="K1148" s="103" t="s">
        <v>1512</v>
      </c>
      <c r="L1148" s="103"/>
      <c r="M1148" s="105">
        <v>363203</v>
      </c>
      <c r="N1148" s="147">
        <v>0</v>
      </c>
      <c r="O1148" s="147">
        <v>0</v>
      </c>
      <c r="P1148" s="148">
        <v>0</v>
      </c>
      <c r="Q1148" s="147">
        <v>0</v>
      </c>
      <c r="R1148" s="149">
        <v>363203</v>
      </c>
      <c r="S11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8" s="150">
        <f ca="1">+IF(PROVEEDORES[[#This Row],[FECHA DE PAGO]]=0,TODAY()-PROVEEDORES[[#This Row],[FECHA DE FACTURACIÓN]]-PROVEEDORES[[#This Row],[PLAZO Días]],0)</f>
        <v>0</v>
      </c>
      <c r="U1148" s="150">
        <f>+VLOOKUP(PROVEEDORES[[#This Row],[PROVEEDOR]],Terceros!$A:$E,4,FALSE)</f>
        <v>0</v>
      </c>
      <c r="V1148" s="150">
        <f>+YEAR(PROVEEDORES[[#This Row],[FECHA DE FACTURACIÓN]])</f>
        <v>2024</v>
      </c>
      <c r="W1148" s="150">
        <f>+MATCH(PROVEEDORES[[#This Row],[año facturado]],Retenciones!$1:$1,0)</f>
        <v>7</v>
      </c>
      <c r="X1148" s="151">
        <f>+VLOOKUP(PROVEEDORES[[#This Row],[ID RETENCION]],Retenciones!$A$1:$O$25,PROVEEDORES[[#This Row],[indicador de columna]],FALSE)</f>
        <v>0</v>
      </c>
      <c r="Y1148" s="152">
        <f>+VLOOKUP(PROVEEDORES[[#This Row],[ID RETENCION]],Retenciones!$A$1:$O$25,2,FALSE)</f>
        <v>0</v>
      </c>
      <c r="Z1148" s="153" t="b">
        <f>+OR(COUNTIF(PROVEEDORES[[#This Row],[PROVEEDOR]],"*"&amp;'Palabra que no opera y Listas d'!$A$2&amp;"*"))</f>
        <v>1</v>
      </c>
    </row>
    <row r="1149" spans="1:26" ht="27.75" customHeight="1" x14ac:dyDescent="0.3">
      <c r="A1149" s="144" t="str">
        <f>+IF(PROVEEDORES[[#This Row],[FECHA DE PAGO]]=PROVEEDORES[[#This Row],[FECHA DE FACTURACIÓN]],"DE CONTADO","CRÉDITO")</f>
        <v>CRÉDITO</v>
      </c>
      <c r="B1149" s="144" t="str">
        <f>+IF((PROVEEDORES[[#This Row],[FECHA DE PAGO]]-PROVEEDORES[[#This Row],[FECHA DE FACTURACIÓN]])&gt;PROVEEDORES[[#This Row],[PLAZO Días]],"PAGO VENCIDO")</f>
        <v>PAGO VENCIDO</v>
      </c>
      <c r="C1149" s="144">
        <f>+VLOOKUP(PROVEEDORES[[#This Row],[PROVEEDOR]],TERCEROS_INFO[#All],2,FALSE)</f>
        <v>0</v>
      </c>
      <c r="D1149" s="145">
        <f>+SUMIFS(PROVEEDORES[Total],PROVEEDORES[PROVEEDOR],PROVEEDORES[[#This Row],[PROVEEDOR]],PROVEEDORES[FECHA DE PAGO],"")</f>
        <v>0</v>
      </c>
      <c r="E1149" s="146"/>
      <c r="F1149" s="144">
        <f>+VLOOKUP(PROVEEDORES[[#This Row],[PROVEEDOR]],
                       Terceros!$A:$G,
                       5,
                       FALSE)</f>
        <v>0</v>
      </c>
      <c r="G1149" s="122">
        <v>45307</v>
      </c>
      <c r="H1149" s="102" t="s">
        <v>397</v>
      </c>
      <c r="I1149" s="122">
        <v>45292</v>
      </c>
      <c r="J1149" s="103" t="s">
        <v>1411</v>
      </c>
      <c r="K1149" s="103" t="s">
        <v>1512</v>
      </c>
      <c r="L1149" s="103"/>
      <c r="M1149" s="105">
        <v>1047050</v>
      </c>
      <c r="N1149" s="147">
        <v>0</v>
      </c>
      <c r="O1149" s="147">
        <v>0</v>
      </c>
      <c r="P1149" s="148">
        <v>0</v>
      </c>
      <c r="Q1149" s="147">
        <v>0</v>
      </c>
      <c r="R1149" s="149">
        <v>1047050</v>
      </c>
      <c r="S11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9" s="150">
        <f ca="1">+IF(PROVEEDORES[[#This Row],[FECHA DE PAGO]]=0,TODAY()-PROVEEDORES[[#This Row],[FECHA DE FACTURACIÓN]]-PROVEEDORES[[#This Row],[PLAZO Días]],0)</f>
        <v>0</v>
      </c>
      <c r="U1149" s="150">
        <f>+VLOOKUP(PROVEEDORES[[#This Row],[PROVEEDOR]],Terceros!$A:$E,4,FALSE)</f>
        <v>0</v>
      </c>
      <c r="V1149" s="150">
        <f>+YEAR(PROVEEDORES[[#This Row],[FECHA DE FACTURACIÓN]])</f>
        <v>2024</v>
      </c>
      <c r="W1149" s="150">
        <f>+MATCH(PROVEEDORES[[#This Row],[año facturado]],Retenciones!$1:$1,0)</f>
        <v>7</v>
      </c>
      <c r="X1149" s="151">
        <f>+VLOOKUP(PROVEEDORES[[#This Row],[ID RETENCION]],Retenciones!$A$1:$O$25,PROVEEDORES[[#This Row],[indicador de columna]],FALSE)</f>
        <v>0</v>
      </c>
      <c r="Y1149" s="152">
        <f>+VLOOKUP(PROVEEDORES[[#This Row],[ID RETENCION]],Retenciones!$A$1:$O$25,2,FALSE)</f>
        <v>0</v>
      </c>
      <c r="Z1149" s="153" t="b">
        <f>+OR(COUNTIF(PROVEEDORES[[#This Row],[PROVEEDOR]],"*"&amp;'Palabra que no opera y Listas d'!$A$2&amp;"*"))</f>
        <v>1</v>
      </c>
    </row>
    <row r="1150" spans="1:26" ht="27.75" customHeight="1" x14ac:dyDescent="0.3">
      <c r="A1150" s="144" t="str">
        <f>+IF(PROVEEDORES[[#This Row],[FECHA DE PAGO]]=PROVEEDORES[[#This Row],[FECHA DE FACTURACIÓN]],"DE CONTADO","CRÉDITO")</f>
        <v>CRÉDITO</v>
      </c>
      <c r="B1150" s="144" t="str">
        <f>+IF((PROVEEDORES[[#This Row],[FECHA DE PAGO]]-PROVEEDORES[[#This Row],[FECHA DE FACTURACIÓN]])&gt;PROVEEDORES[[#This Row],[PLAZO Días]],"PAGO VENCIDO")</f>
        <v>PAGO VENCIDO</v>
      </c>
      <c r="C1150" s="144">
        <f>+VLOOKUP(PROVEEDORES[[#This Row],[PROVEEDOR]],TERCEROS_INFO[#All],2,FALSE)</f>
        <v>0</v>
      </c>
      <c r="D1150" s="145">
        <f>+SUMIFS(PROVEEDORES[Total],PROVEEDORES[PROVEEDOR],PROVEEDORES[[#This Row],[PROVEEDOR]],PROVEEDORES[FECHA DE PAGO],"")</f>
        <v>0</v>
      </c>
      <c r="E1150" s="146"/>
      <c r="F1150" s="144">
        <f>+VLOOKUP(PROVEEDORES[[#This Row],[PROVEEDOR]],
                       Terceros!$A:$G,
                       5,
                       FALSE)</f>
        <v>0</v>
      </c>
      <c r="G1150" s="122">
        <v>45307</v>
      </c>
      <c r="H1150" s="102" t="s">
        <v>397</v>
      </c>
      <c r="I1150" s="122">
        <v>45292</v>
      </c>
      <c r="J1150" s="103" t="s">
        <v>1410</v>
      </c>
      <c r="K1150" s="103" t="s">
        <v>1512</v>
      </c>
      <c r="L1150" s="103"/>
      <c r="M1150" s="105">
        <v>1024255</v>
      </c>
      <c r="N1150" s="147">
        <v>0</v>
      </c>
      <c r="O1150" s="147">
        <v>0</v>
      </c>
      <c r="P1150" s="148">
        <v>0</v>
      </c>
      <c r="Q1150" s="147">
        <v>0</v>
      </c>
      <c r="R1150" s="149">
        <v>1024255</v>
      </c>
      <c r="S11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0" s="150">
        <f ca="1">+IF(PROVEEDORES[[#This Row],[FECHA DE PAGO]]=0,TODAY()-PROVEEDORES[[#This Row],[FECHA DE FACTURACIÓN]]-PROVEEDORES[[#This Row],[PLAZO Días]],0)</f>
        <v>0</v>
      </c>
      <c r="U1150" s="150">
        <f>+VLOOKUP(PROVEEDORES[[#This Row],[PROVEEDOR]],Terceros!$A:$E,4,FALSE)</f>
        <v>0</v>
      </c>
      <c r="V1150" s="150">
        <f>+YEAR(PROVEEDORES[[#This Row],[FECHA DE FACTURACIÓN]])</f>
        <v>2024</v>
      </c>
      <c r="W1150" s="150">
        <f>+MATCH(PROVEEDORES[[#This Row],[año facturado]],Retenciones!$1:$1,0)</f>
        <v>7</v>
      </c>
      <c r="X1150" s="151">
        <f>+VLOOKUP(PROVEEDORES[[#This Row],[ID RETENCION]],Retenciones!$A$1:$O$25,PROVEEDORES[[#This Row],[indicador de columna]],FALSE)</f>
        <v>0</v>
      </c>
      <c r="Y1150" s="152">
        <f>+VLOOKUP(PROVEEDORES[[#This Row],[ID RETENCION]],Retenciones!$A$1:$O$25,2,FALSE)</f>
        <v>0</v>
      </c>
      <c r="Z1150" s="153" t="b">
        <f>+OR(COUNTIF(PROVEEDORES[[#This Row],[PROVEEDOR]],"*"&amp;'Palabra que no opera y Listas d'!$A$2&amp;"*"))</f>
        <v>1</v>
      </c>
    </row>
    <row r="1151" spans="1:26" ht="27.75" customHeight="1" x14ac:dyDescent="0.3">
      <c r="A1151" s="144" t="str">
        <f>+IF(PROVEEDORES[[#This Row],[FECHA DE PAGO]]=PROVEEDORES[[#This Row],[FECHA DE FACTURACIÓN]],"DE CONTADO","CRÉDITO")</f>
        <v>CRÉDITO</v>
      </c>
      <c r="B1151" s="144" t="str">
        <f>+IF((PROVEEDORES[[#This Row],[FECHA DE PAGO]]-PROVEEDORES[[#This Row],[FECHA DE FACTURACIÓN]])&gt;PROVEEDORES[[#This Row],[PLAZO Días]],"PAGO VENCIDO")</f>
        <v>PAGO VENCIDO</v>
      </c>
      <c r="C1151" s="144">
        <f>+VLOOKUP(PROVEEDORES[[#This Row],[PROVEEDOR]],TERCEROS_INFO[#All],2,FALSE)</f>
        <v>0</v>
      </c>
      <c r="D1151" s="145">
        <f>+SUMIFS(PROVEEDORES[Total],PROVEEDORES[PROVEEDOR],PROVEEDORES[[#This Row],[PROVEEDOR]],PROVEEDORES[FECHA DE PAGO],"")</f>
        <v>0</v>
      </c>
      <c r="E1151" s="146"/>
      <c r="F1151" s="144">
        <f>+VLOOKUP(PROVEEDORES[[#This Row],[PROVEEDOR]],
                       Terceros!$A:$G,
                       5,
                       FALSE)</f>
        <v>0</v>
      </c>
      <c r="G1151" s="122">
        <v>45307</v>
      </c>
      <c r="H1151" s="102" t="s">
        <v>404</v>
      </c>
      <c r="I1151" s="122">
        <v>45292</v>
      </c>
      <c r="J1151" s="103"/>
      <c r="K1151" s="103" t="s">
        <v>1512</v>
      </c>
      <c r="L1151" s="103"/>
      <c r="M1151" s="105">
        <v>777310</v>
      </c>
      <c r="N1151" s="147">
        <v>0</v>
      </c>
      <c r="O1151" s="147">
        <v>0</v>
      </c>
      <c r="P1151" s="148">
        <v>0</v>
      </c>
      <c r="Q1151" s="147">
        <v>0</v>
      </c>
      <c r="R1151" s="149">
        <v>777310</v>
      </c>
      <c r="S11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1" s="150">
        <f ca="1">+IF(PROVEEDORES[[#This Row],[FECHA DE PAGO]]=0,TODAY()-PROVEEDORES[[#This Row],[FECHA DE FACTURACIÓN]]-PROVEEDORES[[#This Row],[PLAZO Días]],0)</f>
        <v>0</v>
      </c>
      <c r="U1151" s="150">
        <f>+VLOOKUP(PROVEEDORES[[#This Row],[PROVEEDOR]],Terceros!$A:$E,4,FALSE)</f>
        <v>0</v>
      </c>
      <c r="V1151" s="150">
        <f>+YEAR(PROVEEDORES[[#This Row],[FECHA DE FACTURACIÓN]])</f>
        <v>2024</v>
      </c>
      <c r="W1151" s="150">
        <f>+MATCH(PROVEEDORES[[#This Row],[año facturado]],Retenciones!$1:$1,0)</f>
        <v>7</v>
      </c>
      <c r="X1151" s="151">
        <f>+VLOOKUP(PROVEEDORES[[#This Row],[ID RETENCION]],Retenciones!$A$1:$O$25,PROVEEDORES[[#This Row],[indicador de columna]],FALSE)</f>
        <v>0</v>
      </c>
      <c r="Y1151" s="152">
        <f>+VLOOKUP(PROVEEDORES[[#This Row],[ID RETENCION]],Retenciones!$A$1:$O$25,2,FALSE)</f>
        <v>0</v>
      </c>
      <c r="Z1151" s="153" t="b">
        <f>+OR(COUNTIF(PROVEEDORES[[#This Row],[PROVEEDOR]],"*"&amp;'Palabra que no opera y Listas d'!$A$2&amp;"*"))</f>
        <v>1</v>
      </c>
    </row>
    <row r="1152" spans="1:26" ht="27.75" customHeight="1" x14ac:dyDescent="0.3">
      <c r="A1152" s="144" t="str">
        <f>+IF(PROVEEDORES[[#This Row],[FECHA DE PAGO]]=PROVEEDORES[[#This Row],[FECHA DE FACTURACIÓN]],"DE CONTADO","CRÉDITO")</f>
        <v>CRÉDITO</v>
      </c>
      <c r="B1152" s="144" t="str">
        <f>+IF((PROVEEDORES[[#This Row],[FECHA DE PAGO]]-PROVEEDORES[[#This Row],[FECHA DE FACTURACIÓN]])&gt;PROVEEDORES[[#This Row],[PLAZO Días]],"PAGO VENCIDO")</f>
        <v>PAGO VENCIDO</v>
      </c>
      <c r="C1152" s="144">
        <f>+VLOOKUP(PROVEEDORES[[#This Row],[PROVEEDOR]],TERCEROS_INFO[#All],2,FALSE)</f>
        <v>0</v>
      </c>
      <c r="D1152" s="145">
        <f>+SUMIFS(PROVEEDORES[Total],PROVEEDORES[PROVEEDOR],PROVEEDORES[[#This Row],[PROVEEDOR]],PROVEEDORES[FECHA DE PAGO],"")</f>
        <v>0</v>
      </c>
      <c r="E1152" s="146"/>
      <c r="F1152" s="144" t="str">
        <f>+VLOOKUP(PROVEEDORES[[#This Row],[PROVEEDOR]],
                       Terceros!$A:$G,
                       5,
                       FALSE)</f>
        <v>3,5% sin base</v>
      </c>
      <c r="G1152" s="122">
        <v>45307</v>
      </c>
      <c r="H1152" s="102" t="s">
        <v>395</v>
      </c>
      <c r="I1152" s="122">
        <v>45294</v>
      </c>
      <c r="J1152" s="103" t="s">
        <v>1412</v>
      </c>
      <c r="K1152" s="103" t="s">
        <v>1512</v>
      </c>
      <c r="L1152" s="103"/>
      <c r="M1152" s="105">
        <v>3456200</v>
      </c>
      <c r="N1152" s="147">
        <v>0</v>
      </c>
      <c r="O1152" s="147">
        <v>0</v>
      </c>
      <c r="P1152" s="148">
        <v>3.5000000000000003E-2</v>
      </c>
      <c r="Q1152" s="147">
        <v>120967.00000000001</v>
      </c>
      <c r="R1152" s="149">
        <v>3335233</v>
      </c>
      <c r="S11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2" s="150">
        <f ca="1">+IF(PROVEEDORES[[#This Row],[FECHA DE PAGO]]=0,TODAY()-PROVEEDORES[[#This Row],[FECHA DE FACTURACIÓN]]-PROVEEDORES[[#This Row],[PLAZO Días]],0)</f>
        <v>0</v>
      </c>
      <c r="U1152" s="150">
        <f>+VLOOKUP(PROVEEDORES[[#This Row],[PROVEEDOR]],Terceros!$A:$E,4,FALSE)</f>
        <v>0</v>
      </c>
      <c r="V1152" s="150">
        <f>+YEAR(PROVEEDORES[[#This Row],[FECHA DE FACTURACIÓN]])</f>
        <v>2024</v>
      </c>
      <c r="W1152" s="150">
        <f>+MATCH(PROVEEDORES[[#This Row],[año facturado]],Retenciones!$1:$1,0)</f>
        <v>7</v>
      </c>
      <c r="X1152" s="151">
        <f>+VLOOKUP(PROVEEDORES[[#This Row],[ID RETENCION]],Retenciones!$A$1:$O$25,PROVEEDORES[[#This Row],[indicador de columna]],FALSE)</f>
        <v>0</v>
      </c>
      <c r="Y1152" s="152">
        <f>+VLOOKUP(PROVEEDORES[[#This Row],[ID RETENCION]],Retenciones!$A$1:$O$25,2,FALSE)</f>
        <v>0</v>
      </c>
      <c r="Z1152" s="153" t="b">
        <f>+OR(COUNTIF(PROVEEDORES[[#This Row],[PROVEEDOR]],"*"&amp;'Palabra que no opera y Listas d'!$A$2&amp;"*"))</f>
        <v>1</v>
      </c>
    </row>
    <row r="1153" spans="1:26" ht="27.75" customHeight="1" x14ac:dyDescent="0.3">
      <c r="A1153" s="144" t="str">
        <f>+IF(PROVEEDORES[[#This Row],[FECHA DE PAGO]]=PROVEEDORES[[#This Row],[FECHA DE FACTURACIÓN]],"DE CONTADO","CRÉDITO")</f>
        <v>DE CONTADO</v>
      </c>
      <c r="B1153" s="144" t="b">
        <f>+IF((PROVEEDORES[[#This Row],[FECHA DE PAGO]]-PROVEEDORES[[#This Row],[FECHA DE FACTURACIÓN]])&gt;PROVEEDORES[[#This Row],[PLAZO Días]],"PAGO VENCIDO")</f>
        <v>0</v>
      </c>
      <c r="C1153" s="144">
        <f>+VLOOKUP(PROVEEDORES[[#This Row],[PROVEEDOR]],TERCEROS_INFO[#All],2,FALSE)</f>
        <v>0</v>
      </c>
      <c r="D1153" s="145">
        <f>+SUMIFS(PROVEEDORES[Total],PROVEEDORES[PROVEEDOR],PROVEEDORES[[#This Row],[PROVEEDOR]],PROVEEDORES[FECHA DE PAGO],"")</f>
        <v>0</v>
      </c>
      <c r="E1153" s="146"/>
      <c r="F1153" s="144">
        <f>+VLOOKUP(PROVEEDORES[[#This Row],[PROVEEDOR]],
                       Terceros!$A:$G,
                       5,
                       FALSE)</f>
        <v>0</v>
      </c>
      <c r="G1153" s="122">
        <v>45307</v>
      </c>
      <c r="H1153" s="102" t="s">
        <v>1785</v>
      </c>
      <c r="I1153" s="122">
        <v>45307</v>
      </c>
      <c r="J1153" s="103" t="s">
        <v>1418</v>
      </c>
      <c r="K1153" s="103" t="s">
        <v>1512</v>
      </c>
      <c r="L1153" s="103"/>
      <c r="M1153" s="105">
        <v>215000</v>
      </c>
      <c r="N1153" s="147">
        <v>0</v>
      </c>
      <c r="O1153" s="147">
        <v>0</v>
      </c>
      <c r="P1153" s="148">
        <v>0</v>
      </c>
      <c r="Q1153" s="147">
        <v>0</v>
      </c>
      <c r="R1153" s="149">
        <v>215000</v>
      </c>
      <c r="S11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3" s="150">
        <f ca="1">+IF(PROVEEDORES[[#This Row],[FECHA DE PAGO]]=0,TODAY()-PROVEEDORES[[#This Row],[FECHA DE FACTURACIÓN]]-PROVEEDORES[[#This Row],[PLAZO Días]],0)</f>
        <v>0</v>
      </c>
      <c r="U1153" s="150">
        <f>+VLOOKUP(PROVEEDORES[[#This Row],[PROVEEDOR]],Terceros!$A:$E,4,FALSE)</f>
        <v>0</v>
      </c>
      <c r="V1153" s="150">
        <f>+YEAR(PROVEEDORES[[#This Row],[FECHA DE FACTURACIÓN]])</f>
        <v>2024</v>
      </c>
      <c r="W1153" s="150">
        <f>+MATCH(PROVEEDORES[[#This Row],[año facturado]],Retenciones!$1:$1,0)</f>
        <v>7</v>
      </c>
      <c r="X1153" s="151">
        <f>+VLOOKUP(PROVEEDORES[[#This Row],[ID RETENCION]],Retenciones!$A$1:$O$25,PROVEEDORES[[#This Row],[indicador de columna]],FALSE)</f>
        <v>0</v>
      </c>
      <c r="Y1153" s="152">
        <f>+VLOOKUP(PROVEEDORES[[#This Row],[ID RETENCION]],Retenciones!$A$1:$O$25,2,FALSE)</f>
        <v>0</v>
      </c>
      <c r="Z1153" s="153" t="b">
        <f>+OR(COUNTIF(PROVEEDORES[[#This Row],[PROVEEDOR]],"*"&amp;'Palabra que no opera y Listas d'!$A$2&amp;"*"))</f>
        <v>0</v>
      </c>
    </row>
    <row r="1154" spans="1:26" ht="27.75" customHeight="1" x14ac:dyDescent="0.3">
      <c r="A1154" s="144" t="str">
        <f>+IF(PROVEEDORES[[#This Row],[FECHA DE PAGO]]=PROVEEDORES[[#This Row],[FECHA DE FACTURACIÓN]],"DE CONTADO","CRÉDITO")</f>
        <v>CRÉDITO</v>
      </c>
      <c r="B1154" s="144" t="str">
        <f>+IF((PROVEEDORES[[#This Row],[FECHA DE PAGO]]-PROVEEDORES[[#This Row],[FECHA DE FACTURACIÓN]])&gt;PROVEEDORES[[#This Row],[PLAZO Días]],"PAGO VENCIDO")</f>
        <v>PAGO VENCIDO</v>
      </c>
      <c r="C1154" s="144">
        <f>+VLOOKUP(PROVEEDORES[[#This Row],[PROVEEDOR]],TERCEROS_INFO[#All],2,FALSE)</f>
        <v>0</v>
      </c>
      <c r="D1154" s="145">
        <f>+SUMIFS(PROVEEDORES[Total],PROVEEDORES[PROVEEDOR],PROVEEDORES[[#This Row],[PROVEEDOR]],PROVEEDORES[FECHA DE PAGO],"")</f>
        <v>0</v>
      </c>
      <c r="E1154" s="146"/>
      <c r="F1154" s="144">
        <f>+VLOOKUP(PROVEEDORES[[#This Row],[PROVEEDOR]],
                       Terceros!$A:$G,
                       5,
                       FALSE)</f>
        <v>0</v>
      </c>
      <c r="G1154" s="122">
        <v>45308</v>
      </c>
      <c r="H1154" s="102" t="s">
        <v>572</v>
      </c>
      <c r="I1154" s="122">
        <v>45307</v>
      </c>
      <c r="J1154" s="103">
        <v>2158</v>
      </c>
      <c r="K1154" s="103" t="s">
        <v>516</v>
      </c>
      <c r="L1154" s="103"/>
      <c r="M1154" s="105">
        <v>690000</v>
      </c>
      <c r="N1154" s="147">
        <v>0</v>
      </c>
      <c r="O1154" s="147">
        <v>0</v>
      </c>
      <c r="P1154" s="148">
        <v>0</v>
      </c>
      <c r="Q1154" s="147">
        <v>0</v>
      </c>
      <c r="R1154" s="149">
        <v>690000</v>
      </c>
      <c r="S11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4" s="150">
        <f ca="1">+IF(PROVEEDORES[[#This Row],[FECHA DE PAGO]]=0,TODAY()-PROVEEDORES[[#This Row],[FECHA DE FACTURACIÓN]]-PROVEEDORES[[#This Row],[PLAZO Días]],0)</f>
        <v>0</v>
      </c>
      <c r="U1154" s="150">
        <f>+VLOOKUP(PROVEEDORES[[#This Row],[PROVEEDOR]],Terceros!$A:$E,4,FALSE)</f>
        <v>0</v>
      </c>
      <c r="V1154" s="150">
        <f>+YEAR(PROVEEDORES[[#This Row],[FECHA DE FACTURACIÓN]])</f>
        <v>2024</v>
      </c>
      <c r="W1154" s="150">
        <f>+MATCH(PROVEEDORES[[#This Row],[año facturado]],Retenciones!$1:$1,0)</f>
        <v>7</v>
      </c>
      <c r="X1154" s="151">
        <f>+VLOOKUP(PROVEEDORES[[#This Row],[ID RETENCION]],Retenciones!$A$1:$O$25,PROVEEDORES[[#This Row],[indicador de columna]],FALSE)</f>
        <v>0</v>
      </c>
      <c r="Y1154" s="152">
        <f>+VLOOKUP(PROVEEDORES[[#This Row],[ID RETENCION]],Retenciones!$A$1:$O$25,2,FALSE)</f>
        <v>0</v>
      </c>
      <c r="Z1154" s="153" t="b">
        <f>+OR(COUNTIF(PROVEEDORES[[#This Row],[PROVEEDOR]],"*"&amp;'Palabra que no opera y Listas d'!$A$2&amp;"*"))</f>
        <v>1</v>
      </c>
    </row>
    <row r="1155" spans="1:26" ht="27.75" customHeight="1" x14ac:dyDescent="0.3">
      <c r="A1155" s="144" t="str">
        <f>+IF(PROVEEDORES[[#This Row],[FECHA DE PAGO]]=PROVEEDORES[[#This Row],[FECHA DE FACTURACIÓN]],"DE CONTADO","CRÉDITO")</f>
        <v>CRÉDITO</v>
      </c>
      <c r="B1155" s="144" t="str">
        <f>+IF((PROVEEDORES[[#This Row],[FECHA DE PAGO]]-PROVEEDORES[[#This Row],[FECHA DE FACTURACIÓN]])&gt;PROVEEDORES[[#This Row],[PLAZO Días]],"PAGO VENCIDO")</f>
        <v>PAGO VENCIDO</v>
      </c>
      <c r="C1155" s="144">
        <f>+VLOOKUP(PROVEEDORES[[#This Row],[PROVEEDOR]],TERCEROS_INFO[#All],2,FALSE)</f>
        <v>0</v>
      </c>
      <c r="D1155" s="145">
        <f>+SUMIFS(PROVEEDORES[Total],PROVEEDORES[PROVEEDOR],PROVEEDORES[[#This Row],[PROVEEDOR]],PROVEEDORES[FECHA DE PAGO],"")</f>
        <v>0</v>
      </c>
      <c r="E1155" s="146"/>
      <c r="F1155" s="144">
        <f>+VLOOKUP(PROVEEDORES[[#This Row],[PROVEEDOR]],
                       Terceros!$A:$G,
                       5,
                       FALSE)</f>
        <v>0</v>
      </c>
      <c r="G1155" s="122">
        <v>45308</v>
      </c>
      <c r="H1155" s="102" t="s">
        <v>48</v>
      </c>
      <c r="I1155" s="122">
        <v>45307</v>
      </c>
      <c r="J1155" s="103"/>
      <c r="K1155" s="103" t="s">
        <v>516</v>
      </c>
      <c r="L1155" s="103"/>
      <c r="M1155" s="105">
        <v>1562000</v>
      </c>
      <c r="N1155" s="147">
        <v>0</v>
      </c>
      <c r="O1155" s="147">
        <v>0</v>
      </c>
      <c r="P1155" s="148">
        <v>0</v>
      </c>
      <c r="Q1155" s="147">
        <v>0</v>
      </c>
      <c r="R1155" s="149">
        <v>1562000</v>
      </c>
      <c r="S11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5" s="150">
        <f ca="1">+IF(PROVEEDORES[[#This Row],[FECHA DE PAGO]]=0,TODAY()-PROVEEDORES[[#This Row],[FECHA DE FACTURACIÓN]]-PROVEEDORES[[#This Row],[PLAZO Días]],0)</f>
        <v>0</v>
      </c>
      <c r="U1155" s="150">
        <f>+VLOOKUP(PROVEEDORES[[#This Row],[PROVEEDOR]],Terceros!$A:$E,4,FALSE)</f>
        <v>0</v>
      </c>
      <c r="V1155" s="150">
        <f>+YEAR(PROVEEDORES[[#This Row],[FECHA DE FACTURACIÓN]])</f>
        <v>2024</v>
      </c>
      <c r="W1155" s="150">
        <f>+MATCH(PROVEEDORES[[#This Row],[año facturado]],Retenciones!$1:$1,0)</f>
        <v>7</v>
      </c>
      <c r="X1155" s="151">
        <f>+VLOOKUP(PROVEEDORES[[#This Row],[ID RETENCION]],Retenciones!$A$1:$O$25,PROVEEDORES[[#This Row],[indicador de columna]],FALSE)</f>
        <v>0</v>
      </c>
      <c r="Y1155" s="152">
        <f>+VLOOKUP(PROVEEDORES[[#This Row],[ID RETENCION]],Retenciones!$A$1:$O$25,2,FALSE)</f>
        <v>0</v>
      </c>
      <c r="Z1155" s="153" t="b">
        <f>+OR(COUNTIF(PROVEEDORES[[#This Row],[PROVEEDOR]],"*"&amp;'Palabra que no opera y Listas d'!$A$2&amp;"*"))</f>
        <v>0</v>
      </c>
    </row>
    <row r="1156" spans="1:26" ht="27.75" customHeight="1" x14ac:dyDescent="0.3">
      <c r="A1156" s="144" t="str">
        <f>+IF(PROVEEDORES[[#This Row],[FECHA DE PAGO]]=PROVEEDORES[[#This Row],[FECHA DE FACTURACIÓN]],"DE CONTADO","CRÉDITO")</f>
        <v>CRÉDITO</v>
      </c>
      <c r="B1156" s="144" t="str">
        <f>+IF((PROVEEDORES[[#This Row],[FECHA DE PAGO]]-PROVEEDORES[[#This Row],[FECHA DE FACTURACIÓN]])&gt;PROVEEDORES[[#This Row],[PLAZO Días]],"PAGO VENCIDO")</f>
        <v>PAGO VENCIDO</v>
      </c>
      <c r="C1156" s="144">
        <f>+VLOOKUP(PROVEEDORES[[#This Row],[PROVEEDOR]],TERCEROS_INFO[#All],2,FALSE)</f>
        <v>0</v>
      </c>
      <c r="D1156" s="145">
        <f>+SUMIFS(PROVEEDORES[Total],PROVEEDORES[PROVEEDOR],PROVEEDORES[[#This Row],[PROVEEDOR]],PROVEEDORES[FECHA DE PAGO],"")</f>
        <v>0</v>
      </c>
      <c r="E1156" s="146"/>
      <c r="F1156" s="144">
        <f>+VLOOKUP(PROVEEDORES[[#This Row],[PROVEEDOR]],
                       Terceros!$A:$G,
                       5,
                       FALSE)</f>
        <v>0</v>
      </c>
      <c r="G1156" s="122">
        <v>45308</v>
      </c>
      <c r="H1156" s="102" t="s">
        <v>191</v>
      </c>
      <c r="I1156" s="122">
        <v>45307</v>
      </c>
      <c r="J1156" s="103" t="s">
        <v>1429</v>
      </c>
      <c r="K1156" s="103" t="s">
        <v>516</v>
      </c>
      <c r="L1156" s="103"/>
      <c r="M1156" s="105">
        <v>1974686</v>
      </c>
      <c r="N1156" s="147">
        <v>0</v>
      </c>
      <c r="O1156" s="147">
        <v>0</v>
      </c>
      <c r="P1156" s="148">
        <v>0</v>
      </c>
      <c r="Q1156" s="147">
        <v>0</v>
      </c>
      <c r="R1156" s="149">
        <v>1974686</v>
      </c>
      <c r="S11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6" s="150">
        <f ca="1">+IF(PROVEEDORES[[#This Row],[FECHA DE PAGO]]=0,TODAY()-PROVEEDORES[[#This Row],[FECHA DE FACTURACIÓN]]-PROVEEDORES[[#This Row],[PLAZO Días]],0)</f>
        <v>0</v>
      </c>
      <c r="U1156" s="150">
        <f>+VLOOKUP(PROVEEDORES[[#This Row],[PROVEEDOR]],Terceros!$A:$E,4,FALSE)</f>
        <v>0</v>
      </c>
      <c r="V1156" s="150">
        <f>+YEAR(PROVEEDORES[[#This Row],[FECHA DE FACTURACIÓN]])</f>
        <v>2024</v>
      </c>
      <c r="W1156" s="150">
        <f>+MATCH(PROVEEDORES[[#This Row],[año facturado]],Retenciones!$1:$1,0)</f>
        <v>7</v>
      </c>
      <c r="X1156" s="151">
        <f>+VLOOKUP(PROVEEDORES[[#This Row],[ID RETENCION]],Retenciones!$A$1:$O$25,PROVEEDORES[[#This Row],[indicador de columna]],FALSE)</f>
        <v>0</v>
      </c>
      <c r="Y1156" s="152">
        <f>+VLOOKUP(PROVEEDORES[[#This Row],[ID RETENCION]],Retenciones!$A$1:$O$25,2,FALSE)</f>
        <v>0</v>
      </c>
      <c r="Z1156" s="153" t="b">
        <f>+OR(COUNTIF(PROVEEDORES[[#This Row],[PROVEEDOR]],"*"&amp;'Palabra que no opera y Listas d'!$A$2&amp;"*"))</f>
        <v>0</v>
      </c>
    </row>
    <row r="1157" spans="1:26" ht="27.75" customHeight="1" x14ac:dyDescent="0.3">
      <c r="A1157" s="144" t="str">
        <f>+IF(PROVEEDORES[[#This Row],[FECHA DE PAGO]]=PROVEEDORES[[#This Row],[FECHA DE FACTURACIÓN]],"DE CONTADO","CRÉDITO")</f>
        <v>CRÉDITO</v>
      </c>
      <c r="B1157" s="144" t="str">
        <f>+IF((PROVEEDORES[[#This Row],[FECHA DE PAGO]]-PROVEEDORES[[#This Row],[FECHA DE FACTURACIÓN]])&gt;PROVEEDORES[[#This Row],[PLAZO Días]],"PAGO VENCIDO")</f>
        <v>PAGO VENCIDO</v>
      </c>
      <c r="C1157" s="144">
        <f>+VLOOKUP(PROVEEDORES[[#This Row],[PROVEEDOR]],TERCEROS_INFO[#All],2,FALSE)</f>
        <v>0</v>
      </c>
      <c r="D1157" s="145">
        <f>+SUMIFS(PROVEEDORES[Total],PROVEEDORES[PROVEEDOR],PROVEEDORES[[#This Row],[PROVEEDOR]],PROVEEDORES[FECHA DE PAGO],"")</f>
        <v>31839627.134999998</v>
      </c>
      <c r="E1157" s="146"/>
      <c r="F1157" s="144" t="str">
        <f>+VLOOKUP(PROVEEDORES[[#This Row],[PROVEEDOR]],
                       Terceros!$A:$G,
                       5,
                       FALSE)</f>
        <v>2,5% con base</v>
      </c>
      <c r="G1157" s="122">
        <v>45309</v>
      </c>
      <c r="H1157" s="102" t="s">
        <v>17</v>
      </c>
      <c r="I1157" s="122">
        <v>45266</v>
      </c>
      <c r="J1157" s="103" t="s">
        <v>1323</v>
      </c>
      <c r="K1157" s="103" t="s">
        <v>516</v>
      </c>
      <c r="L1157" s="103"/>
      <c r="M1157" s="105">
        <v>2050362</v>
      </c>
      <c r="N1157" s="147">
        <v>389568.78</v>
      </c>
      <c r="O1157" s="147">
        <v>0</v>
      </c>
      <c r="P1157" s="148">
        <v>2.5000000000000001E-2</v>
      </c>
      <c r="Q1157" s="147">
        <v>51259.05</v>
      </c>
      <c r="R1157" s="149">
        <v>2388671.7300000004</v>
      </c>
      <c r="S11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7" s="150">
        <f ca="1">+IF(PROVEEDORES[[#This Row],[FECHA DE PAGO]]=0,TODAY()-PROVEEDORES[[#This Row],[FECHA DE FACTURACIÓN]]-PROVEEDORES[[#This Row],[PLAZO Días]],0)</f>
        <v>0</v>
      </c>
      <c r="U1157" s="150">
        <f>+VLOOKUP(PROVEEDORES[[#This Row],[PROVEEDOR]],Terceros!$A:$E,4,FALSE)</f>
        <v>0.19</v>
      </c>
      <c r="V1157" s="150">
        <f>+YEAR(PROVEEDORES[[#This Row],[FECHA DE FACTURACIÓN]])</f>
        <v>2023</v>
      </c>
      <c r="W1157" s="150">
        <f>+MATCH(PROVEEDORES[[#This Row],[año facturado]],Retenciones!$1:$1,0)</f>
        <v>6</v>
      </c>
      <c r="X1157" s="151" t="e">
        <f>+VLOOKUP(PROVEEDORES[[#This Row],[ID RETENCION]],Retenciones!$A$1:$O$25,PROVEEDORES[[#This Row],[indicador de columna]],FALSE)</f>
        <v>#N/A</v>
      </c>
      <c r="Y1157" s="152" t="e">
        <f>+VLOOKUP(PROVEEDORES[[#This Row],[ID RETENCION]],Retenciones!$A$1:$O$25,2,FALSE)</f>
        <v>#N/A</v>
      </c>
      <c r="Z1157" s="153" t="b">
        <f>+OR(COUNTIF(PROVEEDORES[[#This Row],[PROVEEDOR]],"*"&amp;'Palabra que no opera y Listas d'!$A$2&amp;"*"))</f>
        <v>0</v>
      </c>
    </row>
    <row r="1158" spans="1:26" ht="27.75" customHeight="1" x14ac:dyDescent="0.3">
      <c r="A1158" s="144" t="str">
        <f>+IF(PROVEEDORES[[#This Row],[FECHA DE PAGO]]=PROVEEDORES[[#This Row],[FECHA DE FACTURACIÓN]],"DE CONTADO","CRÉDITO")</f>
        <v>CRÉDITO</v>
      </c>
      <c r="B1158" s="144" t="str">
        <f>+IF((PROVEEDORES[[#This Row],[FECHA DE PAGO]]-PROVEEDORES[[#This Row],[FECHA DE FACTURACIÓN]])&gt;PROVEEDORES[[#This Row],[PLAZO Días]],"PAGO VENCIDO")</f>
        <v>PAGO VENCIDO</v>
      </c>
      <c r="C1158" s="144">
        <f>+VLOOKUP(PROVEEDORES[[#This Row],[PROVEEDOR]],TERCEROS_INFO[#All],2,FALSE)</f>
        <v>0</v>
      </c>
      <c r="D1158" s="145">
        <f>+SUMIFS(PROVEEDORES[Total],PROVEEDORES[PROVEEDOR],PROVEEDORES[[#This Row],[PROVEEDOR]],PROVEEDORES[FECHA DE PAGO],"")</f>
        <v>31839627.134999998</v>
      </c>
      <c r="E1158" s="146"/>
      <c r="F1158" s="144" t="str">
        <f>+VLOOKUP(PROVEEDORES[[#This Row],[PROVEEDOR]],
                       Terceros!$A:$G,
                       5,
                       FALSE)</f>
        <v>2,5% con base</v>
      </c>
      <c r="G1158" s="122">
        <v>45309</v>
      </c>
      <c r="H1158" s="102" t="s">
        <v>17</v>
      </c>
      <c r="I1158" s="122">
        <v>45266</v>
      </c>
      <c r="J1158" s="103" t="s">
        <v>1352</v>
      </c>
      <c r="K1158" s="103" t="s">
        <v>516</v>
      </c>
      <c r="L1158" s="103"/>
      <c r="M1158" s="105">
        <v>1005285</v>
      </c>
      <c r="N1158" s="147">
        <v>191004.15</v>
      </c>
      <c r="O1158" s="147">
        <v>0</v>
      </c>
      <c r="P1158" s="148">
        <v>0</v>
      </c>
      <c r="Q1158" s="147">
        <v>0</v>
      </c>
      <c r="R1158" s="149">
        <v>1196289.1499999999</v>
      </c>
      <c r="S11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8" s="150">
        <f ca="1">+IF(PROVEEDORES[[#This Row],[FECHA DE PAGO]]=0,TODAY()-PROVEEDORES[[#This Row],[FECHA DE FACTURACIÓN]]-PROVEEDORES[[#This Row],[PLAZO Días]],0)</f>
        <v>0</v>
      </c>
      <c r="U1158" s="150">
        <f>+VLOOKUP(PROVEEDORES[[#This Row],[PROVEEDOR]],Terceros!$A:$E,4,FALSE)</f>
        <v>0.19</v>
      </c>
      <c r="V1158" s="150">
        <f>+YEAR(PROVEEDORES[[#This Row],[FECHA DE FACTURACIÓN]])</f>
        <v>2023</v>
      </c>
      <c r="W1158" s="150">
        <f>+MATCH(PROVEEDORES[[#This Row],[año facturado]],Retenciones!$1:$1,0)</f>
        <v>6</v>
      </c>
      <c r="X1158" s="151" t="e">
        <f>+VLOOKUP(PROVEEDORES[[#This Row],[ID RETENCION]],Retenciones!$A$1:$O$25,PROVEEDORES[[#This Row],[indicador de columna]],FALSE)</f>
        <v>#N/A</v>
      </c>
      <c r="Y1158" s="152" t="e">
        <f>+VLOOKUP(PROVEEDORES[[#This Row],[ID RETENCION]],Retenciones!$A$1:$O$25,2,FALSE)</f>
        <v>#N/A</v>
      </c>
      <c r="Z1158" s="153" t="b">
        <f>+OR(COUNTIF(PROVEEDORES[[#This Row],[PROVEEDOR]],"*"&amp;'Palabra que no opera y Listas d'!$A$2&amp;"*"))</f>
        <v>0</v>
      </c>
    </row>
    <row r="1159" spans="1:26" ht="27.75" customHeight="1" x14ac:dyDescent="0.3">
      <c r="A1159" s="144" t="str">
        <f>+IF(PROVEEDORES[[#This Row],[FECHA DE PAGO]]=PROVEEDORES[[#This Row],[FECHA DE FACTURACIÓN]],"DE CONTADO","CRÉDITO")</f>
        <v>CRÉDITO</v>
      </c>
      <c r="B1159" s="144" t="str">
        <f>+IF((PROVEEDORES[[#This Row],[FECHA DE PAGO]]-PROVEEDORES[[#This Row],[FECHA DE FACTURACIÓN]])&gt;PROVEEDORES[[#This Row],[PLAZO Días]],"PAGO VENCIDO")</f>
        <v>PAGO VENCIDO</v>
      </c>
      <c r="C1159" s="144">
        <f>+VLOOKUP(PROVEEDORES[[#This Row],[PROVEEDOR]],TERCEROS_INFO[#All],2,FALSE)</f>
        <v>0</v>
      </c>
      <c r="D1159" s="145">
        <f>+SUMIFS(PROVEEDORES[Total],PROVEEDORES[PROVEEDOR],PROVEEDORES[[#This Row],[PROVEEDOR]],PROVEEDORES[FECHA DE PAGO],"")</f>
        <v>0</v>
      </c>
      <c r="E1159" s="146"/>
      <c r="F1159" s="144" t="str">
        <f>+VLOOKUP(PROVEEDORES[[#This Row],[PROVEEDOR]],
                       Terceros!$A:$G,
                       5,
                       FALSE)</f>
        <v>4% con base</v>
      </c>
      <c r="G1159" s="122">
        <v>45309</v>
      </c>
      <c r="H1159" s="102" t="s">
        <v>448</v>
      </c>
      <c r="I1159" s="122">
        <v>45307</v>
      </c>
      <c r="J1159" s="103">
        <v>3883</v>
      </c>
      <c r="K1159" s="103" t="s">
        <v>1512</v>
      </c>
      <c r="L1159" s="103"/>
      <c r="M1159" s="105">
        <v>945000</v>
      </c>
      <c r="N1159" s="147">
        <v>179550</v>
      </c>
      <c r="O1159" s="147">
        <v>0</v>
      </c>
      <c r="P1159" s="148">
        <v>0.04</v>
      </c>
      <c r="Q1159" s="147">
        <v>37800</v>
      </c>
      <c r="R1159" s="149">
        <v>1086750</v>
      </c>
      <c r="S11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9" s="150">
        <f ca="1">+IF(PROVEEDORES[[#This Row],[FECHA DE PAGO]]=0,TODAY()-PROVEEDORES[[#This Row],[FECHA DE FACTURACIÓN]]-PROVEEDORES[[#This Row],[PLAZO Días]],0)</f>
        <v>0</v>
      </c>
      <c r="U1159" s="150">
        <f>+VLOOKUP(PROVEEDORES[[#This Row],[PROVEEDOR]],Terceros!$A:$E,4,FALSE)</f>
        <v>0.19</v>
      </c>
      <c r="V1159" s="150">
        <f>+YEAR(PROVEEDORES[[#This Row],[FECHA DE FACTURACIÓN]])</f>
        <v>2024</v>
      </c>
      <c r="W1159" s="150">
        <f>+MATCH(PROVEEDORES[[#This Row],[año facturado]],Retenciones!$1:$1,0)</f>
        <v>7</v>
      </c>
      <c r="X1159" s="151" t="e">
        <f>+VLOOKUP(PROVEEDORES[[#This Row],[ID RETENCION]],Retenciones!$A$1:$O$25,PROVEEDORES[[#This Row],[indicador de columna]],FALSE)</f>
        <v>#N/A</v>
      </c>
      <c r="Y1159" s="152" t="e">
        <f>+VLOOKUP(PROVEEDORES[[#This Row],[ID RETENCION]],Retenciones!$A$1:$O$25,2,FALSE)</f>
        <v>#N/A</v>
      </c>
      <c r="Z1159" s="153" t="b">
        <f>+OR(COUNTIF(PROVEEDORES[[#This Row],[PROVEEDOR]],"*"&amp;'Palabra que no opera y Listas d'!$A$2&amp;"*"))</f>
        <v>1</v>
      </c>
    </row>
    <row r="1160" spans="1:26" ht="27.75" customHeight="1" x14ac:dyDescent="0.3">
      <c r="A1160" s="144" t="str">
        <f>+IF(PROVEEDORES[[#This Row],[FECHA DE PAGO]]=PROVEEDORES[[#This Row],[FECHA DE FACTURACIÓN]],"DE CONTADO","CRÉDITO")</f>
        <v>CRÉDITO</v>
      </c>
      <c r="B1160" s="144" t="str">
        <f>+IF((PROVEEDORES[[#This Row],[FECHA DE PAGO]]-PROVEEDORES[[#This Row],[FECHA DE FACTURACIÓN]])&gt;PROVEEDORES[[#This Row],[PLAZO Días]],"PAGO VENCIDO")</f>
        <v>PAGO VENCIDO</v>
      </c>
      <c r="C1160" s="144">
        <f>+VLOOKUP(PROVEEDORES[[#This Row],[PROVEEDOR]],TERCEROS_INFO[#All],2,FALSE)</f>
        <v>0</v>
      </c>
      <c r="D1160" s="145">
        <f>+SUMIFS(PROVEEDORES[Total],PROVEEDORES[PROVEEDOR],PROVEEDORES[[#This Row],[PROVEEDOR]],PROVEEDORES[FECHA DE PAGO],"")</f>
        <v>0</v>
      </c>
      <c r="E1160" s="146"/>
      <c r="F1160" s="144">
        <f>+VLOOKUP(PROVEEDORES[[#This Row],[PROVEEDOR]],
                       Terceros!$A:$G,
                       5,
                       FALSE)</f>
        <v>0</v>
      </c>
      <c r="G1160" s="122">
        <v>45309</v>
      </c>
      <c r="H1160" s="102" t="s">
        <v>845</v>
      </c>
      <c r="I1160" s="122">
        <v>45307</v>
      </c>
      <c r="J1160" s="103" t="s">
        <v>1423</v>
      </c>
      <c r="K1160" s="103" t="s">
        <v>516</v>
      </c>
      <c r="L1160" s="103"/>
      <c r="M1160" s="105">
        <v>281000</v>
      </c>
      <c r="N1160" s="147">
        <v>0</v>
      </c>
      <c r="O1160" s="147">
        <v>0</v>
      </c>
      <c r="P1160" s="148">
        <v>0</v>
      </c>
      <c r="Q1160" s="147">
        <v>0</v>
      </c>
      <c r="R1160" s="149">
        <v>281000</v>
      </c>
      <c r="S11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0" s="150">
        <f ca="1">+IF(PROVEEDORES[[#This Row],[FECHA DE PAGO]]=0,TODAY()-PROVEEDORES[[#This Row],[FECHA DE FACTURACIÓN]]-PROVEEDORES[[#This Row],[PLAZO Días]],0)</f>
        <v>0</v>
      </c>
      <c r="U1160" s="150">
        <f>+VLOOKUP(PROVEEDORES[[#This Row],[PROVEEDOR]],Terceros!$A:$E,4,FALSE)</f>
        <v>0</v>
      </c>
      <c r="V1160" s="150">
        <f>+YEAR(PROVEEDORES[[#This Row],[FECHA DE FACTURACIÓN]])</f>
        <v>2024</v>
      </c>
      <c r="W1160" s="150">
        <f>+MATCH(PROVEEDORES[[#This Row],[año facturado]],Retenciones!$1:$1,0)</f>
        <v>7</v>
      </c>
      <c r="X1160" s="151">
        <f>+VLOOKUP(PROVEEDORES[[#This Row],[ID RETENCION]],Retenciones!$A$1:$O$25,PROVEEDORES[[#This Row],[indicador de columna]],FALSE)</f>
        <v>0</v>
      </c>
      <c r="Y1160" s="152">
        <f>+VLOOKUP(PROVEEDORES[[#This Row],[ID RETENCION]],Retenciones!$A$1:$O$25,2,FALSE)</f>
        <v>0</v>
      </c>
      <c r="Z1160" s="153" t="b">
        <f>+OR(COUNTIF(PROVEEDORES[[#This Row],[PROVEEDOR]],"*"&amp;'Palabra que no opera y Listas d'!$A$2&amp;"*"))</f>
        <v>0</v>
      </c>
    </row>
    <row r="1161" spans="1:26" ht="27.75" customHeight="1" x14ac:dyDescent="0.3">
      <c r="A1161" s="144" t="str">
        <f>+IF(PROVEEDORES[[#This Row],[FECHA DE PAGO]]=PROVEEDORES[[#This Row],[FECHA DE FACTURACIÓN]],"DE CONTADO","CRÉDITO")</f>
        <v>CRÉDITO</v>
      </c>
      <c r="B1161" s="144" t="str">
        <f>+IF((PROVEEDORES[[#This Row],[FECHA DE PAGO]]-PROVEEDORES[[#This Row],[FECHA DE FACTURACIÓN]])&gt;PROVEEDORES[[#This Row],[PLAZO Días]],"PAGO VENCIDO")</f>
        <v>PAGO VENCIDO</v>
      </c>
      <c r="C1161" s="144">
        <f>+VLOOKUP(PROVEEDORES[[#This Row],[PROVEEDOR]],TERCEROS_INFO[#All],2,FALSE)</f>
        <v>0</v>
      </c>
      <c r="D1161" s="145">
        <f>+SUMIFS(PROVEEDORES[Total],PROVEEDORES[PROVEEDOR],PROVEEDORES[[#This Row],[PROVEEDOR]],PROVEEDORES[FECHA DE PAGO],"")</f>
        <v>0</v>
      </c>
      <c r="E1161" s="146"/>
      <c r="F1161" s="144">
        <f>+VLOOKUP(PROVEEDORES[[#This Row],[PROVEEDOR]],
                       Terceros!$A:$G,
                       5,
                       FALSE)</f>
        <v>0</v>
      </c>
      <c r="G1161" s="122">
        <v>45309</v>
      </c>
      <c r="H1161" s="102" t="s">
        <v>496</v>
      </c>
      <c r="I1161" s="122">
        <v>45308</v>
      </c>
      <c r="J1161" s="103" t="s">
        <v>1441</v>
      </c>
      <c r="K1161" s="103" t="s">
        <v>1512</v>
      </c>
      <c r="L1161" s="103"/>
      <c r="M1161" s="105">
        <v>5108000</v>
      </c>
      <c r="N1161" s="147">
        <v>0</v>
      </c>
      <c r="O1161" s="147">
        <v>0</v>
      </c>
      <c r="P1161" s="148">
        <v>0</v>
      </c>
      <c r="Q1161" s="147">
        <v>0</v>
      </c>
      <c r="R1161" s="149">
        <v>5108000</v>
      </c>
      <c r="S11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1" s="150">
        <f ca="1">+IF(PROVEEDORES[[#This Row],[FECHA DE PAGO]]=0,TODAY()-PROVEEDORES[[#This Row],[FECHA DE FACTURACIÓN]]-PROVEEDORES[[#This Row],[PLAZO Días]],0)</f>
        <v>0</v>
      </c>
      <c r="U1161" s="150">
        <f>+VLOOKUP(PROVEEDORES[[#This Row],[PROVEEDOR]],Terceros!$A:$E,4,FALSE)</f>
        <v>0</v>
      </c>
      <c r="V1161" s="150">
        <f>+YEAR(PROVEEDORES[[#This Row],[FECHA DE FACTURACIÓN]])</f>
        <v>2024</v>
      </c>
      <c r="W1161" s="150">
        <f>+MATCH(PROVEEDORES[[#This Row],[año facturado]],Retenciones!$1:$1,0)</f>
        <v>7</v>
      </c>
      <c r="X1161" s="151">
        <f>+VLOOKUP(PROVEEDORES[[#This Row],[ID RETENCION]],Retenciones!$A$1:$O$25,PROVEEDORES[[#This Row],[indicador de columna]],FALSE)</f>
        <v>0</v>
      </c>
      <c r="Y1161" s="152">
        <f>+VLOOKUP(PROVEEDORES[[#This Row],[ID RETENCION]],Retenciones!$A$1:$O$25,2,FALSE)</f>
        <v>0</v>
      </c>
      <c r="Z1161" s="153" t="b">
        <f>+OR(COUNTIF(PROVEEDORES[[#This Row],[PROVEEDOR]],"*"&amp;'Palabra que no opera y Listas d'!$A$2&amp;"*"))</f>
        <v>0</v>
      </c>
    </row>
    <row r="1162" spans="1:26" ht="27.75" customHeight="1" x14ac:dyDescent="0.3">
      <c r="A1162" s="144" t="str">
        <f>+IF(PROVEEDORES[[#This Row],[FECHA DE PAGO]]=PROVEEDORES[[#This Row],[FECHA DE FACTURACIÓN]],"DE CONTADO","CRÉDITO")</f>
        <v>CRÉDITO</v>
      </c>
      <c r="B1162" s="144" t="str">
        <f>+IF((PROVEEDORES[[#This Row],[FECHA DE PAGO]]-PROVEEDORES[[#This Row],[FECHA DE FACTURACIÓN]])&gt;PROVEEDORES[[#This Row],[PLAZO Días]],"PAGO VENCIDO")</f>
        <v>PAGO VENCIDO</v>
      </c>
      <c r="C1162" s="144">
        <f>+VLOOKUP(PROVEEDORES[[#This Row],[PROVEEDOR]],TERCEROS_INFO[#All],2,FALSE)</f>
        <v>0</v>
      </c>
      <c r="D1162" s="145">
        <f>+SUMIFS(PROVEEDORES[Total],PROVEEDORES[PROVEEDOR],PROVEEDORES[[#This Row],[PROVEEDOR]],PROVEEDORES[FECHA DE PAGO],"")</f>
        <v>19124998.199999999</v>
      </c>
      <c r="E1162" s="146"/>
      <c r="F1162" s="144">
        <f>+VLOOKUP(PROVEEDORES[[#This Row],[PROVEEDOR]],
                       Terceros!$A:$G,
                       5,
                       FALSE)</f>
        <v>0</v>
      </c>
      <c r="G1162" s="122">
        <v>45310</v>
      </c>
      <c r="H1162" s="102" t="s">
        <v>29</v>
      </c>
      <c r="I1162" s="122">
        <v>45250</v>
      </c>
      <c r="J1162" s="103" t="s">
        <v>1450</v>
      </c>
      <c r="K1162" s="103" t="s">
        <v>1512</v>
      </c>
      <c r="L1162" s="103"/>
      <c r="M1162" s="105">
        <v>98075240</v>
      </c>
      <c r="N1162" s="147">
        <v>0</v>
      </c>
      <c r="O1162" s="147">
        <v>0</v>
      </c>
      <c r="P1162" s="148">
        <v>0</v>
      </c>
      <c r="Q1162" s="147">
        <v>0</v>
      </c>
      <c r="R1162" s="149">
        <v>98075240</v>
      </c>
      <c r="S11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2" s="150">
        <f ca="1">+IF(PROVEEDORES[[#This Row],[FECHA DE PAGO]]=0,TODAY()-PROVEEDORES[[#This Row],[FECHA DE FACTURACIÓN]]-PROVEEDORES[[#This Row],[PLAZO Días]],0)</f>
        <v>0</v>
      </c>
      <c r="U1162" s="150">
        <f>+VLOOKUP(PROVEEDORES[[#This Row],[PROVEEDOR]],Terceros!$A:$E,4,FALSE)</f>
        <v>0</v>
      </c>
      <c r="V1162" s="150">
        <f>+YEAR(PROVEEDORES[[#This Row],[FECHA DE FACTURACIÓN]])</f>
        <v>2023</v>
      </c>
      <c r="W1162" s="150">
        <f>+MATCH(PROVEEDORES[[#This Row],[año facturado]],Retenciones!$1:$1,0)</f>
        <v>6</v>
      </c>
      <c r="X1162" s="151">
        <f>+VLOOKUP(PROVEEDORES[[#This Row],[ID RETENCION]],Retenciones!$A$1:$O$25,PROVEEDORES[[#This Row],[indicador de columna]],FALSE)</f>
        <v>0</v>
      </c>
      <c r="Y1162" s="152">
        <f>+VLOOKUP(PROVEEDORES[[#This Row],[ID RETENCION]],Retenciones!$A$1:$O$25,2,FALSE)</f>
        <v>0</v>
      </c>
      <c r="Z1162" s="153" t="b">
        <f>+OR(COUNTIF(PROVEEDORES[[#This Row],[PROVEEDOR]],"*"&amp;'Palabra que no opera y Listas d'!$A$2&amp;"*"))</f>
        <v>0</v>
      </c>
    </row>
    <row r="1163" spans="1:26" ht="27.75" customHeight="1" x14ac:dyDescent="0.3">
      <c r="A1163" s="144" t="str">
        <f>+IF(PROVEEDORES[[#This Row],[FECHA DE PAGO]]=PROVEEDORES[[#This Row],[FECHA DE FACTURACIÓN]],"DE CONTADO","CRÉDITO")</f>
        <v>CRÉDITO</v>
      </c>
      <c r="B1163" s="144" t="str">
        <f>+IF((PROVEEDORES[[#This Row],[FECHA DE PAGO]]-PROVEEDORES[[#This Row],[FECHA DE FACTURACIÓN]])&gt;PROVEEDORES[[#This Row],[PLAZO Días]],"PAGO VENCIDO")</f>
        <v>PAGO VENCIDO</v>
      </c>
      <c r="C1163" s="144">
        <f>+VLOOKUP(PROVEEDORES[[#This Row],[PROVEEDOR]],TERCEROS_INFO[#All],2,FALSE)</f>
        <v>0</v>
      </c>
      <c r="D1163" s="145">
        <f>+SUMIFS(PROVEEDORES[Total],PROVEEDORES[PROVEEDOR],PROVEEDORES[[#This Row],[PROVEEDOR]],PROVEEDORES[FECHA DE PAGO],"")</f>
        <v>7281829.8799999999</v>
      </c>
      <c r="E1163" s="146"/>
      <c r="F1163" s="144" t="str">
        <f>+VLOOKUP(PROVEEDORES[[#This Row],[PROVEEDOR]],
                       Terceros!$A:$G,
                       5,
                       FALSE)</f>
        <v>2,5% con base</v>
      </c>
      <c r="G1163" s="122">
        <v>45310</v>
      </c>
      <c r="H1163" s="102" t="s">
        <v>1445</v>
      </c>
      <c r="I1163" s="122">
        <v>45272</v>
      </c>
      <c r="J1163" s="103" t="s">
        <v>1357</v>
      </c>
      <c r="K1163" s="103" t="s">
        <v>1512</v>
      </c>
      <c r="L1163" s="103"/>
      <c r="M1163" s="105">
        <v>1577674</v>
      </c>
      <c r="N1163" s="147">
        <v>299758.06</v>
      </c>
      <c r="O1163" s="147">
        <v>0</v>
      </c>
      <c r="P1163" s="148">
        <v>2.5000000000000001E-2</v>
      </c>
      <c r="Q1163" s="147">
        <v>39441.850000000006</v>
      </c>
      <c r="R1163" s="149">
        <v>1837990.21</v>
      </c>
      <c r="S11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3" s="150">
        <f ca="1">+IF(PROVEEDORES[[#This Row],[FECHA DE PAGO]]=0,TODAY()-PROVEEDORES[[#This Row],[FECHA DE FACTURACIÓN]]-PROVEEDORES[[#This Row],[PLAZO Días]],0)</f>
        <v>0</v>
      </c>
      <c r="U1163" s="150">
        <f>+VLOOKUP(PROVEEDORES[[#This Row],[PROVEEDOR]],Terceros!$A:$E,4,FALSE)</f>
        <v>0.19</v>
      </c>
      <c r="V1163" s="150">
        <f>+YEAR(PROVEEDORES[[#This Row],[FECHA DE FACTURACIÓN]])</f>
        <v>2023</v>
      </c>
      <c r="W1163" s="150">
        <f>+MATCH(PROVEEDORES[[#This Row],[año facturado]],Retenciones!$1:$1,0)</f>
        <v>6</v>
      </c>
      <c r="X1163" s="151" t="e">
        <f>+VLOOKUP(PROVEEDORES[[#This Row],[ID RETENCION]],Retenciones!$A$1:$O$25,PROVEEDORES[[#This Row],[indicador de columna]],FALSE)</f>
        <v>#N/A</v>
      </c>
      <c r="Y1163" s="152" t="e">
        <f>+VLOOKUP(PROVEEDORES[[#This Row],[ID RETENCION]],Retenciones!$A$1:$O$25,2,FALSE)</f>
        <v>#N/A</v>
      </c>
      <c r="Z1163" s="153" t="b">
        <f>+OR(COUNTIF(PROVEEDORES[[#This Row],[PROVEEDOR]],"*"&amp;'Palabra que no opera y Listas d'!$A$2&amp;"*"))</f>
        <v>0</v>
      </c>
    </row>
    <row r="1164" spans="1:26" ht="27.75" customHeight="1" x14ac:dyDescent="0.3">
      <c r="A1164" s="144" t="str">
        <f>+IF(PROVEEDORES[[#This Row],[FECHA DE PAGO]]=PROVEEDORES[[#This Row],[FECHA DE FACTURACIÓN]],"DE CONTADO","CRÉDITO")</f>
        <v>DE CONTADO</v>
      </c>
      <c r="B1164" s="144" t="b">
        <f>+IF((PROVEEDORES[[#This Row],[FECHA DE PAGO]]-PROVEEDORES[[#This Row],[FECHA DE FACTURACIÓN]])&gt;PROVEEDORES[[#This Row],[PLAZO Días]],"PAGO VENCIDO")</f>
        <v>0</v>
      </c>
      <c r="C1164" s="144">
        <f>+VLOOKUP(PROVEEDORES[[#This Row],[PROVEEDOR]],TERCEROS_INFO[#All],2,FALSE)</f>
        <v>0</v>
      </c>
      <c r="D1164" s="145">
        <f>+SUMIFS(PROVEEDORES[Total],PROVEEDORES[PROVEEDOR],PROVEEDORES[[#This Row],[PROVEEDOR]],PROVEEDORES[FECHA DE PAGO],"")</f>
        <v>0</v>
      </c>
      <c r="E1164" s="146"/>
      <c r="F1164" s="144">
        <f>+VLOOKUP(PROVEEDORES[[#This Row],[PROVEEDOR]],
                       Terceros!$A:$G,
                       5,
                       FALSE)</f>
        <v>0</v>
      </c>
      <c r="G1164" s="122">
        <v>45310</v>
      </c>
      <c r="H1164" s="102" t="s">
        <v>1438</v>
      </c>
      <c r="I1164" s="122">
        <v>45310</v>
      </c>
      <c r="J1164" s="103" t="s">
        <v>1439</v>
      </c>
      <c r="K1164" s="103" t="s">
        <v>1512</v>
      </c>
      <c r="L1164" s="103"/>
      <c r="M1164" s="105">
        <v>392000</v>
      </c>
      <c r="N1164" s="147">
        <v>0</v>
      </c>
      <c r="O1164" s="147">
        <v>0</v>
      </c>
      <c r="P1164" s="148">
        <v>0</v>
      </c>
      <c r="Q1164" s="147">
        <v>0</v>
      </c>
      <c r="R1164" s="149">
        <v>392000</v>
      </c>
      <c r="S11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4" s="150">
        <f ca="1">+IF(PROVEEDORES[[#This Row],[FECHA DE PAGO]]=0,TODAY()-PROVEEDORES[[#This Row],[FECHA DE FACTURACIÓN]]-PROVEEDORES[[#This Row],[PLAZO Días]],0)</f>
        <v>0</v>
      </c>
      <c r="U1164" s="150">
        <f>+VLOOKUP(PROVEEDORES[[#This Row],[PROVEEDOR]],Terceros!$A:$E,4,FALSE)</f>
        <v>0</v>
      </c>
      <c r="V1164" s="150">
        <f>+YEAR(PROVEEDORES[[#This Row],[FECHA DE FACTURACIÓN]])</f>
        <v>2024</v>
      </c>
      <c r="W1164" s="150">
        <f>+MATCH(PROVEEDORES[[#This Row],[año facturado]],Retenciones!$1:$1,0)</f>
        <v>7</v>
      </c>
      <c r="X1164" s="151">
        <f>+VLOOKUP(PROVEEDORES[[#This Row],[ID RETENCION]],Retenciones!$A$1:$O$25,PROVEEDORES[[#This Row],[indicador de columna]],FALSE)</f>
        <v>0</v>
      </c>
      <c r="Y1164" s="152">
        <f>+VLOOKUP(PROVEEDORES[[#This Row],[ID RETENCION]],Retenciones!$A$1:$O$25,2,FALSE)</f>
        <v>0</v>
      </c>
      <c r="Z1164" s="153" t="b">
        <f>+OR(COUNTIF(PROVEEDORES[[#This Row],[PROVEEDOR]],"*"&amp;'Palabra que no opera y Listas d'!$A$2&amp;"*"))</f>
        <v>0</v>
      </c>
    </row>
    <row r="1165" spans="1:26" ht="27.75" customHeight="1" x14ac:dyDescent="0.3">
      <c r="A1165" s="144" t="str">
        <f>+IF(PROVEEDORES[[#This Row],[FECHA DE PAGO]]=PROVEEDORES[[#This Row],[FECHA DE FACTURACIÓN]],"DE CONTADO","CRÉDITO")</f>
        <v>DE CONTADO</v>
      </c>
      <c r="B1165" s="144" t="b">
        <f>+IF((PROVEEDORES[[#This Row],[FECHA DE PAGO]]-PROVEEDORES[[#This Row],[FECHA DE FACTURACIÓN]])&gt;PROVEEDORES[[#This Row],[PLAZO Días]],"PAGO VENCIDO")</f>
        <v>0</v>
      </c>
      <c r="C1165" s="144">
        <f>+VLOOKUP(PROVEEDORES[[#This Row],[PROVEEDOR]],TERCEROS_INFO[#All],2,FALSE)</f>
        <v>0</v>
      </c>
      <c r="D1165" s="145">
        <f>+SUMIFS(PROVEEDORES[Total],PROVEEDORES[PROVEEDOR],PROVEEDORES[[#This Row],[PROVEEDOR]],PROVEEDORES[FECHA DE PAGO],"")</f>
        <v>550000</v>
      </c>
      <c r="E1165" s="146"/>
      <c r="F1165" s="144">
        <f>+VLOOKUP(PROVEEDORES[[#This Row],[PROVEEDOR]],
                       Terceros!$A:$G,
                       5,
                       FALSE)</f>
        <v>0</v>
      </c>
      <c r="G1165" s="122">
        <v>45311</v>
      </c>
      <c r="H1165" s="102" t="s">
        <v>1784</v>
      </c>
      <c r="I1165" s="122">
        <v>45311</v>
      </c>
      <c r="J1165" s="103"/>
      <c r="K1165" s="103" t="s">
        <v>1512</v>
      </c>
      <c r="L1165" s="103"/>
      <c r="M1165" s="105">
        <v>280000</v>
      </c>
      <c r="N1165" s="147">
        <v>0</v>
      </c>
      <c r="O1165" s="147">
        <v>0</v>
      </c>
      <c r="P1165" s="148">
        <v>0</v>
      </c>
      <c r="Q1165" s="147">
        <v>0</v>
      </c>
      <c r="R1165" s="149">
        <v>280000</v>
      </c>
      <c r="S11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5" s="150">
        <f ca="1">+IF(PROVEEDORES[[#This Row],[FECHA DE PAGO]]=0,TODAY()-PROVEEDORES[[#This Row],[FECHA DE FACTURACIÓN]]-PROVEEDORES[[#This Row],[PLAZO Días]],0)</f>
        <v>0</v>
      </c>
      <c r="U1165" s="150">
        <f>+VLOOKUP(PROVEEDORES[[#This Row],[PROVEEDOR]],Terceros!$A:$E,4,FALSE)</f>
        <v>0</v>
      </c>
      <c r="V1165" s="150">
        <f>+YEAR(PROVEEDORES[[#This Row],[FECHA DE FACTURACIÓN]])</f>
        <v>2024</v>
      </c>
      <c r="W1165" s="150">
        <f>+MATCH(PROVEEDORES[[#This Row],[año facturado]],Retenciones!$1:$1,0)</f>
        <v>7</v>
      </c>
      <c r="X1165" s="151">
        <f>+VLOOKUP(PROVEEDORES[[#This Row],[ID RETENCION]],Retenciones!$A$1:$O$25,PROVEEDORES[[#This Row],[indicador de columna]],FALSE)</f>
        <v>0</v>
      </c>
      <c r="Y1165" s="152">
        <f>+VLOOKUP(PROVEEDORES[[#This Row],[ID RETENCION]],Retenciones!$A$1:$O$25,2,FALSE)</f>
        <v>0</v>
      </c>
      <c r="Z1165" s="153" t="b">
        <f>+OR(COUNTIF(PROVEEDORES[[#This Row],[PROVEEDOR]],"*"&amp;'Palabra que no opera y Listas d'!$A$2&amp;"*"))</f>
        <v>0</v>
      </c>
    </row>
    <row r="1166" spans="1:26" ht="27.75" customHeight="1" x14ac:dyDescent="0.3">
      <c r="A1166" s="144" t="str">
        <f>+IF(PROVEEDORES[[#This Row],[FECHA DE PAGO]]=PROVEEDORES[[#This Row],[FECHA DE FACTURACIÓN]],"DE CONTADO","CRÉDITO")</f>
        <v>DE CONTADO</v>
      </c>
      <c r="B1166" s="144" t="b">
        <f>+IF((PROVEEDORES[[#This Row],[FECHA DE PAGO]]-PROVEEDORES[[#This Row],[FECHA DE FACTURACIÓN]])&gt;PROVEEDORES[[#This Row],[PLAZO Días]],"PAGO VENCIDO")</f>
        <v>0</v>
      </c>
      <c r="C1166" s="144">
        <f>+VLOOKUP(PROVEEDORES[[#This Row],[PROVEEDOR]],TERCEROS_INFO[#All],2,FALSE)</f>
        <v>0</v>
      </c>
      <c r="D1166" s="145">
        <f>+SUMIFS(PROVEEDORES[Total],PROVEEDORES[PROVEEDOR],PROVEEDORES[[#This Row],[PROVEEDOR]],PROVEEDORES[FECHA DE PAGO],"")</f>
        <v>550000</v>
      </c>
      <c r="E1166" s="146"/>
      <c r="F1166" s="144">
        <f>+VLOOKUP(PROVEEDORES[[#This Row],[PROVEEDOR]],
                       Terceros!$A:$G,
                       5,
                       FALSE)</f>
        <v>0</v>
      </c>
      <c r="G1166" s="122">
        <v>45311</v>
      </c>
      <c r="H1166" s="102" t="s">
        <v>1784</v>
      </c>
      <c r="I1166" s="122">
        <v>45311</v>
      </c>
      <c r="J1166" s="103" t="s">
        <v>1440</v>
      </c>
      <c r="K1166" s="103" t="s">
        <v>1512</v>
      </c>
      <c r="L1166" s="103"/>
      <c r="M1166" s="105">
        <v>880000</v>
      </c>
      <c r="N1166" s="147">
        <v>0</v>
      </c>
      <c r="O1166" s="147">
        <v>0</v>
      </c>
      <c r="P1166" s="148">
        <v>0</v>
      </c>
      <c r="Q1166" s="147">
        <v>0</v>
      </c>
      <c r="R1166" s="149">
        <v>880000</v>
      </c>
      <c r="S11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6" s="150">
        <f ca="1">+IF(PROVEEDORES[[#This Row],[FECHA DE PAGO]]=0,TODAY()-PROVEEDORES[[#This Row],[FECHA DE FACTURACIÓN]]-PROVEEDORES[[#This Row],[PLAZO Días]],0)</f>
        <v>0</v>
      </c>
      <c r="U1166" s="150">
        <f>+VLOOKUP(PROVEEDORES[[#This Row],[PROVEEDOR]],Terceros!$A:$E,4,FALSE)</f>
        <v>0</v>
      </c>
      <c r="V1166" s="150">
        <f>+YEAR(PROVEEDORES[[#This Row],[FECHA DE FACTURACIÓN]])</f>
        <v>2024</v>
      </c>
      <c r="W1166" s="150">
        <f>+MATCH(PROVEEDORES[[#This Row],[año facturado]],Retenciones!$1:$1,0)</f>
        <v>7</v>
      </c>
      <c r="X1166" s="151">
        <f>+VLOOKUP(PROVEEDORES[[#This Row],[ID RETENCION]],Retenciones!$A$1:$O$25,PROVEEDORES[[#This Row],[indicador de columna]],FALSE)</f>
        <v>0</v>
      </c>
      <c r="Y1166" s="152">
        <f>+VLOOKUP(PROVEEDORES[[#This Row],[ID RETENCION]],Retenciones!$A$1:$O$25,2,FALSE)</f>
        <v>0</v>
      </c>
      <c r="Z1166" s="153" t="b">
        <f>+OR(COUNTIF(PROVEEDORES[[#This Row],[PROVEEDOR]],"*"&amp;'Palabra que no opera y Listas d'!$A$2&amp;"*"))</f>
        <v>0</v>
      </c>
    </row>
    <row r="1167" spans="1:26" ht="27.75" customHeight="1" x14ac:dyDescent="0.3">
      <c r="A1167" s="144" t="str">
        <f>+IF(PROVEEDORES[[#This Row],[FECHA DE PAGO]]=PROVEEDORES[[#This Row],[FECHA DE FACTURACIÓN]],"DE CONTADO","CRÉDITO")</f>
        <v>CRÉDITO</v>
      </c>
      <c r="B1167" s="144" t="b">
        <f>+IF((PROVEEDORES[[#This Row],[FECHA DE PAGO]]-PROVEEDORES[[#This Row],[FECHA DE FACTURACIÓN]])&gt;PROVEEDORES[[#This Row],[PLAZO Días]],"PAGO VENCIDO")</f>
        <v>0</v>
      </c>
      <c r="C1167" s="144">
        <f>+VLOOKUP(PROVEEDORES[[#This Row],[PROVEEDOR]],TERCEROS_INFO[#All],2,FALSE)</f>
        <v>0</v>
      </c>
      <c r="D1167" s="145">
        <f>+SUMIFS(PROVEEDORES[Total],PROVEEDORES[PROVEEDOR],PROVEEDORES[[#This Row],[PROVEEDOR]],PROVEEDORES[FECHA DE PAGO],"")</f>
        <v>0</v>
      </c>
      <c r="E1167" s="146"/>
      <c r="F1167" s="144">
        <f>+VLOOKUP(PROVEEDORES[[#This Row],[PROVEEDOR]],
                       Terceros!$A:$G,
                       5,
                       FALSE)</f>
        <v>0</v>
      </c>
      <c r="G1167" s="122">
        <v>45313</v>
      </c>
      <c r="H1167" s="102" t="s">
        <v>397</v>
      </c>
      <c r="I1167" s="122">
        <v>45323</v>
      </c>
      <c r="J1167" s="103" t="s">
        <v>1455</v>
      </c>
      <c r="K1167" s="103" t="s">
        <v>1512</v>
      </c>
      <c r="L1167" s="103"/>
      <c r="M1167" s="105">
        <v>25000</v>
      </c>
      <c r="N1167" s="147">
        <v>0</v>
      </c>
      <c r="O1167" s="147">
        <v>0</v>
      </c>
      <c r="P1167" s="148">
        <v>0</v>
      </c>
      <c r="Q1167" s="147">
        <v>0</v>
      </c>
      <c r="R1167" s="149">
        <v>25000</v>
      </c>
      <c r="S11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7" s="150">
        <f ca="1">+IF(PROVEEDORES[[#This Row],[FECHA DE PAGO]]=0,TODAY()-PROVEEDORES[[#This Row],[FECHA DE FACTURACIÓN]]-PROVEEDORES[[#This Row],[PLAZO Días]],0)</f>
        <v>0</v>
      </c>
      <c r="U1167" s="150">
        <f>+VLOOKUP(PROVEEDORES[[#This Row],[PROVEEDOR]],Terceros!$A:$E,4,FALSE)</f>
        <v>0</v>
      </c>
      <c r="V1167" s="150">
        <f>+YEAR(PROVEEDORES[[#This Row],[FECHA DE FACTURACIÓN]])</f>
        <v>2024</v>
      </c>
      <c r="W1167" s="150">
        <f>+MATCH(PROVEEDORES[[#This Row],[año facturado]],Retenciones!$1:$1,0)</f>
        <v>7</v>
      </c>
      <c r="X1167" s="151">
        <f>+VLOOKUP(PROVEEDORES[[#This Row],[ID RETENCION]],Retenciones!$A$1:$O$25,PROVEEDORES[[#This Row],[indicador de columna]],FALSE)</f>
        <v>0</v>
      </c>
      <c r="Y1167" s="152">
        <f>+VLOOKUP(PROVEEDORES[[#This Row],[ID RETENCION]],Retenciones!$A$1:$O$25,2,FALSE)</f>
        <v>0</v>
      </c>
      <c r="Z1167" s="153" t="b">
        <f>+OR(COUNTIF(PROVEEDORES[[#This Row],[PROVEEDOR]],"*"&amp;'Palabra que no opera y Listas d'!$A$2&amp;"*"))</f>
        <v>1</v>
      </c>
    </row>
    <row r="1168" spans="1:26" ht="27.75" customHeight="1" x14ac:dyDescent="0.3">
      <c r="A1168" s="144" t="str">
        <f>+IF(PROVEEDORES[[#This Row],[FECHA DE PAGO]]=PROVEEDORES[[#This Row],[FECHA DE FACTURACIÓN]],"DE CONTADO","CRÉDITO")</f>
        <v>CRÉDITO</v>
      </c>
      <c r="B1168" s="144" t="str">
        <f>+IF((PROVEEDORES[[#This Row],[FECHA DE PAGO]]-PROVEEDORES[[#This Row],[FECHA DE FACTURACIÓN]])&gt;PROVEEDORES[[#This Row],[PLAZO Días]],"PAGO VENCIDO")</f>
        <v>PAGO VENCIDO</v>
      </c>
      <c r="C1168" s="144">
        <f>+VLOOKUP(PROVEEDORES[[#This Row],[PROVEEDOR]],TERCEROS_INFO[#All],2,FALSE)</f>
        <v>0</v>
      </c>
      <c r="D1168" s="145">
        <f>+SUMIFS(PROVEEDORES[Total],PROVEEDORES[PROVEEDOR],PROVEEDORES[[#This Row],[PROVEEDOR]],PROVEEDORES[FECHA DE PAGO],"")</f>
        <v>19124998.199999999</v>
      </c>
      <c r="E1168" s="146"/>
      <c r="F1168" s="144">
        <f>+VLOOKUP(PROVEEDORES[[#This Row],[PROVEEDOR]],
                       Terceros!$A:$G,
                       5,
                       FALSE)</f>
        <v>0</v>
      </c>
      <c r="G1168" s="122">
        <v>45314</v>
      </c>
      <c r="H1168" s="102" t="s">
        <v>29</v>
      </c>
      <c r="I1168" s="122">
        <v>45247</v>
      </c>
      <c r="J1168" s="103" t="s">
        <v>1449</v>
      </c>
      <c r="K1168" s="103" t="s">
        <v>1512</v>
      </c>
      <c r="L1168" s="103"/>
      <c r="M1168" s="105">
        <v>14553283</v>
      </c>
      <c r="N1168" s="147">
        <v>0</v>
      </c>
      <c r="O1168" s="147">
        <v>0</v>
      </c>
      <c r="P1168" s="148">
        <v>0</v>
      </c>
      <c r="Q1168" s="147">
        <v>0</v>
      </c>
      <c r="R1168" s="149">
        <v>14553283</v>
      </c>
      <c r="S11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8" s="150">
        <f ca="1">+IF(PROVEEDORES[[#This Row],[FECHA DE PAGO]]=0,TODAY()-PROVEEDORES[[#This Row],[FECHA DE FACTURACIÓN]]-PROVEEDORES[[#This Row],[PLAZO Días]],0)</f>
        <v>0</v>
      </c>
      <c r="U1168" s="150">
        <f>+VLOOKUP(PROVEEDORES[[#This Row],[PROVEEDOR]],Terceros!$A:$E,4,FALSE)</f>
        <v>0</v>
      </c>
      <c r="V1168" s="150">
        <f>+YEAR(PROVEEDORES[[#This Row],[FECHA DE FACTURACIÓN]])</f>
        <v>2023</v>
      </c>
      <c r="W1168" s="150">
        <f>+MATCH(PROVEEDORES[[#This Row],[año facturado]],Retenciones!$1:$1,0)</f>
        <v>6</v>
      </c>
      <c r="X1168" s="151">
        <f>+VLOOKUP(PROVEEDORES[[#This Row],[ID RETENCION]],Retenciones!$A$1:$O$25,PROVEEDORES[[#This Row],[indicador de columna]],FALSE)</f>
        <v>0</v>
      </c>
      <c r="Y1168" s="152">
        <f>+VLOOKUP(PROVEEDORES[[#This Row],[ID RETENCION]],Retenciones!$A$1:$O$25,2,FALSE)</f>
        <v>0</v>
      </c>
      <c r="Z1168" s="153" t="b">
        <f>+OR(COUNTIF(PROVEEDORES[[#This Row],[PROVEEDOR]],"*"&amp;'Palabra que no opera y Listas d'!$A$2&amp;"*"))</f>
        <v>0</v>
      </c>
    </row>
    <row r="1169" spans="1:26" ht="27.75" customHeight="1" x14ac:dyDescent="0.3">
      <c r="A1169" s="144" t="str">
        <f>+IF(PROVEEDORES[[#This Row],[FECHA DE PAGO]]=PROVEEDORES[[#This Row],[FECHA DE FACTURACIÓN]],"DE CONTADO","CRÉDITO")</f>
        <v>CRÉDITO</v>
      </c>
      <c r="B1169" s="144" t="str">
        <f>+IF((PROVEEDORES[[#This Row],[FECHA DE PAGO]]-PROVEEDORES[[#This Row],[FECHA DE FACTURACIÓN]])&gt;PROVEEDORES[[#This Row],[PLAZO Días]],"PAGO VENCIDO")</f>
        <v>PAGO VENCIDO</v>
      </c>
      <c r="C1169" s="144">
        <f>+VLOOKUP(PROVEEDORES[[#This Row],[PROVEEDOR]],TERCEROS_INFO[#All],2,FALSE)</f>
        <v>0</v>
      </c>
      <c r="D1169" s="145">
        <f>+SUMIFS(PROVEEDORES[Total],PROVEEDORES[PROVEEDOR],PROVEEDORES[[#This Row],[PROVEEDOR]],PROVEEDORES[FECHA DE PAGO],"")</f>
        <v>0</v>
      </c>
      <c r="E1169" s="146"/>
      <c r="F1169" s="144" t="str">
        <f>+VLOOKUP(PROVEEDORES[[#This Row],[PROVEEDOR]],
                       Terceros!$A:$G,
                       5,
                       FALSE)</f>
        <v>2,5% con base</v>
      </c>
      <c r="G1169" s="122">
        <v>45314</v>
      </c>
      <c r="H1169" s="102" t="s">
        <v>71</v>
      </c>
      <c r="I1169" s="122">
        <v>45251</v>
      </c>
      <c r="J1169" s="103" t="s">
        <v>1509</v>
      </c>
      <c r="K1169" s="103" t="s">
        <v>1512</v>
      </c>
      <c r="L1169" s="103"/>
      <c r="M1169" s="105">
        <v>8710860</v>
      </c>
      <c r="N1169" s="147">
        <v>1655063.4</v>
      </c>
      <c r="O1169" s="147">
        <v>0</v>
      </c>
      <c r="P1169" s="148">
        <v>2.5000000000000001E-2</v>
      </c>
      <c r="Q1169" s="147">
        <v>217771.5</v>
      </c>
      <c r="R1169" s="149">
        <v>10148151.9</v>
      </c>
      <c r="S11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9" s="150">
        <f ca="1">+IF(PROVEEDORES[[#This Row],[FECHA DE PAGO]]=0,TODAY()-PROVEEDORES[[#This Row],[FECHA DE FACTURACIÓN]]-PROVEEDORES[[#This Row],[PLAZO Días]],0)</f>
        <v>0</v>
      </c>
      <c r="U1169" s="150">
        <f>+VLOOKUP(PROVEEDORES[[#This Row],[PROVEEDOR]],Terceros!$A:$E,4,FALSE)</f>
        <v>0.19</v>
      </c>
      <c r="V1169" s="150">
        <f>+YEAR(PROVEEDORES[[#This Row],[FECHA DE FACTURACIÓN]])</f>
        <v>2023</v>
      </c>
      <c r="W1169" s="150">
        <f>+MATCH(PROVEEDORES[[#This Row],[año facturado]],Retenciones!$1:$1,0)</f>
        <v>6</v>
      </c>
      <c r="X1169" s="151" t="e">
        <f>+VLOOKUP(PROVEEDORES[[#This Row],[ID RETENCION]],Retenciones!$A$1:$O$25,PROVEEDORES[[#This Row],[indicador de columna]],FALSE)</f>
        <v>#N/A</v>
      </c>
      <c r="Y1169" s="152" t="e">
        <f>+VLOOKUP(PROVEEDORES[[#This Row],[ID RETENCION]],Retenciones!$A$1:$O$25,2,FALSE)</f>
        <v>#N/A</v>
      </c>
      <c r="Z1169" s="153" t="b">
        <f>+OR(COUNTIF(PROVEEDORES[[#This Row],[PROVEEDOR]],"*"&amp;'Palabra que no opera y Listas d'!$A$2&amp;"*"))</f>
        <v>0</v>
      </c>
    </row>
    <row r="1170" spans="1:26" ht="27.75" customHeight="1" x14ac:dyDescent="0.3">
      <c r="A1170" s="144" t="str">
        <f>+IF(PROVEEDORES[[#This Row],[FECHA DE PAGO]]=PROVEEDORES[[#This Row],[FECHA DE FACTURACIÓN]],"DE CONTADO","CRÉDITO")</f>
        <v>CRÉDITO</v>
      </c>
      <c r="B1170" s="144" t="str">
        <f>+IF((PROVEEDORES[[#This Row],[FECHA DE PAGO]]-PROVEEDORES[[#This Row],[FECHA DE FACTURACIÓN]])&gt;PROVEEDORES[[#This Row],[PLAZO Días]],"PAGO VENCIDO")</f>
        <v>PAGO VENCIDO</v>
      </c>
      <c r="C1170" s="144">
        <f>+VLOOKUP(PROVEEDORES[[#This Row],[PROVEEDOR]],TERCEROS_INFO[#All],2,FALSE)</f>
        <v>0</v>
      </c>
      <c r="D1170" s="145">
        <f>+SUMIFS(PROVEEDORES[Total],PROVEEDORES[PROVEEDOR],PROVEEDORES[[#This Row],[PROVEEDOR]],PROVEEDORES[FECHA DE PAGO],"")</f>
        <v>0</v>
      </c>
      <c r="E1170" s="146"/>
      <c r="F1170" s="144" t="str">
        <f>+VLOOKUP(PROVEEDORES[[#This Row],[PROVEEDOR]],
                       Terceros!$A:$G,
                       5,
                       FALSE)</f>
        <v>2,5% con base</v>
      </c>
      <c r="G1170" s="122">
        <v>45314</v>
      </c>
      <c r="H1170" s="102" t="s">
        <v>71</v>
      </c>
      <c r="I1170" s="122">
        <v>45271</v>
      </c>
      <c r="J1170" s="103" t="s">
        <v>1354</v>
      </c>
      <c r="K1170" s="103" t="s">
        <v>1512</v>
      </c>
      <c r="L1170" s="103"/>
      <c r="M1170" s="105">
        <v>3963010</v>
      </c>
      <c r="N1170" s="147">
        <v>752971.9</v>
      </c>
      <c r="O1170" s="147">
        <v>0</v>
      </c>
      <c r="P1170" s="148">
        <v>2.5000000000000001E-2</v>
      </c>
      <c r="Q1170" s="147">
        <v>99075.25</v>
      </c>
      <c r="R1170" s="149">
        <v>4616906.6500000004</v>
      </c>
      <c r="S11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0" s="150">
        <f ca="1">+IF(PROVEEDORES[[#This Row],[FECHA DE PAGO]]=0,TODAY()-PROVEEDORES[[#This Row],[FECHA DE FACTURACIÓN]]-PROVEEDORES[[#This Row],[PLAZO Días]],0)</f>
        <v>0</v>
      </c>
      <c r="U1170" s="150">
        <f>+VLOOKUP(PROVEEDORES[[#This Row],[PROVEEDOR]],Terceros!$A:$E,4,FALSE)</f>
        <v>0.19</v>
      </c>
      <c r="V1170" s="150">
        <f>+YEAR(PROVEEDORES[[#This Row],[FECHA DE FACTURACIÓN]])</f>
        <v>2023</v>
      </c>
      <c r="W1170" s="150">
        <f>+MATCH(PROVEEDORES[[#This Row],[año facturado]],Retenciones!$1:$1,0)</f>
        <v>6</v>
      </c>
      <c r="X1170" s="151" t="e">
        <f>+VLOOKUP(PROVEEDORES[[#This Row],[ID RETENCION]],Retenciones!$A$1:$O$25,PROVEEDORES[[#This Row],[indicador de columna]],FALSE)</f>
        <v>#N/A</v>
      </c>
      <c r="Y1170" s="152" t="e">
        <f>+VLOOKUP(PROVEEDORES[[#This Row],[ID RETENCION]],Retenciones!$A$1:$O$25,2,FALSE)</f>
        <v>#N/A</v>
      </c>
      <c r="Z1170" s="153" t="b">
        <f>+OR(COUNTIF(PROVEEDORES[[#This Row],[PROVEEDOR]],"*"&amp;'Palabra que no opera y Listas d'!$A$2&amp;"*"))</f>
        <v>0</v>
      </c>
    </row>
    <row r="1171" spans="1:26" ht="27.75" customHeight="1" x14ac:dyDescent="0.3">
      <c r="A1171" s="144" t="str">
        <f>+IF(PROVEEDORES[[#This Row],[FECHA DE PAGO]]=PROVEEDORES[[#This Row],[FECHA DE FACTURACIÓN]],"DE CONTADO","CRÉDITO")</f>
        <v>CRÉDITO</v>
      </c>
      <c r="B1171" s="144" t="str">
        <f>+IF((PROVEEDORES[[#This Row],[FECHA DE PAGO]]-PROVEEDORES[[#This Row],[FECHA DE FACTURACIÓN]])&gt;PROVEEDORES[[#This Row],[PLAZO Días]],"PAGO VENCIDO")</f>
        <v>PAGO VENCIDO</v>
      </c>
      <c r="C1171" s="144">
        <f>+VLOOKUP(PROVEEDORES[[#This Row],[PROVEEDOR]],TERCEROS_INFO[#All],2,FALSE)</f>
        <v>0</v>
      </c>
      <c r="D1171" s="145">
        <f>+SUMIFS(PROVEEDORES[Total],PROVEEDORES[PROVEEDOR],PROVEEDORES[[#This Row],[PROVEEDOR]],PROVEEDORES[FECHA DE PAGO],"")</f>
        <v>0</v>
      </c>
      <c r="E1171" s="146"/>
      <c r="F1171" s="144" t="str">
        <f>+VLOOKUP(PROVEEDORES[[#This Row],[PROVEEDOR]],
                       Terceros!$A:$G,
                       5,
                       FALSE)</f>
        <v>2,5% con base</v>
      </c>
      <c r="G1171" s="122">
        <v>45314</v>
      </c>
      <c r="H1171" s="102" t="s">
        <v>71</v>
      </c>
      <c r="I1171" s="122">
        <v>45274</v>
      </c>
      <c r="J1171" s="103" t="s">
        <v>1508</v>
      </c>
      <c r="K1171" s="103" t="s">
        <v>1512</v>
      </c>
      <c r="L1171" s="103"/>
      <c r="M1171" s="105">
        <v>10849593</v>
      </c>
      <c r="N1171" s="147">
        <v>2061422.67</v>
      </c>
      <c r="O1171" s="147">
        <v>0</v>
      </c>
      <c r="P1171" s="148">
        <v>2.5000000000000001E-2</v>
      </c>
      <c r="Q1171" s="147">
        <v>271239.82500000001</v>
      </c>
      <c r="R1171" s="149">
        <v>12639775.845000001</v>
      </c>
      <c r="S11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1" s="150">
        <f ca="1">+IF(PROVEEDORES[[#This Row],[FECHA DE PAGO]]=0,TODAY()-PROVEEDORES[[#This Row],[FECHA DE FACTURACIÓN]]-PROVEEDORES[[#This Row],[PLAZO Días]],0)</f>
        <v>0</v>
      </c>
      <c r="U1171" s="150">
        <f>+VLOOKUP(PROVEEDORES[[#This Row],[PROVEEDOR]],Terceros!$A:$E,4,FALSE)</f>
        <v>0.19</v>
      </c>
      <c r="V1171" s="150">
        <f>+YEAR(PROVEEDORES[[#This Row],[FECHA DE FACTURACIÓN]])</f>
        <v>2023</v>
      </c>
      <c r="W1171" s="150">
        <f>+MATCH(PROVEEDORES[[#This Row],[año facturado]],Retenciones!$1:$1,0)</f>
        <v>6</v>
      </c>
      <c r="X1171" s="151" t="e">
        <f>+VLOOKUP(PROVEEDORES[[#This Row],[ID RETENCION]],Retenciones!$A$1:$O$25,PROVEEDORES[[#This Row],[indicador de columna]],FALSE)</f>
        <v>#N/A</v>
      </c>
      <c r="Y1171" s="152" t="e">
        <f>+VLOOKUP(PROVEEDORES[[#This Row],[ID RETENCION]],Retenciones!$A$1:$O$25,2,FALSE)</f>
        <v>#N/A</v>
      </c>
      <c r="Z1171" s="153" t="b">
        <f>+OR(COUNTIF(PROVEEDORES[[#This Row],[PROVEEDOR]],"*"&amp;'Palabra que no opera y Listas d'!$A$2&amp;"*"))</f>
        <v>0</v>
      </c>
    </row>
    <row r="1172" spans="1:26" ht="27.75" customHeight="1" x14ac:dyDescent="0.3">
      <c r="A1172" s="144" t="str">
        <f>+IF(PROVEEDORES[[#This Row],[FECHA DE PAGO]]=PROVEEDORES[[#This Row],[FECHA DE FACTURACIÓN]],"DE CONTADO","CRÉDITO")</f>
        <v>DE CONTADO</v>
      </c>
      <c r="B1172" s="144" t="b">
        <f>+IF((PROVEEDORES[[#This Row],[FECHA DE PAGO]]-PROVEEDORES[[#This Row],[FECHA DE FACTURACIÓN]])&gt;PROVEEDORES[[#This Row],[PLAZO Días]],"PAGO VENCIDO")</f>
        <v>0</v>
      </c>
      <c r="C1172" s="144">
        <f>+VLOOKUP(PROVEEDORES[[#This Row],[PROVEEDOR]],TERCEROS_INFO[#All],2,FALSE)</f>
        <v>0</v>
      </c>
      <c r="D1172" s="145">
        <f>+SUMIFS(PROVEEDORES[Total],PROVEEDORES[PROVEEDOR],PROVEEDORES[[#This Row],[PROVEEDOR]],PROVEEDORES[FECHA DE PAGO],"")</f>
        <v>560900</v>
      </c>
      <c r="E1172" s="146"/>
      <c r="F1172" s="144" t="str">
        <f>+VLOOKUP(PROVEEDORES[[#This Row],[PROVEEDOR]],
                       Terceros!$A:$G,
                       5,
                       FALSE)</f>
        <v>2,5% con base</v>
      </c>
      <c r="G1172" s="122">
        <v>45314</v>
      </c>
      <c r="H1172" s="102" t="s">
        <v>1464</v>
      </c>
      <c r="I1172" s="122">
        <v>45314</v>
      </c>
      <c r="J1172" s="103" t="s">
        <v>1465</v>
      </c>
      <c r="K1172" s="103" t="s">
        <v>1512</v>
      </c>
      <c r="L1172" s="103"/>
      <c r="M1172" s="105">
        <v>72000</v>
      </c>
      <c r="N1172" s="147">
        <v>13680</v>
      </c>
      <c r="O1172" s="147">
        <v>0</v>
      </c>
      <c r="P1172" s="148">
        <v>0</v>
      </c>
      <c r="Q1172" s="147">
        <v>0</v>
      </c>
      <c r="R1172" s="149">
        <v>85680</v>
      </c>
      <c r="S11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2" s="150">
        <f ca="1">+IF(PROVEEDORES[[#This Row],[FECHA DE PAGO]]=0,TODAY()-PROVEEDORES[[#This Row],[FECHA DE FACTURACIÓN]]-PROVEEDORES[[#This Row],[PLAZO Días]],0)</f>
        <v>0</v>
      </c>
      <c r="U1172" s="150">
        <f>+VLOOKUP(PROVEEDORES[[#This Row],[PROVEEDOR]],Terceros!$A:$E,4,FALSE)</f>
        <v>0.19</v>
      </c>
      <c r="V1172" s="150">
        <f>+YEAR(PROVEEDORES[[#This Row],[FECHA DE FACTURACIÓN]])</f>
        <v>2024</v>
      </c>
      <c r="W1172" s="150">
        <f>+MATCH(PROVEEDORES[[#This Row],[año facturado]],Retenciones!$1:$1,0)</f>
        <v>7</v>
      </c>
      <c r="X1172" s="151" t="e">
        <f>+VLOOKUP(PROVEEDORES[[#This Row],[ID RETENCION]],Retenciones!$A$1:$O$25,PROVEEDORES[[#This Row],[indicador de columna]],FALSE)</f>
        <v>#N/A</v>
      </c>
      <c r="Y1172" s="152" t="e">
        <f>+VLOOKUP(PROVEEDORES[[#This Row],[ID RETENCION]],Retenciones!$A$1:$O$25,2,FALSE)</f>
        <v>#N/A</v>
      </c>
      <c r="Z1172" s="153" t="b">
        <f>+OR(COUNTIF(PROVEEDORES[[#This Row],[PROVEEDOR]],"*"&amp;'Palabra que no opera y Listas d'!$A$2&amp;"*"))</f>
        <v>0</v>
      </c>
    </row>
    <row r="1173" spans="1:26" ht="27.75" customHeight="1" x14ac:dyDescent="0.3">
      <c r="A1173" s="144" t="str">
        <f>+IF(PROVEEDORES[[#This Row],[FECHA DE PAGO]]=PROVEEDORES[[#This Row],[FECHA DE FACTURACIÓN]],"DE CONTADO","CRÉDITO")</f>
        <v>DE CONTADO</v>
      </c>
      <c r="B1173" s="144" t="b">
        <f>+IF((PROVEEDORES[[#This Row],[FECHA DE PAGO]]-PROVEEDORES[[#This Row],[FECHA DE FACTURACIÓN]])&gt;PROVEEDORES[[#This Row],[PLAZO Días]],"PAGO VENCIDO")</f>
        <v>0</v>
      </c>
      <c r="C1173" s="144">
        <f>+VLOOKUP(PROVEEDORES[[#This Row],[PROVEEDOR]],TERCEROS_INFO[#All],2,FALSE)</f>
        <v>0</v>
      </c>
      <c r="D1173" s="145">
        <f>+SUMIFS(PROVEEDORES[Total],PROVEEDORES[PROVEEDOR],PROVEEDORES[[#This Row],[PROVEEDOR]],PROVEEDORES[FECHA DE PAGO],"")</f>
        <v>0</v>
      </c>
      <c r="E1173" s="146"/>
      <c r="F1173" s="144">
        <f>+VLOOKUP(PROVEEDORES[[#This Row],[PROVEEDOR]],
                       Terceros!$A:$G,
                       5,
                       FALSE)</f>
        <v>0</v>
      </c>
      <c r="G1173" s="122">
        <v>45315</v>
      </c>
      <c r="H1173" s="102" t="s">
        <v>1801</v>
      </c>
      <c r="I1173" s="122">
        <v>45315</v>
      </c>
      <c r="J1173" s="103"/>
      <c r="K1173" s="103" t="s">
        <v>1512</v>
      </c>
      <c r="L1173" s="103"/>
      <c r="M1173" s="105">
        <v>1032800</v>
      </c>
      <c r="N1173" s="147">
        <v>0</v>
      </c>
      <c r="O1173" s="147">
        <v>0</v>
      </c>
      <c r="P1173" s="148">
        <v>0</v>
      </c>
      <c r="Q1173" s="147">
        <v>0</v>
      </c>
      <c r="R1173" s="149">
        <v>1032800</v>
      </c>
      <c r="S11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3" s="150">
        <f ca="1">+IF(PROVEEDORES[[#This Row],[FECHA DE PAGO]]=0,TODAY()-PROVEEDORES[[#This Row],[FECHA DE FACTURACIÓN]]-PROVEEDORES[[#This Row],[PLAZO Días]],0)</f>
        <v>0</v>
      </c>
      <c r="U1173" s="150">
        <f>+VLOOKUP(PROVEEDORES[[#This Row],[PROVEEDOR]],Terceros!$A:$E,4,FALSE)</f>
        <v>0</v>
      </c>
      <c r="V1173" s="150">
        <f>+YEAR(PROVEEDORES[[#This Row],[FECHA DE FACTURACIÓN]])</f>
        <v>2024</v>
      </c>
      <c r="W1173" s="150">
        <f>+MATCH(PROVEEDORES[[#This Row],[año facturado]],Retenciones!$1:$1,0)</f>
        <v>7</v>
      </c>
      <c r="X1173" s="151">
        <f>+VLOOKUP(PROVEEDORES[[#This Row],[ID RETENCION]],Retenciones!$A$1:$O$25,PROVEEDORES[[#This Row],[indicador de columna]],FALSE)</f>
        <v>0</v>
      </c>
      <c r="Y1173" s="152">
        <f>+VLOOKUP(PROVEEDORES[[#This Row],[ID RETENCION]],Retenciones!$A$1:$O$25,2,FALSE)</f>
        <v>0</v>
      </c>
      <c r="Z1173" s="153" t="b">
        <f>+OR(COUNTIF(PROVEEDORES[[#This Row],[PROVEEDOR]],"*"&amp;'Palabra que no opera y Listas d'!$A$2&amp;"*"))</f>
        <v>0</v>
      </c>
    </row>
    <row r="1174" spans="1:26" ht="27.75" customHeight="1" x14ac:dyDescent="0.3">
      <c r="A1174" s="144" t="str">
        <f>+IF(PROVEEDORES[[#This Row],[FECHA DE PAGO]]=PROVEEDORES[[#This Row],[FECHA DE FACTURACIÓN]],"DE CONTADO","CRÉDITO")</f>
        <v>CRÉDITO</v>
      </c>
      <c r="B1174" s="144" t="str">
        <f>+IF((PROVEEDORES[[#This Row],[FECHA DE PAGO]]-PROVEEDORES[[#This Row],[FECHA DE FACTURACIÓN]])&gt;PROVEEDORES[[#This Row],[PLAZO Días]],"PAGO VENCIDO")</f>
        <v>PAGO VENCIDO</v>
      </c>
      <c r="C1174" s="144">
        <f>+VLOOKUP(PROVEEDORES[[#This Row],[PROVEEDOR]],TERCEROS_INFO[#All],2,FALSE)</f>
        <v>0</v>
      </c>
      <c r="D1174" s="145">
        <f>+SUMIFS(PROVEEDORES[Total],PROVEEDORES[PROVEEDOR],PROVEEDORES[[#This Row],[PROVEEDOR]],PROVEEDORES[FECHA DE PAGO],"")</f>
        <v>455608</v>
      </c>
      <c r="E1174" s="146"/>
      <c r="F1174" s="144">
        <f>+VLOOKUP(PROVEEDORES[[#This Row],[PROVEEDOR]],
                       Terceros!$A:$G,
                       5,
                       FALSE)</f>
        <v>0</v>
      </c>
      <c r="G1174" s="122">
        <v>45316</v>
      </c>
      <c r="H1174" s="102" t="s">
        <v>1802</v>
      </c>
      <c r="I1174" s="122">
        <v>45301</v>
      </c>
      <c r="J1174" s="103" t="s">
        <v>1454</v>
      </c>
      <c r="K1174" s="103" t="s">
        <v>516</v>
      </c>
      <c r="L1174" s="103"/>
      <c r="M1174" s="105">
        <v>960300</v>
      </c>
      <c r="N1174" s="147">
        <v>0</v>
      </c>
      <c r="O1174" s="147">
        <v>0</v>
      </c>
      <c r="P1174" s="148">
        <v>0</v>
      </c>
      <c r="Q1174" s="147">
        <v>0</v>
      </c>
      <c r="R1174" s="149">
        <v>960300</v>
      </c>
      <c r="S11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4" s="150">
        <f ca="1">+IF(PROVEEDORES[[#This Row],[FECHA DE PAGO]]=0,TODAY()-PROVEEDORES[[#This Row],[FECHA DE FACTURACIÓN]]-PROVEEDORES[[#This Row],[PLAZO Días]],0)</f>
        <v>0</v>
      </c>
      <c r="U1174" s="150">
        <f>+VLOOKUP(PROVEEDORES[[#This Row],[PROVEEDOR]],Terceros!$A:$E,4,FALSE)</f>
        <v>0</v>
      </c>
      <c r="V1174" s="150">
        <f>+YEAR(PROVEEDORES[[#This Row],[FECHA DE FACTURACIÓN]])</f>
        <v>2024</v>
      </c>
      <c r="W1174" s="150">
        <f>+MATCH(PROVEEDORES[[#This Row],[año facturado]],Retenciones!$1:$1,0)</f>
        <v>7</v>
      </c>
      <c r="X1174" s="151">
        <f>+VLOOKUP(PROVEEDORES[[#This Row],[ID RETENCION]],Retenciones!$A$1:$O$25,PROVEEDORES[[#This Row],[indicador de columna]],FALSE)</f>
        <v>0</v>
      </c>
      <c r="Y1174" s="152">
        <f>+VLOOKUP(PROVEEDORES[[#This Row],[ID RETENCION]],Retenciones!$A$1:$O$25,2,FALSE)</f>
        <v>0</v>
      </c>
      <c r="Z1174" s="153" t="b">
        <f>+OR(COUNTIF(PROVEEDORES[[#This Row],[PROVEEDOR]],"*"&amp;'Palabra que no opera y Listas d'!$A$2&amp;"*"))</f>
        <v>0</v>
      </c>
    </row>
    <row r="1175" spans="1:26" ht="27.75" customHeight="1" x14ac:dyDescent="0.3">
      <c r="A1175" s="144" t="str">
        <f>+IF(PROVEEDORES[[#This Row],[FECHA DE PAGO]]=PROVEEDORES[[#This Row],[FECHA DE FACTURACIÓN]],"DE CONTADO","CRÉDITO")</f>
        <v>CRÉDITO</v>
      </c>
      <c r="B1175" s="144" t="str">
        <f>+IF((PROVEEDORES[[#This Row],[FECHA DE PAGO]]-PROVEEDORES[[#This Row],[FECHA DE FACTURACIÓN]])&gt;PROVEEDORES[[#This Row],[PLAZO Días]],"PAGO VENCIDO")</f>
        <v>PAGO VENCIDO</v>
      </c>
      <c r="C1175" s="144">
        <f>+VLOOKUP(PROVEEDORES[[#This Row],[PROVEEDOR]],TERCEROS_INFO[#All],2,FALSE)</f>
        <v>0</v>
      </c>
      <c r="D1175" s="145">
        <f>+SUMIFS(PROVEEDORES[Total],PROVEEDORES[PROVEEDOR],PROVEEDORES[[#This Row],[PROVEEDOR]],PROVEEDORES[FECHA DE PAGO],"")</f>
        <v>0</v>
      </c>
      <c r="E1175" s="146"/>
      <c r="F1175" s="144">
        <f>+VLOOKUP(PROVEEDORES[[#This Row],[PROVEEDOR]],
                       Terceros!$A:$G,
                       5,
                       FALSE)</f>
        <v>0</v>
      </c>
      <c r="G1175" s="122">
        <v>45316</v>
      </c>
      <c r="H1175" s="102" t="s">
        <v>496</v>
      </c>
      <c r="I1175" s="122">
        <v>45315</v>
      </c>
      <c r="J1175" s="103" t="s">
        <v>1467</v>
      </c>
      <c r="K1175" s="103" t="s">
        <v>1512</v>
      </c>
      <c r="L1175" s="103"/>
      <c r="M1175" s="105">
        <v>130000</v>
      </c>
      <c r="N1175" s="147">
        <v>0</v>
      </c>
      <c r="O1175" s="147">
        <v>0</v>
      </c>
      <c r="P1175" s="148">
        <v>0</v>
      </c>
      <c r="Q1175" s="147">
        <v>0</v>
      </c>
      <c r="R1175" s="149">
        <v>130000</v>
      </c>
      <c r="S11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5" s="150">
        <f ca="1">+IF(PROVEEDORES[[#This Row],[FECHA DE PAGO]]=0,TODAY()-PROVEEDORES[[#This Row],[FECHA DE FACTURACIÓN]]-PROVEEDORES[[#This Row],[PLAZO Días]],0)</f>
        <v>0</v>
      </c>
      <c r="U1175" s="150">
        <f>+VLOOKUP(PROVEEDORES[[#This Row],[PROVEEDOR]],Terceros!$A:$E,4,FALSE)</f>
        <v>0</v>
      </c>
      <c r="V1175" s="150">
        <f>+YEAR(PROVEEDORES[[#This Row],[FECHA DE FACTURACIÓN]])</f>
        <v>2024</v>
      </c>
      <c r="W1175" s="150">
        <f>+MATCH(PROVEEDORES[[#This Row],[año facturado]],Retenciones!$1:$1,0)</f>
        <v>7</v>
      </c>
      <c r="X1175" s="151">
        <f>+VLOOKUP(PROVEEDORES[[#This Row],[ID RETENCION]],Retenciones!$A$1:$O$25,PROVEEDORES[[#This Row],[indicador de columna]],FALSE)</f>
        <v>0</v>
      </c>
      <c r="Y1175" s="152">
        <f>+VLOOKUP(PROVEEDORES[[#This Row],[ID RETENCION]],Retenciones!$A$1:$O$25,2,FALSE)</f>
        <v>0</v>
      </c>
      <c r="Z1175" s="153" t="b">
        <f>+OR(COUNTIF(PROVEEDORES[[#This Row],[PROVEEDOR]],"*"&amp;'Palabra que no opera y Listas d'!$A$2&amp;"*"))</f>
        <v>0</v>
      </c>
    </row>
    <row r="1176" spans="1:26" ht="27.75" customHeight="1" x14ac:dyDescent="0.3">
      <c r="A1176" s="144" t="str">
        <f>+IF(PROVEEDORES[[#This Row],[FECHA DE PAGO]]=PROVEEDORES[[#This Row],[FECHA DE FACTURACIÓN]],"DE CONTADO","CRÉDITO")</f>
        <v>CRÉDITO</v>
      </c>
      <c r="B1176" s="144" t="str">
        <f>+IF((PROVEEDORES[[#This Row],[FECHA DE PAGO]]-PROVEEDORES[[#This Row],[FECHA DE FACTURACIÓN]])&gt;PROVEEDORES[[#This Row],[PLAZO Días]],"PAGO VENCIDO")</f>
        <v>PAGO VENCIDO</v>
      </c>
      <c r="C1176" s="144">
        <f>+VLOOKUP(PROVEEDORES[[#This Row],[PROVEEDOR]],TERCEROS_INFO[#All],2,FALSE)</f>
        <v>0</v>
      </c>
      <c r="D1176" s="145">
        <f>+SUMIFS(PROVEEDORES[Total],PROVEEDORES[PROVEEDOR],PROVEEDORES[[#This Row],[PROVEEDOR]],PROVEEDORES[FECHA DE PAGO],"")</f>
        <v>2129306.6150000002</v>
      </c>
      <c r="E1176" s="146"/>
      <c r="F1176" s="144" t="str">
        <f>+VLOOKUP(PROVEEDORES[[#This Row],[PROVEEDOR]],
                       Terceros!$A:$G,
                       5,
                       FALSE)</f>
        <v>2,5% con base</v>
      </c>
      <c r="G1176" s="122">
        <v>45317</v>
      </c>
      <c r="H1176" s="102" t="s">
        <v>234</v>
      </c>
      <c r="I1176" s="122">
        <v>45271</v>
      </c>
      <c r="J1176" s="103" t="s">
        <v>1322</v>
      </c>
      <c r="K1176" s="103" t="s">
        <v>1512</v>
      </c>
      <c r="L1176" s="103"/>
      <c r="M1176" s="105">
        <v>866151</v>
      </c>
      <c r="N1176" s="147">
        <v>164568.69</v>
      </c>
      <c r="O1176" s="147">
        <v>0</v>
      </c>
      <c r="P1176" s="148">
        <v>0</v>
      </c>
      <c r="Q1176" s="147">
        <v>0</v>
      </c>
      <c r="R1176" s="149">
        <v>1030719.69</v>
      </c>
      <c r="S11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6" s="150">
        <f ca="1">+IF(PROVEEDORES[[#This Row],[FECHA DE PAGO]]=0,TODAY()-PROVEEDORES[[#This Row],[FECHA DE FACTURACIÓN]]-PROVEEDORES[[#This Row],[PLAZO Días]],0)</f>
        <v>0</v>
      </c>
      <c r="U1176" s="150">
        <f>+VLOOKUP(PROVEEDORES[[#This Row],[PROVEEDOR]],Terceros!$A:$E,4,FALSE)</f>
        <v>0.19</v>
      </c>
      <c r="V1176" s="150">
        <f>+YEAR(PROVEEDORES[[#This Row],[FECHA DE FACTURACIÓN]])</f>
        <v>2023</v>
      </c>
      <c r="W1176" s="150">
        <f>+MATCH(PROVEEDORES[[#This Row],[año facturado]],Retenciones!$1:$1,0)</f>
        <v>6</v>
      </c>
      <c r="X1176" s="151" t="e">
        <f>+VLOOKUP(PROVEEDORES[[#This Row],[ID RETENCION]],Retenciones!$A$1:$O$25,PROVEEDORES[[#This Row],[indicador de columna]],FALSE)</f>
        <v>#N/A</v>
      </c>
      <c r="Y1176" s="152" t="e">
        <f>+VLOOKUP(PROVEEDORES[[#This Row],[ID RETENCION]],Retenciones!$A$1:$O$25,2,FALSE)</f>
        <v>#N/A</v>
      </c>
      <c r="Z1176" s="153" t="b">
        <f>+OR(COUNTIF(PROVEEDORES[[#This Row],[PROVEEDOR]],"*"&amp;'Palabra que no opera y Listas d'!$A$2&amp;"*"))</f>
        <v>0</v>
      </c>
    </row>
    <row r="1177" spans="1:26" ht="27.75" customHeight="1" x14ac:dyDescent="0.3">
      <c r="A1177" s="144" t="str">
        <f>+IF(PROVEEDORES[[#This Row],[FECHA DE PAGO]]=PROVEEDORES[[#This Row],[FECHA DE FACTURACIÓN]],"DE CONTADO","CRÉDITO")</f>
        <v>CRÉDITO</v>
      </c>
      <c r="B1177" s="144" t="str">
        <f>+IF((PROVEEDORES[[#This Row],[FECHA DE PAGO]]-PROVEEDORES[[#This Row],[FECHA DE FACTURACIÓN]])&gt;PROVEEDORES[[#This Row],[PLAZO Días]],"PAGO VENCIDO")</f>
        <v>PAGO VENCIDO</v>
      </c>
      <c r="C1177" s="144">
        <f>+VLOOKUP(PROVEEDORES[[#This Row],[PROVEEDOR]],TERCEROS_INFO[#All],2,FALSE)</f>
        <v>0</v>
      </c>
      <c r="D1177" s="145">
        <f>+SUMIFS(PROVEEDORES[Total],PROVEEDORES[PROVEEDOR],PROVEEDORES[[#This Row],[PROVEEDOR]],PROVEEDORES[FECHA DE PAGO],"")</f>
        <v>0</v>
      </c>
      <c r="E1177" s="146"/>
      <c r="F1177" s="144">
        <f>+VLOOKUP(PROVEEDORES[[#This Row],[PROVEEDOR]],
                       Terceros!$A:$G,
                       5,
                       FALSE)</f>
        <v>0</v>
      </c>
      <c r="G1177" s="122">
        <v>45317</v>
      </c>
      <c r="H1177" s="102" t="s">
        <v>1176</v>
      </c>
      <c r="I1177" s="122">
        <v>45273</v>
      </c>
      <c r="J1177" s="103" t="s">
        <v>1361</v>
      </c>
      <c r="K1177" s="103" t="s">
        <v>1512</v>
      </c>
      <c r="L1177" s="103"/>
      <c r="M1177" s="105">
        <v>1355000</v>
      </c>
      <c r="N1177" s="147">
        <v>0</v>
      </c>
      <c r="O1177" s="147">
        <v>0</v>
      </c>
      <c r="P1177" s="148">
        <v>0</v>
      </c>
      <c r="Q1177" s="147">
        <v>0</v>
      </c>
      <c r="R1177" s="149">
        <v>1355000</v>
      </c>
      <c r="S11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7" s="150">
        <f ca="1">+IF(PROVEEDORES[[#This Row],[FECHA DE PAGO]]=0,TODAY()-PROVEEDORES[[#This Row],[FECHA DE FACTURACIÓN]]-PROVEEDORES[[#This Row],[PLAZO Días]],0)</f>
        <v>0</v>
      </c>
      <c r="U1177" s="150">
        <f>+VLOOKUP(PROVEEDORES[[#This Row],[PROVEEDOR]],Terceros!$A:$E,4,FALSE)</f>
        <v>0</v>
      </c>
      <c r="V1177" s="150">
        <f>+YEAR(PROVEEDORES[[#This Row],[FECHA DE FACTURACIÓN]])</f>
        <v>2023</v>
      </c>
      <c r="W1177" s="150">
        <f>+MATCH(PROVEEDORES[[#This Row],[año facturado]],Retenciones!$1:$1,0)</f>
        <v>6</v>
      </c>
      <c r="X1177" s="151">
        <f>+VLOOKUP(PROVEEDORES[[#This Row],[ID RETENCION]],Retenciones!$A$1:$O$25,PROVEEDORES[[#This Row],[indicador de columna]],FALSE)</f>
        <v>0</v>
      </c>
      <c r="Y1177" s="152">
        <f>+VLOOKUP(PROVEEDORES[[#This Row],[ID RETENCION]],Retenciones!$A$1:$O$25,2,FALSE)</f>
        <v>0</v>
      </c>
      <c r="Z1177" s="153" t="b">
        <f>+OR(COUNTIF(PROVEEDORES[[#This Row],[PROVEEDOR]],"*"&amp;'Palabra que no opera y Listas d'!$A$2&amp;"*"))</f>
        <v>0</v>
      </c>
    </row>
    <row r="1178" spans="1:26" ht="27.75" customHeight="1" x14ac:dyDescent="0.3">
      <c r="A1178" s="144" t="str">
        <f>+IF(PROVEEDORES[[#This Row],[FECHA DE PAGO]]=PROVEEDORES[[#This Row],[FECHA DE FACTURACIÓN]],"DE CONTADO","CRÉDITO")</f>
        <v>CRÉDITO</v>
      </c>
      <c r="B1178" s="144" t="str">
        <f>+IF((PROVEEDORES[[#This Row],[FECHA DE PAGO]]-PROVEEDORES[[#This Row],[FECHA DE FACTURACIÓN]])&gt;PROVEEDORES[[#This Row],[PLAZO Días]],"PAGO VENCIDO")</f>
        <v>PAGO VENCIDO</v>
      </c>
      <c r="C1178" s="144">
        <f>+VLOOKUP(PROVEEDORES[[#This Row],[PROVEEDOR]],TERCEROS_INFO[#All],2,FALSE)</f>
        <v>0</v>
      </c>
      <c r="D1178" s="145">
        <f>+SUMIFS(PROVEEDORES[Total],PROVEEDORES[PROVEEDOR],PROVEEDORES[[#This Row],[PROVEEDOR]],PROVEEDORES[FECHA DE PAGO],"")</f>
        <v>0</v>
      </c>
      <c r="E1178" s="146"/>
      <c r="F1178" s="144">
        <f>+VLOOKUP(PROVEEDORES[[#This Row],[PROVEEDOR]],
                       Terceros!$A:$G,
                       5,
                       FALSE)</f>
        <v>0</v>
      </c>
      <c r="G1178" s="122">
        <v>45317</v>
      </c>
      <c r="H1178" s="102" t="s">
        <v>1176</v>
      </c>
      <c r="I1178" s="122">
        <v>45274</v>
      </c>
      <c r="J1178" s="103" t="s">
        <v>1360</v>
      </c>
      <c r="K1178" s="103" t="s">
        <v>1512</v>
      </c>
      <c r="L1178" s="103"/>
      <c r="M1178" s="105">
        <v>350000</v>
      </c>
      <c r="N1178" s="147">
        <v>0</v>
      </c>
      <c r="O1178" s="147">
        <v>0</v>
      </c>
      <c r="P1178" s="148">
        <v>0</v>
      </c>
      <c r="Q1178" s="147">
        <v>0</v>
      </c>
      <c r="R1178" s="149">
        <v>350000</v>
      </c>
      <c r="S11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8" s="150">
        <f ca="1">+IF(PROVEEDORES[[#This Row],[FECHA DE PAGO]]=0,TODAY()-PROVEEDORES[[#This Row],[FECHA DE FACTURACIÓN]]-PROVEEDORES[[#This Row],[PLAZO Días]],0)</f>
        <v>0</v>
      </c>
      <c r="U1178" s="150">
        <f>+VLOOKUP(PROVEEDORES[[#This Row],[PROVEEDOR]],Terceros!$A:$E,4,FALSE)</f>
        <v>0</v>
      </c>
      <c r="V1178" s="150">
        <f>+YEAR(PROVEEDORES[[#This Row],[FECHA DE FACTURACIÓN]])</f>
        <v>2023</v>
      </c>
      <c r="W1178" s="150">
        <f>+MATCH(PROVEEDORES[[#This Row],[año facturado]],Retenciones!$1:$1,0)</f>
        <v>6</v>
      </c>
      <c r="X1178" s="151">
        <f>+VLOOKUP(PROVEEDORES[[#This Row],[ID RETENCION]],Retenciones!$A$1:$O$25,PROVEEDORES[[#This Row],[indicador de columna]],FALSE)</f>
        <v>0</v>
      </c>
      <c r="Y1178" s="152">
        <f>+VLOOKUP(PROVEEDORES[[#This Row],[ID RETENCION]],Retenciones!$A$1:$O$25,2,FALSE)</f>
        <v>0</v>
      </c>
      <c r="Z1178" s="153" t="b">
        <f>+OR(COUNTIF(PROVEEDORES[[#This Row],[PROVEEDOR]],"*"&amp;'Palabra que no opera y Listas d'!$A$2&amp;"*"))</f>
        <v>0</v>
      </c>
    </row>
    <row r="1179" spans="1:26" ht="27.75" customHeight="1" x14ac:dyDescent="0.3">
      <c r="A1179" s="144" t="str">
        <f>+IF(PROVEEDORES[[#This Row],[FECHA DE PAGO]]=PROVEEDORES[[#This Row],[FECHA DE FACTURACIÓN]],"DE CONTADO","CRÉDITO")</f>
        <v>CRÉDITO</v>
      </c>
      <c r="B1179" s="144" t="str">
        <f>+IF((PROVEEDORES[[#This Row],[FECHA DE PAGO]]-PROVEEDORES[[#This Row],[FECHA DE FACTURACIÓN]])&gt;PROVEEDORES[[#This Row],[PLAZO Días]],"PAGO VENCIDO")</f>
        <v>PAGO VENCIDO</v>
      </c>
      <c r="C1179" s="144">
        <f>+VLOOKUP(PROVEEDORES[[#This Row],[PROVEEDOR]],TERCEROS_INFO[#All],2,FALSE)</f>
        <v>0</v>
      </c>
      <c r="D1179" s="145">
        <f>+SUMIFS(PROVEEDORES[Total],PROVEEDORES[PROVEEDOR],PROVEEDORES[[#This Row],[PROVEEDOR]],PROVEEDORES[FECHA DE PAGO],"")</f>
        <v>2129306.6150000002</v>
      </c>
      <c r="E1179" s="146"/>
      <c r="F1179" s="144" t="str">
        <f>+VLOOKUP(PROVEEDORES[[#This Row],[PROVEEDOR]],
                       Terceros!$A:$G,
                       5,
                       FALSE)</f>
        <v>2,5% con base</v>
      </c>
      <c r="G1179" s="122">
        <v>45317</v>
      </c>
      <c r="H1179" s="102" t="s">
        <v>234</v>
      </c>
      <c r="I1179" s="122">
        <v>45274</v>
      </c>
      <c r="J1179" s="103" t="s">
        <v>1353</v>
      </c>
      <c r="K1179" s="103" t="s">
        <v>1512</v>
      </c>
      <c r="L1179" s="103"/>
      <c r="M1179" s="105">
        <v>79327</v>
      </c>
      <c r="N1179" s="147">
        <v>15072.130000000001</v>
      </c>
      <c r="O1179" s="147">
        <v>0</v>
      </c>
      <c r="P1179" s="148">
        <v>0</v>
      </c>
      <c r="Q1179" s="147">
        <v>0</v>
      </c>
      <c r="R1179" s="149">
        <v>94399.13</v>
      </c>
      <c r="S11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9" s="150">
        <f ca="1">+IF(PROVEEDORES[[#This Row],[FECHA DE PAGO]]=0,TODAY()-PROVEEDORES[[#This Row],[FECHA DE FACTURACIÓN]]-PROVEEDORES[[#This Row],[PLAZO Días]],0)</f>
        <v>0</v>
      </c>
      <c r="U1179" s="150">
        <f>+VLOOKUP(PROVEEDORES[[#This Row],[PROVEEDOR]],Terceros!$A:$E,4,FALSE)</f>
        <v>0.19</v>
      </c>
      <c r="V1179" s="150">
        <f>+YEAR(PROVEEDORES[[#This Row],[FECHA DE FACTURACIÓN]])</f>
        <v>2023</v>
      </c>
      <c r="W1179" s="150">
        <f>+MATCH(PROVEEDORES[[#This Row],[año facturado]],Retenciones!$1:$1,0)</f>
        <v>6</v>
      </c>
      <c r="X1179" s="151" t="e">
        <f>+VLOOKUP(PROVEEDORES[[#This Row],[ID RETENCION]],Retenciones!$A$1:$O$25,PROVEEDORES[[#This Row],[indicador de columna]],FALSE)</f>
        <v>#N/A</v>
      </c>
      <c r="Y1179" s="152" t="e">
        <f>+VLOOKUP(PROVEEDORES[[#This Row],[ID RETENCION]],Retenciones!$A$1:$O$25,2,FALSE)</f>
        <v>#N/A</v>
      </c>
      <c r="Z1179" s="153" t="b">
        <f>+OR(COUNTIF(PROVEEDORES[[#This Row],[PROVEEDOR]],"*"&amp;'Palabra que no opera y Listas d'!$A$2&amp;"*"))</f>
        <v>0</v>
      </c>
    </row>
    <row r="1180" spans="1:26" ht="27.75" customHeight="1" x14ac:dyDescent="0.3">
      <c r="A1180" s="144" t="str">
        <f>+IF(PROVEEDORES[[#This Row],[FECHA DE PAGO]]=PROVEEDORES[[#This Row],[FECHA DE FACTURACIÓN]],"DE CONTADO","CRÉDITO")</f>
        <v>CRÉDITO</v>
      </c>
      <c r="B1180" s="144" t="str">
        <f>+IF((PROVEEDORES[[#This Row],[FECHA DE PAGO]]-PROVEEDORES[[#This Row],[FECHA DE FACTURACIÓN]])&gt;PROVEEDORES[[#This Row],[PLAZO Días]],"PAGO VENCIDO")</f>
        <v>PAGO VENCIDO</v>
      </c>
      <c r="C1180" s="144">
        <f>+VLOOKUP(PROVEEDORES[[#This Row],[PROVEEDOR]],TERCEROS_INFO[#All],2,FALSE)</f>
        <v>0</v>
      </c>
      <c r="D1180" s="145">
        <f>+SUMIFS(PROVEEDORES[Total],PROVEEDORES[PROVEEDOR],PROVEEDORES[[#This Row],[PROVEEDOR]],PROVEEDORES[FECHA DE PAGO],"")</f>
        <v>31839627.134999998</v>
      </c>
      <c r="E1180" s="146"/>
      <c r="F1180" s="144" t="str">
        <f>+VLOOKUP(PROVEEDORES[[#This Row],[PROVEEDOR]],
                       Terceros!$A:$G,
                       5,
                       FALSE)</f>
        <v>2,5% con base</v>
      </c>
      <c r="G1180" s="122">
        <v>45317</v>
      </c>
      <c r="H1180" s="102" t="s">
        <v>17</v>
      </c>
      <c r="I1180" s="122">
        <v>45275</v>
      </c>
      <c r="J1180" s="103" t="s">
        <v>1351</v>
      </c>
      <c r="K1180" s="103" t="s">
        <v>516</v>
      </c>
      <c r="L1180" s="103"/>
      <c r="M1180" s="105">
        <v>5597576</v>
      </c>
      <c r="N1180" s="147">
        <v>1063539.44</v>
      </c>
      <c r="O1180" s="147">
        <v>0</v>
      </c>
      <c r="P1180" s="148">
        <v>2.5000000000000001E-2</v>
      </c>
      <c r="Q1180" s="147">
        <v>139939.4</v>
      </c>
      <c r="R1180" s="149">
        <v>6521176.0399999991</v>
      </c>
      <c r="S11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0" s="150">
        <f ca="1">+IF(PROVEEDORES[[#This Row],[FECHA DE PAGO]]=0,TODAY()-PROVEEDORES[[#This Row],[FECHA DE FACTURACIÓN]]-PROVEEDORES[[#This Row],[PLAZO Días]],0)</f>
        <v>0</v>
      </c>
      <c r="U1180" s="150">
        <f>+VLOOKUP(PROVEEDORES[[#This Row],[PROVEEDOR]],Terceros!$A:$E,4,FALSE)</f>
        <v>0.19</v>
      </c>
      <c r="V1180" s="150">
        <f>+YEAR(PROVEEDORES[[#This Row],[FECHA DE FACTURACIÓN]])</f>
        <v>2023</v>
      </c>
      <c r="W1180" s="150">
        <f>+MATCH(PROVEEDORES[[#This Row],[año facturado]],Retenciones!$1:$1,0)</f>
        <v>6</v>
      </c>
      <c r="X1180" s="151" t="e">
        <f>+VLOOKUP(PROVEEDORES[[#This Row],[ID RETENCION]],Retenciones!$A$1:$O$25,PROVEEDORES[[#This Row],[indicador de columna]],FALSE)</f>
        <v>#N/A</v>
      </c>
      <c r="Y1180" s="152" t="e">
        <f>+VLOOKUP(PROVEEDORES[[#This Row],[ID RETENCION]],Retenciones!$A$1:$O$25,2,FALSE)</f>
        <v>#N/A</v>
      </c>
      <c r="Z1180" s="153" t="b">
        <f>+OR(COUNTIF(PROVEEDORES[[#This Row],[PROVEEDOR]],"*"&amp;'Palabra que no opera y Listas d'!$A$2&amp;"*"))</f>
        <v>0</v>
      </c>
    </row>
    <row r="1181" spans="1:26" ht="27.75" customHeight="1" x14ac:dyDescent="0.3">
      <c r="A1181" s="144" t="str">
        <f>+IF(PROVEEDORES[[#This Row],[FECHA DE PAGO]]=PROVEEDORES[[#This Row],[FECHA DE FACTURACIÓN]],"DE CONTADO","CRÉDITO")</f>
        <v>CRÉDITO</v>
      </c>
      <c r="B1181" s="144" t="str">
        <f>+IF((PROVEEDORES[[#This Row],[FECHA DE PAGO]]-PROVEEDORES[[#This Row],[FECHA DE FACTURACIÓN]])&gt;PROVEEDORES[[#This Row],[PLAZO Días]],"PAGO VENCIDO")</f>
        <v>PAGO VENCIDO</v>
      </c>
      <c r="C1181" s="144">
        <f>+VLOOKUP(PROVEEDORES[[#This Row],[PROVEEDOR]],TERCEROS_INFO[#All],2,FALSE)</f>
        <v>0</v>
      </c>
      <c r="D1181" s="145">
        <f>+SUMIFS(PROVEEDORES[Total],PROVEEDORES[PROVEEDOR],PROVEEDORES[[#This Row],[PROVEEDOR]],PROVEEDORES[FECHA DE PAGO],"")</f>
        <v>8493745.8849999998</v>
      </c>
      <c r="E1181" s="146"/>
      <c r="F1181" s="144" t="str">
        <f>+VLOOKUP(PROVEEDORES[[#This Row],[PROVEEDOR]],
                       Terceros!$A:$G,
                       5,
                       FALSE)</f>
        <v>2,5% con base</v>
      </c>
      <c r="G1181" s="122">
        <v>45317</v>
      </c>
      <c r="H1181" s="102" t="s">
        <v>10</v>
      </c>
      <c r="I1181" s="122">
        <v>45280</v>
      </c>
      <c r="J1181" s="103" t="s">
        <v>1365</v>
      </c>
      <c r="K1181" s="103" t="s">
        <v>1512</v>
      </c>
      <c r="L1181" s="103"/>
      <c r="M1181" s="105">
        <v>3882361</v>
      </c>
      <c r="N1181" s="147">
        <v>737648.59</v>
      </c>
      <c r="O1181" s="147">
        <v>0</v>
      </c>
      <c r="P1181" s="148">
        <v>2.5000000000000001E-2</v>
      </c>
      <c r="Q1181" s="147">
        <v>97059.025000000009</v>
      </c>
      <c r="R1181" s="149">
        <v>4522950.5649999995</v>
      </c>
      <c r="S11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1" s="150">
        <f ca="1">+IF(PROVEEDORES[[#This Row],[FECHA DE PAGO]]=0,TODAY()-PROVEEDORES[[#This Row],[FECHA DE FACTURACIÓN]]-PROVEEDORES[[#This Row],[PLAZO Días]],0)</f>
        <v>0</v>
      </c>
      <c r="U1181" s="150">
        <f>+VLOOKUP(PROVEEDORES[[#This Row],[PROVEEDOR]],Terceros!$A:$E,4,FALSE)</f>
        <v>0.19</v>
      </c>
      <c r="V1181" s="150">
        <f>+YEAR(PROVEEDORES[[#This Row],[FECHA DE FACTURACIÓN]])</f>
        <v>2023</v>
      </c>
      <c r="W1181" s="150">
        <f>+MATCH(PROVEEDORES[[#This Row],[año facturado]],Retenciones!$1:$1,0)</f>
        <v>6</v>
      </c>
      <c r="X1181" s="151" t="e">
        <f>+VLOOKUP(PROVEEDORES[[#This Row],[ID RETENCION]],Retenciones!$A$1:$O$25,PROVEEDORES[[#This Row],[indicador de columna]],FALSE)</f>
        <v>#N/A</v>
      </c>
      <c r="Y1181" s="152" t="e">
        <f>+VLOOKUP(PROVEEDORES[[#This Row],[ID RETENCION]],Retenciones!$A$1:$O$25,2,FALSE)</f>
        <v>#N/A</v>
      </c>
      <c r="Z1181" s="153" t="b">
        <f>+OR(COUNTIF(PROVEEDORES[[#This Row],[PROVEEDOR]],"*"&amp;'Palabra que no opera y Listas d'!$A$2&amp;"*"))</f>
        <v>0</v>
      </c>
    </row>
    <row r="1182" spans="1:26" ht="27.75" customHeight="1" x14ac:dyDescent="0.3">
      <c r="A1182" s="144" t="str">
        <f>+IF(PROVEEDORES[[#This Row],[FECHA DE PAGO]]=PROVEEDORES[[#This Row],[FECHA DE FACTURACIÓN]],"DE CONTADO","CRÉDITO")</f>
        <v>CRÉDITO</v>
      </c>
      <c r="B1182" s="144" t="str">
        <f>+IF((PROVEEDORES[[#This Row],[FECHA DE PAGO]]-PROVEEDORES[[#This Row],[FECHA DE FACTURACIÓN]])&gt;PROVEEDORES[[#This Row],[PLAZO Días]],"PAGO VENCIDO")</f>
        <v>PAGO VENCIDO</v>
      </c>
      <c r="C1182" s="144">
        <f>+VLOOKUP(PROVEEDORES[[#This Row],[PROVEEDOR]],TERCEROS_INFO[#All],2,FALSE)</f>
        <v>0</v>
      </c>
      <c r="D1182" s="145">
        <f>+SUMIFS(PROVEEDORES[Total],PROVEEDORES[PROVEEDOR],PROVEEDORES[[#This Row],[PROVEEDOR]],PROVEEDORES[FECHA DE PAGO],"")</f>
        <v>8493745.8849999998</v>
      </c>
      <c r="E1182" s="146"/>
      <c r="F1182" s="144" t="str">
        <f>+VLOOKUP(PROVEEDORES[[#This Row],[PROVEEDOR]],
                       Terceros!$A:$G,
                       5,
                       FALSE)</f>
        <v>2,5% con base</v>
      </c>
      <c r="G1182" s="122">
        <v>45317</v>
      </c>
      <c r="H1182" s="102" t="s">
        <v>10</v>
      </c>
      <c r="I1182" s="122">
        <v>45280</v>
      </c>
      <c r="J1182" s="103" t="s">
        <v>1366</v>
      </c>
      <c r="K1182" s="103" t="s">
        <v>1512</v>
      </c>
      <c r="L1182" s="103"/>
      <c r="M1182" s="105">
        <v>3882361</v>
      </c>
      <c r="N1182" s="147">
        <v>737648.59</v>
      </c>
      <c r="O1182" s="147">
        <v>0</v>
      </c>
      <c r="P1182" s="148">
        <v>2.5000000000000001E-2</v>
      </c>
      <c r="Q1182" s="147">
        <v>97059.025000000009</v>
      </c>
      <c r="R1182" s="149">
        <v>4522950.5649999995</v>
      </c>
      <c r="S11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2" s="150">
        <f ca="1">+IF(PROVEEDORES[[#This Row],[FECHA DE PAGO]]=0,TODAY()-PROVEEDORES[[#This Row],[FECHA DE FACTURACIÓN]]-PROVEEDORES[[#This Row],[PLAZO Días]],0)</f>
        <v>0</v>
      </c>
      <c r="U1182" s="150">
        <f>+VLOOKUP(PROVEEDORES[[#This Row],[PROVEEDOR]],Terceros!$A:$E,4,FALSE)</f>
        <v>0.19</v>
      </c>
      <c r="V1182" s="150">
        <f>+YEAR(PROVEEDORES[[#This Row],[FECHA DE FACTURACIÓN]])</f>
        <v>2023</v>
      </c>
      <c r="W1182" s="150">
        <f>+MATCH(PROVEEDORES[[#This Row],[año facturado]],Retenciones!$1:$1,0)</f>
        <v>6</v>
      </c>
      <c r="X1182" s="151" t="e">
        <f>+VLOOKUP(PROVEEDORES[[#This Row],[ID RETENCION]],Retenciones!$A$1:$O$25,PROVEEDORES[[#This Row],[indicador de columna]],FALSE)</f>
        <v>#N/A</v>
      </c>
      <c r="Y1182" s="152" t="e">
        <f>+VLOOKUP(PROVEEDORES[[#This Row],[ID RETENCION]],Retenciones!$A$1:$O$25,2,FALSE)</f>
        <v>#N/A</v>
      </c>
      <c r="Z1182" s="153" t="b">
        <f>+OR(COUNTIF(PROVEEDORES[[#This Row],[PROVEEDOR]],"*"&amp;'Palabra que no opera y Listas d'!$A$2&amp;"*"))</f>
        <v>0</v>
      </c>
    </row>
    <row r="1183" spans="1:26" ht="27.75" customHeight="1" x14ac:dyDescent="0.3">
      <c r="A1183" s="144" t="str">
        <f>+IF(PROVEEDORES[[#This Row],[FECHA DE PAGO]]=PROVEEDORES[[#This Row],[FECHA DE FACTURACIÓN]],"DE CONTADO","CRÉDITO")</f>
        <v>CRÉDITO</v>
      </c>
      <c r="B1183" s="144" t="str">
        <f>+IF((PROVEEDORES[[#This Row],[FECHA DE PAGO]]-PROVEEDORES[[#This Row],[FECHA DE FACTURACIÓN]])&gt;PROVEEDORES[[#This Row],[PLAZO Días]],"PAGO VENCIDO")</f>
        <v>PAGO VENCIDO</v>
      </c>
      <c r="C1183" s="144">
        <f>+VLOOKUP(PROVEEDORES[[#This Row],[PROVEEDOR]],TERCEROS_INFO[#All],2,FALSE)</f>
        <v>0</v>
      </c>
      <c r="D1183" s="145">
        <f>+SUMIFS(PROVEEDORES[Total],PROVEEDORES[PROVEEDOR],PROVEEDORES[[#This Row],[PROVEEDOR]],PROVEEDORES[FECHA DE PAGO],"")</f>
        <v>7281829.8799999999</v>
      </c>
      <c r="E1183" s="146"/>
      <c r="F1183" s="144" t="str">
        <f>+VLOOKUP(PROVEEDORES[[#This Row],[PROVEEDOR]],
                       Terceros!$A:$G,
                       5,
                       FALSE)</f>
        <v>2,5% con base</v>
      </c>
      <c r="G1183" s="122">
        <v>45317</v>
      </c>
      <c r="H1183" s="102" t="s">
        <v>1445</v>
      </c>
      <c r="I1183" s="122">
        <v>45280</v>
      </c>
      <c r="J1183" s="103" t="s">
        <v>1377</v>
      </c>
      <c r="K1183" s="103" t="s">
        <v>1512</v>
      </c>
      <c r="L1183" s="103"/>
      <c r="M1183" s="105">
        <v>616355</v>
      </c>
      <c r="N1183" s="147">
        <v>117107.45</v>
      </c>
      <c r="O1183" s="147">
        <v>0</v>
      </c>
      <c r="P1183" s="148">
        <v>0</v>
      </c>
      <c r="Q1183" s="147">
        <v>0</v>
      </c>
      <c r="R1183" s="149">
        <v>733462.45</v>
      </c>
      <c r="S11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3" s="150">
        <f ca="1">+IF(PROVEEDORES[[#This Row],[FECHA DE PAGO]]=0,TODAY()-PROVEEDORES[[#This Row],[FECHA DE FACTURACIÓN]]-PROVEEDORES[[#This Row],[PLAZO Días]],0)</f>
        <v>0</v>
      </c>
      <c r="U1183" s="150">
        <f>+VLOOKUP(PROVEEDORES[[#This Row],[PROVEEDOR]],Terceros!$A:$E,4,FALSE)</f>
        <v>0.19</v>
      </c>
      <c r="V1183" s="150">
        <f>+YEAR(PROVEEDORES[[#This Row],[FECHA DE FACTURACIÓN]])</f>
        <v>2023</v>
      </c>
      <c r="W1183" s="150">
        <f>+MATCH(PROVEEDORES[[#This Row],[año facturado]],Retenciones!$1:$1,0)</f>
        <v>6</v>
      </c>
      <c r="X1183" s="151" t="e">
        <f>+VLOOKUP(PROVEEDORES[[#This Row],[ID RETENCION]],Retenciones!$A$1:$O$25,PROVEEDORES[[#This Row],[indicador de columna]],FALSE)</f>
        <v>#N/A</v>
      </c>
      <c r="Y1183" s="152" t="e">
        <f>+VLOOKUP(PROVEEDORES[[#This Row],[ID RETENCION]],Retenciones!$A$1:$O$25,2,FALSE)</f>
        <v>#N/A</v>
      </c>
      <c r="Z1183" s="153" t="b">
        <f>+OR(COUNTIF(PROVEEDORES[[#This Row],[PROVEEDOR]],"*"&amp;'Palabra que no opera y Listas d'!$A$2&amp;"*"))</f>
        <v>0</v>
      </c>
    </row>
    <row r="1184" spans="1:26" ht="27.75" customHeight="1" x14ac:dyDescent="0.3">
      <c r="A1184" s="144" t="str">
        <f>+IF(PROVEEDORES[[#This Row],[FECHA DE PAGO]]=PROVEEDORES[[#This Row],[FECHA DE FACTURACIÓN]],"DE CONTADO","CRÉDITO")</f>
        <v>CRÉDITO</v>
      </c>
      <c r="B1184" s="144" t="str">
        <f>+IF((PROVEEDORES[[#This Row],[FECHA DE PAGO]]-PROVEEDORES[[#This Row],[FECHA DE FACTURACIÓN]])&gt;PROVEEDORES[[#This Row],[PLAZO Días]],"PAGO VENCIDO")</f>
        <v>PAGO VENCIDO</v>
      </c>
      <c r="C1184" s="144">
        <f>+VLOOKUP(PROVEEDORES[[#This Row],[PROVEEDOR]],TERCEROS_INFO[#All],2,FALSE)</f>
        <v>0</v>
      </c>
      <c r="D1184" s="145">
        <f>+SUMIFS(PROVEEDORES[Total],PROVEEDORES[PROVEEDOR],PROVEEDORES[[#This Row],[PROVEEDOR]],PROVEEDORES[FECHA DE PAGO],"")</f>
        <v>7281829.8799999999</v>
      </c>
      <c r="E1184" s="146"/>
      <c r="F1184" s="144" t="str">
        <f>+VLOOKUP(PROVEEDORES[[#This Row],[PROVEEDOR]],
                       Terceros!$A:$G,
                       5,
                       FALSE)</f>
        <v>2,5% con base</v>
      </c>
      <c r="G1184" s="122">
        <v>45317</v>
      </c>
      <c r="H1184" s="102" t="s">
        <v>1445</v>
      </c>
      <c r="I1184" s="122">
        <v>45282</v>
      </c>
      <c r="J1184" s="103" t="s">
        <v>1378</v>
      </c>
      <c r="K1184" s="103" t="s">
        <v>1512</v>
      </c>
      <c r="L1184" s="103"/>
      <c r="M1184" s="105">
        <v>1308311</v>
      </c>
      <c r="N1184" s="147">
        <v>248579.09</v>
      </c>
      <c r="O1184" s="147">
        <v>0</v>
      </c>
      <c r="P1184" s="148">
        <v>2.5000000000000001E-2</v>
      </c>
      <c r="Q1184" s="147">
        <v>32707.775000000001</v>
      </c>
      <c r="R1184" s="149">
        <v>1524182.3150000002</v>
      </c>
      <c r="S11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4" s="150">
        <f ca="1">+IF(PROVEEDORES[[#This Row],[FECHA DE PAGO]]=0,TODAY()-PROVEEDORES[[#This Row],[FECHA DE FACTURACIÓN]]-PROVEEDORES[[#This Row],[PLAZO Días]],0)</f>
        <v>0</v>
      </c>
      <c r="U1184" s="150">
        <f>+VLOOKUP(PROVEEDORES[[#This Row],[PROVEEDOR]],Terceros!$A:$E,4,FALSE)</f>
        <v>0.19</v>
      </c>
      <c r="V1184" s="150">
        <f>+YEAR(PROVEEDORES[[#This Row],[FECHA DE FACTURACIÓN]])</f>
        <v>2023</v>
      </c>
      <c r="W1184" s="150">
        <f>+MATCH(PROVEEDORES[[#This Row],[año facturado]],Retenciones!$1:$1,0)</f>
        <v>6</v>
      </c>
      <c r="X1184" s="151" t="e">
        <f>+VLOOKUP(PROVEEDORES[[#This Row],[ID RETENCION]],Retenciones!$A$1:$O$25,PROVEEDORES[[#This Row],[indicador de columna]],FALSE)</f>
        <v>#N/A</v>
      </c>
      <c r="Y1184" s="152" t="e">
        <f>+VLOOKUP(PROVEEDORES[[#This Row],[ID RETENCION]],Retenciones!$A$1:$O$25,2,FALSE)</f>
        <v>#N/A</v>
      </c>
      <c r="Z1184" s="153" t="b">
        <f>+OR(COUNTIF(PROVEEDORES[[#This Row],[PROVEEDOR]],"*"&amp;'Palabra que no opera y Listas d'!$A$2&amp;"*"))</f>
        <v>0</v>
      </c>
    </row>
    <row r="1185" spans="1:26" ht="27.75" customHeight="1" x14ac:dyDescent="0.3">
      <c r="A1185" s="144" t="str">
        <f>+IF(PROVEEDORES[[#This Row],[FECHA DE PAGO]]=PROVEEDORES[[#This Row],[FECHA DE FACTURACIÓN]],"DE CONTADO","CRÉDITO")</f>
        <v>CRÉDITO</v>
      </c>
      <c r="B1185" s="144" t="str">
        <f>+IF((PROVEEDORES[[#This Row],[FECHA DE PAGO]]-PROVEEDORES[[#This Row],[FECHA DE FACTURACIÓN]])&gt;PROVEEDORES[[#This Row],[PLAZO Días]],"PAGO VENCIDO")</f>
        <v>PAGO VENCIDO</v>
      </c>
      <c r="C1185" s="144">
        <f>+VLOOKUP(PROVEEDORES[[#This Row],[PROVEEDOR]],TERCEROS_INFO[#All],2,FALSE)</f>
        <v>0</v>
      </c>
      <c r="D1185" s="145">
        <f>+SUMIFS(PROVEEDORES[Total],PROVEEDORES[PROVEEDOR],PROVEEDORES[[#This Row],[PROVEEDOR]],PROVEEDORES[FECHA DE PAGO],"")</f>
        <v>-12893</v>
      </c>
      <c r="E1185" s="146"/>
      <c r="F1185" s="144" t="str">
        <f>+VLOOKUP(PROVEEDORES[[#This Row],[PROVEEDOR]],
                       Terceros!$A:$G,
                       5,
                       FALSE)</f>
        <v>3,5% sin base</v>
      </c>
      <c r="G1185" s="122">
        <v>45317</v>
      </c>
      <c r="H1185" s="102" t="s">
        <v>1433</v>
      </c>
      <c r="I1185" s="122">
        <v>45308</v>
      </c>
      <c r="J1185" s="103" t="s">
        <v>1434</v>
      </c>
      <c r="K1185" s="103" t="s">
        <v>1512</v>
      </c>
      <c r="L1185" s="103"/>
      <c r="M1185" s="105">
        <v>40441</v>
      </c>
      <c r="N1185" s="147">
        <v>7683.79</v>
      </c>
      <c r="O1185" s="147">
        <v>0</v>
      </c>
      <c r="P1185" s="148">
        <v>3.5000000000000003E-2</v>
      </c>
      <c r="Q1185" s="147">
        <v>1415.4350000000002</v>
      </c>
      <c r="R1185" s="149">
        <v>46709.355000000003</v>
      </c>
      <c r="S11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5" s="150">
        <f ca="1">+IF(PROVEEDORES[[#This Row],[FECHA DE PAGO]]=0,TODAY()-PROVEEDORES[[#This Row],[FECHA DE FACTURACIÓN]]-PROVEEDORES[[#This Row],[PLAZO Días]],0)</f>
        <v>0</v>
      </c>
      <c r="U1185" s="150">
        <f>+VLOOKUP(PROVEEDORES[[#This Row],[PROVEEDOR]],Terceros!$A:$E,4,FALSE)</f>
        <v>0.19</v>
      </c>
      <c r="V1185" s="150">
        <f>+YEAR(PROVEEDORES[[#This Row],[FECHA DE FACTURACIÓN]])</f>
        <v>2024</v>
      </c>
      <c r="W1185" s="150">
        <f>+MATCH(PROVEEDORES[[#This Row],[año facturado]],Retenciones!$1:$1,0)</f>
        <v>7</v>
      </c>
      <c r="X1185" s="151" t="e">
        <f>+VLOOKUP(PROVEEDORES[[#This Row],[ID RETENCION]],Retenciones!$A$1:$O$25,PROVEEDORES[[#This Row],[indicador de columna]],FALSE)</f>
        <v>#N/A</v>
      </c>
      <c r="Y1185" s="152" t="e">
        <f>+VLOOKUP(PROVEEDORES[[#This Row],[ID RETENCION]],Retenciones!$A$1:$O$25,2,FALSE)</f>
        <v>#N/A</v>
      </c>
      <c r="Z1185" s="153" t="b">
        <f>+OR(COUNTIF(PROVEEDORES[[#This Row],[PROVEEDOR]],"*"&amp;'Palabra que no opera y Listas d'!$A$2&amp;"*"))</f>
        <v>1</v>
      </c>
    </row>
    <row r="1186" spans="1:26" ht="27.75" customHeight="1" x14ac:dyDescent="0.3">
      <c r="A1186" s="144" t="str">
        <f>+IF(PROVEEDORES[[#This Row],[FECHA DE PAGO]]=PROVEEDORES[[#This Row],[FECHA DE FACTURACIÓN]],"DE CONTADO","CRÉDITO")</f>
        <v>CRÉDITO</v>
      </c>
      <c r="B1186" s="144" t="str">
        <f>+IF((PROVEEDORES[[#This Row],[FECHA DE PAGO]]-PROVEEDORES[[#This Row],[FECHA DE FACTURACIÓN]])&gt;PROVEEDORES[[#This Row],[PLAZO Días]],"PAGO VENCIDO")</f>
        <v>PAGO VENCIDO</v>
      </c>
      <c r="C1186" s="144">
        <f>+VLOOKUP(PROVEEDORES[[#This Row],[PROVEEDOR]],TERCEROS_INFO[#All],2,FALSE)</f>
        <v>0</v>
      </c>
      <c r="D1186" s="145">
        <f>+SUMIFS(PROVEEDORES[Total],PROVEEDORES[PROVEEDOR],PROVEEDORES[[#This Row],[PROVEEDOR]],PROVEEDORES[FECHA DE PAGO],"")</f>
        <v>2129306.6150000002</v>
      </c>
      <c r="E1186" s="146"/>
      <c r="F1186" s="144" t="str">
        <f>+VLOOKUP(PROVEEDORES[[#This Row],[PROVEEDOR]],
                       Terceros!$A:$G,
                       5,
                       FALSE)</f>
        <v>2,5% con base</v>
      </c>
      <c r="G1186" s="122">
        <v>45317</v>
      </c>
      <c r="H1186" s="102" t="s">
        <v>234</v>
      </c>
      <c r="I1186" s="122">
        <v>45315</v>
      </c>
      <c r="J1186" s="103" t="s">
        <v>1759</v>
      </c>
      <c r="K1186" s="103" t="s">
        <v>1512</v>
      </c>
      <c r="L1186" s="103"/>
      <c r="M1186" s="105">
        <v>-84873.94</v>
      </c>
      <c r="N1186" s="147">
        <v>-16126.0486</v>
      </c>
      <c r="O1186" s="147">
        <v>0</v>
      </c>
      <c r="P1186" s="148">
        <v>0</v>
      </c>
      <c r="Q1186" s="147">
        <v>0</v>
      </c>
      <c r="R1186" s="149">
        <v>-100999.9886</v>
      </c>
      <c r="S11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6" s="150">
        <f ca="1">+IF(PROVEEDORES[[#This Row],[FECHA DE PAGO]]=0,TODAY()-PROVEEDORES[[#This Row],[FECHA DE FACTURACIÓN]]-PROVEEDORES[[#This Row],[PLAZO Días]],0)</f>
        <v>0</v>
      </c>
      <c r="U1186" s="150">
        <f>+VLOOKUP(PROVEEDORES[[#This Row],[PROVEEDOR]],Terceros!$A:$E,4,FALSE)</f>
        <v>0.19</v>
      </c>
      <c r="V1186" s="150">
        <f>+YEAR(PROVEEDORES[[#This Row],[FECHA DE FACTURACIÓN]])</f>
        <v>2024</v>
      </c>
      <c r="W1186" s="150">
        <f>+MATCH(PROVEEDORES[[#This Row],[año facturado]],Retenciones!$1:$1,0)</f>
        <v>7</v>
      </c>
      <c r="X1186" s="151" t="e">
        <f>+VLOOKUP(PROVEEDORES[[#This Row],[ID RETENCION]],Retenciones!$A$1:$O$25,PROVEEDORES[[#This Row],[indicador de columna]],FALSE)</f>
        <v>#N/A</v>
      </c>
      <c r="Y1186" s="152" t="e">
        <f>+VLOOKUP(PROVEEDORES[[#This Row],[ID RETENCION]],Retenciones!$A$1:$O$25,2,FALSE)</f>
        <v>#N/A</v>
      </c>
      <c r="Z1186" s="153" t="b">
        <f>+OR(COUNTIF(PROVEEDORES[[#This Row],[PROVEEDOR]],"*"&amp;'Palabra que no opera y Listas d'!$A$2&amp;"*"))</f>
        <v>0</v>
      </c>
    </row>
    <row r="1187" spans="1:26" ht="27.75" customHeight="1" x14ac:dyDescent="0.3">
      <c r="A1187" s="144" t="str">
        <f>+IF(PROVEEDORES[[#This Row],[FECHA DE PAGO]]=PROVEEDORES[[#This Row],[FECHA DE FACTURACIÓN]],"DE CONTADO","CRÉDITO")</f>
        <v>CRÉDITO</v>
      </c>
      <c r="B1187" s="144" t="str">
        <f>+IF((PROVEEDORES[[#This Row],[FECHA DE PAGO]]-PROVEEDORES[[#This Row],[FECHA DE FACTURACIÓN]])&gt;PROVEEDORES[[#This Row],[PLAZO Días]],"PAGO VENCIDO")</f>
        <v>PAGO VENCIDO</v>
      </c>
      <c r="C1187" s="144">
        <f>+VLOOKUP(PROVEEDORES[[#This Row],[PROVEEDOR]],TERCEROS_INFO[#All],2,FALSE)</f>
        <v>0</v>
      </c>
      <c r="D1187" s="145">
        <f>+SUMIFS(PROVEEDORES[Total],PROVEEDORES[PROVEEDOR],PROVEEDORES[[#This Row],[PROVEEDOR]],PROVEEDORES[FECHA DE PAGO],"")</f>
        <v>224000</v>
      </c>
      <c r="E1187" s="146"/>
      <c r="F1187" s="144">
        <f>+VLOOKUP(PROVEEDORES[[#This Row],[PROVEEDOR]],
                       Terceros!$A:$G,
                       5,
                       FALSE)</f>
        <v>0</v>
      </c>
      <c r="G1187" s="122">
        <v>45319</v>
      </c>
      <c r="H1187" s="102" t="s">
        <v>539</v>
      </c>
      <c r="I1187" s="122">
        <v>45318</v>
      </c>
      <c r="J1187" s="103" t="s">
        <v>1489</v>
      </c>
      <c r="K1187" s="103" t="s">
        <v>1512</v>
      </c>
      <c r="L1187" s="103"/>
      <c r="M1187" s="105">
        <v>137256</v>
      </c>
      <c r="N1187" s="147">
        <v>0</v>
      </c>
      <c r="O1187" s="147">
        <v>0</v>
      </c>
      <c r="P1187" s="148">
        <v>0</v>
      </c>
      <c r="Q1187" s="147">
        <v>0</v>
      </c>
      <c r="R1187" s="149">
        <v>137256</v>
      </c>
      <c r="S11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7" s="150">
        <f ca="1">+IF(PROVEEDORES[[#This Row],[FECHA DE PAGO]]=0,TODAY()-PROVEEDORES[[#This Row],[FECHA DE FACTURACIÓN]]-PROVEEDORES[[#This Row],[PLAZO Días]],0)</f>
        <v>0</v>
      </c>
      <c r="U1187" s="150">
        <f>+VLOOKUP(PROVEEDORES[[#This Row],[PROVEEDOR]],Terceros!$A:$E,4,FALSE)</f>
        <v>0</v>
      </c>
      <c r="V1187" s="150">
        <f>+YEAR(PROVEEDORES[[#This Row],[FECHA DE FACTURACIÓN]])</f>
        <v>2024</v>
      </c>
      <c r="W1187" s="150">
        <f>+MATCH(PROVEEDORES[[#This Row],[año facturado]],Retenciones!$1:$1,0)</f>
        <v>7</v>
      </c>
      <c r="X1187" s="151">
        <f>+VLOOKUP(PROVEEDORES[[#This Row],[ID RETENCION]],Retenciones!$A$1:$O$25,PROVEEDORES[[#This Row],[indicador de columna]],FALSE)</f>
        <v>0</v>
      </c>
      <c r="Y1187" s="152">
        <f>+VLOOKUP(PROVEEDORES[[#This Row],[ID RETENCION]],Retenciones!$A$1:$O$25,2,FALSE)</f>
        <v>0</v>
      </c>
      <c r="Z1187" s="153" t="b">
        <f>+OR(COUNTIF(PROVEEDORES[[#This Row],[PROVEEDOR]],"*"&amp;'Palabra que no opera y Listas d'!$A$2&amp;"*"))</f>
        <v>0</v>
      </c>
    </row>
    <row r="1188" spans="1:26" ht="27.75" customHeight="1" x14ac:dyDescent="0.3">
      <c r="A1188" s="144" t="str">
        <f>+IF(PROVEEDORES[[#This Row],[FECHA DE PAGO]]=PROVEEDORES[[#This Row],[FECHA DE FACTURACIÓN]],"DE CONTADO","CRÉDITO")</f>
        <v>CRÉDITO</v>
      </c>
      <c r="B1188" s="144" t="str">
        <f>+IF((PROVEEDORES[[#This Row],[FECHA DE PAGO]]-PROVEEDORES[[#This Row],[FECHA DE FACTURACIÓN]])&gt;PROVEEDORES[[#This Row],[PLAZO Días]],"PAGO VENCIDO")</f>
        <v>PAGO VENCIDO</v>
      </c>
      <c r="C1188" s="144">
        <f>+VLOOKUP(PROVEEDORES[[#This Row],[PROVEEDOR]],TERCEROS_INFO[#All],2,FALSE)</f>
        <v>0</v>
      </c>
      <c r="D1188" s="145">
        <f>+SUMIFS(PROVEEDORES[Total],PROVEEDORES[PROVEEDOR],PROVEEDORES[[#This Row],[PROVEEDOR]],PROVEEDORES[FECHA DE PAGO],"")</f>
        <v>0</v>
      </c>
      <c r="E1188" s="146"/>
      <c r="F1188" s="144" t="str">
        <f>+VLOOKUP(PROVEEDORES[[#This Row],[PROVEEDOR]],
                       Terceros!$A:$G,
                       5,
                       FALSE)</f>
        <v>2,5% con base</v>
      </c>
      <c r="G1188" s="122">
        <v>45319</v>
      </c>
      <c r="H1188" s="102" t="s">
        <v>1192</v>
      </c>
      <c r="I1188" s="122">
        <v>45318</v>
      </c>
      <c r="J1188" s="103" t="s">
        <v>1473</v>
      </c>
      <c r="K1188" s="103" t="s">
        <v>1512</v>
      </c>
      <c r="L1188" s="103"/>
      <c r="M1188" s="105">
        <v>808403.5</v>
      </c>
      <c r="N1188" s="147">
        <v>153596.66500000001</v>
      </c>
      <c r="O1188" s="147">
        <v>0</v>
      </c>
      <c r="P1188" s="148">
        <v>0</v>
      </c>
      <c r="Q1188" s="147">
        <v>0</v>
      </c>
      <c r="R1188" s="149">
        <v>962000.16500000004</v>
      </c>
      <c r="S11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8" s="150">
        <f ca="1">+IF(PROVEEDORES[[#This Row],[FECHA DE PAGO]]=0,TODAY()-PROVEEDORES[[#This Row],[FECHA DE FACTURACIÓN]]-PROVEEDORES[[#This Row],[PLAZO Días]],0)</f>
        <v>0</v>
      </c>
      <c r="U1188" s="150">
        <f>+VLOOKUP(PROVEEDORES[[#This Row],[PROVEEDOR]],Terceros!$A:$E,4,FALSE)</f>
        <v>0.19</v>
      </c>
      <c r="V1188" s="150">
        <f>+YEAR(PROVEEDORES[[#This Row],[FECHA DE FACTURACIÓN]])</f>
        <v>2024</v>
      </c>
      <c r="W1188" s="150">
        <f>+MATCH(PROVEEDORES[[#This Row],[año facturado]],Retenciones!$1:$1,0)</f>
        <v>7</v>
      </c>
      <c r="X1188" s="151" t="e">
        <f>+VLOOKUP(PROVEEDORES[[#This Row],[ID RETENCION]],Retenciones!$A$1:$O$25,PROVEEDORES[[#This Row],[indicador de columna]],FALSE)</f>
        <v>#N/A</v>
      </c>
      <c r="Y1188" s="152" t="e">
        <f>+VLOOKUP(PROVEEDORES[[#This Row],[ID RETENCION]],Retenciones!$A$1:$O$25,2,FALSE)</f>
        <v>#N/A</v>
      </c>
      <c r="Z1188" s="153" t="b">
        <f>+OR(COUNTIF(PROVEEDORES[[#This Row],[PROVEEDOR]],"*"&amp;'Palabra que no opera y Listas d'!$A$2&amp;"*"))</f>
        <v>0</v>
      </c>
    </row>
    <row r="1189" spans="1:26" ht="27.75" customHeight="1" x14ac:dyDescent="0.3">
      <c r="A1189" s="144" t="str">
        <f>+IF(PROVEEDORES[[#This Row],[FECHA DE PAGO]]=PROVEEDORES[[#This Row],[FECHA DE FACTURACIÓN]],"DE CONTADO","CRÉDITO")</f>
        <v>DE CONTADO</v>
      </c>
      <c r="B1189" s="144" t="b">
        <f>+IF((PROVEEDORES[[#This Row],[FECHA DE PAGO]]-PROVEEDORES[[#This Row],[FECHA DE FACTURACIÓN]])&gt;PROVEEDORES[[#This Row],[PLAZO Días]],"PAGO VENCIDO")</f>
        <v>0</v>
      </c>
      <c r="C1189" s="144">
        <f>+VLOOKUP(PROVEEDORES[[#This Row],[PROVEEDOR]],TERCEROS_INFO[#All],2,FALSE)</f>
        <v>0</v>
      </c>
      <c r="D1189" s="145">
        <f>+SUMIFS(PROVEEDORES[Total],PROVEEDORES[PROVEEDOR],PROVEEDORES[[#This Row],[PROVEEDOR]],PROVEEDORES[FECHA DE PAGO],"")</f>
        <v>550000</v>
      </c>
      <c r="E1189" s="146"/>
      <c r="F1189" s="144">
        <f>+VLOOKUP(PROVEEDORES[[#This Row],[PROVEEDOR]],
                       Terceros!$A:$G,
                       5,
                       FALSE)</f>
        <v>0</v>
      </c>
      <c r="G1189" s="122">
        <v>45321</v>
      </c>
      <c r="H1189" s="102" t="s">
        <v>1784</v>
      </c>
      <c r="I1189" s="122">
        <v>45321</v>
      </c>
      <c r="J1189" s="103" t="s">
        <v>1475</v>
      </c>
      <c r="K1189" s="103" t="s">
        <v>1512</v>
      </c>
      <c r="L1189" s="103"/>
      <c r="M1189" s="105">
        <v>480000</v>
      </c>
      <c r="N1189" s="147">
        <v>0</v>
      </c>
      <c r="O1189" s="147">
        <v>0</v>
      </c>
      <c r="P1189" s="148">
        <v>0</v>
      </c>
      <c r="Q1189" s="147">
        <v>0</v>
      </c>
      <c r="R1189" s="149">
        <v>480000</v>
      </c>
      <c r="S11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9" s="150">
        <f ca="1">+IF(PROVEEDORES[[#This Row],[FECHA DE PAGO]]=0,TODAY()-PROVEEDORES[[#This Row],[FECHA DE FACTURACIÓN]]-PROVEEDORES[[#This Row],[PLAZO Días]],0)</f>
        <v>0</v>
      </c>
      <c r="U1189" s="150">
        <f>+VLOOKUP(PROVEEDORES[[#This Row],[PROVEEDOR]],Terceros!$A:$E,4,FALSE)</f>
        <v>0</v>
      </c>
      <c r="V1189" s="150">
        <f>+YEAR(PROVEEDORES[[#This Row],[FECHA DE FACTURACIÓN]])</f>
        <v>2024</v>
      </c>
      <c r="W1189" s="150">
        <f>+MATCH(PROVEEDORES[[#This Row],[año facturado]],Retenciones!$1:$1,0)</f>
        <v>7</v>
      </c>
      <c r="X1189" s="151">
        <f>+VLOOKUP(PROVEEDORES[[#This Row],[ID RETENCION]],Retenciones!$A$1:$O$25,PROVEEDORES[[#This Row],[indicador de columna]],FALSE)</f>
        <v>0</v>
      </c>
      <c r="Y1189" s="152">
        <f>+VLOOKUP(PROVEEDORES[[#This Row],[ID RETENCION]],Retenciones!$A$1:$O$25,2,FALSE)</f>
        <v>0</v>
      </c>
      <c r="Z1189" s="153" t="b">
        <f>+OR(COUNTIF(PROVEEDORES[[#This Row],[PROVEEDOR]],"*"&amp;'Palabra que no opera y Listas d'!$A$2&amp;"*"))</f>
        <v>0</v>
      </c>
    </row>
    <row r="1190" spans="1:26" ht="27.75" customHeight="1" x14ac:dyDescent="0.3">
      <c r="A1190" s="144" t="str">
        <f>+IF(PROVEEDORES[[#This Row],[FECHA DE PAGO]]=PROVEEDORES[[#This Row],[FECHA DE FACTURACIÓN]],"DE CONTADO","CRÉDITO")</f>
        <v>CRÉDITO</v>
      </c>
      <c r="B1190" s="144" t="str">
        <f>+IF((PROVEEDORES[[#This Row],[FECHA DE PAGO]]-PROVEEDORES[[#This Row],[FECHA DE FACTURACIÓN]])&gt;PROVEEDORES[[#This Row],[PLAZO Días]],"PAGO VENCIDO")</f>
        <v>PAGO VENCIDO</v>
      </c>
      <c r="C1190" s="144">
        <f>+VLOOKUP(PROVEEDORES[[#This Row],[PROVEEDOR]],TERCEROS_INFO[#All],2,FALSE)</f>
        <v>0</v>
      </c>
      <c r="D1190" s="145">
        <f>+SUMIFS(PROVEEDORES[Total],PROVEEDORES[PROVEEDOR],PROVEEDORES[[#This Row],[PROVEEDOR]],PROVEEDORES[FECHA DE PAGO],"")</f>
        <v>9343197</v>
      </c>
      <c r="E1190" s="146"/>
      <c r="F1190" s="144" t="str">
        <f>+VLOOKUP(PROVEEDORES[[#This Row],[PROVEEDOR]],
                       Terceros!$A:$G,
                       5,
                       FALSE)</f>
        <v>2,5% con base</v>
      </c>
      <c r="G1190" s="122">
        <v>45322</v>
      </c>
      <c r="H1190" s="102" t="s">
        <v>466</v>
      </c>
      <c r="I1190" s="122">
        <v>45261</v>
      </c>
      <c r="J1190" s="103" t="s">
        <v>1324</v>
      </c>
      <c r="K1190" s="103" t="s">
        <v>1512</v>
      </c>
      <c r="L1190" s="103"/>
      <c r="M1190" s="105">
        <v>4116710</v>
      </c>
      <c r="N1190" s="147">
        <v>782174.9</v>
      </c>
      <c r="O1190" s="147">
        <v>0</v>
      </c>
      <c r="P1190" s="148">
        <v>2.5000000000000001E-2</v>
      </c>
      <c r="Q1190" s="147">
        <v>102917.75</v>
      </c>
      <c r="R1190" s="149">
        <v>4795967.1500000004</v>
      </c>
      <c r="S11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0" s="150">
        <f ca="1">+IF(PROVEEDORES[[#This Row],[FECHA DE PAGO]]=0,TODAY()-PROVEEDORES[[#This Row],[FECHA DE FACTURACIÓN]]-PROVEEDORES[[#This Row],[PLAZO Días]],0)</f>
        <v>0</v>
      </c>
      <c r="U1190" s="150">
        <f>+VLOOKUP(PROVEEDORES[[#This Row],[PROVEEDOR]],Terceros!$A:$E,4,FALSE)</f>
        <v>0.19</v>
      </c>
      <c r="V1190" s="150">
        <f>+YEAR(PROVEEDORES[[#This Row],[FECHA DE FACTURACIÓN]])</f>
        <v>2023</v>
      </c>
      <c r="W1190" s="150">
        <f>+MATCH(PROVEEDORES[[#This Row],[año facturado]],Retenciones!$1:$1,0)</f>
        <v>6</v>
      </c>
      <c r="X1190" s="151" t="e">
        <f>+VLOOKUP(PROVEEDORES[[#This Row],[ID RETENCION]],Retenciones!$A$1:$O$25,PROVEEDORES[[#This Row],[indicador de columna]],FALSE)</f>
        <v>#N/A</v>
      </c>
      <c r="Y1190" s="152" t="e">
        <f>+VLOOKUP(PROVEEDORES[[#This Row],[ID RETENCION]],Retenciones!$A$1:$O$25,2,FALSE)</f>
        <v>#N/A</v>
      </c>
      <c r="Z1190" s="153" t="b">
        <f>+OR(COUNTIF(PROVEEDORES[[#This Row],[PROVEEDOR]],"*"&amp;'Palabra que no opera y Listas d'!$A$2&amp;"*"))</f>
        <v>0</v>
      </c>
    </row>
    <row r="1191" spans="1:26" ht="27.75" customHeight="1" x14ac:dyDescent="0.3">
      <c r="A1191" s="144" t="str">
        <f>+IF(PROVEEDORES[[#This Row],[FECHA DE PAGO]]=PROVEEDORES[[#This Row],[FECHA DE FACTURACIÓN]],"DE CONTADO","CRÉDITO")</f>
        <v>CRÉDITO</v>
      </c>
      <c r="B1191" s="144" t="str">
        <f>+IF((PROVEEDORES[[#This Row],[FECHA DE PAGO]]-PROVEEDORES[[#This Row],[FECHA DE FACTURACIÓN]])&gt;PROVEEDORES[[#This Row],[PLAZO Días]],"PAGO VENCIDO")</f>
        <v>PAGO VENCIDO</v>
      </c>
      <c r="C1191" s="144">
        <f>+VLOOKUP(PROVEEDORES[[#This Row],[PROVEEDOR]],TERCEROS_INFO[#All],2,FALSE)</f>
        <v>0</v>
      </c>
      <c r="D1191" s="145">
        <f>+SUMIFS(PROVEEDORES[Total],PROVEEDORES[PROVEEDOR],PROVEEDORES[[#This Row],[PROVEEDOR]],PROVEEDORES[FECHA DE PAGO],"")</f>
        <v>0</v>
      </c>
      <c r="E1191" s="146"/>
      <c r="F1191" s="144">
        <f>+VLOOKUP(PROVEEDORES[[#This Row],[PROVEEDOR]],
                       Terceros!$A:$G,
                       5,
                       FALSE)</f>
        <v>0</v>
      </c>
      <c r="G1191" s="122">
        <v>45322</v>
      </c>
      <c r="H1191" s="102" t="s">
        <v>85</v>
      </c>
      <c r="I1191" s="122">
        <v>45261</v>
      </c>
      <c r="J1191" s="103" t="s">
        <v>1447</v>
      </c>
      <c r="K1191" s="103" t="s">
        <v>1512</v>
      </c>
      <c r="L1191" s="103"/>
      <c r="M1191" s="105">
        <v>229206</v>
      </c>
      <c r="N1191" s="147">
        <v>0</v>
      </c>
      <c r="O1191" s="147">
        <v>0</v>
      </c>
      <c r="P1191" s="148">
        <v>0</v>
      </c>
      <c r="Q1191" s="147">
        <v>0</v>
      </c>
      <c r="R1191" s="149">
        <v>229206</v>
      </c>
      <c r="S11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1" s="150">
        <f ca="1">+IF(PROVEEDORES[[#This Row],[FECHA DE PAGO]]=0,TODAY()-PROVEEDORES[[#This Row],[FECHA DE FACTURACIÓN]]-PROVEEDORES[[#This Row],[PLAZO Días]],0)</f>
        <v>0</v>
      </c>
      <c r="U1191" s="150">
        <f>+VLOOKUP(PROVEEDORES[[#This Row],[PROVEEDOR]],Terceros!$A:$E,4,FALSE)</f>
        <v>0</v>
      </c>
      <c r="V1191" s="150">
        <f>+YEAR(PROVEEDORES[[#This Row],[FECHA DE FACTURACIÓN]])</f>
        <v>2023</v>
      </c>
      <c r="W1191" s="150">
        <f>+MATCH(PROVEEDORES[[#This Row],[año facturado]],Retenciones!$1:$1,0)</f>
        <v>6</v>
      </c>
      <c r="X1191" s="151">
        <f>+VLOOKUP(PROVEEDORES[[#This Row],[ID RETENCION]],Retenciones!$A$1:$O$25,PROVEEDORES[[#This Row],[indicador de columna]],FALSE)</f>
        <v>0</v>
      </c>
      <c r="Y1191" s="152">
        <f>+VLOOKUP(PROVEEDORES[[#This Row],[ID RETENCION]],Retenciones!$A$1:$O$25,2,FALSE)</f>
        <v>0</v>
      </c>
      <c r="Z1191" s="153" t="b">
        <f>+OR(COUNTIF(PROVEEDORES[[#This Row],[PROVEEDOR]],"*"&amp;'Palabra que no opera y Listas d'!$A$2&amp;"*"))</f>
        <v>0</v>
      </c>
    </row>
    <row r="1192" spans="1:26" ht="27.75" customHeight="1" x14ac:dyDescent="0.3">
      <c r="A1192" s="144" t="str">
        <f>+IF(PROVEEDORES[[#This Row],[FECHA DE PAGO]]=PROVEEDORES[[#This Row],[FECHA DE FACTURACIÓN]],"DE CONTADO","CRÉDITO")</f>
        <v>CRÉDITO</v>
      </c>
      <c r="B1192" s="144" t="str">
        <f>+IF((PROVEEDORES[[#This Row],[FECHA DE PAGO]]-PROVEEDORES[[#This Row],[FECHA DE FACTURACIÓN]])&gt;PROVEEDORES[[#This Row],[PLAZO Días]],"PAGO VENCIDO")</f>
        <v>PAGO VENCIDO</v>
      </c>
      <c r="C1192" s="144">
        <f>+VLOOKUP(PROVEEDORES[[#This Row],[PROVEEDOR]],TERCEROS_INFO[#All],2,FALSE)</f>
        <v>0</v>
      </c>
      <c r="D1192" s="145">
        <f>+SUMIFS(PROVEEDORES[Total],PROVEEDORES[PROVEEDOR],PROVEEDORES[[#This Row],[PROVEEDOR]],PROVEEDORES[FECHA DE PAGO],"")</f>
        <v>9343197</v>
      </c>
      <c r="E1192" s="146"/>
      <c r="F1192" s="144" t="str">
        <f>+VLOOKUP(PROVEEDORES[[#This Row],[PROVEEDOR]],
                       Terceros!$A:$G,
                       5,
                       FALSE)</f>
        <v>2,5% con base</v>
      </c>
      <c r="G1192" s="122">
        <v>45322</v>
      </c>
      <c r="H1192" s="102" t="s">
        <v>466</v>
      </c>
      <c r="I1192" s="122">
        <v>45265</v>
      </c>
      <c r="J1192" s="103" t="s">
        <v>1326</v>
      </c>
      <c r="K1192" s="103" t="s">
        <v>1512</v>
      </c>
      <c r="L1192" s="103"/>
      <c r="M1192" s="105">
        <v>1260000</v>
      </c>
      <c r="N1192" s="147">
        <v>239400</v>
      </c>
      <c r="O1192" s="147">
        <v>0</v>
      </c>
      <c r="P1192" s="148">
        <v>2.5000000000000001E-2</v>
      </c>
      <c r="Q1192" s="147">
        <v>31500</v>
      </c>
      <c r="R1192" s="149">
        <v>1467900</v>
      </c>
      <c r="S11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2" s="150">
        <f ca="1">+IF(PROVEEDORES[[#This Row],[FECHA DE PAGO]]=0,TODAY()-PROVEEDORES[[#This Row],[FECHA DE FACTURACIÓN]]-PROVEEDORES[[#This Row],[PLAZO Días]],0)</f>
        <v>0</v>
      </c>
      <c r="U1192" s="150">
        <f>+VLOOKUP(PROVEEDORES[[#This Row],[PROVEEDOR]],Terceros!$A:$E,4,FALSE)</f>
        <v>0.19</v>
      </c>
      <c r="V1192" s="150">
        <f>+YEAR(PROVEEDORES[[#This Row],[FECHA DE FACTURACIÓN]])</f>
        <v>2023</v>
      </c>
      <c r="W1192" s="150">
        <f>+MATCH(PROVEEDORES[[#This Row],[año facturado]],Retenciones!$1:$1,0)</f>
        <v>6</v>
      </c>
      <c r="X1192" s="151" t="e">
        <f>+VLOOKUP(PROVEEDORES[[#This Row],[ID RETENCION]],Retenciones!$A$1:$O$25,PROVEEDORES[[#This Row],[indicador de columna]],FALSE)</f>
        <v>#N/A</v>
      </c>
      <c r="Y1192" s="152" t="e">
        <f>+VLOOKUP(PROVEEDORES[[#This Row],[ID RETENCION]],Retenciones!$A$1:$O$25,2,FALSE)</f>
        <v>#N/A</v>
      </c>
      <c r="Z1192" s="153" t="b">
        <f>+OR(COUNTIF(PROVEEDORES[[#This Row],[PROVEEDOR]],"*"&amp;'Palabra que no opera y Listas d'!$A$2&amp;"*"))</f>
        <v>0</v>
      </c>
    </row>
    <row r="1193" spans="1:26" ht="27.75" customHeight="1" x14ac:dyDescent="0.3">
      <c r="A1193" s="144" t="str">
        <f>+IF(PROVEEDORES[[#This Row],[FECHA DE PAGO]]=PROVEEDORES[[#This Row],[FECHA DE FACTURACIÓN]],"DE CONTADO","CRÉDITO")</f>
        <v>CRÉDITO</v>
      </c>
      <c r="B1193" s="144" t="str">
        <f>+IF((PROVEEDORES[[#This Row],[FECHA DE PAGO]]-PROVEEDORES[[#This Row],[FECHA DE FACTURACIÓN]])&gt;PROVEEDORES[[#This Row],[PLAZO Días]],"PAGO VENCIDO")</f>
        <v>PAGO VENCIDO</v>
      </c>
      <c r="C1193" s="144">
        <f>+VLOOKUP(PROVEEDORES[[#This Row],[PROVEEDOR]],TERCEROS_INFO[#All],2,FALSE)</f>
        <v>0</v>
      </c>
      <c r="D1193" s="145">
        <f>+SUMIFS(PROVEEDORES[Total],PROVEEDORES[PROVEEDOR],PROVEEDORES[[#This Row],[PROVEEDOR]],PROVEEDORES[FECHA DE PAGO],"")</f>
        <v>5813868.5099999998</v>
      </c>
      <c r="E1193" s="146"/>
      <c r="F1193" s="144" t="str">
        <f>+VLOOKUP(PROVEEDORES[[#This Row],[PROVEEDOR]],
                       Terceros!$A:$G,
                       5,
                       FALSE)</f>
        <v>2,5% con base</v>
      </c>
      <c r="G1193" s="122">
        <v>45322</v>
      </c>
      <c r="H1193" s="102" t="s">
        <v>23</v>
      </c>
      <c r="I1193" s="122">
        <v>45274</v>
      </c>
      <c r="J1193" s="103">
        <v>5042201</v>
      </c>
      <c r="K1193" s="103" t="s">
        <v>516</v>
      </c>
      <c r="L1193" s="103"/>
      <c r="M1193" s="105">
        <v>3150000</v>
      </c>
      <c r="N1193" s="147">
        <v>598500</v>
      </c>
      <c r="O1193" s="147">
        <v>0</v>
      </c>
      <c r="P1193" s="148">
        <v>2.5000000000000001E-2</v>
      </c>
      <c r="Q1193" s="147">
        <v>78750</v>
      </c>
      <c r="R1193" s="149">
        <v>3669750</v>
      </c>
      <c r="S11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3" s="150">
        <f ca="1">+IF(PROVEEDORES[[#This Row],[FECHA DE PAGO]]=0,TODAY()-PROVEEDORES[[#This Row],[FECHA DE FACTURACIÓN]]-PROVEEDORES[[#This Row],[PLAZO Días]],0)</f>
        <v>0</v>
      </c>
      <c r="U1193" s="150">
        <f>+VLOOKUP(PROVEEDORES[[#This Row],[PROVEEDOR]],Terceros!$A:$E,4,FALSE)</f>
        <v>0.19</v>
      </c>
      <c r="V1193" s="150">
        <f>+YEAR(PROVEEDORES[[#This Row],[FECHA DE FACTURACIÓN]])</f>
        <v>2023</v>
      </c>
      <c r="W1193" s="150">
        <f>+MATCH(PROVEEDORES[[#This Row],[año facturado]],Retenciones!$1:$1,0)</f>
        <v>6</v>
      </c>
      <c r="X1193" s="151" t="e">
        <f>+VLOOKUP(PROVEEDORES[[#This Row],[ID RETENCION]],Retenciones!$A$1:$O$25,PROVEEDORES[[#This Row],[indicador de columna]],FALSE)</f>
        <v>#N/A</v>
      </c>
      <c r="Y1193" s="152" t="e">
        <f>+VLOOKUP(PROVEEDORES[[#This Row],[ID RETENCION]],Retenciones!$A$1:$O$25,2,FALSE)</f>
        <v>#N/A</v>
      </c>
      <c r="Z1193" s="153" t="b">
        <f>+OR(COUNTIF(PROVEEDORES[[#This Row],[PROVEEDOR]],"*"&amp;'Palabra que no opera y Listas d'!$A$2&amp;"*"))</f>
        <v>0</v>
      </c>
    </row>
    <row r="1194" spans="1:26" ht="27.75" customHeight="1" x14ac:dyDescent="0.3">
      <c r="A1194" s="144" t="str">
        <f>+IF(PROVEEDORES[[#This Row],[FECHA DE PAGO]]=PROVEEDORES[[#This Row],[FECHA DE FACTURACIÓN]],"DE CONTADO","CRÉDITO")</f>
        <v>CRÉDITO</v>
      </c>
      <c r="B1194" s="144" t="str">
        <f>+IF((PROVEEDORES[[#This Row],[FECHA DE PAGO]]-PROVEEDORES[[#This Row],[FECHA DE FACTURACIÓN]])&gt;PROVEEDORES[[#This Row],[PLAZO Días]],"PAGO VENCIDO")</f>
        <v>PAGO VENCIDO</v>
      </c>
      <c r="C1194" s="144">
        <f>+VLOOKUP(PROVEEDORES[[#This Row],[PROVEEDOR]],TERCEROS_INFO[#All],2,FALSE)</f>
        <v>0</v>
      </c>
      <c r="D1194" s="145">
        <f>+SUMIFS(PROVEEDORES[Total],PROVEEDORES[PROVEEDOR],PROVEEDORES[[#This Row],[PROVEEDOR]],PROVEEDORES[FECHA DE PAGO],"")</f>
        <v>9343197</v>
      </c>
      <c r="E1194" s="146"/>
      <c r="F1194" s="144" t="str">
        <f>+VLOOKUP(PROVEEDORES[[#This Row],[PROVEEDOR]],
                       Terceros!$A:$G,
                       5,
                       FALSE)</f>
        <v>2,5% con base</v>
      </c>
      <c r="G1194" s="122">
        <v>45322</v>
      </c>
      <c r="H1194" s="102" t="s">
        <v>466</v>
      </c>
      <c r="I1194" s="122">
        <v>45286</v>
      </c>
      <c r="J1194" s="103" t="s">
        <v>1376</v>
      </c>
      <c r="K1194" s="103" t="s">
        <v>1512</v>
      </c>
      <c r="L1194" s="103"/>
      <c r="M1194" s="105">
        <v>4116710</v>
      </c>
      <c r="N1194" s="147">
        <v>782174.9</v>
      </c>
      <c r="O1194" s="147">
        <v>0</v>
      </c>
      <c r="P1194" s="148">
        <v>2.5000000000000001E-2</v>
      </c>
      <c r="Q1194" s="147">
        <v>102917.75</v>
      </c>
      <c r="R1194" s="149">
        <v>4795967.1500000004</v>
      </c>
      <c r="S11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4" s="150">
        <f ca="1">+IF(PROVEEDORES[[#This Row],[FECHA DE PAGO]]=0,TODAY()-PROVEEDORES[[#This Row],[FECHA DE FACTURACIÓN]]-PROVEEDORES[[#This Row],[PLAZO Días]],0)</f>
        <v>0</v>
      </c>
      <c r="U1194" s="150">
        <f>+VLOOKUP(PROVEEDORES[[#This Row],[PROVEEDOR]],Terceros!$A:$E,4,FALSE)</f>
        <v>0.19</v>
      </c>
      <c r="V1194" s="150">
        <f>+YEAR(PROVEEDORES[[#This Row],[FECHA DE FACTURACIÓN]])</f>
        <v>2023</v>
      </c>
      <c r="W1194" s="150">
        <f>+MATCH(PROVEEDORES[[#This Row],[año facturado]],Retenciones!$1:$1,0)</f>
        <v>6</v>
      </c>
      <c r="X1194" s="151" t="e">
        <f>+VLOOKUP(PROVEEDORES[[#This Row],[ID RETENCION]],Retenciones!$A$1:$O$25,PROVEEDORES[[#This Row],[indicador de columna]],FALSE)</f>
        <v>#N/A</v>
      </c>
      <c r="Y1194" s="152" t="e">
        <f>+VLOOKUP(PROVEEDORES[[#This Row],[ID RETENCION]],Retenciones!$A$1:$O$25,2,FALSE)</f>
        <v>#N/A</v>
      </c>
      <c r="Z1194" s="153" t="b">
        <f>+OR(COUNTIF(PROVEEDORES[[#This Row],[PROVEEDOR]],"*"&amp;'Palabra que no opera y Listas d'!$A$2&amp;"*"))</f>
        <v>0</v>
      </c>
    </row>
    <row r="1195" spans="1:26" ht="27.75" customHeight="1" x14ac:dyDescent="0.3">
      <c r="A1195" s="144" t="str">
        <f>+IF(PROVEEDORES[[#This Row],[FECHA DE PAGO]]=PROVEEDORES[[#This Row],[FECHA DE FACTURACIÓN]],"DE CONTADO","CRÉDITO")</f>
        <v>CRÉDITO</v>
      </c>
      <c r="B1195" s="144" t="str">
        <f>+IF((PROVEEDORES[[#This Row],[FECHA DE PAGO]]-PROVEEDORES[[#This Row],[FECHA DE FACTURACIÓN]])&gt;PROVEEDORES[[#This Row],[PLAZO Días]],"PAGO VENCIDO")</f>
        <v>PAGO VENCIDO</v>
      </c>
      <c r="C1195" s="144">
        <f>+VLOOKUP(PROVEEDORES[[#This Row],[PROVEEDOR]],TERCEROS_INFO[#All],2,FALSE)</f>
        <v>0</v>
      </c>
      <c r="D1195" s="145">
        <f>+SUMIFS(PROVEEDORES[Total],PROVEEDORES[PROVEEDOR],PROVEEDORES[[#This Row],[PROVEEDOR]],PROVEEDORES[FECHA DE PAGO],"")</f>
        <v>1794100</v>
      </c>
      <c r="E1195" s="146"/>
      <c r="F1195" s="144" t="str">
        <f>+VLOOKUP(PROVEEDORES[[#This Row],[PROVEEDOR]],
                       Terceros!$A:$G,
                       5,
                       FALSE)</f>
        <v>2,5% con base</v>
      </c>
      <c r="G1195" s="122">
        <v>45322</v>
      </c>
      <c r="H1195" s="102" t="s">
        <v>426</v>
      </c>
      <c r="I1195" s="122">
        <v>45300</v>
      </c>
      <c r="J1195" s="103" t="s">
        <v>1425</v>
      </c>
      <c r="K1195" s="103" t="s">
        <v>516</v>
      </c>
      <c r="L1195" s="103"/>
      <c r="M1195" s="105">
        <v>1800000</v>
      </c>
      <c r="N1195" s="147">
        <v>342000</v>
      </c>
      <c r="O1195" s="147">
        <v>0</v>
      </c>
      <c r="P1195" s="148">
        <v>2.5000000000000001E-2</v>
      </c>
      <c r="Q1195" s="147">
        <v>45000</v>
      </c>
      <c r="R1195" s="149">
        <v>2097000</v>
      </c>
      <c r="S11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5" s="150">
        <f ca="1">+IF(PROVEEDORES[[#This Row],[FECHA DE PAGO]]=0,TODAY()-PROVEEDORES[[#This Row],[FECHA DE FACTURACIÓN]]-PROVEEDORES[[#This Row],[PLAZO Días]],0)</f>
        <v>0</v>
      </c>
      <c r="U1195" s="150">
        <f>+VLOOKUP(PROVEEDORES[[#This Row],[PROVEEDOR]],Terceros!$A:$E,4,FALSE)</f>
        <v>0.19</v>
      </c>
      <c r="V1195" s="150">
        <f>+YEAR(PROVEEDORES[[#This Row],[FECHA DE FACTURACIÓN]])</f>
        <v>2024</v>
      </c>
      <c r="W1195" s="150">
        <f>+MATCH(PROVEEDORES[[#This Row],[año facturado]],Retenciones!$1:$1,0)</f>
        <v>7</v>
      </c>
      <c r="X1195" s="151" t="e">
        <f>+VLOOKUP(PROVEEDORES[[#This Row],[ID RETENCION]],Retenciones!$A$1:$O$25,PROVEEDORES[[#This Row],[indicador de columna]],FALSE)</f>
        <v>#N/A</v>
      </c>
      <c r="Y1195" s="152" t="e">
        <f>+VLOOKUP(PROVEEDORES[[#This Row],[ID RETENCION]],Retenciones!$A$1:$O$25,2,FALSE)</f>
        <v>#N/A</v>
      </c>
      <c r="Z1195" s="153" t="b">
        <f>+OR(COUNTIF(PROVEEDORES[[#This Row],[PROVEEDOR]],"*"&amp;'Palabra que no opera y Listas d'!$A$2&amp;"*"))</f>
        <v>0</v>
      </c>
    </row>
    <row r="1196" spans="1:26" ht="27.75" customHeight="1" x14ac:dyDescent="0.3">
      <c r="A1196" s="144" t="str">
        <f>+IF(PROVEEDORES[[#This Row],[FECHA DE PAGO]]=PROVEEDORES[[#This Row],[FECHA DE FACTURACIÓN]],"DE CONTADO","CRÉDITO")</f>
        <v>CRÉDITO</v>
      </c>
      <c r="B1196" s="144" t="str">
        <f>+IF((PROVEEDORES[[#This Row],[FECHA DE PAGO]]-PROVEEDORES[[#This Row],[FECHA DE FACTURACIÓN]])&gt;PROVEEDORES[[#This Row],[PLAZO Días]],"PAGO VENCIDO")</f>
        <v>PAGO VENCIDO</v>
      </c>
      <c r="C1196" s="144">
        <f>+VLOOKUP(PROVEEDORES[[#This Row],[PROVEEDOR]],TERCEROS_INFO[#All],2,FALSE)</f>
        <v>0</v>
      </c>
      <c r="D1196" s="145">
        <f>+SUMIFS(PROVEEDORES[Total],PROVEEDORES[PROVEEDOR],PROVEEDORES[[#This Row],[PROVEEDOR]],PROVEEDORES[FECHA DE PAGO],"")</f>
        <v>0</v>
      </c>
      <c r="E1196" s="146"/>
      <c r="F1196" s="144">
        <f>+VLOOKUP(PROVEEDORES[[#This Row],[PROVEEDOR]],
                       Terceros!$A:$G,
                       5,
                       FALSE)</f>
        <v>0</v>
      </c>
      <c r="G1196" s="122">
        <v>45322</v>
      </c>
      <c r="H1196" s="102" t="s">
        <v>191</v>
      </c>
      <c r="I1196" s="122">
        <v>45309</v>
      </c>
      <c r="J1196" s="103" t="s">
        <v>1476</v>
      </c>
      <c r="K1196" s="103" t="s">
        <v>516</v>
      </c>
      <c r="L1196" s="103"/>
      <c r="M1196" s="105">
        <v>209750</v>
      </c>
      <c r="N1196" s="147">
        <v>0</v>
      </c>
      <c r="O1196" s="147">
        <v>0</v>
      </c>
      <c r="P1196" s="148">
        <v>0</v>
      </c>
      <c r="Q1196" s="147">
        <v>0</v>
      </c>
      <c r="R1196" s="149">
        <v>209750</v>
      </c>
      <c r="S11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6" s="150">
        <f ca="1">+IF(PROVEEDORES[[#This Row],[FECHA DE PAGO]]=0,TODAY()-PROVEEDORES[[#This Row],[FECHA DE FACTURACIÓN]]-PROVEEDORES[[#This Row],[PLAZO Días]],0)</f>
        <v>0</v>
      </c>
      <c r="U1196" s="150">
        <f>+VLOOKUP(PROVEEDORES[[#This Row],[PROVEEDOR]],Terceros!$A:$E,4,FALSE)</f>
        <v>0</v>
      </c>
      <c r="V1196" s="150">
        <f>+YEAR(PROVEEDORES[[#This Row],[FECHA DE FACTURACIÓN]])</f>
        <v>2024</v>
      </c>
      <c r="W1196" s="150">
        <f>+MATCH(PROVEEDORES[[#This Row],[año facturado]],Retenciones!$1:$1,0)</f>
        <v>7</v>
      </c>
      <c r="X1196" s="151">
        <f>+VLOOKUP(PROVEEDORES[[#This Row],[ID RETENCION]],Retenciones!$A$1:$O$25,PROVEEDORES[[#This Row],[indicador de columna]],FALSE)</f>
        <v>0</v>
      </c>
      <c r="Y1196" s="152">
        <f>+VLOOKUP(PROVEEDORES[[#This Row],[ID RETENCION]],Retenciones!$A$1:$O$25,2,FALSE)</f>
        <v>0</v>
      </c>
      <c r="Z1196" s="153" t="b">
        <f>+OR(COUNTIF(PROVEEDORES[[#This Row],[PROVEEDOR]],"*"&amp;'Palabra que no opera y Listas d'!$A$2&amp;"*"))</f>
        <v>0</v>
      </c>
    </row>
    <row r="1197" spans="1:26" ht="27.75" customHeight="1" x14ac:dyDescent="0.3">
      <c r="A1197" s="144" t="str">
        <f>+IF(PROVEEDORES[[#This Row],[FECHA DE PAGO]]=PROVEEDORES[[#This Row],[FECHA DE FACTURACIÓN]],"DE CONTADO","CRÉDITO")</f>
        <v>CRÉDITO</v>
      </c>
      <c r="B1197" s="144" t="str">
        <f>+IF((PROVEEDORES[[#This Row],[FECHA DE PAGO]]-PROVEEDORES[[#This Row],[FECHA DE FACTURACIÓN]])&gt;PROVEEDORES[[#This Row],[PLAZO Días]],"PAGO VENCIDO")</f>
        <v>PAGO VENCIDO</v>
      </c>
      <c r="C1197" s="144">
        <f>+VLOOKUP(PROVEEDORES[[#This Row],[PROVEEDOR]],TERCEROS_INFO[#All],2,FALSE)</f>
        <v>0</v>
      </c>
      <c r="D1197" s="145">
        <f>+SUMIFS(PROVEEDORES[Total],PROVEEDORES[PROVEEDOR],PROVEEDORES[[#This Row],[PROVEEDOR]],PROVEEDORES[FECHA DE PAGO],"")</f>
        <v>0</v>
      </c>
      <c r="E1197" s="146"/>
      <c r="F1197" s="144">
        <f>+VLOOKUP(PROVEEDORES[[#This Row],[PROVEEDOR]],
                       Terceros!$A:$G,
                       5,
                       FALSE)</f>
        <v>0</v>
      </c>
      <c r="G1197" s="122">
        <v>45322</v>
      </c>
      <c r="H1197" s="102" t="s">
        <v>191</v>
      </c>
      <c r="I1197" s="122">
        <v>45309</v>
      </c>
      <c r="J1197" s="103" t="s">
        <v>1477</v>
      </c>
      <c r="K1197" s="103" t="s">
        <v>516</v>
      </c>
      <c r="L1197" s="103"/>
      <c r="M1197" s="105">
        <v>380518</v>
      </c>
      <c r="N1197" s="147">
        <v>0</v>
      </c>
      <c r="O1197" s="147">
        <v>0</v>
      </c>
      <c r="P1197" s="148">
        <v>0</v>
      </c>
      <c r="Q1197" s="147">
        <v>0</v>
      </c>
      <c r="R1197" s="149">
        <v>380518</v>
      </c>
      <c r="S11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7" s="150">
        <f ca="1">+IF(PROVEEDORES[[#This Row],[FECHA DE PAGO]]=0,TODAY()-PROVEEDORES[[#This Row],[FECHA DE FACTURACIÓN]]-PROVEEDORES[[#This Row],[PLAZO Días]],0)</f>
        <v>0</v>
      </c>
      <c r="U1197" s="150">
        <f>+VLOOKUP(PROVEEDORES[[#This Row],[PROVEEDOR]],Terceros!$A:$E,4,FALSE)</f>
        <v>0</v>
      </c>
      <c r="V1197" s="150">
        <f>+YEAR(PROVEEDORES[[#This Row],[FECHA DE FACTURACIÓN]])</f>
        <v>2024</v>
      </c>
      <c r="W1197" s="150">
        <f>+MATCH(PROVEEDORES[[#This Row],[año facturado]],Retenciones!$1:$1,0)</f>
        <v>7</v>
      </c>
      <c r="X1197" s="151">
        <f>+VLOOKUP(PROVEEDORES[[#This Row],[ID RETENCION]],Retenciones!$A$1:$O$25,PROVEEDORES[[#This Row],[indicador de columna]],FALSE)</f>
        <v>0</v>
      </c>
      <c r="Y1197" s="152">
        <f>+VLOOKUP(PROVEEDORES[[#This Row],[ID RETENCION]],Retenciones!$A$1:$O$25,2,FALSE)</f>
        <v>0</v>
      </c>
      <c r="Z1197" s="153" t="b">
        <f>+OR(COUNTIF(PROVEEDORES[[#This Row],[PROVEEDOR]],"*"&amp;'Palabra que no opera y Listas d'!$A$2&amp;"*"))</f>
        <v>0</v>
      </c>
    </row>
    <row r="1198" spans="1:26" ht="27.75" customHeight="1" x14ac:dyDescent="0.3">
      <c r="A1198" s="144" t="str">
        <f>+IF(PROVEEDORES[[#This Row],[FECHA DE PAGO]]=PROVEEDORES[[#This Row],[FECHA DE FACTURACIÓN]],"DE CONTADO","CRÉDITO")</f>
        <v>DE CONTADO</v>
      </c>
      <c r="B1198" s="144" t="b">
        <f>+IF((PROVEEDORES[[#This Row],[FECHA DE PAGO]]-PROVEEDORES[[#This Row],[FECHA DE FACTURACIÓN]])&gt;PROVEEDORES[[#This Row],[PLAZO Días]],"PAGO VENCIDO")</f>
        <v>0</v>
      </c>
      <c r="C1198" s="144">
        <f>+VLOOKUP(PROVEEDORES[[#This Row],[PROVEEDOR]],TERCEROS_INFO[#All],2,FALSE)</f>
        <v>0</v>
      </c>
      <c r="D1198" s="145">
        <f>+SUMIFS(PROVEEDORES[Total],PROVEEDORES[PROVEEDOR],PROVEEDORES[[#This Row],[PROVEEDOR]],PROVEEDORES[FECHA DE PAGO],"")</f>
        <v>0</v>
      </c>
      <c r="E1198" s="146"/>
      <c r="F1198" s="144">
        <f>+VLOOKUP(PROVEEDORES[[#This Row],[PROVEEDOR]],
                       Terceros!$A:$G,
                       5,
                       FALSE)</f>
        <v>0</v>
      </c>
      <c r="G1198" s="122">
        <v>45322</v>
      </c>
      <c r="H1198" s="102" t="s">
        <v>537</v>
      </c>
      <c r="I1198" s="122">
        <v>45322</v>
      </c>
      <c r="J1198" s="103" t="s">
        <v>494</v>
      </c>
      <c r="K1198" s="103" t="s">
        <v>1512</v>
      </c>
      <c r="L1198" s="103"/>
      <c r="M1198" s="105">
        <v>15000</v>
      </c>
      <c r="N1198" s="147">
        <v>0</v>
      </c>
      <c r="O1198" s="147">
        <v>0</v>
      </c>
      <c r="P1198" s="148">
        <v>0</v>
      </c>
      <c r="Q1198" s="147">
        <v>0</v>
      </c>
      <c r="R1198" s="149">
        <v>15000</v>
      </c>
      <c r="S11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8" s="150">
        <f ca="1">+IF(PROVEEDORES[[#This Row],[FECHA DE PAGO]]=0,TODAY()-PROVEEDORES[[#This Row],[FECHA DE FACTURACIÓN]]-PROVEEDORES[[#This Row],[PLAZO Días]],0)</f>
        <v>0</v>
      </c>
      <c r="U1198" s="150">
        <f>+VLOOKUP(PROVEEDORES[[#This Row],[PROVEEDOR]],Terceros!$A:$E,4,FALSE)</f>
        <v>0</v>
      </c>
      <c r="V1198" s="150">
        <f>+YEAR(PROVEEDORES[[#This Row],[FECHA DE FACTURACIÓN]])</f>
        <v>2024</v>
      </c>
      <c r="W1198" s="150">
        <f>+MATCH(PROVEEDORES[[#This Row],[año facturado]],Retenciones!$1:$1,0)</f>
        <v>7</v>
      </c>
      <c r="X1198" s="151">
        <f>+VLOOKUP(PROVEEDORES[[#This Row],[ID RETENCION]],Retenciones!$A$1:$O$25,PROVEEDORES[[#This Row],[indicador de columna]],FALSE)</f>
        <v>0</v>
      </c>
      <c r="Y1198" s="152">
        <f>+VLOOKUP(PROVEEDORES[[#This Row],[ID RETENCION]],Retenciones!$A$1:$O$25,2,FALSE)</f>
        <v>0</v>
      </c>
      <c r="Z1198" s="153" t="b">
        <f>+OR(COUNTIF(PROVEEDORES[[#This Row],[PROVEEDOR]],"*"&amp;'Palabra que no opera y Listas d'!$A$2&amp;"*"))</f>
        <v>0</v>
      </c>
    </row>
    <row r="1199" spans="1:26" ht="27.75" customHeight="1" x14ac:dyDescent="0.3">
      <c r="A1199" s="144" t="str">
        <f>+IF(PROVEEDORES[[#This Row],[FECHA DE PAGO]]=PROVEEDORES[[#This Row],[FECHA DE FACTURACIÓN]],"DE CONTADO","CRÉDITO")</f>
        <v>DE CONTADO</v>
      </c>
      <c r="B1199" s="144" t="b">
        <f>+IF((PROVEEDORES[[#This Row],[FECHA DE PAGO]]-PROVEEDORES[[#This Row],[FECHA DE FACTURACIÓN]])&gt;PROVEEDORES[[#This Row],[PLAZO Días]],"PAGO VENCIDO")</f>
        <v>0</v>
      </c>
      <c r="C1199" s="144">
        <f>+VLOOKUP(PROVEEDORES[[#This Row],[PROVEEDOR]],TERCEROS_INFO[#All],2,FALSE)</f>
        <v>0</v>
      </c>
      <c r="D1199" s="145">
        <f>+SUMIFS(PROVEEDORES[Total],PROVEEDORES[PROVEEDOR],PROVEEDORES[[#This Row],[PROVEEDOR]],PROVEEDORES[FECHA DE PAGO],"")</f>
        <v>0</v>
      </c>
      <c r="E1199" s="146"/>
      <c r="F1199" s="144">
        <f>+VLOOKUP(PROVEEDORES[[#This Row],[PROVEEDOR]],
                       Terceros!$A:$G,
                       5,
                       FALSE)</f>
        <v>0</v>
      </c>
      <c r="G1199" s="122">
        <v>45322</v>
      </c>
      <c r="H1199" s="102" t="s">
        <v>537</v>
      </c>
      <c r="I1199" s="122">
        <v>45322</v>
      </c>
      <c r="J1199" s="103" t="s">
        <v>493</v>
      </c>
      <c r="K1199" s="103" t="s">
        <v>1512</v>
      </c>
      <c r="L1199" s="103"/>
      <c r="M1199" s="105">
        <v>494350</v>
      </c>
      <c r="N1199" s="147">
        <v>0</v>
      </c>
      <c r="O1199" s="147">
        <v>0</v>
      </c>
      <c r="P1199" s="148">
        <v>0</v>
      </c>
      <c r="Q1199" s="147">
        <v>0</v>
      </c>
      <c r="R1199" s="149">
        <v>494350</v>
      </c>
      <c r="S11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9" s="150">
        <f ca="1">+IF(PROVEEDORES[[#This Row],[FECHA DE PAGO]]=0,TODAY()-PROVEEDORES[[#This Row],[FECHA DE FACTURACIÓN]]-PROVEEDORES[[#This Row],[PLAZO Días]],0)</f>
        <v>0</v>
      </c>
      <c r="U1199" s="150">
        <f>+VLOOKUP(PROVEEDORES[[#This Row],[PROVEEDOR]],Terceros!$A:$E,4,FALSE)</f>
        <v>0</v>
      </c>
      <c r="V1199" s="150">
        <f>+YEAR(PROVEEDORES[[#This Row],[FECHA DE FACTURACIÓN]])</f>
        <v>2024</v>
      </c>
      <c r="W1199" s="150">
        <f>+MATCH(PROVEEDORES[[#This Row],[año facturado]],Retenciones!$1:$1,0)</f>
        <v>7</v>
      </c>
      <c r="X1199" s="151">
        <f>+VLOOKUP(PROVEEDORES[[#This Row],[ID RETENCION]],Retenciones!$A$1:$O$25,PROVEEDORES[[#This Row],[indicador de columna]],FALSE)</f>
        <v>0</v>
      </c>
      <c r="Y1199" s="152">
        <f>+VLOOKUP(PROVEEDORES[[#This Row],[ID RETENCION]],Retenciones!$A$1:$O$25,2,FALSE)</f>
        <v>0</v>
      </c>
      <c r="Z1199" s="153" t="b">
        <f>+OR(COUNTIF(PROVEEDORES[[#This Row],[PROVEEDOR]],"*"&amp;'Palabra que no opera y Listas d'!$A$2&amp;"*"))</f>
        <v>0</v>
      </c>
    </row>
    <row r="1200" spans="1:26" ht="27.75" customHeight="1" x14ac:dyDescent="0.3">
      <c r="A1200" s="144" t="str">
        <f>+IF(PROVEEDORES[[#This Row],[FECHA DE PAGO]]=PROVEEDORES[[#This Row],[FECHA DE FACTURACIÓN]],"DE CONTADO","CRÉDITO")</f>
        <v>DE CONTADO</v>
      </c>
      <c r="B1200" s="144" t="b">
        <f>+IF((PROVEEDORES[[#This Row],[FECHA DE PAGO]]-PROVEEDORES[[#This Row],[FECHA DE FACTURACIÓN]])&gt;PROVEEDORES[[#This Row],[PLAZO Días]],"PAGO VENCIDO")</f>
        <v>0</v>
      </c>
      <c r="C1200" s="144">
        <f>+VLOOKUP(PROVEEDORES[[#This Row],[PROVEEDOR]],TERCEROS_INFO[#All],2,FALSE)</f>
        <v>0</v>
      </c>
      <c r="D1200" s="145">
        <f>+SUMIFS(PROVEEDORES[Total],PROVEEDORES[PROVEEDOR],PROVEEDORES[[#This Row],[PROVEEDOR]],PROVEEDORES[FECHA DE PAGO],"")</f>
        <v>0</v>
      </c>
      <c r="E1200" s="146"/>
      <c r="F1200" s="144">
        <f>+VLOOKUP(PROVEEDORES[[#This Row],[PROVEEDOR]],
                       Terceros!$A:$G,
                       5,
                       FALSE)</f>
        <v>0</v>
      </c>
      <c r="G1200" s="122">
        <v>45322</v>
      </c>
      <c r="H1200" s="102" t="s">
        <v>537</v>
      </c>
      <c r="I1200" s="122">
        <v>45322</v>
      </c>
      <c r="J1200" s="103" t="s">
        <v>491</v>
      </c>
      <c r="K1200" s="103" t="s">
        <v>1512</v>
      </c>
      <c r="L1200" s="103"/>
      <c r="M1200" s="105">
        <v>1035500</v>
      </c>
      <c r="N1200" s="147">
        <v>0</v>
      </c>
      <c r="O1200" s="147">
        <v>0</v>
      </c>
      <c r="P1200" s="148">
        <v>0</v>
      </c>
      <c r="Q1200" s="147">
        <v>0</v>
      </c>
      <c r="R1200" s="149">
        <v>1035500</v>
      </c>
      <c r="S12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0" s="150">
        <f ca="1">+IF(PROVEEDORES[[#This Row],[FECHA DE PAGO]]=0,TODAY()-PROVEEDORES[[#This Row],[FECHA DE FACTURACIÓN]]-PROVEEDORES[[#This Row],[PLAZO Días]],0)</f>
        <v>0</v>
      </c>
      <c r="U1200" s="150">
        <f>+VLOOKUP(PROVEEDORES[[#This Row],[PROVEEDOR]],Terceros!$A:$E,4,FALSE)</f>
        <v>0</v>
      </c>
      <c r="V1200" s="150">
        <f>+YEAR(PROVEEDORES[[#This Row],[FECHA DE FACTURACIÓN]])</f>
        <v>2024</v>
      </c>
      <c r="W1200" s="150">
        <f>+MATCH(PROVEEDORES[[#This Row],[año facturado]],Retenciones!$1:$1,0)</f>
        <v>7</v>
      </c>
      <c r="X1200" s="151">
        <f>+VLOOKUP(PROVEEDORES[[#This Row],[ID RETENCION]],Retenciones!$A$1:$O$25,PROVEEDORES[[#This Row],[indicador de columna]],FALSE)</f>
        <v>0</v>
      </c>
      <c r="Y1200" s="152">
        <f>+VLOOKUP(PROVEEDORES[[#This Row],[ID RETENCION]],Retenciones!$A$1:$O$25,2,FALSE)</f>
        <v>0</v>
      </c>
      <c r="Z1200" s="153" t="b">
        <f>+OR(COUNTIF(PROVEEDORES[[#This Row],[PROVEEDOR]],"*"&amp;'Palabra que no opera y Listas d'!$A$2&amp;"*"))</f>
        <v>0</v>
      </c>
    </row>
    <row r="1201" spans="1:26" ht="27.75" customHeight="1" x14ac:dyDescent="0.3">
      <c r="A1201" s="144" t="str">
        <f>+IF(PROVEEDORES[[#This Row],[FECHA DE PAGO]]=PROVEEDORES[[#This Row],[FECHA DE FACTURACIÓN]],"DE CONTADO","CRÉDITO")</f>
        <v>DE CONTADO</v>
      </c>
      <c r="B1201" s="144" t="b">
        <f>+IF((PROVEEDORES[[#This Row],[FECHA DE PAGO]]-PROVEEDORES[[#This Row],[FECHA DE FACTURACIÓN]])&gt;PROVEEDORES[[#This Row],[PLAZO Días]],"PAGO VENCIDO")</f>
        <v>0</v>
      </c>
      <c r="C1201" s="144">
        <f>+VLOOKUP(PROVEEDORES[[#This Row],[PROVEEDOR]],TERCEROS_INFO[#All],2,FALSE)</f>
        <v>0</v>
      </c>
      <c r="D1201" s="145">
        <f>+SUMIFS(PROVEEDORES[Total],PROVEEDORES[PROVEEDOR],PROVEEDORES[[#This Row],[PROVEEDOR]],PROVEEDORES[FECHA DE PAGO],"")</f>
        <v>0</v>
      </c>
      <c r="E1201" s="146"/>
      <c r="F1201" s="144">
        <f>+VLOOKUP(PROVEEDORES[[#This Row],[PROVEEDOR]],
                       Terceros!$A:$G,
                       5,
                       FALSE)</f>
        <v>0</v>
      </c>
      <c r="G1201" s="122">
        <v>45322</v>
      </c>
      <c r="H1201" s="102" t="s">
        <v>537</v>
      </c>
      <c r="I1201" s="122">
        <v>45322</v>
      </c>
      <c r="J1201" s="103" t="s">
        <v>1499</v>
      </c>
      <c r="K1201" s="103" t="s">
        <v>1512</v>
      </c>
      <c r="L1201" s="103"/>
      <c r="M1201" s="105">
        <v>2667200</v>
      </c>
      <c r="N1201" s="147">
        <v>0</v>
      </c>
      <c r="O1201" s="147">
        <v>0</v>
      </c>
      <c r="P1201" s="148">
        <v>0</v>
      </c>
      <c r="Q1201" s="147">
        <v>0</v>
      </c>
      <c r="R1201" s="149">
        <v>2667200</v>
      </c>
      <c r="S12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1" s="150">
        <f ca="1">+IF(PROVEEDORES[[#This Row],[FECHA DE PAGO]]=0,TODAY()-PROVEEDORES[[#This Row],[FECHA DE FACTURACIÓN]]-PROVEEDORES[[#This Row],[PLAZO Días]],0)</f>
        <v>0</v>
      </c>
      <c r="U1201" s="150">
        <f>+VLOOKUP(PROVEEDORES[[#This Row],[PROVEEDOR]],Terceros!$A:$E,4,FALSE)</f>
        <v>0</v>
      </c>
      <c r="V1201" s="150">
        <f>+YEAR(PROVEEDORES[[#This Row],[FECHA DE FACTURACIÓN]])</f>
        <v>2024</v>
      </c>
      <c r="W1201" s="150">
        <f>+MATCH(PROVEEDORES[[#This Row],[año facturado]],Retenciones!$1:$1,0)</f>
        <v>7</v>
      </c>
      <c r="X1201" s="151">
        <f>+VLOOKUP(PROVEEDORES[[#This Row],[ID RETENCION]],Retenciones!$A$1:$O$25,PROVEEDORES[[#This Row],[indicador de columna]],FALSE)</f>
        <v>0</v>
      </c>
      <c r="Y1201" s="152">
        <f>+VLOOKUP(PROVEEDORES[[#This Row],[ID RETENCION]],Retenciones!$A$1:$O$25,2,FALSE)</f>
        <v>0</v>
      </c>
      <c r="Z1201" s="153" t="b">
        <f>+OR(COUNTIF(PROVEEDORES[[#This Row],[PROVEEDOR]],"*"&amp;'Palabra que no opera y Listas d'!$A$2&amp;"*"))</f>
        <v>0</v>
      </c>
    </row>
    <row r="1202" spans="1:26" ht="27.75" customHeight="1" x14ac:dyDescent="0.3">
      <c r="A1202" s="144" t="str">
        <f>+IF(PROVEEDORES[[#This Row],[FECHA DE PAGO]]=PROVEEDORES[[#This Row],[FECHA DE FACTURACIÓN]],"DE CONTADO","CRÉDITO")</f>
        <v>DE CONTADO</v>
      </c>
      <c r="B1202" s="144" t="b">
        <f>+IF((PROVEEDORES[[#This Row],[FECHA DE PAGO]]-PROVEEDORES[[#This Row],[FECHA DE FACTURACIÓN]])&gt;PROVEEDORES[[#This Row],[PLAZO Días]],"PAGO VENCIDO")</f>
        <v>0</v>
      </c>
      <c r="C1202" s="144">
        <f>+VLOOKUP(PROVEEDORES[[#This Row],[PROVEEDOR]],TERCEROS_INFO[#All],2,FALSE)</f>
        <v>0</v>
      </c>
      <c r="D1202" s="145">
        <f>+SUMIFS(PROVEEDORES[Total],PROVEEDORES[PROVEEDOR],PROVEEDORES[[#This Row],[PROVEEDOR]],PROVEEDORES[FECHA DE PAGO],"")</f>
        <v>0</v>
      </c>
      <c r="E1202" s="146"/>
      <c r="F1202" s="144">
        <f>+VLOOKUP(PROVEEDORES[[#This Row],[PROVEEDOR]],
                       Terceros!$A:$G,
                       5,
                       FALSE)</f>
        <v>0</v>
      </c>
      <c r="G1202" s="122">
        <v>45322</v>
      </c>
      <c r="H1202" s="102" t="s">
        <v>537</v>
      </c>
      <c r="I1202" s="122">
        <v>45322</v>
      </c>
      <c r="J1202" s="103" t="s">
        <v>1500</v>
      </c>
      <c r="K1202" s="103" t="s">
        <v>516</v>
      </c>
      <c r="L1202" s="103"/>
      <c r="M1202" s="105">
        <v>474600</v>
      </c>
      <c r="N1202" s="147">
        <v>0</v>
      </c>
      <c r="O1202" s="147">
        <v>0</v>
      </c>
      <c r="P1202" s="148">
        <v>0</v>
      </c>
      <c r="Q1202" s="147">
        <v>0</v>
      </c>
      <c r="R1202" s="149">
        <v>474600</v>
      </c>
      <c r="S12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2" s="150">
        <f ca="1">+IF(PROVEEDORES[[#This Row],[FECHA DE PAGO]]=0,TODAY()-PROVEEDORES[[#This Row],[FECHA DE FACTURACIÓN]]-PROVEEDORES[[#This Row],[PLAZO Días]],0)</f>
        <v>0</v>
      </c>
      <c r="U1202" s="150">
        <f>+VLOOKUP(PROVEEDORES[[#This Row],[PROVEEDOR]],Terceros!$A:$E,4,FALSE)</f>
        <v>0</v>
      </c>
      <c r="V1202" s="150">
        <f>+YEAR(PROVEEDORES[[#This Row],[FECHA DE FACTURACIÓN]])</f>
        <v>2024</v>
      </c>
      <c r="W1202" s="150">
        <f>+MATCH(PROVEEDORES[[#This Row],[año facturado]],Retenciones!$1:$1,0)</f>
        <v>7</v>
      </c>
      <c r="X1202" s="151">
        <f>+VLOOKUP(PROVEEDORES[[#This Row],[ID RETENCION]],Retenciones!$A$1:$O$25,PROVEEDORES[[#This Row],[indicador de columna]],FALSE)</f>
        <v>0</v>
      </c>
      <c r="Y1202" s="152">
        <f>+VLOOKUP(PROVEEDORES[[#This Row],[ID RETENCION]],Retenciones!$A$1:$O$25,2,FALSE)</f>
        <v>0</v>
      </c>
      <c r="Z1202" s="153" t="b">
        <f>+OR(COUNTIF(PROVEEDORES[[#This Row],[PROVEEDOR]],"*"&amp;'Palabra que no opera y Listas d'!$A$2&amp;"*"))</f>
        <v>0</v>
      </c>
    </row>
    <row r="1203" spans="1:26" ht="27.75" customHeight="1" x14ac:dyDescent="0.3">
      <c r="A1203" s="144" t="str">
        <f>+IF(PROVEEDORES[[#This Row],[FECHA DE PAGO]]=PROVEEDORES[[#This Row],[FECHA DE FACTURACIÓN]],"DE CONTADO","CRÉDITO")</f>
        <v>DE CONTADO</v>
      </c>
      <c r="B1203" s="144" t="b">
        <f>+IF((PROVEEDORES[[#This Row],[FECHA DE PAGO]]-PROVEEDORES[[#This Row],[FECHA DE FACTURACIÓN]])&gt;PROVEEDORES[[#This Row],[PLAZO Días]],"PAGO VENCIDO")</f>
        <v>0</v>
      </c>
      <c r="C1203" s="144">
        <f>+VLOOKUP(PROVEEDORES[[#This Row],[PROVEEDOR]],TERCEROS_INFO[#All],2,FALSE)</f>
        <v>0</v>
      </c>
      <c r="D1203" s="145">
        <f>+SUMIFS(PROVEEDORES[Total],PROVEEDORES[PROVEEDOR],PROVEEDORES[[#This Row],[PROVEEDOR]],PROVEEDORES[FECHA DE PAGO],"")</f>
        <v>0</v>
      </c>
      <c r="E1203" s="146"/>
      <c r="F1203" s="144">
        <f>+VLOOKUP(PROVEEDORES[[#This Row],[PROVEEDOR]],
                       Terceros!$A:$G,
                       5,
                       FALSE)</f>
        <v>0</v>
      </c>
      <c r="G1203" s="122">
        <v>45322</v>
      </c>
      <c r="H1203" s="102" t="s">
        <v>537</v>
      </c>
      <c r="I1203" s="122">
        <v>45322</v>
      </c>
      <c r="J1203" s="103" t="s">
        <v>495</v>
      </c>
      <c r="K1203" s="103" t="s">
        <v>1512</v>
      </c>
      <c r="L1203" s="103"/>
      <c r="M1203" s="105">
        <v>485750</v>
      </c>
      <c r="N1203" s="147">
        <v>0</v>
      </c>
      <c r="O1203" s="147">
        <v>0</v>
      </c>
      <c r="P1203" s="148">
        <v>0</v>
      </c>
      <c r="Q1203" s="147">
        <v>0</v>
      </c>
      <c r="R1203" s="149">
        <v>485750</v>
      </c>
      <c r="S12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3" s="150">
        <f ca="1">+IF(PROVEEDORES[[#This Row],[FECHA DE PAGO]]=0,TODAY()-PROVEEDORES[[#This Row],[FECHA DE FACTURACIÓN]]-PROVEEDORES[[#This Row],[PLAZO Días]],0)</f>
        <v>0</v>
      </c>
      <c r="U1203" s="150">
        <f>+VLOOKUP(PROVEEDORES[[#This Row],[PROVEEDOR]],Terceros!$A:$E,4,FALSE)</f>
        <v>0</v>
      </c>
      <c r="V1203" s="150">
        <f>+YEAR(PROVEEDORES[[#This Row],[FECHA DE FACTURACIÓN]])</f>
        <v>2024</v>
      </c>
      <c r="W1203" s="150">
        <f>+MATCH(PROVEEDORES[[#This Row],[año facturado]],Retenciones!$1:$1,0)</f>
        <v>7</v>
      </c>
      <c r="X1203" s="151">
        <f>+VLOOKUP(PROVEEDORES[[#This Row],[ID RETENCION]],Retenciones!$A$1:$O$25,PROVEEDORES[[#This Row],[indicador de columna]],FALSE)</f>
        <v>0</v>
      </c>
      <c r="Y1203" s="152">
        <f>+VLOOKUP(PROVEEDORES[[#This Row],[ID RETENCION]],Retenciones!$A$1:$O$25,2,FALSE)</f>
        <v>0</v>
      </c>
      <c r="Z1203" s="153" t="b">
        <f>+OR(COUNTIF(PROVEEDORES[[#This Row],[PROVEEDOR]],"*"&amp;'Palabra que no opera y Listas d'!$A$2&amp;"*"))</f>
        <v>0</v>
      </c>
    </row>
    <row r="1204" spans="1:26" ht="27.75" customHeight="1" x14ac:dyDescent="0.3">
      <c r="A1204" s="144" t="str">
        <f>+IF(PROVEEDORES[[#This Row],[FECHA DE PAGO]]=PROVEEDORES[[#This Row],[FECHA DE FACTURACIÓN]],"DE CONTADO","CRÉDITO")</f>
        <v>CRÉDITO</v>
      </c>
      <c r="B1204" s="144" t="str">
        <f>+IF((PROVEEDORES[[#This Row],[FECHA DE PAGO]]-PROVEEDORES[[#This Row],[FECHA DE FACTURACIÓN]])&gt;PROVEEDORES[[#This Row],[PLAZO Días]],"PAGO VENCIDO")</f>
        <v>PAGO VENCIDO</v>
      </c>
      <c r="C1204" s="144">
        <f>+VLOOKUP(PROVEEDORES[[#This Row],[PROVEEDOR]],TERCEROS_INFO[#All],2,FALSE)</f>
        <v>0</v>
      </c>
      <c r="D1204" s="145">
        <f>+SUMIFS(PROVEEDORES[Total],PROVEEDORES[PROVEEDOR],PROVEEDORES[[#This Row],[PROVEEDOR]],PROVEEDORES[FECHA DE PAGO],"")</f>
        <v>0</v>
      </c>
      <c r="E1204" s="146"/>
      <c r="F1204" s="144" t="str">
        <f>+VLOOKUP(PROVEEDORES[[#This Row],[PROVEEDOR]],
                       Terceros!$A:$G,
                       5,
                       FALSE)</f>
        <v>2,5% con base</v>
      </c>
      <c r="G1204" s="122">
        <v>45323</v>
      </c>
      <c r="H1204" s="102" t="s">
        <v>19</v>
      </c>
      <c r="I1204" s="122">
        <v>45280</v>
      </c>
      <c r="J1204" s="103" t="s">
        <v>1350</v>
      </c>
      <c r="K1204" s="103" t="s">
        <v>1512</v>
      </c>
      <c r="L1204" s="103" t="s">
        <v>1515</v>
      </c>
      <c r="M1204" s="105">
        <v>2381030</v>
      </c>
      <c r="N1204" s="147">
        <v>452395.7</v>
      </c>
      <c r="O1204" s="147">
        <v>0</v>
      </c>
      <c r="P1204" s="148">
        <v>2.5000000000000001E-2</v>
      </c>
      <c r="Q1204" s="147">
        <v>59525.75</v>
      </c>
      <c r="R1204" s="149">
        <v>2773899.95</v>
      </c>
      <c r="S12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4" s="150">
        <f ca="1">+IF(PROVEEDORES[[#This Row],[FECHA DE PAGO]]=0,TODAY()-PROVEEDORES[[#This Row],[FECHA DE FACTURACIÓN]]-PROVEEDORES[[#This Row],[PLAZO Días]],0)</f>
        <v>0</v>
      </c>
      <c r="U1204" s="150">
        <f>+VLOOKUP(PROVEEDORES[[#This Row],[PROVEEDOR]],Terceros!$A:$E,4,FALSE)</f>
        <v>0.19</v>
      </c>
      <c r="V1204" s="150">
        <f>+YEAR(PROVEEDORES[[#This Row],[FECHA DE FACTURACIÓN]])</f>
        <v>2023</v>
      </c>
      <c r="W1204" s="150">
        <f>+MATCH(PROVEEDORES[[#This Row],[año facturado]],Retenciones!$1:$1,0)</f>
        <v>6</v>
      </c>
      <c r="X1204" s="151" t="e">
        <f>+VLOOKUP(PROVEEDORES[[#This Row],[ID RETENCION]],Retenciones!$A$1:$O$25,PROVEEDORES[[#This Row],[indicador de columna]],FALSE)</f>
        <v>#N/A</v>
      </c>
      <c r="Y1204" s="152" t="e">
        <f>+VLOOKUP(PROVEEDORES[[#This Row],[ID RETENCION]],Retenciones!$A$1:$O$25,2,FALSE)</f>
        <v>#N/A</v>
      </c>
      <c r="Z1204" s="153" t="b">
        <f>+OR(COUNTIF(PROVEEDORES[[#This Row],[PROVEEDOR]],"*"&amp;'Palabra que no opera y Listas d'!$A$2&amp;"*"))</f>
        <v>0</v>
      </c>
    </row>
    <row r="1205" spans="1:26" ht="27.75" customHeight="1" x14ac:dyDescent="0.3">
      <c r="A1205" s="144" t="str">
        <f>+IF(PROVEEDORES[[#This Row],[FECHA DE PAGO]]=PROVEEDORES[[#This Row],[FECHA DE FACTURACIÓN]],"DE CONTADO","CRÉDITO")</f>
        <v>DE CONTADO</v>
      </c>
      <c r="B1205" s="144" t="b">
        <f>+IF((PROVEEDORES[[#This Row],[FECHA DE PAGO]]-PROVEEDORES[[#This Row],[FECHA DE FACTURACIÓN]])&gt;PROVEEDORES[[#This Row],[PLAZO Días]],"PAGO VENCIDO")</f>
        <v>0</v>
      </c>
      <c r="C1205" s="144">
        <f>+VLOOKUP(PROVEEDORES[[#This Row],[PROVEEDOR]],TERCEROS_INFO[#All],2,FALSE)</f>
        <v>0</v>
      </c>
      <c r="D1205" s="145">
        <f>+SUMIFS(PROVEEDORES[Total],PROVEEDORES[PROVEEDOR],PROVEEDORES[[#This Row],[PROVEEDOR]],PROVEEDORES[FECHA DE PAGO],"")</f>
        <v>0</v>
      </c>
      <c r="E1205" s="146"/>
      <c r="F1205" s="144">
        <f>+VLOOKUP(PROVEEDORES[[#This Row],[PROVEEDOR]],
                       Terceros!$A:$G,
                       5,
                       FALSE)</f>
        <v>0</v>
      </c>
      <c r="G1205" s="122">
        <v>45323</v>
      </c>
      <c r="H1205" s="102" t="s">
        <v>1801</v>
      </c>
      <c r="I1205" s="122">
        <v>45323</v>
      </c>
      <c r="J1205" s="103"/>
      <c r="K1205" s="103" t="s">
        <v>1512</v>
      </c>
      <c r="L1205" s="103" t="s">
        <v>1390</v>
      </c>
      <c r="M1205" s="105">
        <v>1126900</v>
      </c>
      <c r="N1205" s="147">
        <v>0</v>
      </c>
      <c r="O1205" s="147">
        <v>0</v>
      </c>
      <c r="P1205" s="148">
        <v>0</v>
      </c>
      <c r="Q1205" s="147">
        <v>0</v>
      </c>
      <c r="R1205" s="149">
        <v>1126900</v>
      </c>
      <c r="S12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5" s="150">
        <f ca="1">+IF(PROVEEDORES[[#This Row],[FECHA DE PAGO]]=0,TODAY()-PROVEEDORES[[#This Row],[FECHA DE FACTURACIÓN]]-PROVEEDORES[[#This Row],[PLAZO Días]],0)</f>
        <v>0</v>
      </c>
      <c r="U1205" s="150">
        <f>+VLOOKUP(PROVEEDORES[[#This Row],[PROVEEDOR]],Terceros!$A:$E,4,FALSE)</f>
        <v>0</v>
      </c>
      <c r="V1205" s="150">
        <f>+YEAR(PROVEEDORES[[#This Row],[FECHA DE FACTURACIÓN]])</f>
        <v>2024</v>
      </c>
      <c r="W1205" s="150">
        <f>+MATCH(PROVEEDORES[[#This Row],[año facturado]],Retenciones!$1:$1,0)</f>
        <v>7</v>
      </c>
      <c r="X1205" s="151">
        <f>+VLOOKUP(PROVEEDORES[[#This Row],[ID RETENCION]],Retenciones!$A$1:$O$25,PROVEEDORES[[#This Row],[indicador de columna]],FALSE)</f>
        <v>0</v>
      </c>
      <c r="Y1205" s="152">
        <f>+VLOOKUP(PROVEEDORES[[#This Row],[ID RETENCION]],Retenciones!$A$1:$O$25,2,FALSE)</f>
        <v>0</v>
      </c>
      <c r="Z1205" s="153" t="b">
        <f>+OR(COUNTIF(PROVEEDORES[[#This Row],[PROVEEDOR]],"*"&amp;'Palabra que no opera y Listas d'!$A$2&amp;"*"))</f>
        <v>0</v>
      </c>
    </row>
    <row r="1206" spans="1:26" ht="27.75" customHeight="1" x14ac:dyDescent="0.3">
      <c r="A1206" s="144" t="str">
        <f>+IF(PROVEEDORES[[#This Row],[FECHA DE PAGO]]=PROVEEDORES[[#This Row],[FECHA DE FACTURACIÓN]],"DE CONTADO","CRÉDITO")</f>
        <v>DE CONTADO</v>
      </c>
      <c r="B1206" s="144" t="b">
        <f>+IF((PROVEEDORES[[#This Row],[FECHA DE PAGO]]-PROVEEDORES[[#This Row],[FECHA DE FACTURACIÓN]])&gt;PROVEEDORES[[#This Row],[PLAZO Días]],"PAGO VENCIDO")</f>
        <v>0</v>
      </c>
      <c r="C1206" s="144">
        <f>+VLOOKUP(PROVEEDORES[[#This Row],[PROVEEDOR]],TERCEROS_INFO[#All],2,FALSE)</f>
        <v>0</v>
      </c>
      <c r="D1206" s="145">
        <f>+SUMIFS(PROVEEDORES[Total],PROVEEDORES[PROVEEDOR],PROVEEDORES[[#This Row],[PROVEEDOR]],PROVEEDORES[FECHA DE PAGO],"")</f>
        <v>0</v>
      </c>
      <c r="E1206" s="146"/>
      <c r="F1206" s="144">
        <f>+VLOOKUP(PROVEEDORES[[#This Row],[PROVEEDOR]],
                       Terceros!$A:$G,
                       5,
                       FALSE)</f>
        <v>0</v>
      </c>
      <c r="G1206" s="122">
        <v>45323</v>
      </c>
      <c r="H1206" s="102" t="s">
        <v>405</v>
      </c>
      <c r="I1206" s="122">
        <v>45323</v>
      </c>
      <c r="J1206" s="103"/>
      <c r="K1206" s="103" t="s">
        <v>1512</v>
      </c>
      <c r="L1206" s="103" t="s">
        <v>1515</v>
      </c>
      <c r="M1206" s="105">
        <v>633500</v>
      </c>
      <c r="N1206" s="147">
        <v>0</v>
      </c>
      <c r="O1206" s="147">
        <v>0</v>
      </c>
      <c r="P1206" s="148">
        <v>0</v>
      </c>
      <c r="Q1206" s="147">
        <v>0</v>
      </c>
      <c r="R1206" s="149">
        <v>633500</v>
      </c>
      <c r="S12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6" s="150">
        <f ca="1">+IF(PROVEEDORES[[#This Row],[FECHA DE PAGO]]=0,TODAY()-PROVEEDORES[[#This Row],[FECHA DE FACTURACIÓN]]-PROVEEDORES[[#This Row],[PLAZO Días]],0)</f>
        <v>0</v>
      </c>
      <c r="U1206" s="150">
        <f>+VLOOKUP(PROVEEDORES[[#This Row],[PROVEEDOR]],Terceros!$A:$E,4,FALSE)</f>
        <v>0</v>
      </c>
      <c r="V1206" s="150">
        <f>+YEAR(PROVEEDORES[[#This Row],[FECHA DE FACTURACIÓN]])</f>
        <v>2024</v>
      </c>
      <c r="W1206" s="150">
        <f>+MATCH(PROVEEDORES[[#This Row],[año facturado]],Retenciones!$1:$1,0)</f>
        <v>7</v>
      </c>
      <c r="X1206" s="151">
        <f>+VLOOKUP(PROVEEDORES[[#This Row],[ID RETENCION]],Retenciones!$A$1:$O$25,PROVEEDORES[[#This Row],[indicador de columna]],FALSE)</f>
        <v>0</v>
      </c>
      <c r="Y1206" s="152">
        <f>+VLOOKUP(PROVEEDORES[[#This Row],[ID RETENCION]],Retenciones!$A$1:$O$25,2,FALSE)</f>
        <v>0</v>
      </c>
      <c r="Z1206" s="153" t="b">
        <f>+OR(COUNTIF(PROVEEDORES[[#This Row],[PROVEEDOR]],"*"&amp;'Palabra que no opera y Listas d'!$A$2&amp;"*"))</f>
        <v>1</v>
      </c>
    </row>
    <row r="1207" spans="1:26" ht="27.75" customHeight="1" x14ac:dyDescent="0.3">
      <c r="A1207" s="144" t="str">
        <f>+IF(PROVEEDORES[[#This Row],[FECHA DE PAGO]]=PROVEEDORES[[#This Row],[FECHA DE FACTURACIÓN]],"DE CONTADO","CRÉDITO")</f>
        <v>CRÉDITO</v>
      </c>
      <c r="B1207" s="144" t="str">
        <f>+IF((PROVEEDORES[[#This Row],[FECHA DE PAGO]]-PROVEEDORES[[#This Row],[FECHA DE FACTURACIÓN]])&gt;PROVEEDORES[[#This Row],[PLAZO Días]],"PAGO VENCIDO")</f>
        <v>PAGO VENCIDO</v>
      </c>
      <c r="C1207" s="144">
        <f>+VLOOKUP(PROVEEDORES[[#This Row],[PROVEEDOR]],TERCEROS_INFO[#All],2,FALSE)</f>
        <v>0</v>
      </c>
      <c r="D1207" s="145">
        <f>+SUMIFS(PROVEEDORES[Total],PROVEEDORES[PROVEEDOR],PROVEEDORES[[#This Row],[PROVEEDOR]],PROVEEDORES[FECHA DE PAGO],"")</f>
        <v>3130000</v>
      </c>
      <c r="E1207" s="146"/>
      <c r="F1207" s="144">
        <f>+VLOOKUP(PROVEEDORES[[#This Row],[PROVEEDOR]],
                       Terceros!$A:$G,
                       5,
                       FALSE)</f>
        <v>0</v>
      </c>
      <c r="G1207" s="122">
        <v>45324</v>
      </c>
      <c r="H1207" s="102" t="s">
        <v>487</v>
      </c>
      <c r="I1207" s="122">
        <v>45265</v>
      </c>
      <c r="J1207" s="103" t="s">
        <v>1382</v>
      </c>
      <c r="K1207" s="103" t="s">
        <v>1512</v>
      </c>
      <c r="L1207" s="103" t="s">
        <v>1390</v>
      </c>
      <c r="M1207" s="105">
        <v>250000</v>
      </c>
      <c r="N1207" s="147">
        <v>0</v>
      </c>
      <c r="O1207" s="147">
        <v>0</v>
      </c>
      <c r="P1207" s="148">
        <v>0</v>
      </c>
      <c r="Q1207" s="147">
        <v>0</v>
      </c>
      <c r="R1207" s="149">
        <v>250000</v>
      </c>
      <c r="S12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7" s="150">
        <f ca="1">+IF(PROVEEDORES[[#This Row],[FECHA DE PAGO]]=0,TODAY()-PROVEEDORES[[#This Row],[FECHA DE FACTURACIÓN]]-PROVEEDORES[[#This Row],[PLAZO Días]],0)</f>
        <v>0</v>
      </c>
      <c r="U1207" s="150">
        <f>+VLOOKUP(PROVEEDORES[[#This Row],[PROVEEDOR]],Terceros!$A:$E,4,FALSE)</f>
        <v>0</v>
      </c>
      <c r="V1207" s="150">
        <f>+YEAR(PROVEEDORES[[#This Row],[FECHA DE FACTURACIÓN]])</f>
        <v>2023</v>
      </c>
      <c r="W1207" s="150">
        <f>+MATCH(PROVEEDORES[[#This Row],[año facturado]],Retenciones!$1:$1,0)</f>
        <v>6</v>
      </c>
      <c r="X1207" s="151">
        <f>+VLOOKUP(PROVEEDORES[[#This Row],[ID RETENCION]],Retenciones!$A$1:$O$25,PROVEEDORES[[#This Row],[indicador de columna]],FALSE)</f>
        <v>0</v>
      </c>
      <c r="Y1207" s="152">
        <f>+VLOOKUP(PROVEEDORES[[#This Row],[ID RETENCION]],Retenciones!$A$1:$O$25,2,FALSE)</f>
        <v>0</v>
      </c>
      <c r="Z1207" s="153" t="b">
        <f>+OR(COUNTIF(PROVEEDORES[[#This Row],[PROVEEDOR]],"*"&amp;'Palabra que no opera y Listas d'!$A$2&amp;"*"))</f>
        <v>0</v>
      </c>
    </row>
    <row r="1208" spans="1:26" ht="27.75" customHeight="1" x14ac:dyDescent="0.3">
      <c r="A1208" s="144" t="str">
        <f>+IF(PROVEEDORES[[#This Row],[FECHA DE PAGO]]=PROVEEDORES[[#This Row],[FECHA DE FACTURACIÓN]],"DE CONTADO","CRÉDITO")</f>
        <v>CRÉDITO</v>
      </c>
      <c r="B1208" s="144" t="str">
        <f>+IF((PROVEEDORES[[#This Row],[FECHA DE PAGO]]-PROVEEDORES[[#This Row],[FECHA DE FACTURACIÓN]])&gt;PROVEEDORES[[#This Row],[PLAZO Días]],"PAGO VENCIDO")</f>
        <v>PAGO VENCIDO</v>
      </c>
      <c r="C1208" s="144">
        <f>+VLOOKUP(PROVEEDORES[[#This Row],[PROVEEDOR]],TERCEROS_INFO[#All],2,FALSE)</f>
        <v>0</v>
      </c>
      <c r="D1208" s="145">
        <f>+SUMIFS(PROVEEDORES[Total],PROVEEDORES[PROVEEDOR],PROVEEDORES[[#This Row],[PROVEEDOR]],PROVEEDORES[FECHA DE PAGO],"")</f>
        <v>0</v>
      </c>
      <c r="E1208" s="146"/>
      <c r="F1208" s="144">
        <f>+VLOOKUP(PROVEEDORES[[#This Row],[PROVEEDOR]],
                       Terceros!$A:$G,
                       5,
                       FALSE)</f>
        <v>0</v>
      </c>
      <c r="G1208" s="122">
        <v>45324</v>
      </c>
      <c r="H1208" s="102" t="s">
        <v>1782</v>
      </c>
      <c r="I1208" s="122">
        <v>45302</v>
      </c>
      <c r="J1208" s="103" t="s">
        <v>1421</v>
      </c>
      <c r="K1208" s="103" t="s">
        <v>1512</v>
      </c>
      <c r="L1208" s="103" t="s">
        <v>1390</v>
      </c>
      <c r="M1208" s="105">
        <v>492000</v>
      </c>
      <c r="N1208" s="147">
        <v>0</v>
      </c>
      <c r="O1208" s="147">
        <v>0</v>
      </c>
      <c r="P1208" s="148">
        <v>0</v>
      </c>
      <c r="Q1208" s="147">
        <v>0</v>
      </c>
      <c r="R1208" s="149">
        <v>492000</v>
      </c>
      <c r="S12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8" s="150">
        <f ca="1">+IF(PROVEEDORES[[#This Row],[FECHA DE PAGO]]=0,TODAY()-PROVEEDORES[[#This Row],[FECHA DE FACTURACIÓN]]-PROVEEDORES[[#This Row],[PLAZO Días]],0)</f>
        <v>0</v>
      </c>
      <c r="U1208" s="150">
        <f>+VLOOKUP(PROVEEDORES[[#This Row],[PROVEEDOR]],Terceros!$A:$E,4,FALSE)</f>
        <v>0</v>
      </c>
      <c r="V1208" s="150">
        <f>+YEAR(PROVEEDORES[[#This Row],[FECHA DE FACTURACIÓN]])</f>
        <v>2024</v>
      </c>
      <c r="W1208" s="150">
        <f>+MATCH(PROVEEDORES[[#This Row],[año facturado]],Retenciones!$1:$1,0)</f>
        <v>7</v>
      </c>
      <c r="X1208" s="151">
        <f>+VLOOKUP(PROVEEDORES[[#This Row],[ID RETENCION]],Retenciones!$A$1:$O$25,PROVEEDORES[[#This Row],[indicador de columna]],FALSE)</f>
        <v>0</v>
      </c>
      <c r="Y1208" s="152">
        <f>+VLOOKUP(PROVEEDORES[[#This Row],[ID RETENCION]],Retenciones!$A$1:$O$25,2,FALSE)</f>
        <v>0</v>
      </c>
      <c r="Z1208" s="153" t="b">
        <f>+OR(COUNTIF(PROVEEDORES[[#This Row],[PROVEEDOR]],"*"&amp;'Palabra que no opera y Listas d'!$A$2&amp;"*"))</f>
        <v>0</v>
      </c>
    </row>
    <row r="1209" spans="1:26" ht="27.75" customHeight="1" x14ac:dyDescent="0.3">
      <c r="A1209" s="144" t="str">
        <f>+IF(PROVEEDORES[[#This Row],[FECHA DE PAGO]]=PROVEEDORES[[#This Row],[FECHA DE FACTURACIÓN]],"DE CONTADO","CRÉDITO")</f>
        <v>CRÉDITO</v>
      </c>
      <c r="B1209" s="144" t="str">
        <f>+IF((PROVEEDORES[[#This Row],[FECHA DE PAGO]]-PROVEEDORES[[#This Row],[FECHA DE FACTURACIÓN]])&gt;PROVEEDORES[[#This Row],[PLAZO Días]],"PAGO VENCIDO")</f>
        <v>PAGO VENCIDO</v>
      </c>
      <c r="C1209" s="144">
        <f>+VLOOKUP(PROVEEDORES[[#This Row],[PROVEEDOR]],TERCEROS_INFO[#All],2,FALSE)</f>
        <v>0</v>
      </c>
      <c r="D1209" s="145">
        <f>+SUMIFS(PROVEEDORES[Total],PROVEEDORES[PROVEEDOR],PROVEEDORES[[#This Row],[PROVEEDOR]],PROVEEDORES[FECHA DE PAGO],"")</f>
        <v>0</v>
      </c>
      <c r="E1209" s="146"/>
      <c r="F1209" s="144">
        <f>+VLOOKUP(PROVEEDORES[[#This Row],[PROVEEDOR]],
                       Terceros!$A:$G,
                       5,
                       FALSE)</f>
        <v>0</v>
      </c>
      <c r="G1209" s="122">
        <v>45324</v>
      </c>
      <c r="H1209" s="102" t="s">
        <v>845</v>
      </c>
      <c r="I1209" s="122">
        <v>45322</v>
      </c>
      <c r="J1209" s="103" t="s">
        <v>1492</v>
      </c>
      <c r="K1209" s="103" t="s">
        <v>516</v>
      </c>
      <c r="L1209" s="103" t="s">
        <v>1390</v>
      </c>
      <c r="M1209" s="105">
        <v>358000</v>
      </c>
      <c r="N1209" s="147">
        <v>0</v>
      </c>
      <c r="O1209" s="147">
        <v>0</v>
      </c>
      <c r="P1209" s="148">
        <v>0</v>
      </c>
      <c r="Q1209" s="147">
        <v>0</v>
      </c>
      <c r="R1209" s="149">
        <v>358000</v>
      </c>
      <c r="S12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9" s="150">
        <f ca="1">+IF(PROVEEDORES[[#This Row],[FECHA DE PAGO]]=0,TODAY()-PROVEEDORES[[#This Row],[FECHA DE FACTURACIÓN]]-PROVEEDORES[[#This Row],[PLAZO Días]],0)</f>
        <v>0</v>
      </c>
      <c r="U1209" s="150">
        <f>+VLOOKUP(PROVEEDORES[[#This Row],[PROVEEDOR]],Terceros!$A:$E,4,FALSE)</f>
        <v>0</v>
      </c>
      <c r="V1209" s="150">
        <f>+YEAR(PROVEEDORES[[#This Row],[FECHA DE FACTURACIÓN]])</f>
        <v>2024</v>
      </c>
      <c r="W1209" s="150">
        <f>+MATCH(PROVEEDORES[[#This Row],[año facturado]],Retenciones!$1:$1,0)</f>
        <v>7</v>
      </c>
      <c r="X1209" s="151">
        <f>+VLOOKUP(PROVEEDORES[[#This Row],[ID RETENCION]],Retenciones!$A$1:$O$25,PROVEEDORES[[#This Row],[indicador de columna]],FALSE)</f>
        <v>0</v>
      </c>
      <c r="Y1209" s="152">
        <f>+VLOOKUP(PROVEEDORES[[#This Row],[ID RETENCION]],Retenciones!$A$1:$O$25,2,FALSE)</f>
        <v>0</v>
      </c>
      <c r="Z1209" s="153" t="b">
        <f>+OR(COUNTIF(PROVEEDORES[[#This Row],[PROVEEDOR]],"*"&amp;'Palabra que no opera y Listas d'!$A$2&amp;"*"))</f>
        <v>0</v>
      </c>
    </row>
    <row r="1210" spans="1:26" ht="27.75" customHeight="1" x14ac:dyDescent="0.3">
      <c r="A1210" s="144" t="str">
        <f>+IF(PROVEEDORES[[#This Row],[FECHA DE PAGO]]=PROVEEDORES[[#This Row],[FECHA DE FACTURACIÓN]],"DE CONTADO","CRÉDITO")</f>
        <v>DE CONTADO</v>
      </c>
      <c r="B1210" s="144" t="b">
        <f>+IF((PROVEEDORES[[#This Row],[FECHA DE PAGO]]-PROVEEDORES[[#This Row],[FECHA DE FACTURACIÓN]])&gt;PROVEEDORES[[#This Row],[PLAZO Días]],"PAGO VENCIDO")</f>
        <v>0</v>
      </c>
      <c r="C1210" s="144">
        <f>+VLOOKUP(PROVEEDORES[[#This Row],[PROVEEDOR]],TERCEROS_INFO[#All],2,FALSE)</f>
        <v>0</v>
      </c>
      <c r="D1210" s="145">
        <f>+SUMIFS(PROVEEDORES[Total],PROVEEDORES[PROVEEDOR],PROVEEDORES[[#This Row],[PROVEEDOR]],PROVEEDORES[FECHA DE PAGO],"")</f>
        <v>0</v>
      </c>
      <c r="E1210" s="146"/>
      <c r="F1210" s="144">
        <f>+VLOOKUP(PROVEEDORES[[#This Row],[PROVEEDOR]],
                       Terceros!$A:$G,
                       5,
                       FALSE)</f>
        <v>0</v>
      </c>
      <c r="G1210" s="122">
        <v>45324</v>
      </c>
      <c r="H1210" s="102" t="s">
        <v>537</v>
      </c>
      <c r="I1210" s="122">
        <v>45324</v>
      </c>
      <c r="J1210" s="103" t="s">
        <v>1126</v>
      </c>
      <c r="K1210" s="103" t="s">
        <v>1512</v>
      </c>
      <c r="L1210" s="103" t="s">
        <v>1390</v>
      </c>
      <c r="M1210" s="105">
        <v>200000</v>
      </c>
      <c r="N1210" s="147">
        <v>0</v>
      </c>
      <c r="O1210" s="147">
        <v>0</v>
      </c>
      <c r="P1210" s="148">
        <v>0</v>
      </c>
      <c r="Q1210" s="147">
        <v>0</v>
      </c>
      <c r="R1210" s="149">
        <v>200000</v>
      </c>
      <c r="S12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0" s="150">
        <f ca="1">+IF(PROVEEDORES[[#This Row],[FECHA DE PAGO]]=0,TODAY()-PROVEEDORES[[#This Row],[FECHA DE FACTURACIÓN]]-PROVEEDORES[[#This Row],[PLAZO Días]],0)</f>
        <v>0</v>
      </c>
      <c r="U1210" s="150">
        <f>+VLOOKUP(PROVEEDORES[[#This Row],[PROVEEDOR]],Terceros!$A:$E,4,FALSE)</f>
        <v>0</v>
      </c>
      <c r="V1210" s="150">
        <f>+YEAR(PROVEEDORES[[#This Row],[FECHA DE FACTURACIÓN]])</f>
        <v>2024</v>
      </c>
      <c r="W1210" s="150">
        <f>+MATCH(PROVEEDORES[[#This Row],[año facturado]],Retenciones!$1:$1,0)</f>
        <v>7</v>
      </c>
      <c r="X1210" s="151">
        <f>+VLOOKUP(PROVEEDORES[[#This Row],[ID RETENCION]],Retenciones!$A$1:$O$25,PROVEEDORES[[#This Row],[indicador de columna]],FALSE)</f>
        <v>0</v>
      </c>
      <c r="Y1210" s="152">
        <f>+VLOOKUP(PROVEEDORES[[#This Row],[ID RETENCION]],Retenciones!$A$1:$O$25,2,FALSE)</f>
        <v>0</v>
      </c>
      <c r="Z1210" s="153" t="b">
        <f>+OR(COUNTIF(PROVEEDORES[[#This Row],[PROVEEDOR]],"*"&amp;'Palabra que no opera y Listas d'!$A$2&amp;"*"))</f>
        <v>0</v>
      </c>
    </row>
    <row r="1211" spans="1:26" ht="27.75" customHeight="1" x14ac:dyDescent="0.3">
      <c r="A1211" s="144" t="str">
        <f>+IF(PROVEEDORES[[#This Row],[FECHA DE PAGO]]=PROVEEDORES[[#This Row],[FECHA DE FACTURACIÓN]],"DE CONTADO","CRÉDITO")</f>
        <v>DE CONTADO</v>
      </c>
      <c r="B1211" s="144" t="b">
        <f>+IF((PROVEEDORES[[#This Row],[FECHA DE PAGO]]-PROVEEDORES[[#This Row],[FECHA DE FACTURACIÓN]])&gt;PROVEEDORES[[#This Row],[PLAZO Días]],"PAGO VENCIDO")</f>
        <v>0</v>
      </c>
      <c r="C1211" s="144">
        <f>+VLOOKUP(PROVEEDORES[[#This Row],[PROVEEDOR]],TERCEROS_INFO[#All],2,FALSE)</f>
        <v>0</v>
      </c>
      <c r="D1211" s="145">
        <f>+SUMIFS(PROVEEDORES[Total],PROVEEDORES[PROVEEDOR],PROVEEDORES[[#This Row],[PROVEEDOR]],PROVEEDORES[FECHA DE PAGO],"")</f>
        <v>0</v>
      </c>
      <c r="E1211" s="146"/>
      <c r="F1211" s="144" t="str">
        <f>+VLOOKUP(PROVEEDORES[[#This Row],[PROVEEDOR]],
                       Terceros!$A:$G,
                       5,
                       FALSE)</f>
        <v>2,5% con base</v>
      </c>
      <c r="G1211" s="122">
        <v>45324</v>
      </c>
      <c r="H1211" s="102" t="s">
        <v>222</v>
      </c>
      <c r="I1211" s="122">
        <v>45324</v>
      </c>
      <c r="J1211" s="103" t="s">
        <v>1491</v>
      </c>
      <c r="K1211" s="103" t="s">
        <v>516</v>
      </c>
      <c r="L1211" s="103" t="s">
        <v>1516</v>
      </c>
      <c r="M1211" s="105">
        <v>1050000</v>
      </c>
      <c r="N1211" s="147">
        <v>199500</v>
      </c>
      <c r="O1211" s="147">
        <v>0</v>
      </c>
      <c r="P1211" s="148">
        <v>0</v>
      </c>
      <c r="Q1211" s="147">
        <v>0</v>
      </c>
      <c r="R1211" s="149">
        <v>1249500</v>
      </c>
      <c r="S12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1" s="150">
        <f ca="1">+IF(PROVEEDORES[[#This Row],[FECHA DE PAGO]]=0,TODAY()-PROVEEDORES[[#This Row],[FECHA DE FACTURACIÓN]]-PROVEEDORES[[#This Row],[PLAZO Días]],0)</f>
        <v>0</v>
      </c>
      <c r="U1211" s="150">
        <f>+VLOOKUP(PROVEEDORES[[#This Row],[PROVEEDOR]],Terceros!$A:$E,4,FALSE)</f>
        <v>0.19</v>
      </c>
      <c r="V1211" s="150">
        <f>+YEAR(PROVEEDORES[[#This Row],[FECHA DE FACTURACIÓN]])</f>
        <v>2024</v>
      </c>
      <c r="W1211" s="150">
        <f>+MATCH(PROVEEDORES[[#This Row],[año facturado]],Retenciones!$1:$1,0)</f>
        <v>7</v>
      </c>
      <c r="X1211" s="151" t="e">
        <f>+VLOOKUP(PROVEEDORES[[#This Row],[ID RETENCION]],Retenciones!$A$1:$O$25,PROVEEDORES[[#This Row],[indicador de columna]],FALSE)</f>
        <v>#N/A</v>
      </c>
      <c r="Y1211" s="152" t="e">
        <f>+VLOOKUP(PROVEEDORES[[#This Row],[ID RETENCION]],Retenciones!$A$1:$O$25,2,FALSE)</f>
        <v>#N/A</v>
      </c>
      <c r="Z1211" s="153" t="b">
        <f>+OR(COUNTIF(PROVEEDORES[[#This Row],[PROVEEDOR]],"*"&amp;'Palabra que no opera y Listas d'!$A$2&amp;"*"))</f>
        <v>0</v>
      </c>
    </row>
    <row r="1212" spans="1:26" ht="27.75" customHeight="1" x14ac:dyDescent="0.3">
      <c r="A1212" s="144" t="str">
        <f>+IF(PROVEEDORES[[#This Row],[FECHA DE PAGO]]=PROVEEDORES[[#This Row],[FECHA DE FACTURACIÓN]],"DE CONTADO","CRÉDITO")</f>
        <v>DE CONTADO</v>
      </c>
      <c r="B1212" s="144" t="b">
        <f>+IF((PROVEEDORES[[#This Row],[FECHA DE PAGO]]-PROVEEDORES[[#This Row],[FECHA DE FACTURACIÓN]])&gt;PROVEEDORES[[#This Row],[PLAZO Días]],"PAGO VENCIDO")</f>
        <v>0</v>
      </c>
      <c r="C1212" s="144">
        <f>+VLOOKUP(PROVEEDORES[[#This Row],[PROVEEDOR]],TERCEROS_INFO[#All],2,FALSE)</f>
        <v>0</v>
      </c>
      <c r="D1212" s="145">
        <f>+SUMIFS(PROVEEDORES[Total],PROVEEDORES[PROVEEDOR],PROVEEDORES[[#This Row],[PROVEEDOR]],PROVEEDORES[FECHA DE PAGO],"")</f>
        <v>0</v>
      </c>
      <c r="E1212" s="146"/>
      <c r="F1212" s="144" t="str">
        <f>+VLOOKUP(PROVEEDORES[[#This Row],[PROVEEDOR]],
                       Terceros!$A:$G,
                       5,
                       FALSE)</f>
        <v>2,5% con base</v>
      </c>
      <c r="G1212" s="122">
        <v>45325</v>
      </c>
      <c r="H1212" s="102" t="s">
        <v>1192</v>
      </c>
      <c r="I1212" s="122">
        <v>45325</v>
      </c>
      <c r="J1212" s="103" t="s">
        <v>1568</v>
      </c>
      <c r="K1212" s="103" t="s">
        <v>1512</v>
      </c>
      <c r="L1212" s="103" t="s">
        <v>1390</v>
      </c>
      <c r="M1212" s="105">
        <v>92437</v>
      </c>
      <c r="N1212" s="147">
        <v>17563.03</v>
      </c>
      <c r="O1212" s="147">
        <v>0</v>
      </c>
      <c r="P1212" s="148">
        <v>0</v>
      </c>
      <c r="Q1212" s="147">
        <v>0</v>
      </c>
      <c r="R1212" s="149">
        <v>110000.03</v>
      </c>
      <c r="S12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2" s="150">
        <f ca="1">+IF(PROVEEDORES[[#This Row],[FECHA DE PAGO]]=0,TODAY()-PROVEEDORES[[#This Row],[FECHA DE FACTURACIÓN]]-PROVEEDORES[[#This Row],[PLAZO Días]],0)</f>
        <v>0</v>
      </c>
      <c r="U1212" s="150">
        <f>+VLOOKUP(PROVEEDORES[[#This Row],[PROVEEDOR]],Terceros!$A:$E,4,FALSE)</f>
        <v>0.19</v>
      </c>
      <c r="V1212" s="150">
        <f>+YEAR(PROVEEDORES[[#This Row],[FECHA DE FACTURACIÓN]])</f>
        <v>2024</v>
      </c>
      <c r="W1212" s="150">
        <f>+MATCH(PROVEEDORES[[#This Row],[año facturado]],Retenciones!$1:$1,0)</f>
        <v>7</v>
      </c>
      <c r="X1212" s="151" t="e">
        <f>+VLOOKUP(PROVEEDORES[[#This Row],[ID RETENCION]],Retenciones!$A$1:$O$25,PROVEEDORES[[#This Row],[indicador de columna]],FALSE)</f>
        <v>#N/A</v>
      </c>
      <c r="Y1212" s="152" t="e">
        <f>+VLOOKUP(PROVEEDORES[[#This Row],[ID RETENCION]],Retenciones!$A$1:$O$25,2,FALSE)</f>
        <v>#N/A</v>
      </c>
      <c r="Z1212" s="153" t="b">
        <f>+OR(COUNTIF(PROVEEDORES[[#This Row],[PROVEEDOR]],"*"&amp;'Palabra que no opera y Listas d'!$A$2&amp;"*"))</f>
        <v>0</v>
      </c>
    </row>
    <row r="1213" spans="1:26" ht="27.75" customHeight="1" x14ac:dyDescent="0.3">
      <c r="A1213" s="144" t="str">
        <f>+IF(PROVEEDORES[[#This Row],[FECHA DE PAGO]]=PROVEEDORES[[#This Row],[FECHA DE FACTURACIÓN]],"DE CONTADO","CRÉDITO")</f>
        <v>CRÉDITO</v>
      </c>
      <c r="B1213" s="144" t="str">
        <f>+IF((PROVEEDORES[[#This Row],[FECHA DE PAGO]]-PROVEEDORES[[#This Row],[FECHA DE FACTURACIÓN]])&gt;PROVEEDORES[[#This Row],[PLAZO Días]],"PAGO VENCIDO")</f>
        <v>PAGO VENCIDO</v>
      </c>
      <c r="C1213" s="144">
        <f>+VLOOKUP(PROVEEDORES[[#This Row],[PROVEEDOR]],TERCEROS_INFO[#All],2,FALSE)</f>
        <v>0</v>
      </c>
      <c r="D1213" s="145">
        <f>+SUMIFS(PROVEEDORES[Total],PROVEEDORES[PROVEEDOR],PROVEEDORES[[#This Row],[PROVEEDOR]],PROVEEDORES[FECHA DE PAGO],"")</f>
        <v>0</v>
      </c>
      <c r="E1213" s="146"/>
      <c r="F1213" s="144" t="str">
        <f>+VLOOKUP(PROVEEDORES[[#This Row],[PROVEEDOR]],
                       Terceros!$A:$G,
                       5,
                       FALSE)</f>
        <v>2,5% con base</v>
      </c>
      <c r="G1213" s="122">
        <v>45327</v>
      </c>
      <c r="H1213" s="102" t="s">
        <v>1225</v>
      </c>
      <c r="I1213" s="122">
        <v>45234</v>
      </c>
      <c r="J1213" s="103" t="s">
        <v>1505</v>
      </c>
      <c r="K1213" s="103" t="s">
        <v>1512</v>
      </c>
      <c r="L1213" s="103" t="s">
        <v>1518</v>
      </c>
      <c r="M1213" s="105">
        <v>10470588</v>
      </c>
      <c r="N1213" s="147">
        <v>1989411.72</v>
      </c>
      <c r="O1213" s="147">
        <v>0</v>
      </c>
      <c r="P1213" s="148">
        <v>2.5000000000000001E-2</v>
      </c>
      <c r="Q1213" s="147">
        <v>261764.7</v>
      </c>
      <c r="R1213" s="149">
        <v>12198235.020000001</v>
      </c>
      <c r="S12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3" s="150">
        <f ca="1">+IF(PROVEEDORES[[#This Row],[FECHA DE PAGO]]=0,TODAY()-PROVEEDORES[[#This Row],[FECHA DE FACTURACIÓN]]-PROVEEDORES[[#This Row],[PLAZO Días]],0)</f>
        <v>0</v>
      </c>
      <c r="U1213" s="150">
        <f>+VLOOKUP(PROVEEDORES[[#This Row],[PROVEEDOR]],Terceros!$A:$E,4,FALSE)</f>
        <v>0.19</v>
      </c>
      <c r="V1213" s="150">
        <f>+YEAR(PROVEEDORES[[#This Row],[FECHA DE FACTURACIÓN]])</f>
        <v>2023</v>
      </c>
      <c r="W1213" s="150">
        <f>+MATCH(PROVEEDORES[[#This Row],[año facturado]],Retenciones!$1:$1,0)</f>
        <v>6</v>
      </c>
      <c r="X1213" s="151" t="e">
        <f>+VLOOKUP(PROVEEDORES[[#This Row],[ID RETENCION]],Retenciones!$A$1:$O$25,PROVEEDORES[[#This Row],[indicador de columna]],FALSE)</f>
        <v>#N/A</v>
      </c>
      <c r="Y1213" s="152" t="e">
        <f>+VLOOKUP(PROVEEDORES[[#This Row],[ID RETENCION]],Retenciones!$A$1:$O$25,2,FALSE)</f>
        <v>#N/A</v>
      </c>
      <c r="Z1213" s="153" t="b">
        <f>+OR(COUNTIF(PROVEEDORES[[#This Row],[PROVEEDOR]],"*"&amp;'Palabra que no opera y Listas d'!$A$2&amp;"*"))</f>
        <v>0</v>
      </c>
    </row>
    <row r="1214" spans="1:26" ht="27.75" customHeight="1" x14ac:dyDescent="0.3">
      <c r="A1214" s="144" t="str">
        <f>+IF(PROVEEDORES[[#This Row],[FECHA DE PAGO]]=PROVEEDORES[[#This Row],[FECHA DE FACTURACIÓN]],"DE CONTADO","CRÉDITO")</f>
        <v>CRÉDITO</v>
      </c>
      <c r="B1214" s="144" t="str">
        <f>+IF((PROVEEDORES[[#This Row],[FECHA DE PAGO]]-PROVEEDORES[[#This Row],[FECHA DE FACTURACIÓN]])&gt;PROVEEDORES[[#This Row],[PLAZO Días]],"PAGO VENCIDO")</f>
        <v>PAGO VENCIDO</v>
      </c>
      <c r="C1214" s="144">
        <f>+VLOOKUP(PROVEEDORES[[#This Row],[PROVEEDOR]],TERCEROS_INFO[#All],2,FALSE)</f>
        <v>0</v>
      </c>
      <c r="D1214" s="145">
        <f>+SUMIFS(PROVEEDORES[Total],PROVEEDORES[PROVEEDOR],PROVEEDORES[[#This Row],[PROVEEDOR]],PROVEEDORES[FECHA DE PAGO],"")</f>
        <v>0</v>
      </c>
      <c r="E1214" s="146"/>
      <c r="F1214" s="144">
        <f>+VLOOKUP(PROVEEDORES[[#This Row],[PROVEEDOR]],
                       Terceros!$A:$G,
                       5,
                       FALSE)</f>
        <v>0</v>
      </c>
      <c r="G1214" s="122">
        <v>45327</v>
      </c>
      <c r="H1214" s="102" t="s">
        <v>1155</v>
      </c>
      <c r="I1214" s="122">
        <v>45264</v>
      </c>
      <c r="J1214" s="103" t="s">
        <v>1383</v>
      </c>
      <c r="K1214" s="103" t="s">
        <v>1512</v>
      </c>
      <c r="L1214" s="103" t="s">
        <v>1390</v>
      </c>
      <c r="M1214" s="105">
        <v>5480000</v>
      </c>
      <c r="N1214" s="147">
        <v>0</v>
      </c>
      <c r="O1214" s="147">
        <v>0</v>
      </c>
      <c r="P1214" s="148">
        <v>0</v>
      </c>
      <c r="Q1214" s="147">
        <v>0</v>
      </c>
      <c r="R1214" s="149">
        <v>5480000</v>
      </c>
      <c r="S12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4" s="150">
        <f ca="1">+IF(PROVEEDORES[[#This Row],[FECHA DE PAGO]]=0,TODAY()-PROVEEDORES[[#This Row],[FECHA DE FACTURACIÓN]]-PROVEEDORES[[#This Row],[PLAZO Días]],0)</f>
        <v>0</v>
      </c>
      <c r="U1214" s="150">
        <f>+VLOOKUP(PROVEEDORES[[#This Row],[PROVEEDOR]],Terceros!$A:$E,4,FALSE)</f>
        <v>0</v>
      </c>
      <c r="V1214" s="150">
        <f>+YEAR(PROVEEDORES[[#This Row],[FECHA DE FACTURACIÓN]])</f>
        <v>2023</v>
      </c>
      <c r="W1214" s="150">
        <f>+MATCH(PROVEEDORES[[#This Row],[año facturado]],Retenciones!$1:$1,0)</f>
        <v>6</v>
      </c>
      <c r="X1214" s="151">
        <f>+VLOOKUP(PROVEEDORES[[#This Row],[ID RETENCION]],Retenciones!$A$1:$O$25,PROVEEDORES[[#This Row],[indicador de columna]],FALSE)</f>
        <v>0</v>
      </c>
      <c r="Y1214" s="152">
        <f>+VLOOKUP(PROVEEDORES[[#This Row],[ID RETENCION]],Retenciones!$A$1:$O$25,2,FALSE)</f>
        <v>0</v>
      </c>
      <c r="Z1214" s="153" t="b">
        <f>+OR(COUNTIF(PROVEEDORES[[#This Row],[PROVEEDOR]],"*"&amp;'Palabra que no opera y Listas d'!$A$2&amp;"*"))</f>
        <v>0</v>
      </c>
    </row>
    <row r="1215" spans="1:26" ht="27.75" customHeight="1" x14ac:dyDescent="0.3">
      <c r="A1215" s="144" t="str">
        <f>+IF(PROVEEDORES[[#This Row],[FECHA DE PAGO]]=PROVEEDORES[[#This Row],[FECHA DE FACTURACIÓN]],"DE CONTADO","CRÉDITO")</f>
        <v>CRÉDITO</v>
      </c>
      <c r="B1215" s="144" t="str">
        <f>+IF((PROVEEDORES[[#This Row],[FECHA DE PAGO]]-PROVEEDORES[[#This Row],[FECHA DE FACTURACIÓN]])&gt;PROVEEDORES[[#This Row],[PLAZO Días]],"PAGO VENCIDO")</f>
        <v>PAGO VENCIDO</v>
      </c>
      <c r="C1215" s="144">
        <f>+VLOOKUP(PROVEEDORES[[#This Row],[PROVEEDOR]],TERCEROS_INFO[#All],2,FALSE)</f>
        <v>0</v>
      </c>
      <c r="D1215" s="145">
        <f>+SUMIFS(PROVEEDORES[Total],PROVEEDORES[PROVEEDOR],PROVEEDORES[[#This Row],[PROVEEDOR]],PROVEEDORES[FECHA DE PAGO],"")</f>
        <v>28179645.060000002</v>
      </c>
      <c r="E1215" s="146"/>
      <c r="F1215" s="144">
        <f>+VLOOKUP(PROVEEDORES[[#This Row],[PROVEEDOR]],
                       Terceros!$A:$G,
                       5,
                       FALSE)</f>
        <v>0</v>
      </c>
      <c r="G1215" s="122">
        <v>45327</v>
      </c>
      <c r="H1215" s="102" t="s">
        <v>18</v>
      </c>
      <c r="I1215" s="122">
        <v>45275</v>
      </c>
      <c r="J1215" s="103" t="s">
        <v>1507</v>
      </c>
      <c r="K1215" s="103" t="s">
        <v>516</v>
      </c>
      <c r="L1215" s="103" t="s">
        <v>1518</v>
      </c>
      <c r="M1215" s="105">
        <v>13252600</v>
      </c>
      <c r="N1215" s="147">
        <v>2517994</v>
      </c>
      <c r="O1215" s="147">
        <v>0</v>
      </c>
      <c r="P1215" s="148">
        <v>0</v>
      </c>
      <c r="Q1215" s="147">
        <v>0</v>
      </c>
      <c r="R1215" s="149">
        <v>15770594</v>
      </c>
      <c r="S12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5" s="150">
        <f ca="1">+IF(PROVEEDORES[[#This Row],[FECHA DE PAGO]]=0,TODAY()-PROVEEDORES[[#This Row],[FECHA DE FACTURACIÓN]]-PROVEEDORES[[#This Row],[PLAZO Días]],0)</f>
        <v>0</v>
      </c>
      <c r="U1215" s="150">
        <f>+VLOOKUP(PROVEEDORES[[#This Row],[PROVEEDOR]],Terceros!$A:$E,4,FALSE)</f>
        <v>0.19</v>
      </c>
      <c r="V1215" s="150">
        <f>+YEAR(PROVEEDORES[[#This Row],[FECHA DE FACTURACIÓN]])</f>
        <v>2023</v>
      </c>
      <c r="W1215" s="150">
        <f>+MATCH(PROVEEDORES[[#This Row],[año facturado]],Retenciones!$1:$1,0)</f>
        <v>6</v>
      </c>
      <c r="X1215" s="151" t="e">
        <f>+VLOOKUP(PROVEEDORES[[#This Row],[ID RETENCION]],Retenciones!$A$1:$O$25,PROVEEDORES[[#This Row],[indicador de columna]],FALSE)</f>
        <v>#N/A</v>
      </c>
      <c r="Y1215" s="152" t="e">
        <f>+VLOOKUP(PROVEEDORES[[#This Row],[ID RETENCION]],Retenciones!$A$1:$O$25,2,FALSE)</f>
        <v>#N/A</v>
      </c>
      <c r="Z1215" s="153" t="b">
        <f>+OR(COUNTIF(PROVEEDORES[[#This Row],[PROVEEDOR]],"*"&amp;'Palabra que no opera y Listas d'!$A$2&amp;"*"))</f>
        <v>0</v>
      </c>
    </row>
    <row r="1216" spans="1:26" ht="27.75" customHeight="1" x14ac:dyDescent="0.3">
      <c r="A1216" s="144" t="str">
        <f>+IF(PROVEEDORES[[#This Row],[FECHA DE PAGO]]=PROVEEDORES[[#This Row],[FECHA DE FACTURACIÓN]],"DE CONTADO","CRÉDITO")</f>
        <v>CRÉDITO</v>
      </c>
      <c r="B1216" s="144" t="str">
        <f>+IF((PROVEEDORES[[#This Row],[FECHA DE PAGO]]-PROVEEDORES[[#This Row],[FECHA DE FACTURACIÓN]])&gt;PROVEEDORES[[#This Row],[PLAZO Días]],"PAGO VENCIDO")</f>
        <v>PAGO VENCIDO</v>
      </c>
      <c r="C1216" s="144">
        <f>+VLOOKUP(PROVEEDORES[[#This Row],[PROVEEDOR]],TERCEROS_INFO[#All],2,FALSE)</f>
        <v>0</v>
      </c>
      <c r="D1216" s="145">
        <f>+SUMIFS(PROVEEDORES[Total],PROVEEDORES[PROVEEDOR],PROVEEDORES[[#This Row],[PROVEEDOR]],PROVEEDORES[FECHA DE PAGO],"")</f>
        <v>31839627.134999998</v>
      </c>
      <c r="E1216" s="146"/>
      <c r="F1216" s="144" t="str">
        <f>+VLOOKUP(PROVEEDORES[[#This Row],[PROVEEDOR]],
                       Terceros!$A:$G,
                       5,
                       FALSE)</f>
        <v>2,5% con base</v>
      </c>
      <c r="G1216" s="122">
        <v>45327</v>
      </c>
      <c r="H1216" s="102" t="s">
        <v>17</v>
      </c>
      <c r="I1216" s="122">
        <v>45287</v>
      </c>
      <c r="J1216" s="103">
        <v>1080927</v>
      </c>
      <c r="K1216" s="103" t="s">
        <v>516</v>
      </c>
      <c r="L1216" s="103" t="s">
        <v>1516</v>
      </c>
      <c r="M1216" s="105">
        <v>6665062</v>
      </c>
      <c r="N1216" s="147">
        <v>1266361.78</v>
      </c>
      <c r="O1216" s="147">
        <v>0</v>
      </c>
      <c r="P1216" s="148">
        <v>2.5000000000000001E-2</v>
      </c>
      <c r="Q1216" s="147">
        <v>166626.55000000002</v>
      </c>
      <c r="R1216" s="149">
        <v>7764797.2300000004</v>
      </c>
      <c r="S12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6" s="150">
        <f ca="1">+IF(PROVEEDORES[[#This Row],[FECHA DE PAGO]]=0,TODAY()-PROVEEDORES[[#This Row],[FECHA DE FACTURACIÓN]]-PROVEEDORES[[#This Row],[PLAZO Días]],0)</f>
        <v>0</v>
      </c>
      <c r="U1216" s="150">
        <f>+VLOOKUP(PROVEEDORES[[#This Row],[PROVEEDOR]],Terceros!$A:$E,4,FALSE)</f>
        <v>0.19</v>
      </c>
      <c r="V1216" s="150">
        <f>+YEAR(PROVEEDORES[[#This Row],[FECHA DE FACTURACIÓN]])</f>
        <v>2023</v>
      </c>
      <c r="W1216" s="150">
        <f>+MATCH(PROVEEDORES[[#This Row],[año facturado]],Retenciones!$1:$1,0)</f>
        <v>6</v>
      </c>
      <c r="X1216" s="151" t="e">
        <f>+VLOOKUP(PROVEEDORES[[#This Row],[ID RETENCION]],Retenciones!$A$1:$O$25,PROVEEDORES[[#This Row],[indicador de columna]],FALSE)</f>
        <v>#N/A</v>
      </c>
      <c r="Y1216" s="152" t="e">
        <f>+VLOOKUP(PROVEEDORES[[#This Row],[ID RETENCION]],Retenciones!$A$1:$O$25,2,FALSE)</f>
        <v>#N/A</v>
      </c>
      <c r="Z1216" s="153" t="b">
        <f>+OR(COUNTIF(PROVEEDORES[[#This Row],[PROVEEDOR]],"*"&amp;'Palabra que no opera y Listas d'!$A$2&amp;"*"))</f>
        <v>0</v>
      </c>
    </row>
    <row r="1217" spans="1:26" ht="27.75" customHeight="1" x14ac:dyDescent="0.3">
      <c r="A1217" s="144" t="str">
        <f>+IF(PROVEEDORES[[#This Row],[FECHA DE PAGO]]=PROVEEDORES[[#This Row],[FECHA DE FACTURACIÓN]],"DE CONTADO","CRÉDITO")</f>
        <v>CRÉDITO</v>
      </c>
      <c r="B1217" s="144" t="str">
        <f>+IF((PROVEEDORES[[#This Row],[FECHA DE PAGO]]-PROVEEDORES[[#This Row],[FECHA DE FACTURACIÓN]])&gt;PROVEEDORES[[#This Row],[PLAZO Días]],"PAGO VENCIDO")</f>
        <v>PAGO VENCIDO</v>
      </c>
      <c r="C1217" s="144">
        <f>+VLOOKUP(PROVEEDORES[[#This Row],[PROVEEDOR]],TERCEROS_INFO[#All],2,FALSE)</f>
        <v>0</v>
      </c>
      <c r="D1217" s="145">
        <f>+SUMIFS(PROVEEDORES[Total],PROVEEDORES[PROVEEDOR],PROVEEDORES[[#This Row],[PROVEEDOR]],PROVEEDORES[FECHA DE PAGO],"")</f>
        <v>7281829.8799999999</v>
      </c>
      <c r="E1217" s="146"/>
      <c r="F1217" s="144" t="str">
        <f>+VLOOKUP(PROVEEDORES[[#This Row],[PROVEEDOR]],
                       Terceros!$A:$G,
                       5,
                       FALSE)</f>
        <v>2,5% con base</v>
      </c>
      <c r="G1217" s="122">
        <v>45327</v>
      </c>
      <c r="H1217" s="102" t="s">
        <v>1445</v>
      </c>
      <c r="I1217" s="122">
        <v>45287</v>
      </c>
      <c r="J1217" s="103" t="s">
        <v>1506</v>
      </c>
      <c r="K1217" s="103" t="s">
        <v>1512</v>
      </c>
      <c r="L1217" s="103" t="s">
        <v>1515</v>
      </c>
      <c r="M1217" s="105">
        <v>128442</v>
      </c>
      <c r="N1217" s="147">
        <v>24403.98</v>
      </c>
      <c r="O1217" s="147">
        <v>0</v>
      </c>
      <c r="P1217" s="148">
        <v>0</v>
      </c>
      <c r="Q1217" s="147">
        <v>0</v>
      </c>
      <c r="R1217" s="149">
        <v>152845.98000000001</v>
      </c>
      <c r="S12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7" s="150">
        <f ca="1">+IF(PROVEEDORES[[#This Row],[FECHA DE PAGO]]=0,TODAY()-PROVEEDORES[[#This Row],[FECHA DE FACTURACIÓN]]-PROVEEDORES[[#This Row],[PLAZO Días]],0)</f>
        <v>0</v>
      </c>
      <c r="U1217" s="150">
        <f>+VLOOKUP(PROVEEDORES[[#This Row],[PROVEEDOR]],Terceros!$A:$E,4,FALSE)</f>
        <v>0.19</v>
      </c>
      <c r="V1217" s="150">
        <f>+YEAR(PROVEEDORES[[#This Row],[FECHA DE FACTURACIÓN]])</f>
        <v>2023</v>
      </c>
      <c r="W1217" s="150">
        <f>+MATCH(PROVEEDORES[[#This Row],[año facturado]],Retenciones!$1:$1,0)</f>
        <v>6</v>
      </c>
      <c r="X1217" s="151" t="e">
        <f>+VLOOKUP(PROVEEDORES[[#This Row],[ID RETENCION]],Retenciones!$A$1:$O$25,PROVEEDORES[[#This Row],[indicador de columna]],FALSE)</f>
        <v>#N/A</v>
      </c>
      <c r="Y1217" s="152" t="e">
        <f>+VLOOKUP(PROVEEDORES[[#This Row],[ID RETENCION]],Retenciones!$A$1:$O$25,2,FALSE)</f>
        <v>#N/A</v>
      </c>
      <c r="Z1217" s="153" t="b">
        <f>+OR(COUNTIF(PROVEEDORES[[#This Row],[PROVEEDOR]],"*"&amp;'Palabra que no opera y Listas d'!$A$2&amp;"*"))</f>
        <v>0</v>
      </c>
    </row>
    <row r="1218" spans="1:26" ht="27.75" customHeight="1" x14ac:dyDescent="0.3">
      <c r="A1218" s="144" t="str">
        <f>+IF(PROVEEDORES[[#This Row],[FECHA DE PAGO]]=PROVEEDORES[[#This Row],[FECHA DE FACTURACIÓN]],"DE CONTADO","CRÉDITO")</f>
        <v>CRÉDITO</v>
      </c>
      <c r="B1218" s="144" t="str">
        <f>+IF((PROVEEDORES[[#This Row],[FECHA DE PAGO]]-PROVEEDORES[[#This Row],[FECHA DE FACTURACIÓN]])&gt;PROVEEDORES[[#This Row],[PLAZO Días]],"PAGO VENCIDO")</f>
        <v>PAGO VENCIDO</v>
      </c>
      <c r="C1218" s="144">
        <f>+VLOOKUP(PROVEEDORES[[#This Row],[PROVEEDOR]],TERCEROS_INFO[#All],2,FALSE)</f>
        <v>0</v>
      </c>
      <c r="D1218" s="145">
        <f>+SUMIFS(PROVEEDORES[Total],PROVEEDORES[PROVEEDOR],PROVEEDORES[[#This Row],[PROVEEDOR]],PROVEEDORES[FECHA DE PAGO],"")</f>
        <v>31839627.134999998</v>
      </c>
      <c r="E1218" s="146"/>
      <c r="F1218" s="144" t="str">
        <f>+VLOOKUP(PROVEEDORES[[#This Row],[PROVEEDOR]],
                       Terceros!$A:$G,
                       5,
                       FALSE)</f>
        <v>2,5% con base</v>
      </c>
      <c r="G1218" s="122">
        <v>45327</v>
      </c>
      <c r="H1218" s="102" t="s">
        <v>17</v>
      </c>
      <c r="I1218" s="122">
        <v>45295</v>
      </c>
      <c r="J1218" s="103">
        <v>1081142</v>
      </c>
      <c r="K1218" s="103" t="s">
        <v>516</v>
      </c>
      <c r="L1218" s="103" t="s">
        <v>1516</v>
      </c>
      <c r="M1218" s="105">
        <v>1895289</v>
      </c>
      <c r="N1218" s="147">
        <v>360104.91000000003</v>
      </c>
      <c r="O1218" s="147">
        <v>0</v>
      </c>
      <c r="P1218" s="148">
        <v>2.5000000000000001E-2</v>
      </c>
      <c r="Q1218" s="147">
        <v>47382.225000000006</v>
      </c>
      <c r="R1218" s="149">
        <v>2208011.6850000001</v>
      </c>
      <c r="S12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8" s="150">
        <f ca="1">+IF(PROVEEDORES[[#This Row],[FECHA DE PAGO]]=0,TODAY()-PROVEEDORES[[#This Row],[FECHA DE FACTURACIÓN]]-PROVEEDORES[[#This Row],[PLAZO Días]],0)</f>
        <v>0</v>
      </c>
      <c r="U1218" s="150">
        <f>+VLOOKUP(PROVEEDORES[[#This Row],[PROVEEDOR]],Terceros!$A:$E,4,FALSE)</f>
        <v>0.19</v>
      </c>
      <c r="V1218" s="150">
        <f>+YEAR(PROVEEDORES[[#This Row],[FECHA DE FACTURACIÓN]])</f>
        <v>2024</v>
      </c>
      <c r="W1218" s="150">
        <f>+MATCH(PROVEEDORES[[#This Row],[año facturado]],Retenciones!$1:$1,0)</f>
        <v>7</v>
      </c>
      <c r="X1218" s="151" t="e">
        <f>+VLOOKUP(PROVEEDORES[[#This Row],[ID RETENCION]],Retenciones!$A$1:$O$25,PROVEEDORES[[#This Row],[indicador de columna]],FALSE)</f>
        <v>#N/A</v>
      </c>
      <c r="Y1218" s="152" t="e">
        <f>+VLOOKUP(PROVEEDORES[[#This Row],[ID RETENCION]],Retenciones!$A$1:$O$25,2,FALSE)</f>
        <v>#N/A</v>
      </c>
      <c r="Z1218" s="153" t="b">
        <f>+OR(COUNTIF(PROVEEDORES[[#This Row],[PROVEEDOR]],"*"&amp;'Palabra que no opera y Listas d'!$A$2&amp;"*"))</f>
        <v>0</v>
      </c>
    </row>
    <row r="1219" spans="1:26" ht="27.75" customHeight="1" x14ac:dyDescent="0.3">
      <c r="A1219" s="144" t="str">
        <f>+IF(PROVEEDORES[[#This Row],[FECHA DE PAGO]]=PROVEEDORES[[#This Row],[FECHA DE FACTURACIÓN]],"DE CONTADO","CRÉDITO")</f>
        <v>CRÉDITO</v>
      </c>
      <c r="B1219" s="144" t="str">
        <f>+IF((PROVEEDORES[[#This Row],[FECHA DE PAGO]]-PROVEEDORES[[#This Row],[FECHA DE FACTURACIÓN]])&gt;PROVEEDORES[[#This Row],[PLAZO Días]],"PAGO VENCIDO")</f>
        <v>PAGO VENCIDO</v>
      </c>
      <c r="C1219" s="144">
        <f>+VLOOKUP(PROVEEDORES[[#This Row],[PROVEEDOR]],TERCEROS_INFO[#All],2,FALSE)</f>
        <v>0</v>
      </c>
      <c r="D1219" s="145">
        <f>+SUMIFS(PROVEEDORES[Total],PROVEEDORES[PROVEEDOR],PROVEEDORES[[#This Row],[PROVEEDOR]],PROVEEDORES[FECHA DE PAGO],"")</f>
        <v>-12893</v>
      </c>
      <c r="E1219" s="146"/>
      <c r="F1219" s="144" t="str">
        <f>+VLOOKUP(PROVEEDORES[[#This Row],[PROVEEDOR]],
                       Terceros!$A:$G,
                       5,
                       FALSE)</f>
        <v>3,5% sin base</v>
      </c>
      <c r="G1219" s="122">
        <v>45327</v>
      </c>
      <c r="H1219" s="102" t="s">
        <v>1433</v>
      </c>
      <c r="I1219" s="122">
        <v>45323</v>
      </c>
      <c r="J1219" s="103" t="s">
        <v>1498</v>
      </c>
      <c r="K1219" s="103" t="s">
        <v>1512</v>
      </c>
      <c r="L1219" s="103" t="s">
        <v>1518</v>
      </c>
      <c r="M1219" s="105">
        <v>4435417</v>
      </c>
      <c r="N1219" s="147">
        <v>752248</v>
      </c>
      <c r="O1219" s="147">
        <v>0</v>
      </c>
      <c r="P1219" s="148">
        <v>3.5000000000000003E-2</v>
      </c>
      <c r="Q1219" s="147">
        <v>138572</v>
      </c>
      <c r="R1219" s="149">
        <v>5049093</v>
      </c>
      <c r="S12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9" s="150">
        <f ca="1">+IF(PROVEEDORES[[#This Row],[FECHA DE PAGO]]=0,TODAY()-PROVEEDORES[[#This Row],[FECHA DE FACTURACIÓN]]-PROVEEDORES[[#This Row],[PLAZO Días]],0)</f>
        <v>0</v>
      </c>
      <c r="U1219" s="150">
        <f>+VLOOKUP(PROVEEDORES[[#This Row],[PROVEEDOR]],Terceros!$A:$E,4,FALSE)</f>
        <v>0.19</v>
      </c>
      <c r="V1219" s="150">
        <f>+YEAR(PROVEEDORES[[#This Row],[FECHA DE FACTURACIÓN]])</f>
        <v>2024</v>
      </c>
      <c r="W1219" s="150">
        <f>+MATCH(PROVEEDORES[[#This Row],[año facturado]],Retenciones!$1:$1,0)</f>
        <v>7</v>
      </c>
      <c r="X1219" s="151" t="e">
        <f>+VLOOKUP(PROVEEDORES[[#This Row],[ID RETENCION]],Retenciones!$A$1:$O$25,PROVEEDORES[[#This Row],[indicador de columna]],FALSE)</f>
        <v>#N/A</v>
      </c>
      <c r="Y1219" s="152" t="e">
        <f>+VLOOKUP(PROVEEDORES[[#This Row],[ID RETENCION]],Retenciones!$A$1:$O$25,2,FALSE)</f>
        <v>#N/A</v>
      </c>
      <c r="Z1219" s="153" t="b">
        <f>+OR(COUNTIF(PROVEEDORES[[#This Row],[PROVEEDOR]],"*"&amp;'Palabra que no opera y Listas d'!$A$2&amp;"*"))</f>
        <v>1</v>
      </c>
    </row>
    <row r="1220" spans="1:26" ht="27.75" customHeight="1" x14ac:dyDescent="0.3">
      <c r="A1220" s="144" t="str">
        <f>+IF(PROVEEDORES[[#This Row],[FECHA DE PAGO]]=PROVEEDORES[[#This Row],[FECHA DE FACTURACIÓN]],"DE CONTADO","CRÉDITO")</f>
        <v>CRÉDITO</v>
      </c>
      <c r="B1220" s="144" t="str">
        <f>+IF((PROVEEDORES[[#This Row],[FECHA DE PAGO]]-PROVEEDORES[[#This Row],[FECHA DE FACTURACIÓN]])&gt;PROVEEDORES[[#This Row],[PLAZO Días]],"PAGO VENCIDO")</f>
        <v>PAGO VENCIDO</v>
      </c>
      <c r="C1220" s="144">
        <f>+VLOOKUP(PROVEEDORES[[#This Row],[PROVEEDOR]],TERCEROS_INFO[#All],2,FALSE)</f>
        <v>0</v>
      </c>
      <c r="D1220" s="145">
        <f>+SUMIFS(PROVEEDORES[Total],PROVEEDORES[PROVEEDOR],PROVEEDORES[[#This Row],[PROVEEDOR]],PROVEEDORES[FECHA DE PAGO],"")</f>
        <v>0</v>
      </c>
      <c r="E1220" s="146"/>
      <c r="F1220" s="144" t="str">
        <f>+VLOOKUP(PROVEEDORES[[#This Row],[PROVEEDOR]],
                       Terceros!$A:$G,
                       5,
                       FALSE)</f>
        <v>3,5% sin base</v>
      </c>
      <c r="G1220" s="122">
        <v>45327</v>
      </c>
      <c r="H1220" s="102" t="s">
        <v>409</v>
      </c>
      <c r="I1220" s="122">
        <v>45323</v>
      </c>
      <c r="J1220" s="103" t="s">
        <v>409</v>
      </c>
      <c r="K1220" s="103" t="s">
        <v>1512</v>
      </c>
      <c r="L1220" s="103" t="s">
        <v>1518</v>
      </c>
      <c r="M1220" s="105">
        <v>246233</v>
      </c>
      <c r="N1220" s="147">
        <v>46784.270000000004</v>
      </c>
      <c r="O1220" s="147">
        <v>0</v>
      </c>
      <c r="P1220" s="148">
        <v>3.5000000000000003E-2</v>
      </c>
      <c r="Q1220" s="147">
        <v>8618.1550000000007</v>
      </c>
      <c r="R1220" s="149">
        <v>284399.11499999999</v>
      </c>
      <c r="S12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0" s="150">
        <f ca="1">+IF(PROVEEDORES[[#This Row],[FECHA DE PAGO]]=0,TODAY()-PROVEEDORES[[#This Row],[FECHA DE FACTURACIÓN]]-PROVEEDORES[[#This Row],[PLAZO Días]],0)</f>
        <v>0</v>
      </c>
      <c r="U1220" s="150">
        <f>+VLOOKUP(PROVEEDORES[[#This Row],[PROVEEDOR]],Terceros!$A:$E,4,FALSE)</f>
        <v>0.19</v>
      </c>
      <c r="V1220" s="150">
        <f>+YEAR(PROVEEDORES[[#This Row],[FECHA DE FACTURACIÓN]])</f>
        <v>2024</v>
      </c>
      <c r="W1220" s="150">
        <f>+MATCH(PROVEEDORES[[#This Row],[año facturado]],Retenciones!$1:$1,0)</f>
        <v>7</v>
      </c>
      <c r="X1220" s="151" t="e">
        <f>+VLOOKUP(PROVEEDORES[[#This Row],[ID RETENCION]],Retenciones!$A$1:$O$25,PROVEEDORES[[#This Row],[indicador de columna]],FALSE)</f>
        <v>#N/A</v>
      </c>
      <c r="Y1220" s="152" t="e">
        <f>+VLOOKUP(PROVEEDORES[[#This Row],[ID RETENCION]],Retenciones!$A$1:$O$25,2,FALSE)</f>
        <v>#N/A</v>
      </c>
      <c r="Z1220" s="153" t="b">
        <f>+OR(COUNTIF(PROVEEDORES[[#This Row],[PROVEEDOR]],"*"&amp;'Palabra que no opera y Listas d'!$A$2&amp;"*"))</f>
        <v>1</v>
      </c>
    </row>
    <row r="1221" spans="1:26" ht="27.75" customHeight="1" x14ac:dyDescent="0.3">
      <c r="A1221" s="144" t="str">
        <f>+IF(PROVEEDORES[[#This Row],[FECHA DE PAGO]]=PROVEEDORES[[#This Row],[FECHA DE FACTURACIÓN]],"DE CONTADO","CRÉDITO")</f>
        <v>CRÉDITO</v>
      </c>
      <c r="B1221" s="144" t="str">
        <f>+IF((PROVEEDORES[[#This Row],[FECHA DE PAGO]]-PROVEEDORES[[#This Row],[FECHA DE FACTURACIÓN]])&gt;PROVEEDORES[[#This Row],[PLAZO Días]],"PAGO VENCIDO")</f>
        <v>PAGO VENCIDO</v>
      </c>
      <c r="C1221" s="144">
        <f>+VLOOKUP(PROVEEDORES[[#This Row],[PROVEEDOR]],TERCEROS_INFO[#All],2,FALSE)</f>
        <v>0</v>
      </c>
      <c r="D1221" s="145">
        <f>+SUMIFS(PROVEEDORES[Total],PROVEEDORES[PROVEEDOR],PROVEEDORES[[#This Row],[PROVEEDOR]],PROVEEDORES[FECHA DE PAGO],"")</f>
        <v>0</v>
      </c>
      <c r="E1221" s="146"/>
      <c r="F1221" s="144">
        <f>+VLOOKUP(PROVEEDORES[[#This Row],[PROVEEDOR]],
                       Terceros!$A:$G,
                       5,
                       FALSE)</f>
        <v>0</v>
      </c>
      <c r="G1221" s="122">
        <v>45327</v>
      </c>
      <c r="H1221" s="102" t="s">
        <v>397</v>
      </c>
      <c r="I1221" s="122">
        <v>45323</v>
      </c>
      <c r="J1221" s="103" t="s">
        <v>1494</v>
      </c>
      <c r="K1221" s="103" t="s">
        <v>1512</v>
      </c>
      <c r="L1221" s="103" t="s">
        <v>1518</v>
      </c>
      <c r="M1221" s="105">
        <v>1047050</v>
      </c>
      <c r="N1221" s="147">
        <v>0</v>
      </c>
      <c r="O1221" s="147">
        <v>0</v>
      </c>
      <c r="P1221" s="148">
        <v>0</v>
      </c>
      <c r="Q1221" s="147">
        <v>0</v>
      </c>
      <c r="R1221" s="149">
        <v>1047050</v>
      </c>
      <c r="S12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1" s="150">
        <f ca="1">+IF(PROVEEDORES[[#This Row],[FECHA DE PAGO]]=0,TODAY()-PROVEEDORES[[#This Row],[FECHA DE FACTURACIÓN]]-PROVEEDORES[[#This Row],[PLAZO Días]],0)</f>
        <v>0</v>
      </c>
      <c r="U1221" s="150">
        <f>+VLOOKUP(PROVEEDORES[[#This Row],[PROVEEDOR]],Terceros!$A:$E,4,FALSE)</f>
        <v>0</v>
      </c>
      <c r="V1221" s="150">
        <f>+YEAR(PROVEEDORES[[#This Row],[FECHA DE FACTURACIÓN]])</f>
        <v>2024</v>
      </c>
      <c r="W1221" s="150">
        <f>+MATCH(PROVEEDORES[[#This Row],[año facturado]],Retenciones!$1:$1,0)</f>
        <v>7</v>
      </c>
      <c r="X1221" s="151">
        <f>+VLOOKUP(PROVEEDORES[[#This Row],[ID RETENCION]],Retenciones!$A$1:$O$25,PROVEEDORES[[#This Row],[indicador de columna]],FALSE)</f>
        <v>0</v>
      </c>
      <c r="Y1221" s="152">
        <f>+VLOOKUP(PROVEEDORES[[#This Row],[ID RETENCION]],Retenciones!$A$1:$O$25,2,FALSE)</f>
        <v>0</v>
      </c>
      <c r="Z1221" s="153" t="b">
        <f>+OR(COUNTIF(PROVEEDORES[[#This Row],[PROVEEDOR]],"*"&amp;'Palabra que no opera y Listas d'!$A$2&amp;"*"))</f>
        <v>1</v>
      </c>
    </row>
    <row r="1222" spans="1:26" ht="27.75" customHeight="1" x14ac:dyDescent="0.3">
      <c r="A1222" s="144" t="str">
        <f>+IF(PROVEEDORES[[#This Row],[FECHA DE PAGO]]=PROVEEDORES[[#This Row],[FECHA DE FACTURACIÓN]],"DE CONTADO","CRÉDITO")</f>
        <v>CRÉDITO</v>
      </c>
      <c r="B1222" s="144" t="str">
        <f>+IF((PROVEEDORES[[#This Row],[FECHA DE PAGO]]-PROVEEDORES[[#This Row],[FECHA DE FACTURACIÓN]])&gt;PROVEEDORES[[#This Row],[PLAZO Días]],"PAGO VENCIDO")</f>
        <v>PAGO VENCIDO</v>
      </c>
      <c r="C1222" s="144">
        <f>+VLOOKUP(PROVEEDORES[[#This Row],[PROVEEDOR]],TERCEROS_INFO[#All],2,FALSE)</f>
        <v>0</v>
      </c>
      <c r="D1222" s="145">
        <f>+SUMIFS(PROVEEDORES[Total],PROVEEDORES[PROVEEDOR],PROVEEDORES[[#This Row],[PROVEEDOR]],PROVEEDORES[FECHA DE PAGO],"")</f>
        <v>0</v>
      </c>
      <c r="E1222" s="146"/>
      <c r="F1222" s="144">
        <f>+VLOOKUP(PROVEEDORES[[#This Row],[PROVEEDOR]],
                       Terceros!$A:$G,
                       5,
                       FALSE)</f>
        <v>0</v>
      </c>
      <c r="G1222" s="122">
        <v>45327</v>
      </c>
      <c r="H1222" s="102" t="s">
        <v>397</v>
      </c>
      <c r="I1222" s="122">
        <v>45323</v>
      </c>
      <c r="J1222" s="103" t="s">
        <v>1495</v>
      </c>
      <c r="K1222" s="103" t="s">
        <v>1512</v>
      </c>
      <c r="L1222" s="103" t="s">
        <v>1518</v>
      </c>
      <c r="M1222" s="105">
        <v>1024255</v>
      </c>
      <c r="N1222" s="147">
        <v>0</v>
      </c>
      <c r="O1222" s="147">
        <v>0</v>
      </c>
      <c r="P1222" s="148">
        <v>0</v>
      </c>
      <c r="Q1222" s="147">
        <v>0</v>
      </c>
      <c r="R1222" s="149">
        <v>1024255</v>
      </c>
      <c r="S12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2" s="150">
        <f ca="1">+IF(PROVEEDORES[[#This Row],[FECHA DE PAGO]]=0,TODAY()-PROVEEDORES[[#This Row],[FECHA DE FACTURACIÓN]]-PROVEEDORES[[#This Row],[PLAZO Días]],0)</f>
        <v>0</v>
      </c>
      <c r="U1222" s="150">
        <f>+VLOOKUP(PROVEEDORES[[#This Row],[PROVEEDOR]],Terceros!$A:$E,4,FALSE)</f>
        <v>0</v>
      </c>
      <c r="V1222" s="150">
        <f>+YEAR(PROVEEDORES[[#This Row],[FECHA DE FACTURACIÓN]])</f>
        <v>2024</v>
      </c>
      <c r="W1222" s="150">
        <f>+MATCH(PROVEEDORES[[#This Row],[año facturado]],Retenciones!$1:$1,0)</f>
        <v>7</v>
      </c>
      <c r="X1222" s="151">
        <f>+VLOOKUP(PROVEEDORES[[#This Row],[ID RETENCION]],Retenciones!$A$1:$O$25,PROVEEDORES[[#This Row],[indicador de columna]],FALSE)</f>
        <v>0</v>
      </c>
      <c r="Y1222" s="152">
        <f>+VLOOKUP(PROVEEDORES[[#This Row],[ID RETENCION]],Retenciones!$A$1:$O$25,2,FALSE)</f>
        <v>0</v>
      </c>
      <c r="Z1222" s="153" t="b">
        <f>+OR(COUNTIF(PROVEEDORES[[#This Row],[PROVEEDOR]],"*"&amp;'Palabra que no opera y Listas d'!$A$2&amp;"*"))</f>
        <v>1</v>
      </c>
    </row>
    <row r="1223" spans="1:26" ht="27.75" customHeight="1" x14ac:dyDescent="0.3">
      <c r="A1223" s="144" t="str">
        <f>+IF(PROVEEDORES[[#This Row],[FECHA DE PAGO]]=PROVEEDORES[[#This Row],[FECHA DE FACTURACIÓN]],"DE CONTADO","CRÉDITO")</f>
        <v>CRÉDITO</v>
      </c>
      <c r="B1223" s="144" t="str">
        <f>+IF((PROVEEDORES[[#This Row],[FECHA DE PAGO]]-PROVEEDORES[[#This Row],[FECHA DE FACTURACIÓN]])&gt;PROVEEDORES[[#This Row],[PLAZO Días]],"PAGO VENCIDO")</f>
        <v>PAGO VENCIDO</v>
      </c>
      <c r="C1223" s="144">
        <f>+VLOOKUP(PROVEEDORES[[#This Row],[PROVEEDOR]],TERCEROS_INFO[#All],2,FALSE)</f>
        <v>0</v>
      </c>
      <c r="D1223" s="145">
        <f>+SUMIFS(PROVEEDORES[Total],PROVEEDORES[PROVEEDOR],PROVEEDORES[[#This Row],[PROVEEDOR]],PROVEEDORES[FECHA DE PAGO],"")</f>
        <v>181631</v>
      </c>
      <c r="E1223" s="146"/>
      <c r="F1223" s="144">
        <f>+VLOOKUP(PROVEEDORES[[#This Row],[PROVEEDOR]],
                       Terceros!$A:$G,
                       5,
                       FALSE)</f>
        <v>0</v>
      </c>
      <c r="G1223" s="122">
        <v>45327</v>
      </c>
      <c r="H1223" s="102" t="s">
        <v>383</v>
      </c>
      <c r="I1223" s="122">
        <v>45323</v>
      </c>
      <c r="J1223" s="103" t="s">
        <v>1605</v>
      </c>
      <c r="K1223" s="103" t="s">
        <v>1512</v>
      </c>
      <c r="L1223" s="103" t="s">
        <v>1518</v>
      </c>
      <c r="M1223" s="105">
        <v>3792544</v>
      </c>
      <c r="N1223" s="147">
        <v>720583.36</v>
      </c>
      <c r="O1223" s="147">
        <v>0</v>
      </c>
      <c r="P1223" s="148">
        <v>0</v>
      </c>
      <c r="Q1223" s="147">
        <v>0</v>
      </c>
      <c r="R1223" s="149">
        <v>4513127.3600000003</v>
      </c>
      <c r="S12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3" s="150">
        <f ca="1">+IF(PROVEEDORES[[#This Row],[FECHA DE PAGO]]=0,TODAY()-PROVEEDORES[[#This Row],[FECHA DE FACTURACIÓN]]-PROVEEDORES[[#This Row],[PLAZO Días]],0)</f>
        <v>0</v>
      </c>
      <c r="U1223" s="150">
        <f>+VLOOKUP(PROVEEDORES[[#This Row],[PROVEEDOR]],Terceros!$A:$E,4,FALSE)</f>
        <v>0.19</v>
      </c>
      <c r="V1223" s="150">
        <f>+YEAR(PROVEEDORES[[#This Row],[FECHA DE FACTURACIÓN]])</f>
        <v>2024</v>
      </c>
      <c r="W1223" s="150">
        <f>+MATCH(PROVEEDORES[[#This Row],[año facturado]],Retenciones!$1:$1,0)</f>
        <v>7</v>
      </c>
      <c r="X1223" s="151" t="e">
        <f>+VLOOKUP(PROVEEDORES[[#This Row],[ID RETENCION]],Retenciones!$A$1:$O$25,PROVEEDORES[[#This Row],[indicador de columna]],FALSE)</f>
        <v>#N/A</v>
      </c>
      <c r="Y1223" s="152" t="e">
        <f>+VLOOKUP(PROVEEDORES[[#This Row],[ID RETENCION]],Retenciones!$A$1:$O$25,2,FALSE)</f>
        <v>#N/A</v>
      </c>
      <c r="Z1223" s="153" t="b">
        <f>+OR(COUNTIF(PROVEEDORES[[#This Row],[PROVEEDOR]],"*"&amp;'Palabra que no opera y Listas d'!$A$2&amp;"*"))</f>
        <v>1</v>
      </c>
    </row>
    <row r="1224" spans="1:26" ht="27.75" customHeight="1" x14ac:dyDescent="0.3">
      <c r="A1224" s="144" t="str">
        <f>+IF(PROVEEDORES[[#This Row],[FECHA DE PAGO]]=PROVEEDORES[[#This Row],[FECHA DE FACTURACIÓN]],"DE CONTADO","CRÉDITO")</f>
        <v>CRÉDITO</v>
      </c>
      <c r="B1224" s="144" t="str">
        <f>+IF((PROVEEDORES[[#This Row],[FECHA DE PAGO]]-PROVEEDORES[[#This Row],[FECHA DE FACTURACIÓN]])&gt;PROVEEDORES[[#This Row],[PLAZO Días]],"PAGO VENCIDO")</f>
        <v>PAGO VENCIDO</v>
      </c>
      <c r="C1224" s="144">
        <f>+VLOOKUP(PROVEEDORES[[#This Row],[PROVEEDOR]],TERCEROS_INFO[#All],2,FALSE)</f>
        <v>0</v>
      </c>
      <c r="D1224" s="145">
        <f>+SUMIFS(PROVEEDORES[Total],PROVEEDORES[PROVEEDOR],PROVEEDORES[[#This Row],[PROVEEDOR]],PROVEEDORES[FECHA DE PAGO],"")</f>
        <v>0</v>
      </c>
      <c r="E1224" s="146"/>
      <c r="F1224" s="144">
        <f>+VLOOKUP(PROVEEDORES[[#This Row],[PROVEEDOR]],
                       Terceros!$A:$G,
                       5,
                       FALSE)</f>
        <v>0</v>
      </c>
      <c r="G1224" s="122">
        <v>45327</v>
      </c>
      <c r="H1224" s="102" t="s">
        <v>497</v>
      </c>
      <c r="I1224" s="122">
        <v>45323</v>
      </c>
      <c r="J1224" s="103" t="s">
        <v>1496</v>
      </c>
      <c r="K1224" s="103" t="s">
        <v>1512</v>
      </c>
      <c r="L1224" s="103" t="s">
        <v>1518</v>
      </c>
      <c r="M1224" s="105">
        <v>5350576</v>
      </c>
      <c r="N1224" s="147">
        <v>1016609.4400000001</v>
      </c>
      <c r="O1224" s="147">
        <v>0</v>
      </c>
      <c r="P1224" s="148">
        <v>0</v>
      </c>
      <c r="Q1224" s="147">
        <v>0</v>
      </c>
      <c r="R1224" s="149">
        <v>6367185.4400000004</v>
      </c>
      <c r="S12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4" s="150">
        <f ca="1">+IF(PROVEEDORES[[#This Row],[FECHA DE PAGO]]=0,TODAY()-PROVEEDORES[[#This Row],[FECHA DE FACTURACIÓN]]-PROVEEDORES[[#This Row],[PLAZO Días]],0)</f>
        <v>0</v>
      </c>
      <c r="U1224" s="150">
        <f>+VLOOKUP(PROVEEDORES[[#This Row],[PROVEEDOR]],Terceros!$A:$E,4,FALSE)</f>
        <v>0.19</v>
      </c>
      <c r="V1224" s="150">
        <f>+YEAR(PROVEEDORES[[#This Row],[FECHA DE FACTURACIÓN]])</f>
        <v>2024</v>
      </c>
      <c r="W1224" s="150">
        <f>+MATCH(PROVEEDORES[[#This Row],[año facturado]],Retenciones!$1:$1,0)</f>
        <v>7</v>
      </c>
      <c r="X1224" s="151" t="e">
        <f>+VLOOKUP(PROVEEDORES[[#This Row],[ID RETENCION]],Retenciones!$A$1:$O$25,PROVEEDORES[[#This Row],[indicador de columna]],FALSE)</f>
        <v>#N/A</v>
      </c>
      <c r="Y1224" s="152" t="e">
        <f>+VLOOKUP(PROVEEDORES[[#This Row],[ID RETENCION]],Retenciones!$A$1:$O$25,2,FALSE)</f>
        <v>#N/A</v>
      </c>
      <c r="Z1224" s="153" t="b">
        <f>+OR(COUNTIF(PROVEEDORES[[#This Row],[PROVEEDOR]],"*"&amp;'Palabra que no opera y Listas d'!$A$2&amp;"*"))</f>
        <v>1</v>
      </c>
    </row>
    <row r="1225" spans="1:26" ht="27.75" customHeight="1" x14ac:dyDescent="0.3">
      <c r="A1225" s="144" t="str">
        <f>+IF(PROVEEDORES[[#This Row],[FECHA DE PAGO]]=PROVEEDORES[[#This Row],[FECHA DE FACTURACIÓN]],"DE CONTADO","CRÉDITO")</f>
        <v>CRÉDITO</v>
      </c>
      <c r="B1225" s="144" t="str">
        <f>+IF((PROVEEDORES[[#This Row],[FECHA DE PAGO]]-PROVEEDORES[[#This Row],[FECHA DE FACTURACIÓN]])&gt;PROVEEDORES[[#This Row],[PLAZO Días]],"PAGO VENCIDO")</f>
        <v>PAGO VENCIDO</v>
      </c>
      <c r="C1225" s="144">
        <f>+VLOOKUP(PROVEEDORES[[#This Row],[PROVEEDOR]],TERCEROS_INFO[#All],2,FALSE)</f>
        <v>0</v>
      </c>
      <c r="D1225" s="145">
        <f>+SUMIFS(PROVEEDORES[Total],PROVEEDORES[PROVEEDOR],PROVEEDORES[[#This Row],[PROVEEDOR]],PROVEEDORES[FECHA DE PAGO],"")</f>
        <v>181631</v>
      </c>
      <c r="E1225" s="146"/>
      <c r="F1225" s="144">
        <f>+VLOOKUP(PROVEEDORES[[#This Row],[PROVEEDOR]],
                       Terceros!$A:$G,
                       5,
                       FALSE)</f>
        <v>0</v>
      </c>
      <c r="G1225" s="122">
        <v>45327</v>
      </c>
      <c r="H1225" s="102" t="s">
        <v>383</v>
      </c>
      <c r="I1225" s="122">
        <v>45323</v>
      </c>
      <c r="J1225" s="103" t="s">
        <v>1604</v>
      </c>
      <c r="K1225" s="103" t="s">
        <v>1512</v>
      </c>
      <c r="L1225" s="103" t="s">
        <v>1518</v>
      </c>
      <c r="M1225" s="105">
        <v>992451</v>
      </c>
      <c r="N1225" s="147">
        <v>188565.69</v>
      </c>
      <c r="O1225" s="147">
        <v>0</v>
      </c>
      <c r="P1225" s="148">
        <v>0.04</v>
      </c>
      <c r="Q1225" s="147">
        <v>39698.04</v>
      </c>
      <c r="R1225" s="149">
        <v>1141318.6499999999</v>
      </c>
      <c r="S12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5" s="150">
        <f ca="1">+IF(PROVEEDORES[[#This Row],[FECHA DE PAGO]]=0,TODAY()-PROVEEDORES[[#This Row],[FECHA DE FACTURACIÓN]]-PROVEEDORES[[#This Row],[PLAZO Días]],0)</f>
        <v>0</v>
      </c>
      <c r="U1225" s="150">
        <f>+VLOOKUP(PROVEEDORES[[#This Row],[PROVEEDOR]],Terceros!$A:$E,4,FALSE)</f>
        <v>0.19</v>
      </c>
      <c r="V1225" s="150">
        <f>+YEAR(PROVEEDORES[[#This Row],[FECHA DE FACTURACIÓN]])</f>
        <v>2024</v>
      </c>
      <c r="W1225" s="150">
        <f>+MATCH(PROVEEDORES[[#This Row],[año facturado]],Retenciones!$1:$1,0)</f>
        <v>7</v>
      </c>
      <c r="X1225" s="151" t="e">
        <f>+VLOOKUP(PROVEEDORES[[#This Row],[ID RETENCION]],Retenciones!$A$1:$O$25,PROVEEDORES[[#This Row],[indicador de columna]],FALSE)</f>
        <v>#N/A</v>
      </c>
      <c r="Y1225" s="152" t="e">
        <f>+VLOOKUP(PROVEEDORES[[#This Row],[ID RETENCION]],Retenciones!$A$1:$O$25,2,FALSE)</f>
        <v>#N/A</v>
      </c>
      <c r="Z1225" s="153" t="b">
        <f>+OR(COUNTIF(PROVEEDORES[[#This Row],[PROVEEDOR]],"*"&amp;'Palabra que no opera y Listas d'!$A$2&amp;"*"))</f>
        <v>1</v>
      </c>
    </row>
    <row r="1226" spans="1:26" ht="27.75" customHeight="1" x14ac:dyDescent="0.3">
      <c r="A1226" s="144" t="str">
        <f>+IF(PROVEEDORES[[#This Row],[FECHA DE PAGO]]=PROVEEDORES[[#This Row],[FECHA DE FACTURACIÓN]],"DE CONTADO","CRÉDITO")</f>
        <v>CRÉDITO</v>
      </c>
      <c r="B1226" s="144" t="str">
        <f>+IF((PROVEEDORES[[#This Row],[FECHA DE PAGO]]-PROVEEDORES[[#This Row],[FECHA DE FACTURACIÓN]])&gt;PROVEEDORES[[#This Row],[PLAZO Días]],"PAGO VENCIDO")</f>
        <v>PAGO VENCIDO</v>
      </c>
      <c r="C1226" s="144">
        <f>+VLOOKUP(PROVEEDORES[[#This Row],[PROVEEDOR]],TERCEROS_INFO[#All],2,FALSE)</f>
        <v>0</v>
      </c>
      <c r="D1226" s="145">
        <f>+SUMIFS(PROVEEDORES[Total],PROVEEDORES[PROVEEDOR],PROVEEDORES[[#This Row],[PROVEEDOR]],PROVEEDORES[FECHA DE PAGO],"")</f>
        <v>0</v>
      </c>
      <c r="E1226" s="146"/>
      <c r="F1226" s="144" t="str">
        <f>+VLOOKUP(PROVEEDORES[[#This Row],[PROVEEDOR]],
                       Terceros!$A:$G,
                       5,
                       FALSE)</f>
        <v>2,5% con base</v>
      </c>
      <c r="G1226" s="122">
        <v>45327</v>
      </c>
      <c r="H1226" s="102" t="s">
        <v>1192</v>
      </c>
      <c r="I1226" s="122">
        <v>45325</v>
      </c>
      <c r="J1226" s="103" t="s">
        <v>1528</v>
      </c>
      <c r="K1226" s="103" t="s">
        <v>1512</v>
      </c>
      <c r="L1226" s="103" t="s">
        <v>1390</v>
      </c>
      <c r="M1226" s="105">
        <v>546220</v>
      </c>
      <c r="N1226" s="147">
        <v>103781.8</v>
      </c>
      <c r="O1226" s="147">
        <v>0</v>
      </c>
      <c r="P1226" s="148">
        <v>0</v>
      </c>
      <c r="Q1226" s="147">
        <v>0</v>
      </c>
      <c r="R1226" s="149">
        <v>650001.80000000005</v>
      </c>
      <c r="S12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6" s="150">
        <f ca="1">+IF(PROVEEDORES[[#This Row],[FECHA DE PAGO]]=0,TODAY()-PROVEEDORES[[#This Row],[FECHA DE FACTURACIÓN]]-PROVEEDORES[[#This Row],[PLAZO Días]],0)</f>
        <v>0</v>
      </c>
      <c r="U1226" s="150">
        <f>+VLOOKUP(PROVEEDORES[[#This Row],[PROVEEDOR]],Terceros!$A:$E,4,FALSE)</f>
        <v>0.19</v>
      </c>
      <c r="V1226" s="150">
        <f>+YEAR(PROVEEDORES[[#This Row],[FECHA DE FACTURACIÓN]])</f>
        <v>2024</v>
      </c>
      <c r="W1226" s="150">
        <f>+MATCH(PROVEEDORES[[#This Row],[año facturado]],Retenciones!$1:$1,0)</f>
        <v>7</v>
      </c>
      <c r="X1226" s="151" t="e">
        <f>+VLOOKUP(PROVEEDORES[[#This Row],[ID RETENCION]],Retenciones!$A$1:$O$25,PROVEEDORES[[#This Row],[indicador de columna]],FALSE)</f>
        <v>#N/A</v>
      </c>
      <c r="Y1226" s="152" t="e">
        <f>+VLOOKUP(PROVEEDORES[[#This Row],[ID RETENCION]],Retenciones!$A$1:$O$25,2,FALSE)</f>
        <v>#N/A</v>
      </c>
      <c r="Z1226" s="153" t="b">
        <f>+OR(COUNTIF(PROVEEDORES[[#This Row],[PROVEEDOR]],"*"&amp;'Palabra que no opera y Listas d'!$A$2&amp;"*"))</f>
        <v>0</v>
      </c>
    </row>
    <row r="1227" spans="1:26" ht="27.75" customHeight="1" x14ac:dyDescent="0.3">
      <c r="A1227" s="144" t="str">
        <f>+IF(PROVEEDORES[[#This Row],[FECHA DE PAGO]]=PROVEEDORES[[#This Row],[FECHA DE FACTURACIÓN]],"DE CONTADO","CRÉDITO")</f>
        <v>DE CONTADO</v>
      </c>
      <c r="B1227" s="144" t="b">
        <f>+IF((PROVEEDORES[[#This Row],[FECHA DE PAGO]]-PROVEEDORES[[#This Row],[FECHA DE FACTURACIÓN]])&gt;PROVEEDORES[[#This Row],[PLAZO Días]],"PAGO VENCIDO")</f>
        <v>0</v>
      </c>
      <c r="C1227" s="144">
        <f>+VLOOKUP(PROVEEDORES[[#This Row],[PROVEEDOR]],TERCEROS_INFO[#All],2,FALSE)</f>
        <v>0</v>
      </c>
      <c r="D1227" s="145">
        <f>+SUMIFS(PROVEEDORES[Total],PROVEEDORES[PROVEEDOR],PROVEEDORES[[#This Row],[PROVEEDOR]],PROVEEDORES[FECHA DE PAGO],"")</f>
        <v>0</v>
      </c>
      <c r="E1227" s="146"/>
      <c r="F1227" s="144">
        <f>+VLOOKUP(PROVEEDORES[[#This Row],[PROVEEDOR]],
                       Terceros!$A:$G,
                       5,
                       FALSE)</f>
        <v>0</v>
      </c>
      <c r="G1227" s="122">
        <v>45327</v>
      </c>
      <c r="H1227" s="102" t="s">
        <v>496</v>
      </c>
      <c r="I1227" s="122">
        <v>45327</v>
      </c>
      <c r="J1227" s="103" t="s">
        <v>1526</v>
      </c>
      <c r="K1227" s="103" t="s">
        <v>1512</v>
      </c>
      <c r="L1227" s="103" t="s">
        <v>1523</v>
      </c>
      <c r="M1227" s="105">
        <v>2430000</v>
      </c>
      <c r="N1227" s="147">
        <v>0</v>
      </c>
      <c r="O1227" s="147">
        <v>0</v>
      </c>
      <c r="P1227" s="148">
        <v>0</v>
      </c>
      <c r="Q1227" s="147">
        <v>0</v>
      </c>
      <c r="R1227" s="149">
        <v>2430000</v>
      </c>
      <c r="S12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7" s="150">
        <f ca="1">+IF(PROVEEDORES[[#This Row],[FECHA DE PAGO]]=0,TODAY()-PROVEEDORES[[#This Row],[FECHA DE FACTURACIÓN]]-PROVEEDORES[[#This Row],[PLAZO Días]],0)</f>
        <v>0</v>
      </c>
      <c r="U1227" s="150">
        <f>+VLOOKUP(PROVEEDORES[[#This Row],[PROVEEDOR]],Terceros!$A:$E,4,FALSE)</f>
        <v>0</v>
      </c>
      <c r="V1227" s="150">
        <f>+YEAR(PROVEEDORES[[#This Row],[FECHA DE FACTURACIÓN]])</f>
        <v>2024</v>
      </c>
      <c r="W1227" s="150">
        <f>+MATCH(PROVEEDORES[[#This Row],[año facturado]],Retenciones!$1:$1,0)</f>
        <v>7</v>
      </c>
      <c r="X1227" s="151">
        <f>+VLOOKUP(PROVEEDORES[[#This Row],[ID RETENCION]],Retenciones!$A$1:$O$25,PROVEEDORES[[#This Row],[indicador de columna]],FALSE)</f>
        <v>0</v>
      </c>
      <c r="Y1227" s="152">
        <f>+VLOOKUP(PROVEEDORES[[#This Row],[ID RETENCION]],Retenciones!$A$1:$O$25,2,FALSE)</f>
        <v>0</v>
      </c>
      <c r="Z1227" s="153" t="b">
        <f>+OR(COUNTIF(PROVEEDORES[[#This Row],[PROVEEDOR]],"*"&amp;'Palabra que no opera y Listas d'!$A$2&amp;"*"))</f>
        <v>0</v>
      </c>
    </row>
    <row r="1228" spans="1:26" ht="27.75" customHeight="1" x14ac:dyDescent="0.3">
      <c r="A1228" s="144" t="str">
        <f>+IF(PROVEEDORES[[#This Row],[FECHA DE PAGO]]=PROVEEDORES[[#This Row],[FECHA DE FACTURACIÓN]],"DE CONTADO","CRÉDITO")</f>
        <v>DE CONTADO</v>
      </c>
      <c r="B1228" s="144" t="b">
        <f>+IF((PROVEEDORES[[#This Row],[FECHA DE PAGO]]-PROVEEDORES[[#This Row],[FECHA DE FACTURACIÓN]])&gt;PROVEEDORES[[#This Row],[PLAZO Días]],"PAGO VENCIDO")</f>
        <v>0</v>
      </c>
      <c r="C1228" s="144">
        <f>+VLOOKUP(PROVEEDORES[[#This Row],[PROVEEDOR]],TERCEROS_INFO[#All],2,FALSE)</f>
        <v>0</v>
      </c>
      <c r="D1228" s="145">
        <f>+SUMIFS(PROVEEDORES[Total],PROVEEDORES[PROVEEDOR],PROVEEDORES[[#This Row],[PROVEEDOR]],PROVEEDORES[FECHA DE PAGO],"")</f>
        <v>0</v>
      </c>
      <c r="E1228" s="146"/>
      <c r="F1228" s="144" t="str">
        <f>+VLOOKUP(PROVEEDORES[[#This Row],[PROVEEDOR]],
                       Terceros!$A:$G,
                       5,
                       FALSE)</f>
        <v>2,5% con base</v>
      </c>
      <c r="G1228" s="122">
        <v>45328</v>
      </c>
      <c r="H1228" s="102" t="s">
        <v>35</v>
      </c>
      <c r="I1228" s="122">
        <v>45328</v>
      </c>
      <c r="J1228" s="103" t="s">
        <v>1529</v>
      </c>
      <c r="K1228" s="103" t="s">
        <v>1512</v>
      </c>
      <c r="L1228" s="103" t="s">
        <v>1390</v>
      </c>
      <c r="M1228" s="105">
        <v>37154</v>
      </c>
      <c r="N1228" s="147">
        <v>7059.26</v>
      </c>
      <c r="O1228" s="147">
        <v>0</v>
      </c>
      <c r="P1228" s="148">
        <v>0</v>
      </c>
      <c r="Q1228" s="147">
        <v>0</v>
      </c>
      <c r="R1228" s="149">
        <v>44213.26</v>
      </c>
      <c r="S12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8" s="150">
        <f ca="1">+IF(PROVEEDORES[[#This Row],[FECHA DE PAGO]]=0,TODAY()-PROVEEDORES[[#This Row],[FECHA DE FACTURACIÓN]]-PROVEEDORES[[#This Row],[PLAZO Días]],0)</f>
        <v>0</v>
      </c>
      <c r="U1228" s="150">
        <f>+VLOOKUP(PROVEEDORES[[#This Row],[PROVEEDOR]],Terceros!$A:$E,4,FALSE)</f>
        <v>0.19</v>
      </c>
      <c r="V1228" s="150">
        <f>+YEAR(PROVEEDORES[[#This Row],[FECHA DE FACTURACIÓN]])</f>
        <v>2024</v>
      </c>
      <c r="W1228" s="150">
        <f>+MATCH(PROVEEDORES[[#This Row],[año facturado]],Retenciones!$1:$1,0)</f>
        <v>7</v>
      </c>
      <c r="X1228" s="151" t="e">
        <f>+VLOOKUP(PROVEEDORES[[#This Row],[ID RETENCION]],Retenciones!$A$1:$O$25,PROVEEDORES[[#This Row],[indicador de columna]],FALSE)</f>
        <v>#N/A</v>
      </c>
      <c r="Y1228" s="152" t="e">
        <f>+VLOOKUP(PROVEEDORES[[#This Row],[ID RETENCION]],Retenciones!$A$1:$O$25,2,FALSE)</f>
        <v>#N/A</v>
      </c>
      <c r="Z1228" s="153" t="b">
        <f>+OR(COUNTIF(PROVEEDORES[[#This Row],[PROVEEDOR]],"*"&amp;'Palabra que no opera y Listas d'!$A$2&amp;"*"))</f>
        <v>0</v>
      </c>
    </row>
    <row r="1229" spans="1:26" ht="27.75" customHeight="1" x14ac:dyDescent="0.3">
      <c r="A1229" s="144" t="str">
        <f>+IF(PROVEEDORES[[#This Row],[FECHA DE PAGO]]=PROVEEDORES[[#This Row],[FECHA DE FACTURACIÓN]],"DE CONTADO","CRÉDITO")</f>
        <v>CRÉDITO</v>
      </c>
      <c r="B1229" s="144" t="str">
        <f>+IF((PROVEEDORES[[#This Row],[FECHA DE PAGO]]-PROVEEDORES[[#This Row],[FECHA DE FACTURACIÓN]])&gt;PROVEEDORES[[#This Row],[PLAZO Días]],"PAGO VENCIDO")</f>
        <v>PAGO VENCIDO</v>
      </c>
      <c r="C1229" s="144">
        <f>+VLOOKUP(PROVEEDORES[[#This Row],[PROVEEDOR]],TERCEROS_INFO[#All],2,FALSE)</f>
        <v>0</v>
      </c>
      <c r="D1229" s="145">
        <f>+SUMIFS(PROVEEDORES[Total],PROVEEDORES[PROVEEDOR],PROVEEDORES[[#This Row],[PROVEEDOR]],PROVEEDORES[FECHA DE PAGO],"")</f>
        <v>0</v>
      </c>
      <c r="E1229" s="146"/>
      <c r="F1229" s="144">
        <f>+VLOOKUP(PROVEEDORES[[#This Row],[PROVEEDOR]],
                       Terceros!$A:$G,
                       5,
                       FALSE)</f>
        <v>0</v>
      </c>
      <c r="G1229" s="122">
        <v>45329</v>
      </c>
      <c r="H1229" s="102" t="s">
        <v>1788</v>
      </c>
      <c r="I1229" s="122">
        <v>45282</v>
      </c>
      <c r="J1229" s="103" t="s">
        <v>1362</v>
      </c>
      <c r="K1229" s="103" t="s">
        <v>1512</v>
      </c>
      <c r="L1229" s="103" t="s">
        <v>1390</v>
      </c>
      <c r="M1229" s="105">
        <v>1500000</v>
      </c>
      <c r="N1229" s="147">
        <v>0</v>
      </c>
      <c r="O1229" s="147">
        <v>0</v>
      </c>
      <c r="P1229" s="148">
        <v>0</v>
      </c>
      <c r="Q1229" s="147">
        <v>0</v>
      </c>
      <c r="R1229" s="149">
        <v>1500000</v>
      </c>
      <c r="S12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9" s="150">
        <f ca="1">+IF(PROVEEDORES[[#This Row],[FECHA DE PAGO]]=0,TODAY()-PROVEEDORES[[#This Row],[FECHA DE FACTURACIÓN]]-PROVEEDORES[[#This Row],[PLAZO Días]],0)</f>
        <v>0</v>
      </c>
      <c r="U1229" s="150">
        <f>+VLOOKUP(PROVEEDORES[[#This Row],[PROVEEDOR]],Terceros!$A:$E,4,FALSE)</f>
        <v>0</v>
      </c>
      <c r="V1229" s="150">
        <f>+YEAR(PROVEEDORES[[#This Row],[FECHA DE FACTURACIÓN]])</f>
        <v>2023</v>
      </c>
      <c r="W1229" s="150">
        <f>+MATCH(PROVEEDORES[[#This Row],[año facturado]],Retenciones!$1:$1,0)</f>
        <v>6</v>
      </c>
      <c r="X1229" s="151">
        <f>+VLOOKUP(PROVEEDORES[[#This Row],[ID RETENCION]],Retenciones!$A$1:$O$25,PROVEEDORES[[#This Row],[indicador de columna]],FALSE)</f>
        <v>0</v>
      </c>
      <c r="Y1229" s="152">
        <f>+VLOOKUP(PROVEEDORES[[#This Row],[ID RETENCION]],Retenciones!$A$1:$O$25,2,FALSE)</f>
        <v>0</v>
      </c>
      <c r="Z1229" s="153" t="b">
        <f>+OR(COUNTIF(PROVEEDORES[[#This Row],[PROVEEDOR]],"*"&amp;'Palabra que no opera y Listas d'!$A$2&amp;"*"))</f>
        <v>0</v>
      </c>
    </row>
    <row r="1230" spans="1:26" ht="27.75" customHeight="1" x14ac:dyDescent="0.3">
      <c r="A1230" s="144" t="str">
        <f>+IF(PROVEEDORES[[#This Row],[FECHA DE PAGO]]=PROVEEDORES[[#This Row],[FECHA DE FACTURACIÓN]],"DE CONTADO","CRÉDITO")</f>
        <v>CRÉDITO</v>
      </c>
      <c r="B1230" s="144" t="str">
        <f>+IF((PROVEEDORES[[#This Row],[FECHA DE PAGO]]-PROVEEDORES[[#This Row],[FECHA DE FACTURACIÓN]])&gt;PROVEEDORES[[#This Row],[PLAZO Días]],"PAGO VENCIDO")</f>
        <v>PAGO VENCIDO</v>
      </c>
      <c r="C1230" s="144">
        <f>+VLOOKUP(PROVEEDORES[[#This Row],[PROVEEDOR]],TERCEROS_INFO[#All],2,FALSE)</f>
        <v>0</v>
      </c>
      <c r="D1230" s="145">
        <f>+SUMIFS(PROVEEDORES[Total],PROVEEDORES[PROVEEDOR],PROVEEDORES[[#This Row],[PROVEEDOR]],PROVEEDORES[FECHA DE PAGO],"")</f>
        <v>3130000</v>
      </c>
      <c r="E1230" s="146"/>
      <c r="F1230" s="144">
        <f>+VLOOKUP(PROVEEDORES[[#This Row],[PROVEEDOR]],
                       Terceros!$A:$G,
                       5,
                       FALSE)</f>
        <v>0</v>
      </c>
      <c r="G1230" s="122">
        <v>45330</v>
      </c>
      <c r="H1230" s="102" t="s">
        <v>487</v>
      </c>
      <c r="I1230" s="122">
        <v>45274</v>
      </c>
      <c r="J1230" s="103" t="s">
        <v>1319</v>
      </c>
      <c r="K1230" s="103" t="s">
        <v>1512</v>
      </c>
      <c r="L1230" s="103" t="s">
        <v>1390</v>
      </c>
      <c r="M1230" s="105">
        <v>2700000</v>
      </c>
      <c r="N1230" s="147">
        <v>0</v>
      </c>
      <c r="O1230" s="147">
        <v>0</v>
      </c>
      <c r="P1230" s="148">
        <v>0</v>
      </c>
      <c r="Q1230" s="147">
        <v>0</v>
      </c>
      <c r="R1230" s="149">
        <v>2700000</v>
      </c>
      <c r="S12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0" s="150">
        <f ca="1">+IF(PROVEEDORES[[#This Row],[FECHA DE PAGO]]=0,TODAY()-PROVEEDORES[[#This Row],[FECHA DE FACTURACIÓN]]-PROVEEDORES[[#This Row],[PLAZO Días]],0)</f>
        <v>0</v>
      </c>
      <c r="U1230" s="150">
        <f>+VLOOKUP(PROVEEDORES[[#This Row],[PROVEEDOR]],Terceros!$A:$E,4,FALSE)</f>
        <v>0</v>
      </c>
      <c r="V1230" s="150">
        <f>+YEAR(PROVEEDORES[[#This Row],[FECHA DE FACTURACIÓN]])</f>
        <v>2023</v>
      </c>
      <c r="W1230" s="150">
        <f>+MATCH(PROVEEDORES[[#This Row],[año facturado]],Retenciones!$1:$1,0)</f>
        <v>6</v>
      </c>
      <c r="X1230" s="151">
        <f>+VLOOKUP(PROVEEDORES[[#This Row],[ID RETENCION]],Retenciones!$A$1:$O$25,PROVEEDORES[[#This Row],[indicador de columna]],FALSE)</f>
        <v>0</v>
      </c>
      <c r="Y1230" s="152">
        <f>+VLOOKUP(PROVEEDORES[[#This Row],[ID RETENCION]],Retenciones!$A$1:$O$25,2,FALSE)</f>
        <v>0</v>
      </c>
      <c r="Z1230" s="153" t="b">
        <f>+OR(COUNTIF(PROVEEDORES[[#This Row],[PROVEEDOR]],"*"&amp;'Palabra que no opera y Listas d'!$A$2&amp;"*"))</f>
        <v>0</v>
      </c>
    </row>
    <row r="1231" spans="1:26" ht="27.75" customHeight="1" x14ac:dyDescent="0.3">
      <c r="A1231" s="144" t="str">
        <f>+IF(PROVEEDORES[[#This Row],[FECHA DE PAGO]]=PROVEEDORES[[#This Row],[FECHA DE FACTURACIÓN]],"DE CONTADO","CRÉDITO")</f>
        <v>CRÉDITO</v>
      </c>
      <c r="B1231" s="144" t="str">
        <f>+IF((PROVEEDORES[[#This Row],[FECHA DE PAGO]]-PROVEEDORES[[#This Row],[FECHA DE FACTURACIÓN]])&gt;PROVEEDORES[[#This Row],[PLAZO Días]],"PAGO VENCIDO")</f>
        <v>PAGO VENCIDO</v>
      </c>
      <c r="C1231" s="144">
        <f>+VLOOKUP(PROVEEDORES[[#This Row],[PROVEEDOR]],TERCEROS_INFO[#All],2,FALSE)</f>
        <v>0</v>
      </c>
      <c r="D1231" s="145">
        <f>+SUMIFS(PROVEEDORES[Total],PROVEEDORES[PROVEEDOR],PROVEEDORES[[#This Row],[PROVEEDOR]],PROVEEDORES[FECHA DE PAGO],"")</f>
        <v>0</v>
      </c>
      <c r="E1231" s="146"/>
      <c r="F1231" s="144" t="str">
        <f>+VLOOKUP(PROVEEDORES[[#This Row],[PROVEEDOR]],
                       Terceros!$A:$G,
                       5,
                       FALSE)</f>
        <v>2,5% con base</v>
      </c>
      <c r="G1231" s="122">
        <v>45330</v>
      </c>
      <c r="H1231" s="102" t="s">
        <v>873</v>
      </c>
      <c r="I1231" s="122">
        <v>45287</v>
      </c>
      <c r="J1231" s="103" t="s">
        <v>1375</v>
      </c>
      <c r="K1231" s="103" t="s">
        <v>1512</v>
      </c>
      <c r="L1231" s="103" t="s">
        <v>1390</v>
      </c>
      <c r="M1231" s="105">
        <v>1110000</v>
      </c>
      <c r="N1231" s="147">
        <v>210900</v>
      </c>
      <c r="O1231" s="147">
        <v>0</v>
      </c>
      <c r="P1231" s="148">
        <v>0</v>
      </c>
      <c r="Q1231" s="147">
        <v>0</v>
      </c>
      <c r="R1231" s="149">
        <v>1320900</v>
      </c>
      <c r="S12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1" s="150">
        <f ca="1">+IF(PROVEEDORES[[#This Row],[FECHA DE PAGO]]=0,TODAY()-PROVEEDORES[[#This Row],[FECHA DE FACTURACIÓN]]-PROVEEDORES[[#This Row],[PLAZO Días]],0)</f>
        <v>0</v>
      </c>
      <c r="U1231" s="150">
        <f>+VLOOKUP(PROVEEDORES[[#This Row],[PROVEEDOR]],Terceros!$A:$E,4,FALSE)</f>
        <v>0.19</v>
      </c>
      <c r="V1231" s="150">
        <f>+YEAR(PROVEEDORES[[#This Row],[FECHA DE FACTURACIÓN]])</f>
        <v>2023</v>
      </c>
      <c r="W1231" s="150">
        <f>+MATCH(PROVEEDORES[[#This Row],[año facturado]],Retenciones!$1:$1,0)</f>
        <v>6</v>
      </c>
      <c r="X1231" s="151" t="e">
        <f>+VLOOKUP(PROVEEDORES[[#This Row],[ID RETENCION]],Retenciones!$A$1:$O$25,PROVEEDORES[[#This Row],[indicador de columna]],FALSE)</f>
        <v>#N/A</v>
      </c>
      <c r="Y1231" s="152" t="e">
        <f>+VLOOKUP(PROVEEDORES[[#This Row],[ID RETENCION]],Retenciones!$A$1:$O$25,2,FALSE)</f>
        <v>#N/A</v>
      </c>
      <c r="Z1231" s="153" t="b">
        <f>+OR(COUNTIF(PROVEEDORES[[#This Row],[PROVEEDOR]],"*"&amp;'Palabra que no opera y Listas d'!$A$2&amp;"*"))</f>
        <v>0</v>
      </c>
    </row>
    <row r="1232" spans="1:26" ht="27.75" customHeight="1" x14ac:dyDescent="0.3">
      <c r="A1232" s="144" t="str">
        <f>+IF(PROVEEDORES[[#This Row],[FECHA DE PAGO]]=PROVEEDORES[[#This Row],[FECHA DE FACTURACIÓN]],"DE CONTADO","CRÉDITO")</f>
        <v>DE CONTADO</v>
      </c>
      <c r="B1232" s="144" t="b">
        <f>+IF((PROVEEDORES[[#This Row],[FECHA DE PAGO]]-PROVEEDORES[[#This Row],[FECHA DE FACTURACIÓN]])&gt;PROVEEDORES[[#This Row],[PLAZO Días]],"PAGO VENCIDO")</f>
        <v>0</v>
      </c>
      <c r="C1232" s="144">
        <f>+VLOOKUP(PROVEEDORES[[#This Row],[PROVEEDOR]],TERCEROS_INFO[#All],2,FALSE)</f>
        <v>0</v>
      </c>
      <c r="D1232" s="145">
        <f>+SUMIFS(PROVEEDORES[Total],PROVEEDORES[PROVEEDOR],PROVEEDORES[[#This Row],[PROVEEDOR]],PROVEEDORES[FECHA DE PAGO],"")</f>
        <v>3130000</v>
      </c>
      <c r="E1232" s="146"/>
      <c r="F1232" s="144">
        <f>+VLOOKUP(PROVEEDORES[[#This Row],[PROVEEDOR]],
                       Terceros!$A:$G,
                       5,
                       FALSE)</f>
        <v>0</v>
      </c>
      <c r="G1232" s="122">
        <v>45330</v>
      </c>
      <c r="H1232" s="102" t="s">
        <v>487</v>
      </c>
      <c r="I1232" s="122">
        <v>45330</v>
      </c>
      <c r="J1232" s="103" t="s">
        <v>1540</v>
      </c>
      <c r="K1232" s="103" t="s">
        <v>1512</v>
      </c>
      <c r="L1232" s="103" t="s">
        <v>1390</v>
      </c>
      <c r="M1232" s="105">
        <v>800000</v>
      </c>
      <c r="N1232" s="147">
        <v>0</v>
      </c>
      <c r="O1232" s="147">
        <v>0</v>
      </c>
      <c r="P1232" s="148">
        <v>0</v>
      </c>
      <c r="Q1232" s="147">
        <v>0</v>
      </c>
      <c r="R1232" s="149">
        <v>800000</v>
      </c>
      <c r="S12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2" s="150">
        <f ca="1">+IF(PROVEEDORES[[#This Row],[FECHA DE PAGO]]=0,TODAY()-PROVEEDORES[[#This Row],[FECHA DE FACTURACIÓN]]-PROVEEDORES[[#This Row],[PLAZO Días]],0)</f>
        <v>0</v>
      </c>
      <c r="U1232" s="150">
        <f>+VLOOKUP(PROVEEDORES[[#This Row],[PROVEEDOR]],Terceros!$A:$E,4,FALSE)</f>
        <v>0</v>
      </c>
      <c r="V1232" s="150">
        <f>+YEAR(PROVEEDORES[[#This Row],[FECHA DE FACTURACIÓN]])</f>
        <v>2024</v>
      </c>
      <c r="W1232" s="150">
        <f>+MATCH(PROVEEDORES[[#This Row],[año facturado]],Retenciones!$1:$1,0)</f>
        <v>7</v>
      </c>
      <c r="X1232" s="151">
        <f>+VLOOKUP(PROVEEDORES[[#This Row],[ID RETENCION]],Retenciones!$A$1:$O$25,PROVEEDORES[[#This Row],[indicador de columna]],FALSE)</f>
        <v>0</v>
      </c>
      <c r="Y1232" s="152">
        <f>+VLOOKUP(PROVEEDORES[[#This Row],[ID RETENCION]],Retenciones!$A$1:$O$25,2,FALSE)</f>
        <v>0</v>
      </c>
      <c r="Z1232" s="153" t="b">
        <f>+OR(COUNTIF(PROVEEDORES[[#This Row],[PROVEEDOR]],"*"&amp;'Palabra que no opera y Listas d'!$A$2&amp;"*"))</f>
        <v>0</v>
      </c>
    </row>
    <row r="1233" spans="1:26" ht="27.75" customHeight="1" x14ac:dyDescent="0.3">
      <c r="A1233" s="144" t="str">
        <f>+IF(PROVEEDORES[[#This Row],[FECHA DE PAGO]]=PROVEEDORES[[#This Row],[FECHA DE FACTURACIÓN]],"DE CONTADO","CRÉDITO")</f>
        <v>DE CONTADO</v>
      </c>
      <c r="B1233" s="144" t="b">
        <f>+IF((PROVEEDORES[[#This Row],[FECHA DE PAGO]]-PROVEEDORES[[#This Row],[FECHA DE FACTURACIÓN]])&gt;PROVEEDORES[[#This Row],[PLAZO Días]],"PAGO VENCIDO")</f>
        <v>0</v>
      </c>
      <c r="C1233" s="144">
        <f>+VLOOKUP(PROVEEDORES[[#This Row],[PROVEEDOR]],TERCEROS_INFO[#All],2,FALSE)</f>
        <v>0</v>
      </c>
      <c r="D1233" s="145">
        <f>+SUMIFS(PROVEEDORES[Total],PROVEEDORES[PROVEEDOR],PROVEEDORES[[#This Row],[PROVEEDOR]],PROVEEDORES[FECHA DE PAGO],"")</f>
        <v>0</v>
      </c>
      <c r="E1233" s="146"/>
      <c r="F1233" s="144">
        <f>+VLOOKUP(PROVEEDORES[[#This Row],[PROVEEDOR]],
                       Terceros!$A:$G,
                       5,
                       FALSE)</f>
        <v>0</v>
      </c>
      <c r="G1233" s="122">
        <v>45331</v>
      </c>
      <c r="H1233" s="102" t="s">
        <v>1801</v>
      </c>
      <c r="I1233" s="122">
        <v>45331</v>
      </c>
      <c r="J1233" s="103"/>
      <c r="K1233" s="103" t="s">
        <v>1512</v>
      </c>
      <c r="L1233" s="103" t="s">
        <v>1390</v>
      </c>
      <c r="M1233" s="105">
        <v>1263000</v>
      </c>
      <c r="N1233" s="147">
        <v>0</v>
      </c>
      <c r="O1233" s="147">
        <v>0</v>
      </c>
      <c r="P1233" s="148">
        <v>0</v>
      </c>
      <c r="Q1233" s="147">
        <v>0</v>
      </c>
      <c r="R1233" s="149">
        <v>1263000</v>
      </c>
      <c r="S12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3" s="150">
        <f ca="1">+IF(PROVEEDORES[[#This Row],[FECHA DE PAGO]]=0,TODAY()-PROVEEDORES[[#This Row],[FECHA DE FACTURACIÓN]]-PROVEEDORES[[#This Row],[PLAZO Días]],0)</f>
        <v>0</v>
      </c>
      <c r="U1233" s="150">
        <f>+VLOOKUP(PROVEEDORES[[#This Row],[PROVEEDOR]],Terceros!$A:$E,4,FALSE)</f>
        <v>0</v>
      </c>
      <c r="V1233" s="150">
        <f>+YEAR(PROVEEDORES[[#This Row],[FECHA DE FACTURACIÓN]])</f>
        <v>2024</v>
      </c>
      <c r="W1233" s="150">
        <f>+MATCH(PROVEEDORES[[#This Row],[año facturado]],Retenciones!$1:$1,0)</f>
        <v>7</v>
      </c>
      <c r="X1233" s="151">
        <f>+VLOOKUP(PROVEEDORES[[#This Row],[ID RETENCION]],Retenciones!$A$1:$O$25,PROVEEDORES[[#This Row],[indicador de columna]],FALSE)</f>
        <v>0</v>
      </c>
      <c r="Y1233" s="152">
        <f>+VLOOKUP(PROVEEDORES[[#This Row],[ID RETENCION]],Retenciones!$A$1:$O$25,2,FALSE)</f>
        <v>0</v>
      </c>
      <c r="Z1233" s="153" t="b">
        <f>+OR(COUNTIF(PROVEEDORES[[#This Row],[PROVEEDOR]],"*"&amp;'Palabra que no opera y Listas d'!$A$2&amp;"*"))</f>
        <v>0</v>
      </c>
    </row>
    <row r="1234" spans="1:26" ht="27.75" customHeight="1" x14ac:dyDescent="0.3">
      <c r="A1234" s="144" t="str">
        <f>+IF(PROVEEDORES[[#This Row],[FECHA DE PAGO]]=PROVEEDORES[[#This Row],[FECHA DE FACTURACIÓN]],"DE CONTADO","CRÉDITO")</f>
        <v>DE CONTADO</v>
      </c>
      <c r="B1234" s="144" t="b">
        <f>+IF((PROVEEDORES[[#This Row],[FECHA DE PAGO]]-PROVEEDORES[[#This Row],[FECHA DE FACTURACIÓN]])&gt;PROVEEDORES[[#This Row],[PLAZO Días]],"PAGO VENCIDO")</f>
        <v>0</v>
      </c>
      <c r="C1234" s="144">
        <f>+VLOOKUP(PROVEEDORES[[#This Row],[PROVEEDOR]],TERCEROS_INFO[#All],2,FALSE)</f>
        <v>0</v>
      </c>
      <c r="D1234" s="145">
        <f>+SUMIFS(PROVEEDORES[Total],PROVEEDORES[PROVEEDOR],PROVEEDORES[[#This Row],[PROVEEDOR]],PROVEEDORES[FECHA DE PAGO],"")</f>
        <v>0</v>
      </c>
      <c r="E1234" s="146"/>
      <c r="F1234" s="144">
        <f>+VLOOKUP(PROVEEDORES[[#This Row],[PROVEEDOR]],
                       Terceros!$A:$G,
                       5,
                       FALSE)</f>
        <v>0</v>
      </c>
      <c r="G1234" s="122">
        <v>45331</v>
      </c>
      <c r="H1234" s="102" t="s">
        <v>402</v>
      </c>
      <c r="I1234" s="122">
        <v>45331</v>
      </c>
      <c r="J1234" s="103" t="s">
        <v>184</v>
      </c>
      <c r="K1234" s="103" t="s">
        <v>1512</v>
      </c>
      <c r="L1234" s="103" t="s">
        <v>1516</v>
      </c>
      <c r="M1234" s="105">
        <v>411454</v>
      </c>
      <c r="N1234" s="147">
        <v>0</v>
      </c>
      <c r="O1234" s="147">
        <v>0</v>
      </c>
      <c r="P1234" s="148">
        <v>0</v>
      </c>
      <c r="Q1234" s="147">
        <v>0</v>
      </c>
      <c r="R1234" s="149">
        <v>411454</v>
      </c>
      <c r="S12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4" s="150">
        <f ca="1">+IF(PROVEEDORES[[#This Row],[FECHA DE PAGO]]=0,TODAY()-PROVEEDORES[[#This Row],[FECHA DE FACTURACIÓN]]-PROVEEDORES[[#This Row],[PLAZO Días]],0)</f>
        <v>0</v>
      </c>
      <c r="U1234" s="150">
        <f>+VLOOKUP(PROVEEDORES[[#This Row],[PROVEEDOR]],Terceros!$A:$E,4,FALSE)</f>
        <v>0</v>
      </c>
      <c r="V1234" s="150">
        <f>+YEAR(PROVEEDORES[[#This Row],[FECHA DE FACTURACIÓN]])</f>
        <v>2024</v>
      </c>
      <c r="W1234" s="150">
        <f>+MATCH(PROVEEDORES[[#This Row],[año facturado]],Retenciones!$1:$1,0)</f>
        <v>7</v>
      </c>
      <c r="X1234" s="151">
        <f>+VLOOKUP(PROVEEDORES[[#This Row],[ID RETENCION]],Retenciones!$A$1:$O$25,PROVEEDORES[[#This Row],[indicador de columna]],FALSE)</f>
        <v>0</v>
      </c>
      <c r="Y1234" s="152">
        <f>+VLOOKUP(PROVEEDORES[[#This Row],[ID RETENCION]],Retenciones!$A$1:$O$25,2,FALSE)</f>
        <v>0</v>
      </c>
      <c r="Z1234" s="153" t="b">
        <f>+OR(COUNTIF(PROVEEDORES[[#This Row],[PROVEEDOR]],"*"&amp;'Palabra que no opera y Listas d'!$A$2&amp;"*"))</f>
        <v>1</v>
      </c>
    </row>
    <row r="1235" spans="1:26" ht="27.75" customHeight="1" x14ac:dyDescent="0.3">
      <c r="A1235" s="144" t="str">
        <f>+IF(PROVEEDORES[[#This Row],[FECHA DE PAGO]]=PROVEEDORES[[#This Row],[FECHA DE FACTURACIÓN]],"DE CONTADO","CRÉDITO")</f>
        <v>DE CONTADO</v>
      </c>
      <c r="B1235" s="144" t="b">
        <f>+IF((PROVEEDORES[[#This Row],[FECHA DE PAGO]]-PROVEEDORES[[#This Row],[FECHA DE FACTURACIÓN]])&gt;PROVEEDORES[[#This Row],[PLAZO Días]],"PAGO VENCIDO")</f>
        <v>0</v>
      </c>
      <c r="C1235" s="144">
        <f>+VLOOKUP(PROVEEDORES[[#This Row],[PROVEEDOR]],TERCEROS_INFO[#All],2,FALSE)</f>
        <v>0</v>
      </c>
      <c r="D1235" s="145">
        <f>+SUMIFS(PROVEEDORES[Total],PROVEEDORES[PROVEEDOR],PROVEEDORES[[#This Row],[PROVEEDOR]],PROVEEDORES[FECHA DE PAGO],"")</f>
        <v>550000</v>
      </c>
      <c r="E1235" s="146"/>
      <c r="F1235" s="144">
        <f>+VLOOKUP(PROVEEDORES[[#This Row],[PROVEEDOR]],
                       Terceros!$A:$G,
                       5,
                       FALSE)</f>
        <v>0</v>
      </c>
      <c r="G1235" s="122">
        <v>45332</v>
      </c>
      <c r="H1235" s="102" t="s">
        <v>1784</v>
      </c>
      <c r="I1235" s="122">
        <v>45332</v>
      </c>
      <c r="J1235" s="103" t="s">
        <v>1539</v>
      </c>
      <c r="K1235" s="103" t="s">
        <v>1512</v>
      </c>
      <c r="L1235" s="103" t="s">
        <v>1390</v>
      </c>
      <c r="M1235" s="105">
        <v>820000</v>
      </c>
      <c r="N1235" s="147">
        <v>0</v>
      </c>
      <c r="O1235" s="147">
        <v>0</v>
      </c>
      <c r="P1235" s="148">
        <v>0</v>
      </c>
      <c r="Q1235" s="147">
        <v>0</v>
      </c>
      <c r="R1235" s="149">
        <v>820000</v>
      </c>
      <c r="S12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5" s="150">
        <f ca="1">+IF(PROVEEDORES[[#This Row],[FECHA DE PAGO]]=0,TODAY()-PROVEEDORES[[#This Row],[FECHA DE FACTURACIÓN]]-PROVEEDORES[[#This Row],[PLAZO Días]],0)</f>
        <v>0</v>
      </c>
      <c r="U1235" s="150">
        <f>+VLOOKUP(PROVEEDORES[[#This Row],[PROVEEDOR]],Terceros!$A:$E,4,FALSE)</f>
        <v>0</v>
      </c>
      <c r="V1235" s="150">
        <f>+YEAR(PROVEEDORES[[#This Row],[FECHA DE FACTURACIÓN]])</f>
        <v>2024</v>
      </c>
      <c r="W1235" s="150">
        <f>+MATCH(PROVEEDORES[[#This Row],[año facturado]],Retenciones!$1:$1,0)</f>
        <v>7</v>
      </c>
      <c r="X1235" s="151">
        <f>+VLOOKUP(PROVEEDORES[[#This Row],[ID RETENCION]],Retenciones!$A$1:$O$25,PROVEEDORES[[#This Row],[indicador de columna]],FALSE)</f>
        <v>0</v>
      </c>
      <c r="Y1235" s="152">
        <f>+VLOOKUP(PROVEEDORES[[#This Row],[ID RETENCION]],Retenciones!$A$1:$O$25,2,FALSE)</f>
        <v>0</v>
      </c>
      <c r="Z1235" s="153" t="b">
        <f>+OR(COUNTIF(PROVEEDORES[[#This Row],[PROVEEDOR]],"*"&amp;'Palabra que no opera y Listas d'!$A$2&amp;"*"))</f>
        <v>0</v>
      </c>
    </row>
    <row r="1236" spans="1:26" ht="27.75" customHeight="1" x14ac:dyDescent="0.3">
      <c r="A1236" s="144" t="str">
        <f>+IF(PROVEEDORES[[#This Row],[FECHA DE PAGO]]=PROVEEDORES[[#This Row],[FECHA DE FACTURACIÓN]],"DE CONTADO","CRÉDITO")</f>
        <v>CRÉDITO</v>
      </c>
      <c r="B1236" s="144" t="str">
        <f>+IF((PROVEEDORES[[#This Row],[FECHA DE PAGO]]-PROVEEDORES[[#This Row],[FECHA DE FACTURACIÓN]])&gt;PROVEEDORES[[#This Row],[PLAZO Días]],"PAGO VENCIDO")</f>
        <v>PAGO VENCIDO</v>
      </c>
      <c r="C1236" s="144">
        <f>+VLOOKUP(PROVEEDORES[[#This Row],[PROVEEDOR]],TERCEROS_INFO[#All],2,FALSE)</f>
        <v>0</v>
      </c>
      <c r="D1236" s="145">
        <f>+SUMIFS(PROVEEDORES[Total],PROVEEDORES[PROVEEDOR],PROVEEDORES[[#This Row],[PROVEEDOR]],PROVEEDORES[FECHA DE PAGO],"")</f>
        <v>2095000</v>
      </c>
      <c r="E1236" s="146"/>
      <c r="F1236" s="144">
        <f>+VLOOKUP(PROVEEDORES[[#This Row],[PROVEEDOR]],
                       Terceros!$A:$G,
                       5,
                       FALSE)</f>
        <v>0</v>
      </c>
      <c r="G1236" s="122">
        <v>45334</v>
      </c>
      <c r="H1236" s="102" t="s">
        <v>1781</v>
      </c>
      <c r="I1236" s="122">
        <v>45302</v>
      </c>
      <c r="J1236" s="103" t="s">
        <v>1413</v>
      </c>
      <c r="K1236" s="103" t="s">
        <v>1512</v>
      </c>
      <c r="L1236" s="103" t="s">
        <v>1390</v>
      </c>
      <c r="M1236" s="105">
        <v>4202500</v>
      </c>
      <c r="N1236" s="147">
        <v>0</v>
      </c>
      <c r="O1236" s="147">
        <v>0</v>
      </c>
      <c r="P1236" s="148">
        <v>0</v>
      </c>
      <c r="Q1236" s="147">
        <v>0</v>
      </c>
      <c r="R1236" s="149">
        <v>4202500</v>
      </c>
      <c r="S12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6" s="150">
        <f ca="1">+IF(PROVEEDORES[[#This Row],[FECHA DE PAGO]]=0,TODAY()-PROVEEDORES[[#This Row],[FECHA DE FACTURACIÓN]]-PROVEEDORES[[#This Row],[PLAZO Días]],0)</f>
        <v>0</v>
      </c>
      <c r="U1236" s="150">
        <f>+VLOOKUP(PROVEEDORES[[#This Row],[PROVEEDOR]],Terceros!$A:$E,4,FALSE)</f>
        <v>0</v>
      </c>
      <c r="V1236" s="150">
        <f>+YEAR(PROVEEDORES[[#This Row],[FECHA DE FACTURACIÓN]])</f>
        <v>2024</v>
      </c>
      <c r="W1236" s="150">
        <f>+MATCH(PROVEEDORES[[#This Row],[año facturado]],Retenciones!$1:$1,0)</f>
        <v>7</v>
      </c>
      <c r="X1236" s="151">
        <f>+VLOOKUP(PROVEEDORES[[#This Row],[ID RETENCION]],Retenciones!$A$1:$O$25,PROVEEDORES[[#This Row],[indicador de columna]],FALSE)</f>
        <v>0</v>
      </c>
      <c r="Y1236" s="152">
        <f>+VLOOKUP(PROVEEDORES[[#This Row],[ID RETENCION]],Retenciones!$A$1:$O$25,2,FALSE)</f>
        <v>0</v>
      </c>
      <c r="Z1236" s="153" t="b">
        <f>+OR(COUNTIF(PROVEEDORES[[#This Row],[PROVEEDOR]],"*"&amp;'Palabra que no opera y Listas d'!$A$2&amp;"*"))</f>
        <v>0</v>
      </c>
    </row>
    <row r="1237" spans="1:26" ht="27.75" customHeight="1" x14ac:dyDescent="0.3">
      <c r="A1237" s="144" t="str">
        <f>+IF(PROVEEDORES[[#This Row],[FECHA DE PAGO]]=PROVEEDORES[[#This Row],[FECHA DE FACTURACIÓN]],"DE CONTADO","CRÉDITO")</f>
        <v>DE CONTADO</v>
      </c>
      <c r="B1237" s="144" t="b">
        <f>+IF((PROVEEDORES[[#This Row],[FECHA DE PAGO]]-PROVEEDORES[[#This Row],[FECHA DE FACTURACIÓN]])&gt;PROVEEDORES[[#This Row],[PLAZO Días]],"PAGO VENCIDO")</f>
        <v>0</v>
      </c>
      <c r="C1237" s="144">
        <f>+VLOOKUP(PROVEEDORES[[#This Row],[PROVEEDOR]],TERCEROS_INFO[#All],2,FALSE)</f>
        <v>0</v>
      </c>
      <c r="D1237" s="145">
        <f>+SUMIFS(PROVEEDORES[Total],PROVEEDORES[PROVEEDOR],PROVEEDORES[[#This Row],[PROVEEDOR]],PROVEEDORES[FECHA DE PAGO],"")</f>
        <v>550000</v>
      </c>
      <c r="E1237" s="146"/>
      <c r="F1237" s="144">
        <f>+VLOOKUP(PROVEEDORES[[#This Row],[PROVEEDOR]],
                       Terceros!$A:$G,
                       5,
                       FALSE)</f>
        <v>0</v>
      </c>
      <c r="G1237" s="122">
        <v>45334</v>
      </c>
      <c r="H1237" s="102" t="s">
        <v>1784</v>
      </c>
      <c r="I1237" s="122">
        <v>45334</v>
      </c>
      <c r="J1237" s="103" t="s">
        <v>1645</v>
      </c>
      <c r="K1237" s="103" t="s">
        <v>1512</v>
      </c>
      <c r="L1237" s="103" t="s">
        <v>1390</v>
      </c>
      <c r="M1237" s="105">
        <v>500000</v>
      </c>
      <c r="N1237" s="147">
        <v>0</v>
      </c>
      <c r="O1237" s="147">
        <v>0</v>
      </c>
      <c r="P1237" s="148">
        <v>0</v>
      </c>
      <c r="Q1237" s="147">
        <v>0</v>
      </c>
      <c r="R1237" s="149">
        <v>500000</v>
      </c>
      <c r="S12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7" s="150">
        <f ca="1">+IF(PROVEEDORES[[#This Row],[FECHA DE PAGO]]=0,TODAY()-PROVEEDORES[[#This Row],[FECHA DE FACTURACIÓN]]-PROVEEDORES[[#This Row],[PLAZO Días]],0)</f>
        <v>0</v>
      </c>
      <c r="U1237" s="150">
        <f>+VLOOKUP(PROVEEDORES[[#This Row],[PROVEEDOR]],Terceros!$A:$E,4,FALSE)</f>
        <v>0</v>
      </c>
      <c r="V1237" s="150">
        <f>+YEAR(PROVEEDORES[[#This Row],[FECHA DE FACTURACIÓN]])</f>
        <v>2024</v>
      </c>
      <c r="W1237" s="150">
        <f>+MATCH(PROVEEDORES[[#This Row],[año facturado]],Retenciones!$1:$1,0)</f>
        <v>7</v>
      </c>
      <c r="X1237" s="151">
        <f>+VLOOKUP(PROVEEDORES[[#This Row],[ID RETENCION]],Retenciones!$A$1:$O$25,PROVEEDORES[[#This Row],[indicador de columna]],FALSE)</f>
        <v>0</v>
      </c>
      <c r="Y1237" s="152">
        <f>+VLOOKUP(PROVEEDORES[[#This Row],[ID RETENCION]],Retenciones!$A$1:$O$25,2,FALSE)</f>
        <v>0</v>
      </c>
      <c r="Z1237" s="153" t="b">
        <f>+OR(COUNTIF(PROVEEDORES[[#This Row],[PROVEEDOR]],"*"&amp;'Palabra que no opera y Listas d'!$A$2&amp;"*"))</f>
        <v>0</v>
      </c>
    </row>
    <row r="1238" spans="1:26" ht="27.75" customHeight="1" x14ac:dyDescent="0.3">
      <c r="A1238" s="144" t="str">
        <f>+IF(PROVEEDORES[[#This Row],[FECHA DE PAGO]]=PROVEEDORES[[#This Row],[FECHA DE FACTURACIÓN]],"DE CONTADO","CRÉDITO")</f>
        <v>DE CONTADO</v>
      </c>
      <c r="B1238" s="144" t="b">
        <f>+IF((PROVEEDORES[[#This Row],[FECHA DE PAGO]]-PROVEEDORES[[#This Row],[FECHA DE FACTURACIÓN]])&gt;PROVEEDORES[[#This Row],[PLAZO Días]],"PAGO VENCIDO")</f>
        <v>0</v>
      </c>
      <c r="C1238" s="144">
        <f>+VLOOKUP(PROVEEDORES[[#This Row],[PROVEEDOR]],TERCEROS_INFO[#All],2,FALSE)</f>
        <v>0</v>
      </c>
      <c r="D1238" s="145">
        <f>+SUMIFS(PROVEEDORES[Total],PROVEEDORES[PROVEEDOR],PROVEEDORES[[#This Row],[PROVEEDOR]],PROVEEDORES[FECHA DE PAGO],"")</f>
        <v>550000</v>
      </c>
      <c r="E1238" s="146"/>
      <c r="F1238" s="144">
        <f>+VLOOKUP(PROVEEDORES[[#This Row],[PROVEEDOR]],
                       Terceros!$A:$G,
                       5,
                       FALSE)</f>
        <v>0</v>
      </c>
      <c r="G1238" s="122">
        <v>45334</v>
      </c>
      <c r="H1238" s="102" t="s">
        <v>1784</v>
      </c>
      <c r="I1238" s="122">
        <v>45334</v>
      </c>
      <c r="J1238" s="103" t="s">
        <v>1644</v>
      </c>
      <c r="K1238" s="103" t="s">
        <v>1512</v>
      </c>
      <c r="L1238" s="103" t="s">
        <v>1390</v>
      </c>
      <c r="M1238" s="105">
        <v>1100000</v>
      </c>
      <c r="N1238" s="147">
        <v>0</v>
      </c>
      <c r="O1238" s="147">
        <v>0</v>
      </c>
      <c r="P1238" s="148">
        <v>0</v>
      </c>
      <c r="Q1238" s="147">
        <v>0</v>
      </c>
      <c r="R1238" s="149">
        <v>1100000</v>
      </c>
      <c r="S12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8" s="150">
        <f ca="1">+IF(PROVEEDORES[[#This Row],[FECHA DE PAGO]]=0,TODAY()-PROVEEDORES[[#This Row],[FECHA DE FACTURACIÓN]]-PROVEEDORES[[#This Row],[PLAZO Días]],0)</f>
        <v>0</v>
      </c>
      <c r="U1238" s="150">
        <f>+VLOOKUP(PROVEEDORES[[#This Row],[PROVEEDOR]],Terceros!$A:$E,4,FALSE)</f>
        <v>0</v>
      </c>
      <c r="V1238" s="150">
        <f>+YEAR(PROVEEDORES[[#This Row],[FECHA DE FACTURACIÓN]])</f>
        <v>2024</v>
      </c>
      <c r="W1238" s="150">
        <f>+MATCH(PROVEEDORES[[#This Row],[año facturado]],Retenciones!$1:$1,0)</f>
        <v>7</v>
      </c>
      <c r="X1238" s="151">
        <f>+VLOOKUP(PROVEEDORES[[#This Row],[ID RETENCION]],Retenciones!$A$1:$O$25,PROVEEDORES[[#This Row],[indicador de columna]],FALSE)</f>
        <v>0</v>
      </c>
      <c r="Y1238" s="152">
        <f>+VLOOKUP(PROVEEDORES[[#This Row],[ID RETENCION]],Retenciones!$A$1:$O$25,2,FALSE)</f>
        <v>0</v>
      </c>
      <c r="Z1238" s="153" t="b">
        <f>+OR(COUNTIF(PROVEEDORES[[#This Row],[PROVEEDOR]],"*"&amp;'Palabra que no opera y Listas d'!$A$2&amp;"*"))</f>
        <v>0</v>
      </c>
    </row>
    <row r="1239" spans="1:26" ht="27.75" customHeight="1" x14ac:dyDescent="0.3">
      <c r="A1239" s="144" t="str">
        <f>+IF(PROVEEDORES[[#This Row],[FECHA DE PAGO]]=PROVEEDORES[[#This Row],[FECHA DE FACTURACIÓN]],"DE CONTADO","CRÉDITO")</f>
        <v>CRÉDITO</v>
      </c>
      <c r="B1239" s="144" t="str">
        <f>+IF((PROVEEDORES[[#This Row],[FECHA DE PAGO]]-PROVEEDORES[[#This Row],[FECHA DE FACTURACIÓN]])&gt;PROVEEDORES[[#This Row],[PLAZO Días]],"PAGO VENCIDO")</f>
        <v>PAGO VENCIDO</v>
      </c>
      <c r="C1239" s="144">
        <f>+VLOOKUP(PROVEEDORES[[#This Row],[PROVEEDOR]],TERCEROS_INFO[#All],2,FALSE)</f>
        <v>0</v>
      </c>
      <c r="D1239" s="145">
        <f>+SUMIFS(PROVEEDORES[Total],PROVEEDORES[PROVEEDOR],PROVEEDORES[[#This Row],[PROVEEDOR]],PROVEEDORES[FECHA DE PAGO],"")</f>
        <v>0</v>
      </c>
      <c r="E1239" s="146"/>
      <c r="F1239" s="144" t="str">
        <f>+VLOOKUP(PROVEEDORES[[#This Row],[PROVEEDOR]],
                       Terceros!$A:$G,
                       5,
                       FALSE)</f>
        <v>2,5% con base</v>
      </c>
      <c r="G1239" s="122">
        <v>45335</v>
      </c>
      <c r="H1239" s="102" t="s">
        <v>30</v>
      </c>
      <c r="I1239" s="122">
        <v>45254</v>
      </c>
      <c r="J1239" s="103" t="s">
        <v>1258</v>
      </c>
      <c r="K1239" s="103" t="s">
        <v>1512</v>
      </c>
      <c r="L1239" s="103" t="s">
        <v>1515</v>
      </c>
      <c r="M1239" s="105">
        <v>-117311</v>
      </c>
      <c r="N1239" s="147">
        <v>-22289.09</v>
      </c>
      <c r="O1239" s="147">
        <v>0</v>
      </c>
      <c r="P1239" s="148">
        <v>0</v>
      </c>
      <c r="Q1239" s="147">
        <v>0</v>
      </c>
      <c r="R1239" s="149">
        <v>-139600.09</v>
      </c>
      <c r="S12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9" s="150">
        <f ca="1">+IF(PROVEEDORES[[#This Row],[FECHA DE PAGO]]=0,TODAY()-PROVEEDORES[[#This Row],[FECHA DE FACTURACIÓN]]-PROVEEDORES[[#This Row],[PLAZO Días]],0)</f>
        <v>0</v>
      </c>
      <c r="U1239" s="150">
        <f>+VLOOKUP(PROVEEDORES[[#This Row],[PROVEEDOR]],Terceros!$A:$E,4,FALSE)</f>
        <v>0.19</v>
      </c>
      <c r="V1239" s="150">
        <f>+YEAR(PROVEEDORES[[#This Row],[FECHA DE FACTURACIÓN]])</f>
        <v>2023</v>
      </c>
      <c r="W1239" s="150">
        <f>+MATCH(PROVEEDORES[[#This Row],[año facturado]],Retenciones!$1:$1,0)</f>
        <v>6</v>
      </c>
      <c r="X1239" s="151" t="e">
        <f>+VLOOKUP(PROVEEDORES[[#This Row],[ID RETENCION]],Retenciones!$A$1:$O$25,PROVEEDORES[[#This Row],[indicador de columna]],FALSE)</f>
        <v>#N/A</v>
      </c>
      <c r="Y1239" s="152" t="e">
        <f>+VLOOKUP(PROVEEDORES[[#This Row],[ID RETENCION]],Retenciones!$A$1:$O$25,2,FALSE)</f>
        <v>#N/A</v>
      </c>
      <c r="Z1239" s="153" t="b">
        <f>+OR(COUNTIF(PROVEEDORES[[#This Row],[PROVEEDOR]],"*"&amp;'Palabra que no opera y Listas d'!$A$2&amp;"*"))</f>
        <v>0</v>
      </c>
    </row>
    <row r="1240" spans="1:26" ht="27.75" customHeight="1" x14ac:dyDescent="0.3">
      <c r="A1240" s="144" t="str">
        <f>+IF(PROVEEDORES[[#This Row],[FECHA DE PAGO]]=PROVEEDORES[[#This Row],[FECHA DE FACTURACIÓN]],"DE CONTADO","CRÉDITO")</f>
        <v>CRÉDITO</v>
      </c>
      <c r="B1240" s="144" t="str">
        <f>+IF((PROVEEDORES[[#This Row],[FECHA DE PAGO]]-PROVEEDORES[[#This Row],[FECHA DE FACTURACIÓN]])&gt;PROVEEDORES[[#This Row],[PLAZO Días]],"PAGO VENCIDO")</f>
        <v>PAGO VENCIDO</v>
      </c>
      <c r="C1240" s="144">
        <f>+VLOOKUP(PROVEEDORES[[#This Row],[PROVEEDOR]],TERCEROS_INFO[#All],2,FALSE)</f>
        <v>0</v>
      </c>
      <c r="D1240" s="145">
        <f>+SUMIFS(PROVEEDORES[Total],PROVEEDORES[PROVEEDOR],PROVEEDORES[[#This Row],[PROVEEDOR]],PROVEEDORES[FECHA DE PAGO],"")</f>
        <v>3461120</v>
      </c>
      <c r="E1240" s="146"/>
      <c r="F1240" s="144" t="str">
        <f>+VLOOKUP(PROVEEDORES[[#This Row],[PROVEEDOR]],
                       Terceros!$A:$G,
                       5,
                       FALSE)</f>
        <v>2,5% con base</v>
      </c>
      <c r="G1240" s="122">
        <v>45335</v>
      </c>
      <c r="H1240" s="102" t="s">
        <v>9</v>
      </c>
      <c r="I1240" s="122">
        <v>45266</v>
      </c>
      <c r="J1240" s="103" t="s">
        <v>1331</v>
      </c>
      <c r="K1240" s="103" t="s">
        <v>1512</v>
      </c>
      <c r="L1240" s="103" t="s">
        <v>1515</v>
      </c>
      <c r="M1240" s="105">
        <v>4200000</v>
      </c>
      <c r="N1240" s="147">
        <v>798000</v>
      </c>
      <c r="O1240" s="147">
        <v>0</v>
      </c>
      <c r="P1240" s="148">
        <v>2.5000000000000001E-2</v>
      </c>
      <c r="Q1240" s="147">
        <v>105000</v>
      </c>
      <c r="R1240" s="149">
        <v>4893000</v>
      </c>
      <c r="S12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0" s="150">
        <f ca="1">+IF(PROVEEDORES[[#This Row],[FECHA DE PAGO]]=0,TODAY()-PROVEEDORES[[#This Row],[FECHA DE FACTURACIÓN]]-PROVEEDORES[[#This Row],[PLAZO Días]],0)</f>
        <v>0</v>
      </c>
      <c r="U1240" s="150">
        <f>+VLOOKUP(PROVEEDORES[[#This Row],[PROVEEDOR]],Terceros!$A:$E,4,FALSE)</f>
        <v>0.19</v>
      </c>
      <c r="V1240" s="150">
        <f>+YEAR(PROVEEDORES[[#This Row],[FECHA DE FACTURACIÓN]])</f>
        <v>2023</v>
      </c>
      <c r="W1240" s="150">
        <f>+MATCH(PROVEEDORES[[#This Row],[año facturado]],Retenciones!$1:$1,0)</f>
        <v>6</v>
      </c>
      <c r="X1240" s="151" t="e">
        <f>+VLOOKUP(PROVEEDORES[[#This Row],[ID RETENCION]],Retenciones!$A$1:$O$25,PROVEEDORES[[#This Row],[indicador de columna]],FALSE)</f>
        <v>#N/A</v>
      </c>
      <c r="Y1240" s="152" t="e">
        <f>+VLOOKUP(PROVEEDORES[[#This Row],[ID RETENCION]],Retenciones!$A$1:$O$25,2,FALSE)</f>
        <v>#N/A</v>
      </c>
      <c r="Z1240" s="153" t="b">
        <f>+OR(COUNTIF(PROVEEDORES[[#This Row],[PROVEEDOR]],"*"&amp;'Palabra que no opera y Listas d'!$A$2&amp;"*"))</f>
        <v>0</v>
      </c>
    </row>
    <row r="1241" spans="1:26" ht="27.75" customHeight="1" x14ac:dyDescent="0.3">
      <c r="A1241" s="144" t="str">
        <f>+IF(PROVEEDORES[[#This Row],[FECHA DE PAGO]]=PROVEEDORES[[#This Row],[FECHA DE FACTURACIÓN]],"DE CONTADO","CRÉDITO")</f>
        <v>CRÉDITO</v>
      </c>
      <c r="B1241" s="144" t="str">
        <f>+IF((PROVEEDORES[[#This Row],[FECHA DE PAGO]]-PROVEEDORES[[#This Row],[FECHA DE FACTURACIÓN]])&gt;PROVEEDORES[[#This Row],[PLAZO Días]],"PAGO VENCIDO")</f>
        <v>PAGO VENCIDO</v>
      </c>
      <c r="C1241" s="144">
        <f>+VLOOKUP(PROVEEDORES[[#This Row],[PROVEEDOR]],TERCEROS_INFO[#All],2,FALSE)</f>
        <v>0</v>
      </c>
      <c r="D1241" s="145">
        <f>+SUMIFS(PROVEEDORES[Total],PROVEEDORES[PROVEEDOR],PROVEEDORES[[#This Row],[PROVEEDOR]],PROVEEDORES[FECHA DE PAGO],"")</f>
        <v>3461120</v>
      </c>
      <c r="E1241" s="146"/>
      <c r="F1241" s="144" t="str">
        <f>+VLOOKUP(PROVEEDORES[[#This Row],[PROVEEDOR]],
                       Terceros!$A:$G,
                       5,
                       FALSE)</f>
        <v>2,5% con base</v>
      </c>
      <c r="G1241" s="122">
        <v>45335</v>
      </c>
      <c r="H1241" s="102" t="s">
        <v>9</v>
      </c>
      <c r="I1241" s="122">
        <v>45287</v>
      </c>
      <c r="J1241" s="103" t="s">
        <v>1370</v>
      </c>
      <c r="K1241" s="103" t="s">
        <v>1512</v>
      </c>
      <c r="L1241" s="103" t="s">
        <v>1515</v>
      </c>
      <c r="M1241" s="105">
        <v>2584000</v>
      </c>
      <c r="N1241" s="147">
        <v>490960</v>
      </c>
      <c r="O1241" s="147">
        <v>0</v>
      </c>
      <c r="P1241" s="148">
        <v>2.5000000000000001E-2</v>
      </c>
      <c r="Q1241" s="147">
        <v>64600</v>
      </c>
      <c r="R1241" s="149">
        <v>3010360</v>
      </c>
      <c r="S12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1" s="150">
        <f ca="1">+IF(PROVEEDORES[[#This Row],[FECHA DE PAGO]]=0,TODAY()-PROVEEDORES[[#This Row],[FECHA DE FACTURACIÓN]]-PROVEEDORES[[#This Row],[PLAZO Días]],0)</f>
        <v>0</v>
      </c>
      <c r="U1241" s="150">
        <f>+VLOOKUP(PROVEEDORES[[#This Row],[PROVEEDOR]],Terceros!$A:$E,4,FALSE)</f>
        <v>0.19</v>
      </c>
      <c r="V1241" s="150">
        <f>+YEAR(PROVEEDORES[[#This Row],[FECHA DE FACTURACIÓN]])</f>
        <v>2023</v>
      </c>
      <c r="W1241" s="150">
        <f>+MATCH(PROVEEDORES[[#This Row],[año facturado]],Retenciones!$1:$1,0)</f>
        <v>6</v>
      </c>
      <c r="X1241" s="151" t="e">
        <f>+VLOOKUP(PROVEEDORES[[#This Row],[ID RETENCION]],Retenciones!$A$1:$O$25,PROVEEDORES[[#This Row],[indicador de columna]],FALSE)</f>
        <v>#N/A</v>
      </c>
      <c r="Y1241" s="152" t="e">
        <f>+VLOOKUP(PROVEEDORES[[#This Row],[ID RETENCION]],Retenciones!$A$1:$O$25,2,FALSE)</f>
        <v>#N/A</v>
      </c>
      <c r="Z1241" s="153" t="b">
        <f>+OR(COUNTIF(PROVEEDORES[[#This Row],[PROVEEDOR]],"*"&amp;'Palabra que no opera y Listas d'!$A$2&amp;"*"))</f>
        <v>0</v>
      </c>
    </row>
    <row r="1242" spans="1:26" ht="27.75" customHeight="1" x14ac:dyDescent="0.3">
      <c r="A1242" s="144" t="str">
        <f>+IF(PROVEEDORES[[#This Row],[FECHA DE PAGO]]=PROVEEDORES[[#This Row],[FECHA DE FACTURACIÓN]],"DE CONTADO","CRÉDITO")</f>
        <v>CRÉDITO</v>
      </c>
      <c r="B1242" s="144" t="str">
        <f>+IF((PROVEEDORES[[#This Row],[FECHA DE PAGO]]-PROVEEDORES[[#This Row],[FECHA DE FACTURACIÓN]])&gt;PROVEEDORES[[#This Row],[PLAZO Días]],"PAGO VENCIDO")</f>
        <v>PAGO VENCIDO</v>
      </c>
      <c r="C1242" s="144">
        <f>+VLOOKUP(PROVEEDORES[[#This Row],[PROVEEDOR]],TERCEROS_INFO[#All],2,FALSE)</f>
        <v>0</v>
      </c>
      <c r="D1242" s="145">
        <f>+SUMIFS(PROVEEDORES[Total],PROVEEDORES[PROVEEDOR],PROVEEDORES[[#This Row],[PROVEEDOR]],PROVEEDORES[FECHA DE PAGO],"")</f>
        <v>0</v>
      </c>
      <c r="E1242" s="146"/>
      <c r="F1242" s="144" t="str">
        <f>+VLOOKUP(PROVEEDORES[[#This Row],[PROVEEDOR]],
                       Terceros!$A:$G,
                       5,
                       FALSE)</f>
        <v>2,5% con base</v>
      </c>
      <c r="G1242" s="122">
        <v>45335</v>
      </c>
      <c r="H1242" s="102" t="s">
        <v>30</v>
      </c>
      <c r="I1242" s="122">
        <v>45294</v>
      </c>
      <c r="J1242" s="103" t="s">
        <v>1416</v>
      </c>
      <c r="K1242" s="103" t="s">
        <v>1512</v>
      </c>
      <c r="L1242" s="103" t="s">
        <v>1515</v>
      </c>
      <c r="M1242" s="105">
        <v>3069747.4</v>
      </c>
      <c r="N1242" s="147">
        <v>583252.00599999994</v>
      </c>
      <c r="O1242" s="147">
        <v>0</v>
      </c>
      <c r="P1242" s="148">
        <v>2.5000000000000001E-2</v>
      </c>
      <c r="Q1242" s="147">
        <v>76743.684999999998</v>
      </c>
      <c r="R1242" s="149">
        <v>3576255.7209999999</v>
      </c>
      <c r="S12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2" s="150">
        <f ca="1">+IF(PROVEEDORES[[#This Row],[FECHA DE PAGO]]=0,TODAY()-PROVEEDORES[[#This Row],[FECHA DE FACTURACIÓN]]-PROVEEDORES[[#This Row],[PLAZO Días]],0)</f>
        <v>0</v>
      </c>
      <c r="U1242" s="150">
        <f>+VLOOKUP(PROVEEDORES[[#This Row],[PROVEEDOR]],Terceros!$A:$E,4,FALSE)</f>
        <v>0.19</v>
      </c>
      <c r="V1242" s="150">
        <f>+YEAR(PROVEEDORES[[#This Row],[FECHA DE FACTURACIÓN]])</f>
        <v>2024</v>
      </c>
      <c r="W1242" s="150">
        <f>+MATCH(PROVEEDORES[[#This Row],[año facturado]],Retenciones!$1:$1,0)</f>
        <v>7</v>
      </c>
      <c r="X1242" s="151" t="e">
        <f>+VLOOKUP(PROVEEDORES[[#This Row],[ID RETENCION]],Retenciones!$A$1:$O$25,PROVEEDORES[[#This Row],[indicador de columna]],FALSE)</f>
        <v>#N/A</v>
      </c>
      <c r="Y1242" s="152" t="e">
        <f>+VLOOKUP(PROVEEDORES[[#This Row],[ID RETENCION]],Retenciones!$A$1:$O$25,2,FALSE)</f>
        <v>#N/A</v>
      </c>
      <c r="Z1242" s="153" t="b">
        <f>+OR(COUNTIF(PROVEEDORES[[#This Row],[PROVEEDOR]],"*"&amp;'Palabra que no opera y Listas d'!$A$2&amp;"*"))</f>
        <v>0</v>
      </c>
    </row>
    <row r="1243" spans="1:26" ht="27.75" customHeight="1" x14ac:dyDescent="0.3">
      <c r="A1243" s="144" t="str">
        <f>+IF(PROVEEDORES[[#This Row],[FECHA DE PAGO]]=PROVEEDORES[[#This Row],[FECHA DE FACTURACIÓN]],"DE CONTADO","CRÉDITO")</f>
        <v>DE CONTADO</v>
      </c>
      <c r="B1243" s="144" t="b">
        <f>+IF((PROVEEDORES[[#This Row],[FECHA DE PAGO]]-PROVEEDORES[[#This Row],[FECHA DE FACTURACIÓN]])&gt;PROVEEDORES[[#This Row],[PLAZO Días]],"PAGO VENCIDO")</f>
        <v>0</v>
      </c>
      <c r="C1243" s="144">
        <f>+VLOOKUP(PROVEEDORES[[#This Row],[PROVEEDOR]],TERCEROS_INFO[#All],2,FALSE)</f>
        <v>0</v>
      </c>
      <c r="D1243" s="145">
        <f>+SUMIFS(PROVEEDORES[Total],PROVEEDORES[PROVEEDOR],PROVEEDORES[[#This Row],[PROVEEDOR]],PROVEEDORES[FECHA DE PAGO],"")</f>
        <v>0</v>
      </c>
      <c r="E1243" s="146"/>
      <c r="F1243" s="144">
        <f>+VLOOKUP(PROVEEDORES[[#This Row],[PROVEEDOR]],
                       Terceros!$A:$G,
                       5,
                       FALSE)</f>
        <v>0</v>
      </c>
      <c r="G1243" s="122">
        <v>45335</v>
      </c>
      <c r="H1243" s="102" t="s">
        <v>1785</v>
      </c>
      <c r="I1243" s="122">
        <v>45335</v>
      </c>
      <c r="J1243" s="103" t="s">
        <v>1587</v>
      </c>
      <c r="K1243" s="103" t="s">
        <v>1512</v>
      </c>
      <c r="L1243" s="103" t="s">
        <v>1390</v>
      </c>
      <c r="M1243" s="105">
        <v>50000</v>
      </c>
      <c r="N1243" s="147">
        <v>0</v>
      </c>
      <c r="O1243" s="147">
        <v>0</v>
      </c>
      <c r="P1243" s="148">
        <v>0</v>
      </c>
      <c r="Q1243" s="147">
        <v>0</v>
      </c>
      <c r="R1243" s="149">
        <v>50000</v>
      </c>
      <c r="S12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3" s="150">
        <f ca="1">+IF(PROVEEDORES[[#This Row],[FECHA DE PAGO]]=0,TODAY()-PROVEEDORES[[#This Row],[FECHA DE FACTURACIÓN]]-PROVEEDORES[[#This Row],[PLAZO Días]],0)</f>
        <v>0</v>
      </c>
      <c r="U1243" s="150">
        <f>+VLOOKUP(PROVEEDORES[[#This Row],[PROVEEDOR]],Terceros!$A:$E,4,FALSE)</f>
        <v>0</v>
      </c>
      <c r="V1243" s="150">
        <f>+YEAR(PROVEEDORES[[#This Row],[FECHA DE FACTURACIÓN]])</f>
        <v>2024</v>
      </c>
      <c r="W1243" s="150">
        <f>+MATCH(PROVEEDORES[[#This Row],[año facturado]],Retenciones!$1:$1,0)</f>
        <v>7</v>
      </c>
      <c r="X1243" s="151">
        <f>+VLOOKUP(PROVEEDORES[[#This Row],[ID RETENCION]],Retenciones!$A$1:$O$25,PROVEEDORES[[#This Row],[indicador de columna]],FALSE)</f>
        <v>0</v>
      </c>
      <c r="Y1243" s="152">
        <f>+VLOOKUP(PROVEEDORES[[#This Row],[ID RETENCION]],Retenciones!$A$1:$O$25,2,FALSE)</f>
        <v>0</v>
      </c>
      <c r="Z1243" s="153" t="b">
        <f>+OR(COUNTIF(PROVEEDORES[[#This Row],[PROVEEDOR]],"*"&amp;'Palabra que no opera y Listas d'!$A$2&amp;"*"))</f>
        <v>0</v>
      </c>
    </row>
    <row r="1244" spans="1:26" ht="27.75" customHeight="1" x14ac:dyDescent="0.3">
      <c r="A1244" s="144" t="str">
        <f>+IF(PROVEEDORES[[#This Row],[FECHA DE PAGO]]=PROVEEDORES[[#This Row],[FECHA DE FACTURACIÓN]],"DE CONTADO","CRÉDITO")</f>
        <v>CRÉDITO</v>
      </c>
      <c r="B1244" s="144" t="str">
        <f>+IF((PROVEEDORES[[#This Row],[FECHA DE PAGO]]-PROVEEDORES[[#This Row],[FECHA DE FACTURACIÓN]])&gt;PROVEEDORES[[#This Row],[PLAZO Días]],"PAGO VENCIDO")</f>
        <v>PAGO VENCIDO</v>
      </c>
      <c r="C1244" s="144">
        <f>+VLOOKUP(PROVEEDORES[[#This Row],[PROVEEDOR]],TERCEROS_INFO[#All],2,FALSE)</f>
        <v>0</v>
      </c>
      <c r="D1244" s="145">
        <f>+SUMIFS(PROVEEDORES[Total],PROVEEDORES[PROVEEDOR],PROVEEDORES[[#This Row],[PROVEEDOR]],PROVEEDORES[FECHA DE PAGO],"")</f>
        <v>0</v>
      </c>
      <c r="E1244" s="146"/>
      <c r="F1244" s="144">
        <f>+VLOOKUP(PROVEEDORES[[#This Row],[PROVEEDOR]],
                       Terceros!$A:$G,
                       5,
                       FALSE)</f>
        <v>0</v>
      </c>
      <c r="G1244" s="122">
        <v>45335</v>
      </c>
      <c r="H1244" s="102" t="s">
        <v>471</v>
      </c>
      <c r="I1244" s="122">
        <v>45322</v>
      </c>
      <c r="J1244" s="103" t="s">
        <v>1297</v>
      </c>
      <c r="K1244" s="103" t="s">
        <v>1512</v>
      </c>
      <c r="L1244" s="103" t="s">
        <v>1390</v>
      </c>
      <c r="M1244" s="105">
        <v>245000</v>
      </c>
      <c r="N1244" s="147">
        <v>0</v>
      </c>
      <c r="O1244" s="147">
        <v>0</v>
      </c>
      <c r="P1244" s="148">
        <v>0</v>
      </c>
      <c r="Q1244" s="147">
        <v>0</v>
      </c>
      <c r="R1244" s="149">
        <v>245000</v>
      </c>
      <c r="S12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4" s="150">
        <f ca="1">+IF(PROVEEDORES[[#This Row],[FECHA DE PAGO]]=0,TODAY()-PROVEEDORES[[#This Row],[FECHA DE FACTURACIÓN]]-PROVEEDORES[[#This Row],[PLAZO Días]],0)</f>
        <v>0</v>
      </c>
      <c r="U1244" s="150">
        <f>+VLOOKUP(PROVEEDORES[[#This Row],[PROVEEDOR]],Terceros!$A:$E,4,FALSE)</f>
        <v>0</v>
      </c>
      <c r="V1244" s="150">
        <f>+YEAR(PROVEEDORES[[#This Row],[FECHA DE FACTURACIÓN]])</f>
        <v>2024</v>
      </c>
      <c r="W1244" s="150">
        <f>+MATCH(PROVEEDORES[[#This Row],[año facturado]],Retenciones!$1:$1,0)</f>
        <v>7</v>
      </c>
      <c r="X1244" s="151">
        <f>+VLOOKUP(PROVEEDORES[[#This Row],[ID RETENCION]],Retenciones!$A$1:$O$25,PROVEEDORES[[#This Row],[indicador de columna]],FALSE)</f>
        <v>0</v>
      </c>
      <c r="Y1244" s="152">
        <f>+VLOOKUP(PROVEEDORES[[#This Row],[ID RETENCION]],Retenciones!$A$1:$O$25,2,FALSE)</f>
        <v>0</v>
      </c>
      <c r="Z1244" s="153" t="b">
        <f>+OR(COUNTIF(PROVEEDORES[[#This Row],[PROVEEDOR]],"*"&amp;'Palabra que no opera y Listas d'!$A$2&amp;"*"))</f>
        <v>1</v>
      </c>
    </row>
    <row r="1245" spans="1:26" ht="27.75" customHeight="1" x14ac:dyDescent="0.3">
      <c r="A1245" s="144" t="str">
        <f>+IF(PROVEEDORES[[#This Row],[FECHA DE PAGO]]=PROVEEDORES[[#This Row],[FECHA DE FACTURACIÓN]],"DE CONTADO","CRÉDITO")</f>
        <v>CRÉDITO</v>
      </c>
      <c r="B1245" s="144" t="str">
        <f>+IF((PROVEEDORES[[#This Row],[FECHA DE PAGO]]-PROVEEDORES[[#This Row],[FECHA DE FACTURACIÓN]])&gt;PROVEEDORES[[#This Row],[PLAZO Días]],"PAGO VENCIDO")</f>
        <v>PAGO VENCIDO</v>
      </c>
      <c r="C1245" s="144">
        <f>+VLOOKUP(PROVEEDORES[[#This Row],[PROVEEDOR]],TERCEROS_INFO[#All],2,FALSE)</f>
        <v>0</v>
      </c>
      <c r="D1245" s="145">
        <f>+SUMIFS(PROVEEDORES[Total],PROVEEDORES[PROVEEDOR],PROVEEDORES[[#This Row],[PROVEEDOR]],PROVEEDORES[FECHA DE PAGO],"")</f>
        <v>0</v>
      </c>
      <c r="E1245" s="146"/>
      <c r="F1245" s="144">
        <f>+VLOOKUP(PROVEEDORES[[#This Row],[PROVEEDOR]],
                       Terceros!$A:$G,
                       5,
                       FALSE)</f>
        <v>0</v>
      </c>
      <c r="G1245" s="122">
        <v>45335</v>
      </c>
      <c r="H1245" s="102" t="s">
        <v>1531</v>
      </c>
      <c r="I1245" s="122">
        <v>45331</v>
      </c>
      <c r="J1245" s="103" t="s">
        <v>27</v>
      </c>
      <c r="K1245" s="103"/>
      <c r="L1245" s="103" t="s">
        <v>1390</v>
      </c>
      <c r="M1245" s="105">
        <v>610537</v>
      </c>
      <c r="N1245" s="147">
        <v>0</v>
      </c>
      <c r="O1245" s="147">
        <v>0</v>
      </c>
      <c r="P1245" s="148">
        <v>0</v>
      </c>
      <c r="Q1245" s="147">
        <v>0</v>
      </c>
      <c r="R1245" s="149">
        <v>610537</v>
      </c>
      <c r="S12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5" s="150">
        <f ca="1">+IF(PROVEEDORES[[#This Row],[FECHA DE PAGO]]=0,TODAY()-PROVEEDORES[[#This Row],[FECHA DE FACTURACIÓN]]-PROVEEDORES[[#This Row],[PLAZO Días]],0)</f>
        <v>0</v>
      </c>
      <c r="U1245" s="150">
        <f>+VLOOKUP(PROVEEDORES[[#This Row],[PROVEEDOR]],Terceros!$A:$E,4,FALSE)</f>
        <v>0</v>
      </c>
      <c r="V1245" s="150">
        <f>+YEAR(PROVEEDORES[[#This Row],[FECHA DE FACTURACIÓN]])</f>
        <v>2024</v>
      </c>
      <c r="W1245" s="150">
        <f>+MATCH(PROVEEDORES[[#This Row],[año facturado]],Retenciones!$1:$1,0)</f>
        <v>7</v>
      </c>
      <c r="X1245" s="151">
        <f>+VLOOKUP(PROVEEDORES[[#This Row],[ID RETENCION]],Retenciones!$A$1:$O$25,PROVEEDORES[[#This Row],[indicador de columna]],FALSE)</f>
        <v>0</v>
      </c>
      <c r="Y1245" s="152">
        <f>+VLOOKUP(PROVEEDORES[[#This Row],[ID RETENCION]],Retenciones!$A$1:$O$25,2,FALSE)</f>
        <v>0</v>
      </c>
      <c r="Z1245" s="153" t="b">
        <f>+OR(COUNTIF(PROVEEDORES[[#This Row],[PROVEEDOR]],"*"&amp;'Palabra que no opera y Listas d'!$A$2&amp;"*"))</f>
        <v>0</v>
      </c>
    </row>
    <row r="1246" spans="1:26" ht="27.75" customHeight="1" x14ac:dyDescent="0.3">
      <c r="A1246" s="144" t="str">
        <f>+IF(PROVEEDORES[[#This Row],[FECHA DE PAGO]]=PROVEEDORES[[#This Row],[FECHA DE FACTURACIÓN]],"DE CONTADO","CRÉDITO")</f>
        <v>DE CONTADO</v>
      </c>
      <c r="B1246" s="144" t="b">
        <f>+IF((PROVEEDORES[[#This Row],[FECHA DE PAGO]]-PROVEEDORES[[#This Row],[FECHA DE FACTURACIÓN]])&gt;PROVEEDORES[[#This Row],[PLAZO Días]],"PAGO VENCIDO")</f>
        <v>0</v>
      </c>
      <c r="C1246" s="144">
        <f>+VLOOKUP(PROVEEDORES[[#This Row],[PROVEEDOR]],TERCEROS_INFO[#All],2,FALSE)</f>
        <v>0</v>
      </c>
      <c r="D1246" s="145">
        <f>+SUMIFS(PROVEEDORES[Total],PROVEEDORES[PROVEEDOR],PROVEEDORES[[#This Row],[PROVEEDOR]],PROVEEDORES[FECHA DE PAGO],"")</f>
        <v>0</v>
      </c>
      <c r="E1246" s="146"/>
      <c r="F1246" s="144" t="str">
        <f>+VLOOKUP(PROVEEDORES[[#This Row],[PROVEEDOR]],
                       Terceros!$A:$G,
                       5,
                       FALSE)</f>
        <v>2,5% con base</v>
      </c>
      <c r="G1246" s="122">
        <v>45335</v>
      </c>
      <c r="H1246" s="102" t="s">
        <v>306</v>
      </c>
      <c r="I1246" s="122">
        <v>45335</v>
      </c>
      <c r="J1246" s="103" t="s">
        <v>1541</v>
      </c>
      <c r="K1246" s="103" t="s">
        <v>516</v>
      </c>
      <c r="L1246" s="103" t="s">
        <v>1516</v>
      </c>
      <c r="M1246" s="105">
        <v>1664417</v>
      </c>
      <c r="N1246" s="147">
        <v>316239.23</v>
      </c>
      <c r="O1246" s="147">
        <v>0</v>
      </c>
      <c r="P1246" s="148">
        <v>2.5000000000000001E-2</v>
      </c>
      <c r="Q1246" s="147">
        <v>41610.425000000003</v>
      </c>
      <c r="R1246" s="149">
        <v>1939045.8049999999</v>
      </c>
      <c r="S12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6" s="150">
        <f ca="1">+IF(PROVEEDORES[[#This Row],[FECHA DE PAGO]]=0,TODAY()-PROVEEDORES[[#This Row],[FECHA DE FACTURACIÓN]]-PROVEEDORES[[#This Row],[PLAZO Días]],0)</f>
        <v>0</v>
      </c>
      <c r="U1246" s="150">
        <f>+VLOOKUP(PROVEEDORES[[#This Row],[PROVEEDOR]],Terceros!$A:$E,4,FALSE)</f>
        <v>0.19</v>
      </c>
      <c r="V1246" s="150">
        <f>+YEAR(PROVEEDORES[[#This Row],[FECHA DE FACTURACIÓN]])</f>
        <v>2024</v>
      </c>
      <c r="W1246" s="150">
        <f>+MATCH(PROVEEDORES[[#This Row],[año facturado]],Retenciones!$1:$1,0)</f>
        <v>7</v>
      </c>
      <c r="X1246" s="151" t="e">
        <f>+VLOOKUP(PROVEEDORES[[#This Row],[ID RETENCION]],Retenciones!$A$1:$O$25,PROVEEDORES[[#This Row],[indicador de columna]],FALSE)</f>
        <v>#N/A</v>
      </c>
      <c r="Y1246" s="152" t="e">
        <f>+VLOOKUP(PROVEEDORES[[#This Row],[ID RETENCION]],Retenciones!$A$1:$O$25,2,FALSE)</f>
        <v>#N/A</v>
      </c>
      <c r="Z1246" s="153" t="b">
        <f>+OR(COUNTIF(PROVEEDORES[[#This Row],[PROVEEDOR]],"*"&amp;'Palabra que no opera y Listas d'!$A$2&amp;"*"))</f>
        <v>0</v>
      </c>
    </row>
    <row r="1247" spans="1:26" ht="27.75" customHeight="1" x14ac:dyDescent="0.3">
      <c r="A1247" s="144" t="str">
        <f>+IF(PROVEEDORES[[#This Row],[FECHA DE PAGO]]=PROVEEDORES[[#This Row],[FECHA DE FACTURACIÓN]],"DE CONTADO","CRÉDITO")</f>
        <v>DE CONTADO</v>
      </c>
      <c r="B1247" s="144" t="b">
        <f>+IF((PROVEEDORES[[#This Row],[FECHA DE PAGO]]-PROVEEDORES[[#This Row],[FECHA DE FACTURACIÓN]])&gt;PROVEEDORES[[#This Row],[PLAZO Días]],"PAGO VENCIDO")</f>
        <v>0</v>
      </c>
      <c r="C1247" s="144">
        <f>+VLOOKUP(PROVEEDORES[[#This Row],[PROVEEDOR]],TERCEROS_INFO[#All],2,FALSE)</f>
        <v>0</v>
      </c>
      <c r="D1247" s="145">
        <f>+SUMIFS(PROVEEDORES[Total],PROVEEDORES[PROVEEDOR],PROVEEDORES[[#This Row],[PROVEEDOR]],PROVEEDORES[FECHA DE PAGO],"")</f>
        <v>0</v>
      </c>
      <c r="E1247" s="146"/>
      <c r="F1247" s="144">
        <f>+VLOOKUP(PROVEEDORES[[#This Row],[PROVEEDOR]],
                       Terceros!$A:$G,
                       5,
                       FALSE)</f>
        <v>0</v>
      </c>
      <c r="G1247" s="122">
        <v>45335</v>
      </c>
      <c r="H1247" s="102" t="s">
        <v>870</v>
      </c>
      <c r="I1247" s="122">
        <v>45335</v>
      </c>
      <c r="J1247" s="103" t="s">
        <v>1593</v>
      </c>
      <c r="K1247" s="103" t="s">
        <v>1512</v>
      </c>
      <c r="L1247" s="103" t="s">
        <v>1390</v>
      </c>
      <c r="M1247" s="105">
        <v>140000</v>
      </c>
      <c r="N1247" s="147">
        <v>0</v>
      </c>
      <c r="O1247" s="147">
        <v>0</v>
      </c>
      <c r="P1247" s="148">
        <v>0</v>
      </c>
      <c r="Q1247" s="147">
        <v>0</v>
      </c>
      <c r="R1247" s="149">
        <v>140000</v>
      </c>
      <c r="S12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7" s="150">
        <f ca="1">+IF(PROVEEDORES[[#This Row],[FECHA DE PAGO]]=0,TODAY()-PROVEEDORES[[#This Row],[FECHA DE FACTURACIÓN]]-PROVEEDORES[[#This Row],[PLAZO Días]],0)</f>
        <v>0</v>
      </c>
      <c r="U1247" s="150">
        <f>+VLOOKUP(PROVEEDORES[[#This Row],[PROVEEDOR]],Terceros!$A:$E,4,FALSE)</f>
        <v>0</v>
      </c>
      <c r="V1247" s="150">
        <f>+YEAR(PROVEEDORES[[#This Row],[FECHA DE FACTURACIÓN]])</f>
        <v>2024</v>
      </c>
      <c r="W1247" s="150">
        <f>+MATCH(PROVEEDORES[[#This Row],[año facturado]],Retenciones!$1:$1,0)</f>
        <v>7</v>
      </c>
      <c r="X1247" s="151">
        <f>+VLOOKUP(PROVEEDORES[[#This Row],[ID RETENCION]],Retenciones!$A$1:$O$25,PROVEEDORES[[#This Row],[indicador de columna]],FALSE)</f>
        <v>0</v>
      </c>
      <c r="Y1247" s="152">
        <f>+VLOOKUP(PROVEEDORES[[#This Row],[ID RETENCION]],Retenciones!$A$1:$O$25,2,FALSE)</f>
        <v>0</v>
      </c>
      <c r="Z1247" s="153" t="b">
        <f>+OR(COUNTIF(PROVEEDORES[[#This Row],[PROVEEDOR]],"*"&amp;'Palabra que no opera y Listas d'!$A$2&amp;"*"))</f>
        <v>0</v>
      </c>
    </row>
    <row r="1248" spans="1:26" ht="27.75" customHeight="1" x14ac:dyDescent="0.3">
      <c r="A1248" s="144" t="str">
        <f>+IF(PROVEEDORES[[#This Row],[FECHA DE PAGO]]=PROVEEDORES[[#This Row],[FECHA DE FACTURACIÓN]],"DE CONTADO","CRÉDITO")</f>
        <v>DE CONTADO</v>
      </c>
      <c r="B1248" s="144" t="b">
        <f>+IF((PROVEEDORES[[#This Row],[FECHA DE PAGO]]-PROVEEDORES[[#This Row],[FECHA DE FACTURACIÓN]])&gt;PROVEEDORES[[#This Row],[PLAZO Días]],"PAGO VENCIDO")</f>
        <v>0</v>
      </c>
      <c r="C1248" s="144">
        <f>+VLOOKUP(PROVEEDORES[[#This Row],[PROVEEDOR]],TERCEROS_INFO[#All],2,FALSE)</f>
        <v>0</v>
      </c>
      <c r="D1248" s="145">
        <f>+SUMIFS(PROVEEDORES[Total],PROVEEDORES[PROVEEDOR],PROVEEDORES[[#This Row],[PROVEEDOR]],PROVEEDORES[FECHA DE PAGO],"")</f>
        <v>0</v>
      </c>
      <c r="E1248" s="146"/>
      <c r="F1248" s="144" t="str">
        <f>+VLOOKUP(PROVEEDORES[[#This Row],[PROVEEDOR]],
                       Terceros!$A:$G,
                       5,
                       FALSE)</f>
        <v>2,5% con base</v>
      </c>
      <c r="G1248" s="122">
        <v>45335</v>
      </c>
      <c r="H1248" s="102" t="s">
        <v>1192</v>
      </c>
      <c r="I1248" s="122">
        <v>45335</v>
      </c>
      <c r="J1248" s="103" t="s">
        <v>1536</v>
      </c>
      <c r="K1248" s="103" t="s">
        <v>1512</v>
      </c>
      <c r="L1248" s="103" t="s">
        <v>1516</v>
      </c>
      <c r="M1248" s="105">
        <v>555461</v>
      </c>
      <c r="N1248" s="147">
        <v>105537.59</v>
      </c>
      <c r="O1248" s="147">
        <v>0</v>
      </c>
      <c r="P1248" s="148">
        <v>0</v>
      </c>
      <c r="Q1248" s="147">
        <v>0</v>
      </c>
      <c r="R1248" s="149">
        <v>660998.59</v>
      </c>
      <c r="S12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8" s="150">
        <f ca="1">+IF(PROVEEDORES[[#This Row],[FECHA DE PAGO]]=0,TODAY()-PROVEEDORES[[#This Row],[FECHA DE FACTURACIÓN]]-PROVEEDORES[[#This Row],[PLAZO Días]],0)</f>
        <v>0</v>
      </c>
      <c r="U1248" s="150">
        <f>+VLOOKUP(PROVEEDORES[[#This Row],[PROVEEDOR]],Terceros!$A:$E,4,FALSE)</f>
        <v>0.19</v>
      </c>
      <c r="V1248" s="150">
        <f>+YEAR(PROVEEDORES[[#This Row],[FECHA DE FACTURACIÓN]])</f>
        <v>2024</v>
      </c>
      <c r="W1248" s="150">
        <f>+MATCH(PROVEEDORES[[#This Row],[año facturado]],Retenciones!$1:$1,0)</f>
        <v>7</v>
      </c>
      <c r="X1248" s="151" t="e">
        <f>+VLOOKUP(PROVEEDORES[[#This Row],[ID RETENCION]],Retenciones!$A$1:$O$25,PROVEEDORES[[#This Row],[indicador de columna]],FALSE)</f>
        <v>#N/A</v>
      </c>
      <c r="Y1248" s="152" t="e">
        <f>+VLOOKUP(PROVEEDORES[[#This Row],[ID RETENCION]],Retenciones!$A$1:$O$25,2,FALSE)</f>
        <v>#N/A</v>
      </c>
      <c r="Z1248" s="153" t="b">
        <f>+OR(COUNTIF(PROVEEDORES[[#This Row],[PROVEEDOR]],"*"&amp;'Palabra que no opera y Listas d'!$A$2&amp;"*"))</f>
        <v>0</v>
      </c>
    </row>
    <row r="1249" spans="1:26" ht="27.75" customHeight="1" x14ac:dyDescent="0.3">
      <c r="A1249" s="144" t="str">
        <f>+IF(PROVEEDORES[[#This Row],[FECHA DE PAGO]]=PROVEEDORES[[#This Row],[FECHA DE FACTURACIÓN]],"DE CONTADO","CRÉDITO")</f>
        <v>CRÉDITO</v>
      </c>
      <c r="B1249" s="144" t="str">
        <f>+IF((PROVEEDORES[[#This Row],[FECHA DE PAGO]]-PROVEEDORES[[#This Row],[FECHA DE FACTURACIÓN]])&gt;PROVEEDORES[[#This Row],[PLAZO Días]],"PAGO VENCIDO")</f>
        <v>PAGO VENCIDO</v>
      </c>
      <c r="C1249" s="144">
        <f>+VLOOKUP(PROVEEDORES[[#This Row],[PROVEEDOR]],TERCEROS_INFO[#All],2,FALSE)</f>
        <v>0</v>
      </c>
      <c r="D1249" s="145">
        <f>+SUMIFS(PROVEEDORES[Total],PROVEEDORES[PROVEEDOR],PROVEEDORES[[#This Row],[PROVEEDOR]],PROVEEDORES[FECHA DE PAGO],"")</f>
        <v>0</v>
      </c>
      <c r="E1249" s="146"/>
      <c r="F1249" s="144">
        <f>+VLOOKUP(PROVEEDORES[[#This Row],[PROVEEDOR]],
                       Terceros!$A:$G,
                       5,
                       FALSE)</f>
        <v>0</v>
      </c>
      <c r="G1249" s="122">
        <v>45336</v>
      </c>
      <c r="H1249" s="102" t="s">
        <v>720</v>
      </c>
      <c r="I1249" s="122">
        <v>45273</v>
      </c>
      <c r="J1249" s="103" t="s">
        <v>1348</v>
      </c>
      <c r="K1249" s="103" t="s">
        <v>1512</v>
      </c>
      <c r="L1249" s="103" t="s">
        <v>1518</v>
      </c>
      <c r="M1249" s="105">
        <v>7130000</v>
      </c>
      <c r="N1249" s="147">
        <v>1354700</v>
      </c>
      <c r="O1249" s="147">
        <v>0</v>
      </c>
      <c r="P1249" s="148">
        <v>0</v>
      </c>
      <c r="Q1249" s="147">
        <v>0</v>
      </c>
      <c r="R1249" s="149">
        <v>8484700</v>
      </c>
      <c r="S12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9" s="150">
        <f ca="1">+IF(PROVEEDORES[[#This Row],[FECHA DE PAGO]]=0,TODAY()-PROVEEDORES[[#This Row],[FECHA DE FACTURACIÓN]]-PROVEEDORES[[#This Row],[PLAZO Días]],0)</f>
        <v>0</v>
      </c>
      <c r="U1249" s="150">
        <f>+VLOOKUP(PROVEEDORES[[#This Row],[PROVEEDOR]],Terceros!$A:$E,4,FALSE)</f>
        <v>0.19</v>
      </c>
      <c r="V1249" s="150">
        <f>+YEAR(PROVEEDORES[[#This Row],[FECHA DE FACTURACIÓN]])</f>
        <v>2023</v>
      </c>
      <c r="W1249" s="150">
        <f>+MATCH(PROVEEDORES[[#This Row],[año facturado]],Retenciones!$1:$1,0)</f>
        <v>6</v>
      </c>
      <c r="X1249" s="151" t="e">
        <f>+VLOOKUP(PROVEEDORES[[#This Row],[ID RETENCION]],Retenciones!$A$1:$O$25,PROVEEDORES[[#This Row],[indicador de columna]],FALSE)</f>
        <v>#N/A</v>
      </c>
      <c r="Y1249" s="152" t="e">
        <f>+VLOOKUP(PROVEEDORES[[#This Row],[ID RETENCION]],Retenciones!$A$1:$O$25,2,FALSE)</f>
        <v>#N/A</v>
      </c>
      <c r="Z1249" s="153" t="b">
        <f>+OR(COUNTIF(PROVEEDORES[[#This Row],[PROVEEDOR]],"*"&amp;'Palabra que no opera y Listas d'!$A$2&amp;"*"))</f>
        <v>0</v>
      </c>
    </row>
    <row r="1250" spans="1:26" ht="27.75" customHeight="1" x14ac:dyDescent="0.3">
      <c r="A1250" s="144" t="str">
        <f>+IF(PROVEEDORES[[#This Row],[FECHA DE PAGO]]=PROVEEDORES[[#This Row],[FECHA DE FACTURACIÓN]],"DE CONTADO","CRÉDITO")</f>
        <v>CRÉDITO</v>
      </c>
      <c r="B1250" s="144" t="str">
        <f>+IF((PROVEEDORES[[#This Row],[FECHA DE PAGO]]-PROVEEDORES[[#This Row],[FECHA DE FACTURACIÓN]])&gt;PROVEEDORES[[#This Row],[PLAZO Días]],"PAGO VENCIDO")</f>
        <v>PAGO VENCIDO</v>
      </c>
      <c r="C1250" s="144">
        <f>+VLOOKUP(PROVEEDORES[[#This Row],[PROVEEDOR]],TERCEROS_INFO[#All],2,FALSE)</f>
        <v>0</v>
      </c>
      <c r="D1250" s="145">
        <f>+SUMIFS(PROVEEDORES[Total],PROVEEDORES[PROVEEDOR],PROVEEDORES[[#This Row],[PROVEEDOR]],PROVEEDORES[FECHA DE PAGO],"")</f>
        <v>0</v>
      </c>
      <c r="E1250" s="146"/>
      <c r="F1250" s="144" t="str">
        <f>+VLOOKUP(PROVEEDORES[[#This Row],[PROVEEDOR]],
                       Terceros!$A:$G,
                       5,
                       FALSE)</f>
        <v>3,5% sin base</v>
      </c>
      <c r="G1250" s="122">
        <v>45336</v>
      </c>
      <c r="H1250" s="102" t="s">
        <v>1542</v>
      </c>
      <c r="I1250" s="122">
        <v>45334</v>
      </c>
      <c r="J1250" s="103" t="s">
        <v>1544</v>
      </c>
      <c r="K1250" s="103" t="s">
        <v>1512</v>
      </c>
      <c r="L1250" s="103" t="s">
        <v>1390</v>
      </c>
      <c r="M1250" s="105">
        <v>1222430</v>
      </c>
      <c r="N1250" s="147">
        <v>232261.7</v>
      </c>
      <c r="O1250" s="147">
        <v>0</v>
      </c>
      <c r="P1250" s="148">
        <v>3.5000000000000003E-2</v>
      </c>
      <c r="Q1250" s="147">
        <v>42785.05</v>
      </c>
      <c r="R1250" s="149">
        <v>1411906.65</v>
      </c>
      <c r="S12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0" s="150">
        <f ca="1">+IF(PROVEEDORES[[#This Row],[FECHA DE PAGO]]=0,TODAY()-PROVEEDORES[[#This Row],[FECHA DE FACTURACIÓN]]-PROVEEDORES[[#This Row],[PLAZO Días]],0)</f>
        <v>0</v>
      </c>
      <c r="U1250" s="150">
        <f>+VLOOKUP(PROVEEDORES[[#This Row],[PROVEEDOR]],Terceros!$A:$E,4,FALSE)</f>
        <v>0.19</v>
      </c>
      <c r="V1250" s="150">
        <f>+YEAR(PROVEEDORES[[#This Row],[FECHA DE FACTURACIÓN]])</f>
        <v>2024</v>
      </c>
      <c r="W1250" s="150">
        <f>+MATCH(PROVEEDORES[[#This Row],[año facturado]],Retenciones!$1:$1,0)</f>
        <v>7</v>
      </c>
      <c r="X1250" s="151" t="e">
        <f>+VLOOKUP(PROVEEDORES[[#This Row],[ID RETENCION]],Retenciones!$A$1:$O$25,PROVEEDORES[[#This Row],[indicador de columna]],FALSE)</f>
        <v>#N/A</v>
      </c>
      <c r="Y1250" s="152" t="e">
        <f>+VLOOKUP(PROVEEDORES[[#This Row],[ID RETENCION]],Retenciones!$A$1:$O$25,2,FALSE)</f>
        <v>#N/A</v>
      </c>
      <c r="Z1250" s="153" t="b">
        <f>+OR(COUNTIF(PROVEEDORES[[#This Row],[PROVEEDOR]],"*"&amp;'Palabra que no opera y Listas d'!$A$2&amp;"*"))</f>
        <v>0</v>
      </c>
    </row>
    <row r="1251" spans="1:26" ht="27.75" customHeight="1" x14ac:dyDescent="0.3">
      <c r="A1251" s="144" t="str">
        <f>+IF(PROVEEDORES[[#This Row],[FECHA DE PAGO]]=PROVEEDORES[[#This Row],[FECHA DE FACTURACIÓN]],"DE CONTADO","CRÉDITO")</f>
        <v>DE CONTADO</v>
      </c>
      <c r="B1251" s="144" t="b">
        <f>+IF((PROVEEDORES[[#This Row],[FECHA DE PAGO]]-PROVEEDORES[[#This Row],[FECHA DE FACTURACIÓN]])&gt;PROVEEDORES[[#This Row],[PLAZO Días]],"PAGO VENCIDO")</f>
        <v>0</v>
      </c>
      <c r="C1251" s="144">
        <f>+VLOOKUP(PROVEEDORES[[#This Row],[PROVEEDOR]],TERCEROS_INFO[#All],2,FALSE)</f>
        <v>0</v>
      </c>
      <c r="D1251" s="145">
        <f>+SUMIFS(PROVEEDORES[Total],PROVEEDORES[PROVEEDOR],PROVEEDORES[[#This Row],[PROVEEDOR]],PROVEEDORES[FECHA DE PAGO],"")</f>
        <v>0</v>
      </c>
      <c r="E1251" s="146"/>
      <c r="F1251" s="144">
        <f>+VLOOKUP(PROVEEDORES[[#This Row],[PROVEEDOR]],
                       Terceros!$A:$G,
                       5,
                       FALSE)</f>
        <v>0</v>
      </c>
      <c r="G1251" s="122">
        <v>45336</v>
      </c>
      <c r="H1251" s="102" t="s">
        <v>1790</v>
      </c>
      <c r="I1251" s="122">
        <v>45336</v>
      </c>
      <c r="J1251" s="103" t="s">
        <v>1589</v>
      </c>
      <c r="K1251" s="103" t="s">
        <v>516</v>
      </c>
      <c r="L1251" s="103" t="s">
        <v>1519</v>
      </c>
      <c r="M1251" s="105">
        <v>279000</v>
      </c>
      <c r="N1251" s="147">
        <v>0</v>
      </c>
      <c r="O1251" s="147">
        <v>0</v>
      </c>
      <c r="P1251" s="148">
        <v>0</v>
      </c>
      <c r="Q1251" s="147">
        <v>0</v>
      </c>
      <c r="R1251" s="149">
        <v>279000</v>
      </c>
      <c r="S12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1" s="150">
        <f ca="1">+IF(PROVEEDORES[[#This Row],[FECHA DE PAGO]]=0,TODAY()-PROVEEDORES[[#This Row],[FECHA DE FACTURACIÓN]]-PROVEEDORES[[#This Row],[PLAZO Días]],0)</f>
        <v>0</v>
      </c>
      <c r="U1251" s="150">
        <f>+VLOOKUP(PROVEEDORES[[#This Row],[PROVEEDOR]],Terceros!$A:$E,4,FALSE)</f>
        <v>0</v>
      </c>
      <c r="V1251" s="150">
        <f>+YEAR(PROVEEDORES[[#This Row],[FECHA DE FACTURACIÓN]])</f>
        <v>2024</v>
      </c>
      <c r="W1251" s="150">
        <f>+MATCH(PROVEEDORES[[#This Row],[año facturado]],Retenciones!$1:$1,0)</f>
        <v>7</v>
      </c>
      <c r="X1251" s="151">
        <f>+VLOOKUP(PROVEEDORES[[#This Row],[ID RETENCION]],Retenciones!$A$1:$O$25,PROVEEDORES[[#This Row],[indicador de columna]],FALSE)</f>
        <v>0</v>
      </c>
      <c r="Y1251" s="152">
        <f>+VLOOKUP(PROVEEDORES[[#This Row],[ID RETENCION]],Retenciones!$A$1:$O$25,2,FALSE)</f>
        <v>0</v>
      </c>
      <c r="Z1251" s="153" t="b">
        <f>+OR(COUNTIF(PROVEEDORES[[#This Row],[PROVEEDOR]],"*"&amp;'Palabra que no opera y Listas d'!$A$2&amp;"*"))</f>
        <v>1</v>
      </c>
    </row>
    <row r="1252" spans="1:26" ht="27.75" customHeight="1" x14ac:dyDescent="0.3">
      <c r="A1252" s="144" t="str">
        <f>+IF(PROVEEDORES[[#This Row],[FECHA DE PAGO]]=PROVEEDORES[[#This Row],[FECHA DE FACTURACIÓN]],"DE CONTADO","CRÉDITO")</f>
        <v>DE CONTADO</v>
      </c>
      <c r="B1252" s="144" t="b">
        <f>+IF((PROVEEDORES[[#This Row],[FECHA DE PAGO]]-PROVEEDORES[[#This Row],[FECHA DE FACTURACIÓN]])&gt;PROVEEDORES[[#This Row],[PLAZO Días]],"PAGO VENCIDO")</f>
        <v>0</v>
      </c>
      <c r="C1252" s="144">
        <f>+VLOOKUP(PROVEEDORES[[#This Row],[PROVEEDOR]],TERCEROS_INFO[#All],2,FALSE)</f>
        <v>0</v>
      </c>
      <c r="D1252" s="145">
        <f>+SUMIFS(PROVEEDORES[Total],PROVEEDORES[PROVEEDOR],PROVEEDORES[[#This Row],[PROVEEDOR]],PROVEEDORES[FECHA DE PAGO],"")</f>
        <v>0</v>
      </c>
      <c r="E1252" s="146"/>
      <c r="F1252" s="144">
        <f>+VLOOKUP(PROVEEDORES[[#This Row],[PROVEEDOR]],
                       Terceros!$A:$G,
                       5,
                       FALSE)</f>
        <v>0</v>
      </c>
      <c r="G1252" s="122">
        <v>45336</v>
      </c>
      <c r="H1252" s="102" t="s">
        <v>1546</v>
      </c>
      <c r="I1252" s="122">
        <v>45336</v>
      </c>
      <c r="J1252" s="103">
        <v>87226</v>
      </c>
      <c r="K1252" s="103"/>
      <c r="L1252" s="103" t="s">
        <v>1390</v>
      </c>
      <c r="M1252" s="105">
        <v>356009</v>
      </c>
      <c r="N1252" s="147">
        <v>67641.710000000006</v>
      </c>
      <c r="O1252" s="147">
        <v>0</v>
      </c>
      <c r="P1252" s="148">
        <v>0</v>
      </c>
      <c r="Q1252" s="147">
        <v>0</v>
      </c>
      <c r="R1252" s="149">
        <v>423650.71</v>
      </c>
      <c r="S12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2" s="150">
        <f ca="1">+IF(PROVEEDORES[[#This Row],[FECHA DE PAGO]]=0,TODAY()-PROVEEDORES[[#This Row],[FECHA DE FACTURACIÓN]]-PROVEEDORES[[#This Row],[PLAZO Días]],0)</f>
        <v>0</v>
      </c>
      <c r="U1252" s="150">
        <f>+VLOOKUP(PROVEEDORES[[#This Row],[PROVEEDOR]],Terceros!$A:$E,4,FALSE)</f>
        <v>0.19</v>
      </c>
      <c r="V1252" s="150">
        <f>+YEAR(PROVEEDORES[[#This Row],[FECHA DE FACTURACIÓN]])</f>
        <v>2024</v>
      </c>
      <c r="W1252" s="150">
        <f>+MATCH(PROVEEDORES[[#This Row],[año facturado]],Retenciones!$1:$1,0)</f>
        <v>7</v>
      </c>
      <c r="X1252" s="151" t="e">
        <f>+VLOOKUP(PROVEEDORES[[#This Row],[ID RETENCION]],Retenciones!$A$1:$O$25,PROVEEDORES[[#This Row],[indicador de columna]],FALSE)</f>
        <v>#N/A</v>
      </c>
      <c r="Y1252" s="152" t="e">
        <f>+VLOOKUP(PROVEEDORES[[#This Row],[ID RETENCION]],Retenciones!$A$1:$O$25,2,FALSE)</f>
        <v>#N/A</v>
      </c>
      <c r="Z1252" s="153" t="b">
        <f>+OR(COUNTIF(PROVEEDORES[[#This Row],[PROVEEDOR]],"*"&amp;'Palabra que no opera y Listas d'!$A$2&amp;"*"))</f>
        <v>0</v>
      </c>
    </row>
    <row r="1253" spans="1:26" ht="27.75" customHeight="1" x14ac:dyDescent="0.3">
      <c r="A1253" s="144" t="str">
        <f>+IF(PROVEEDORES[[#This Row],[FECHA DE PAGO]]=PROVEEDORES[[#This Row],[FECHA DE FACTURACIÓN]],"DE CONTADO","CRÉDITO")</f>
        <v>CRÉDITO</v>
      </c>
      <c r="B1253" s="144" t="str">
        <f>+IF((PROVEEDORES[[#This Row],[FECHA DE PAGO]]-PROVEEDORES[[#This Row],[FECHA DE FACTURACIÓN]])&gt;PROVEEDORES[[#This Row],[PLAZO Días]],"PAGO VENCIDO")</f>
        <v>PAGO VENCIDO</v>
      </c>
      <c r="C1253" s="144">
        <f>+VLOOKUP(PROVEEDORES[[#This Row],[PROVEEDOR]],TERCEROS_INFO[#All],2,FALSE)</f>
        <v>0</v>
      </c>
      <c r="D1253" s="145">
        <f>+SUMIFS(PROVEEDORES[Total],PROVEEDORES[PROVEEDOR],PROVEEDORES[[#This Row],[PROVEEDOR]],PROVEEDORES[FECHA DE PAGO],"")</f>
        <v>0</v>
      </c>
      <c r="E1253" s="146"/>
      <c r="F1253" s="144">
        <f>+VLOOKUP(PROVEEDORES[[#This Row],[PROVEEDOR]],
                       Terceros!$A:$G,
                       5,
                       FALSE)</f>
        <v>0</v>
      </c>
      <c r="G1253" s="122">
        <v>45338</v>
      </c>
      <c r="H1253" s="102" t="s">
        <v>397</v>
      </c>
      <c r="I1253" s="122">
        <v>45265</v>
      </c>
      <c r="J1253" s="103" t="s">
        <v>1549</v>
      </c>
      <c r="K1253" s="103" t="s">
        <v>1512</v>
      </c>
      <c r="L1253" s="103" t="s">
        <v>1515</v>
      </c>
      <c r="M1253" s="105">
        <v>260356</v>
      </c>
      <c r="N1253" s="147">
        <v>0</v>
      </c>
      <c r="O1253" s="147">
        <v>0</v>
      </c>
      <c r="P1253" s="148">
        <v>0</v>
      </c>
      <c r="Q1253" s="147">
        <v>0</v>
      </c>
      <c r="R1253" s="149">
        <v>260356</v>
      </c>
      <c r="S12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3" s="150">
        <f ca="1">+IF(PROVEEDORES[[#This Row],[FECHA DE PAGO]]=0,TODAY()-PROVEEDORES[[#This Row],[FECHA DE FACTURACIÓN]]-PROVEEDORES[[#This Row],[PLAZO Días]],0)</f>
        <v>0</v>
      </c>
      <c r="U1253" s="150">
        <f>+VLOOKUP(PROVEEDORES[[#This Row],[PROVEEDOR]],Terceros!$A:$E,4,FALSE)</f>
        <v>0</v>
      </c>
      <c r="V1253" s="150">
        <f>+YEAR(PROVEEDORES[[#This Row],[FECHA DE FACTURACIÓN]])</f>
        <v>2023</v>
      </c>
      <c r="W1253" s="150">
        <f>+MATCH(PROVEEDORES[[#This Row],[año facturado]],Retenciones!$1:$1,0)</f>
        <v>6</v>
      </c>
      <c r="X1253" s="151">
        <f>+VLOOKUP(PROVEEDORES[[#This Row],[ID RETENCION]],Retenciones!$A$1:$O$25,PROVEEDORES[[#This Row],[indicador de columna]],FALSE)</f>
        <v>0</v>
      </c>
      <c r="Y1253" s="152">
        <f>+VLOOKUP(PROVEEDORES[[#This Row],[ID RETENCION]],Retenciones!$A$1:$O$25,2,FALSE)</f>
        <v>0</v>
      </c>
      <c r="Z1253" s="153" t="b">
        <f>+OR(COUNTIF(PROVEEDORES[[#This Row],[PROVEEDOR]],"*"&amp;'Palabra que no opera y Listas d'!$A$2&amp;"*"))</f>
        <v>1</v>
      </c>
    </row>
    <row r="1254" spans="1:26" ht="27.75" customHeight="1" x14ac:dyDescent="0.3">
      <c r="A1254" s="144" t="str">
        <f>+IF(PROVEEDORES[[#This Row],[FECHA DE PAGO]]=PROVEEDORES[[#This Row],[FECHA DE FACTURACIÓN]],"DE CONTADO","CRÉDITO")</f>
        <v>CRÉDITO</v>
      </c>
      <c r="B1254" s="144" t="str">
        <f>+IF((PROVEEDORES[[#This Row],[FECHA DE PAGO]]-PROVEEDORES[[#This Row],[FECHA DE FACTURACIÓN]])&gt;PROVEEDORES[[#This Row],[PLAZO Días]],"PAGO VENCIDO")</f>
        <v>PAGO VENCIDO</v>
      </c>
      <c r="C1254" s="144">
        <f>+VLOOKUP(PROVEEDORES[[#This Row],[PROVEEDOR]],TERCEROS_INFO[#All],2,FALSE)</f>
        <v>0</v>
      </c>
      <c r="D1254" s="145">
        <f>+SUMIFS(PROVEEDORES[Total],PROVEEDORES[PROVEEDOR],PROVEEDORES[[#This Row],[PROVEEDOR]],PROVEEDORES[FECHA DE PAGO],"")</f>
        <v>7281829.8799999999</v>
      </c>
      <c r="E1254" s="146"/>
      <c r="F1254" s="144" t="str">
        <f>+VLOOKUP(PROVEEDORES[[#This Row],[PROVEEDOR]],
                       Terceros!$A:$G,
                       5,
                       FALSE)</f>
        <v>2,5% con base</v>
      </c>
      <c r="G1254" s="122">
        <v>45338</v>
      </c>
      <c r="H1254" s="102" t="s">
        <v>1445</v>
      </c>
      <c r="I1254" s="122">
        <v>45302</v>
      </c>
      <c r="J1254" s="103" t="s">
        <v>1548</v>
      </c>
      <c r="K1254" s="103" t="s">
        <v>1512</v>
      </c>
      <c r="L1254" s="103" t="s">
        <v>1515</v>
      </c>
      <c r="M1254" s="105">
        <v>190736</v>
      </c>
      <c r="N1254" s="147">
        <v>36239.840000000004</v>
      </c>
      <c r="O1254" s="147">
        <v>0</v>
      </c>
      <c r="P1254" s="148">
        <v>0</v>
      </c>
      <c r="Q1254" s="147">
        <v>0</v>
      </c>
      <c r="R1254" s="149">
        <v>226975.84</v>
      </c>
      <c r="S12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4" s="150">
        <f ca="1">+IF(PROVEEDORES[[#This Row],[FECHA DE PAGO]]=0,TODAY()-PROVEEDORES[[#This Row],[FECHA DE FACTURACIÓN]]-PROVEEDORES[[#This Row],[PLAZO Días]],0)</f>
        <v>0</v>
      </c>
      <c r="U1254" s="150">
        <f>+VLOOKUP(PROVEEDORES[[#This Row],[PROVEEDOR]],Terceros!$A:$E,4,FALSE)</f>
        <v>0.19</v>
      </c>
      <c r="V1254" s="150">
        <f>+YEAR(PROVEEDORES[[#This Row],[FECHA DE FACTURACIÓN]])</f>
        <v>2024</v>
      </c>
      <c r="W1254" s="150">
        <f>+MATCH(PROVEEDORES[[#This Row],[año facturado]],Retenciones!$1:$1,0)</f>
        <v>7</v>
      </c>
      <c r="X1254" s="151" t="e">
        <f>+VLOOKUP(PROVEEDORES[[#This Row],[ID RETENCION]],Retenciones!$A$1:$O$25,PROVEEDORES[[#This Row],[indicador de columna]],FALSE)</f>
        <v>#N/A</v>
      </c>
      <c r="Y1254" s="152" t="e">
        <f>+VLOOKUP(PROVEEDORES[[#This Row],[ID RETENCION]],Retenciones!$A$1:$O$25,2,FALSE)</f>
        <v>#N/A</v>
      </c>
      <c r="Z1254" s="153" t="b">
        <f>+OR(COUNTIF(PROVEEDORES[[#This Row],[PROVEEDOR]],"*"&amp;'Palabra que no opera y Listas d'!$A$2&amp;"*"))</f>
        <v>0</v>
      </c>
    </row>
    <row r="1255" spans="1:26" ht="27.75" customHeight="1" x14ac:dyDescent="0.3">
      <c r="A1255" s="144" t="str">
        <f>+IF(PROVEEDORES[[#This Row],[FECHA DE PAGO]]=PROVEEDORES[[#This Row],[FECHA DE FACTURACIÓN]],"DE CONTADO","CRÉDITO")</f>
        <v>CRÉDITO</v>
      </c>
      <c r="B1255" s="144" t="str">
        <f>+IF((PROVEEDORES[[#This Row],[FECHA DE PAGO]]-PROVEEDORES[[#This Row],[FECHA DE FACTURACIÓN]])&gt;PROVEEDORES[[#This Row],[PLAZO Días]],"PAGO VENCIDO")</f>
        <v>PAGO VENCIDO</v>
      </c>
      <c r="C1255" s="144">
        <f>+VLOOKUP(PROVEEDORES[[#This Row],[PROVEEDOR]],TERCEROS_INFO[#All],2,FALSE)</f>
        <v>0</v>
      </c>
      <c r="D1255" s="145" t="e">
        <f>+SUMIFS(PROVEEDORES[Total],PROVEEDORES[PROVEEDOR],PROVEEDORES[[#This Row],[PROVEEDOR]],PROVEEDORES[FECHA DE PAGO],"")</f>
        <v>#N/A</v>
      </c>
      <c r="E1255" s="146"/>
      <c r="F1255" s="144">
        <f>+VLOOKUP(PROVEEDORES[[#This Row],[PROVEEDOR]],
                       Terceros!$A:$G,
                       5,
                       FALSE)</f>
        <v>0</v>
      </c>
      <c r="G1255" s="122">
        <v>45338</v>
      </c>
      <c r="H1255" s="102" t="s">
        <v>16</v>
      </c>
      <c r="I1255" s="122">
        <v>45308</v>
      </c>
      <c r="J1255" s="103" t="s">
        <v>1461</v>
      </c>
      <c r="K1255" s="103" t="s">
        <v>1512</v>
      </c>
      <c r="L1255" s="103" t="s">
        <v>1515</v>
      </c>
      <c r="M1255" s="105">
        <v>1318050</v>
      </c>
      <c r="N1255" s="147">
        <v>0</v>
      </c>
      <c r="O1255" s="147">
        <v>0</v>
      </c>
      <c r="P1255" s="148">
        <v>0</v>
      </c>
      <c r="Q1255" s="147">
        <v>0</v>
      </c>
      <c r="R1255" s="149">
        <v>1318050</v>
      </c>
      <c r="S12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5" s="150">
        <f ca="1">+IF(PROVEEDORES[[#This Row],[FECHA DE PAGO]]=0,TODAY()-PROVEEDORES[[#This Row],[FECHA DE FACTURACIÓN]]-PROVEEDORES[[#This Row],[PLAZO Días]],0)</f>
        <v>0</v>
      </c>
      <c r="U1255" s="150">
        <f>+VLOOKUP(PROVEEDORES[[#This Row],[PROVEEDOR]],Terceros!$A:$E,4,FALSE)</f>
        <v>0.19</v>
      </c>
      <c r="V1255" s="150">
        <f>+YEAR(PROVEEDORES[[#This Row],[FECHA DE FACTURACIÓN]])</f>
        <v>2024</v>
      </c>
      <c r="W1255" s="150">
        <f>+MATCH(PROVEEDORES[[#This Row],[año facturado]],Retenciones!$1:$1,0)</f>
        <v>7</v>
      </c>
      <c r="X1255" s="151" t="e">
        <f>+VLOOKUP(PROVEEDORES[[#This Row],[ID RETENCION]],Retenciones!$A$1:$O$25,PROVEEDORES[[#This Row],[indicador de columna]],FALSE)</f>
        <v>#N/A</v>
      </c>
      <c r="Y1255" s="152" t="e">
        <f>+VLOOKUP(PROVEEDORES[[#This Row],[ID RETENCION]],Retenciones!$A$1:$O$25,2,FALSE)</f>
        <v>#N/A</v>
      </c>
      <c r="Z1255" s="153" t="b">
        <f>+OR(COUNTIF(PROVEEDORES[[#This Row],[PROVEEDOR]],"*"&amp;'Palabra que no opera y Listas d'!$A$2&amp;"*"))</f>
        <v>0</v>
      </c>
    </row>
    <row r="1256" spans="1:26" ht="27.75" customHeight="1" x14ac:dyDescent="0.3">
      <c r="A1256" s="144" t="str">
        <f>+IF(PROVEEDORES[[#This Row],[FECHA DE PAGO]]=PROVEEDORES[[#This Row],[FECHA DE FACTURACIÓN]],"DE CONTADO","CRÉDITO")</f>
        <v>CRÉDITO</v>
      </c>
      <c r="B1256" s="144" t="str">
        <f>+IF((PROVEEDORES[[#This Row],[FECHA DE PAGO]]-PROVEEDORES[[#This Row],[FECHA DE FACTURACIÓN]])&gt;PROVEEDORES[[#This Row],[PLAZO Días]],"PAGO VENCIDO")</f>
        <v>PAGO VENCIDO</v>
      </c>
      <c r="C1256" s="144">
        <f>+VLOOKUP(PROVEEDORES[[#This Row],[PROVEEDOR]],TERCEROS_INFO[#All],2,FALSE)</f>
        <v>0</v>
      </c>
      <c r="D1256" s="145">
        <f>+SUMIFS(PROVEEDORES[Total],PROVEEDORES[PROVEEDOR],PROVEEDORES[[#This Row],[PROVEEDOR]],PROVEEDORES[FECHA DE PAGO],"")</f>
        <v>4198834.75</v>
      </c>
      <c r="E1256" s="146"/>
      <c r="F1256" s="144" t="str">
        <f>+VLOOKUP(PROVEEDORES[[#This Row],[PROVEEDOR]],
                       Terceros!$A:$G,
                       5,
                       FALSE)</f>
        <v>2,5% con base</v>
      </c>
      <c r="G1256" s="122">
        <v>45338</v>
      </c>
      <c r="H1256" s="102" t="s">
        <v>437</v>
      </c>
      <c r="I1256" s="122">
        <v>45312</v>
      </c>
      <c r="J1256" s="103" t="s">
        <v>1487</v>
      </c>
      <c r="K1256" s="103" t="s">
        <v>1512</v>
      </c>
      <c r="L1256" s="103" t="s">
        <v>1516</v>
      </c>
      <c r="M1256" s="105">
        <v>1173000</v>
      </c>
      <c r="N1256" s="147">
        <v>222870</v>
      </c>
      <c r="O1256" s="147">
        <v>117300</v>
      </c>
      <c r="P1256" s="148">
        <v>0</v>
      </c>
      <c r="Q1256" s="147">
        <v>0</v>
      </c>
      <c r="R1256" s="149">
        <v>1278570</v>
      </c>
      <c r="S12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6" s="150">
        <f ca="1">+IF(PROVEEDORES[[#This Row],[FECHA DE PAGO]]=0,TODAY()-PROVEEDORES[[#This Row],[FECHA DE FACTURACIÓN]]-PROVEEDORES[[#This Row],[PLAZO Días]],0)</f>
        <v>0</v>
      </c>
      <c r="U1256" s="150">
        <f>+VLOOKUP(PROVEEDORES[[#This Row],[PROVEEDOR]],Terceros!$A:$E,4,FALSE)</f>
        <v>0.19</v>
      </c>
      <c r="V1256" s="150">
        <f>+YEAR(PROVEEDORES[[#This Row],[FECHA DE FACTURACIÓN]])</f>
        <v>2024</v>
      </c>
      <c r="W1256" s="150">
        <f>+MATCH(PROVEEDORES[[#This Row],[año facturado]],Retenciones!$1:$1,0)</f>
        <v>7</v>
      </c>
      <c r="X1256" s="151" t="e">
        <f>+VLOOKUP(PROVEEDORES[[#This Row],[ID RETENCION]],Retenciones!$A$1:$O$25,PROVEEDORES[[#This Row],[indicador de columna]],FALSE)</f>
        <v>#N/A</v>
      </c>
      <c r="Y1256" s="152" t="e">
        <f>+VLOOKUP(PROVEEDORES[[#This Row],[ID RETENCION]],Retenciones!$A$1:$O$25,2,FALSE)</f>
        <v>#N/A</v>
      </c>
      <c r="Z1256" s="153" t="b">
        <f>+OR(COUNTIF(PROVEEDORES[[#This Row],[PROVEEDOR]],"*"&amp;'Palabra que no opera y Listas d'!$A$2&amp;"*"))</f>
        <v>0</v>
      </c>
    </row>
    <row r="1257" spans="1:26" ht="27.75" customHeight="1" x14ac:dyDescent="0.3">
      <c r="A1257" s="144" t="str">
        <f>+IF(PROVEEDORES[[#This Row],[FECHA DE PAGO]]=PROVEEDORES[[#This Row],[FECHA DE FACTURACIÓN]],"DE CONTADO","CRÉDITO")</f>
        <v>CRÉDITO</v>
      </c>
      <c r="B1257" s="144" t="str">
        <f>+IF((PROVEEDORES[[#This Row],[FECHA DE PAGO]]-PROVEEDORES[[#This Row],[FECHA DE FACTURACIÓN]])&gt;PROVEEDORES[[#This Row],[PLAZO Días]],"PAGO VENCIDO")</f>
        <v>PAGO VENCIDO</v>
      </c>
      <c r="C1257" s="144">
        <f>+VLOOKUP(PROVEEDORES[[#This Row],[PROVEEDOR]],TERCEROS_INFO[#All],2,FALSE)</f>
        <v>0</v>
      </c>
      <c r="D1257" s="145">
        <f>+SUMIFS(PROVEEDORES[Total],PROVEEDORES[PROVEEDOR],PROVEEDORES[[#This Row],[PROVEEDOR]],PROVEEDORES[FECHA DE PAGO],"")</f>
        <v>0</v>
      </c>
      <c r="E1257" s="146"/>
      <c r="F1257" s="144">
        <f>+VLOOKUP(PROVEEDORES[[#This Row],[PROVEEDOR]],
                       Terceros!$A:$G,
                       5,
                       FALSE)</f>
        <v>0</v>
      </c>
      <c r="G1257" s="122">
        <v>45338</v>
      </c>
      <c r="H1257" s="102" t="s">
        <v>404</v>
      </c>
      <c r="I1257" s="122">
        <v>45323</v>
      </c>
      <c r="J1257" s="103"/>
      <c r="K1257" s="103" t="s">
        <v>1512</v>
      </c>
      <c r="L1257" s="103" t="s">
        <v>1515</v>
      </c>
      <c r="M1257" s="105">
        <v>851877</v>
      </c>
      <c r="N1257" s="147">
        <v>0</v>
      </c>
      <c r="O1257" s="147">
        <v>0</v>
      </c>
      <c r="P1257" s="148">
        <v>0</v>
      </c>
      <c r="Q1257" s="147">
        <v>0</v>
      </c>
      <c r="R1257" s="149">
        <v>851877</v>
      </c>
      <c r="S12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7" s="150">
        <f ca="1">+IF(PROVEEDORES[[#This Row],[FECHA DE PAGO]]=0,TODAY()-PROVEEDORES[[#This Row],[FECHA DE FACTURACIÓN]]-PROVEEDORES[[#This Row],[PLAZO Días]],0)</f>
        <v>0</v>
      </c>
      <c r="U1257" s="150">
        <f>+VLOOKUP(PROVEEDORES[[#This Row],[PROVEEDOR]],Terceros!$A:$E,4,FALSE)</f>
        <v>0</v>
      </c>
      <c r="V1257" s="150">
        <f>+YEAR(PROVEEDORES[[#This Row],[FECHA DE FACTURACIÓN]])</f>
        <v>2024</v>
      </c>
      <c r="W1257" s="150">
        <f>+MATCH(PROVEEDORES[[#This Row],[año facturado]],Retenciones!$1:$1,0)</f>
        <v>7</v>
      </c>
      <c r="X1257" s="151">
        <f>+VLOOKUP(PROVEEDORES[[#This Row],[ID RETENCION]],Retenciones!$A$1:$O$25,PROVEEDORES[[#This Row],[indicador de columna]],FALSE)</f>
        <v>0</v>
      </c>
      <c r="Y1257" s="152">
        <f>+VLOOKUP(PROVEEDORES[[#This Row],[ID RETENCION]],Retenciones!$A$1:$O$25,2,FALSE)</f>
        <v>0</v>
      </c>
      <c r="Z1257" s="153" t="b">
        <f>+OR(COUNTIF(PROVEEDORES[[#This Row],[PROVEEDOR]],"*"&amp;'Palabra que no opera y Listas d'!$A$2&amp;"*"))</f>
        <v>1</v>
      </c>
    </row>
    <row r="1258" spans="1:26" ht="27.75" customHeight="1" x14ac:dyDescent="0.3">
      <c r="A1258" s="144" t="str">
        <f>+IF(PROVEEDORES[[#This Row],[FECHA DE PAGO]]=PROVEEDORES[[#This Row],[FECHA DE FACTURACIÓN]],"DE CONTADO","CRÉDITO")</f>
        <v>CRÉDITO</v>
      </c>
      <c r="B1258" s="144" t="str">
        <f>+IF((PROVEEDORES[[#This Row],[FECHA DE PAGO]]-PROVEEDORES[[#This Row],[FECHA DE FACTURACIÓN]])&gt;PROVEEDORES[[#This Row],[PLAZO Días]],"PAGO VENCIDO")</f>
        <v>PAGO VENCIDO</v>
      </c>
      <c r="C1258" s="144">
        <f>+VLOOKUP(PROVEEDORES[[#This Row],[PROVEEDOR]],TERCEROS_INFO[#All],2,FALSE)</f>
        <v>0</v>
      </c>
      <c r="D1258" s="145">
        <f>+SUMIFS(PROVEEDORES[Total],PROVEEDORES[PROVEEDOR],PROVEEDORES[[#This Row],[PROVEEDOR]],PROVEEDORES[FECHA DE PAGO],"")</f>
        <v>0</v>
      </c>
      <c r="E1258" s="146"/>
      <c r="F1258" s="144">
        <f>+VLOOKUP(PROVEEDORES[[#This Row],[PROVEEDOR]],
                       Terceros!$A:$G,
                       5,
                       FALSE)</f>
        <v>0</v>
      </c>
      <c r="G1258" s="122">
        <v>45338</v>
      </c>
      <c r="H1258" s="102" t="s">
        <v>845</v>
      </c>
      <c r="I1258" s="122">
        <v>45324</v>
      </c>
      <c r="J1258" s="103" t="s">
        <v>1493</v>
      </c>
      <c r="K1258" s="103" t="s">
        <v>516</v>
      </c>
      <c r="L1258" s="103" t="s">
        <v>1390</v>
      </c>
      <c r="M1258" s="105">
        <v>-2000</v>
      </c>
      <c r="N1258" s="147">
        <v>0</v>
      </c>
      <c r="O1258" s="147">
        <v>0</v>
      </c>
      <c r="P1258" s="148">
        <v>0</v>
      </c>
      <c r="Q1258" s="147">
        <v>0</v>
      </c>
      <c r="R1258" s="149">
        <v>-2000</v>
      </c>
      <c r="S12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8" s="150">
        <f ca="1">+IF(PROVEEDORES[[#This Row],[FECHA DE PAGO]]=0,TODAY()-PROVEEDORES[[#This Row],[FECHA DE FACTURACIÓN]]-PROVEEDORES[[#This Row],[PLAZO Días]],0)</f>
        <v>0</v>
      </c>
      <c r="U1258" s="150">
        <f>+VLOOKUP(PROVEEDORES[[#This Row],[PROVEEDOR]],Terceros!$A:$E,4,FALSE)</f>
        <v>0</v>
      </c>
      <c r="V1258" s="150">
        <f>+YEAR(PROVEEDORES[[#This Row],[FECHA DE FACTURACIÓN]])</f>
        <v>2024</v>
      </c>
      <c r="W1258" s="150">
        <f>+MATCH(PROVEEDORES[[#This Row],[año facturado]],Retenciones!$1:$1,0)</f>
        <v>7</v>
      </c>
      <c r="X1258" s="151">
        <f>+VLOOKUP(PROVEEDORES[[#This Row],[ID RETENCION]],Retenciones!$A$1:$O$25,PROVEEDORES[[#This Row],[indicador de columna]],FALSE)</f>
        <v>0</v>
      </c>
      <c r="Y1258" s="152">
        <f>+VLOOKUP(PROVEEDORES[[#This Row],[ID RETENCION]],Retenciones!$A$1:$O$25,2,FALSE)</f>
        <v>0</v>
      </c>
      <c r="Z1258" s="153" t="b">
        <f>+OR(COUNTIF(PROVEEDORES[[#This Row],[PROVEEDOR]],"*"&amp;'Palabra que no opera y Listas d'!$A$2&amp;"*"))</f>
        <v>0</v>
      </c>
    </row>
    <row r="1259" spans="1:26" ht="27.75" customHeight="1" x14ac:dyDescent="0.3">
      <c r="A1259" s="144" t="str">
        <f>+IF(PROVEEDORES[[#This Row],[FECHA DE PAGO]]=PROVEEDORES[[#This Row],[FECHA DE FACTURACIÓN]],"DE CONTADO","CRÉDITO")</f>
        <v>CRÉDITO</v>
      </c>
      <c r="B1259" s="144" t="str">
        <f>+IF((PROVEEDORES[[#This Row],[FECHA DE PAGO]]-PROVEEDORES[[#This Row],[FECHA DE FACTURACIÓN]])&gt;PROVEEDORES[[#This Row],[PLAZO Días]],"PAGO VENCIDO")</f>
        <v>PAGO VENCIDO</v>
      </c>
      <c r="C1259" s="144">
        <f>+VLOOKUP(PROVEEDORES[[#This Row],[PROVEEDOR]],TERCEROS_INFO[#All],2,FALSE)</f>
        <v>0</v>
      </c>
      <c r="D1259" s="145">
        <f>+SUMIFS(PROVEEDORES[Total],PROVEEDORES[PROVEEDOR],PROVEEDORES[[#This Row],[PROVEEDOR]],PROVEEDORES[FECHA DE PAGO],"")</f>
        <v>0</v>
      </c>
      <c r="E1259" s="146"/>
      <c r="F1259" s="144">
        <f>+VLOOKUP(PROVEEDORES[[#This Row],[PROVEEDOR]],
                       Terceros!$A:$G,
                       5,
                       FALSE)</f>
        <v>0</v>
      </c>
      <c r="G1259" s="122">
        <v>45338</v>
      </c>
      <c r="H1259" s="102" t="s">
        <v>388</v>
      </c>
      <c r="I1259" s="122">
        <v>45328</v>
      </c>
      <c r="J1259" s="103" t="s">
        <v>1547</v>
      </c>
      <c r="K1259" s="103" t="s">
        <v>1512</v>
      </c>
      <c r="L1259" s="103" t="s">
        <v>1516</v>
      </c>
      <c r="M1259" s="105">
        <v>2202761</v>
      </c>
      <c r="N1259" s="147">
        <v>0</v>
      </c>
      <c r="O1259" s="147">
        <v>418942</v>
      </c>
      <c r="P1259" s="148">
        <v>0</v>
      </c>
      <c r="Q1259" s="147">
        <v>0</v>
      </c>
      <c r="R1259" s="149">
        <v>1783819</v>
      </c>
      <c r="S12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9" s="150">
        <f ca="1">+IF(PROVEEDORES[[#This Row],[FECHA DE PAGO]]=0,TODAY()-PROVEEDORES[[#This Row],[FECHA DE FACTURACIÓN]]-PROVEEDORES[[#This Row],[PLAZO Días]],0)</f>
        <v>0</v>
      </c>
      <c r="U1259" s="150">
        <f>+VLOOKUP(PROVEEDORES[[#This Row],[PROVEEDOR]],Terceros!$A:$E,4,FALSE)</f>
        <v>0</v>
      </c>
      <c r="V1259" s="150">
        <f>+YEAR(PROVEEDORES[[#This Row],[FECHA DE FACTURACIÓN]])</f>
        <v>2024</v>
      </c>
      <c r="W1259" s="150">
        <f>+MATCH(PROVEEDORES[[#This Row],[año facturado]],Retenciones!$1:$1,0)</f>
        <v>7</v>
      </c>
      <c r="X1259" s="151">
        <f>+VLOOKUP(PROVEEDORES[[#This Row],[ID RETENCION]],Retenciones!$A$1:$O$25,PROVEEDORES[[#This Row],[indicador de columna]],FALSE)</f>
        <v>0</v>
      </c>
      <c r="Y1259" s="152">
        <f>+VLOOKUP(PROVEEDORES[[#This Row],[ID RETENCION]],Retenciones!$A$1:$O$25,2,FALSE)</f>
        <v>0</v>
      </c>
      <c r="Z1259" s="153" t="b">
        <f>+OR(COUNTIF(PROVEEDORES[[#This Row],[PROVEEDOR]],"*"&amp;'Palabra que no opera y Listas d'!$A$2&amp;"*"))</f>
        <v>1</v>
      </c>
    </row>
    <row r="1260" spans="1:26" ht="27.75" customHeight="1" x14ac:dyDescent="0.3">
      <c r="A1260" s="144" t="str">
        <f>+IF(PROVEEDORES[[#This Row],[FECHA DE PAGO]]=PROVEEDORES[[#This Row],[FECHA DE FACTURACIÓN]],"DE CONTADO","CRÉDITO")</f>
        <v>CRÉDITO</v>
      </c>
      <c r="B1260" s="144" t="str">
        <f>+IF((PROVEEDORES[[#This Row],[FECHA DE PAGO]]-PROVEEDORES[[#This Row],[FECHA DE FACTURACIÓN]])&gt;PROVEEDORES[[#This Row],[PLAZO Días]],"PAGO VENCIDO")</f>
        <v>PAGO VENCIDO</v>
      </c>
      <c r="C1260" s="144">
        <f>+VLOOKUP(PROVEEDORES[[#This Row],[PROVEEDOR]],TERCEROS_INFO[#All],2,FALSE)</f>
        <v>0</v>
      </c>
      <c r="D1260" s="145">
        <f>+SUMIFS(PROVEEDORES[Total],PROVEEDORES[PROVEEDOR],PROVEEDORES[[#This Row],[PROVEEDOR]],PROVEEDORES[FECHA DE PAGO],"")</f>
        <v>0</v>
      </c>
      <c r="E1260" s="146"/>
      <c r="F1260" s="144">
        <f>+VLOOKUP(PROVEEDORES[[#This Row],[PROVEEDOR]],
                       Terceros!$A:$G,
                       5,
                       FALSE)</f>
        <v>0</v>
      </c>
      <c r="G1260" s="122">
        <v>45338</v>
      </c>
      <c r="H1260" s="102" t="s">
        <v>845</v>
      </c>
      <c r="I1260" s="122">
        <v>45337</v>
      </c>
      <c r="J1260" s="103" t="s">
        <v>1545</v>
      </c>
      <c r="K1260" s="103" t="s">
        <v>516</v>
      </c>
      <c r="L1260" s="103" t="s">
        <v>1390</v>
      </c>
      <c r="M1260" s="105">
        <v>442000</v>
      </c>
      <c r="N1260" s="147">
        <v>0</v>
      </c>
      <c r="O1260" s="147">
        <v>0</v>
      </c>
      <c r="P1260" s="148">
        <v>0</v>
      </c>
      <c r="Q1260" s="147">
        <v>0</v>
      </c>
      <c r="R1260" s="149">
        <v>442000</v>
      </c>
      <c r="S12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0" s="150">
        <f ca="1">+IF(PROVEEDORES[[#This Row],[FECHA DE PAGO]]=0,TODAY()-PROVEEDORES[[#This Row],[FECHA DE FACTURACIÓN]]-PROVEEDORES[[#This Row],[PLAZO Días]],0)</f>
        <v>0</v>
      </c>
      <c r="U1260" s="150">
        <f>+VLOOKUP(PROVEEDORES[[#This Row],[PROVEEDOR]],Terceros!$A:$E,4,FALSE)</f>
        <v>0</v>
      </c>
      <c r="V1260" s="150">
        <f>+YEAR(PROVEEDORES[[#This Row],[FECHA DE FACTURACIÓN]])</f>
        <v>2024</v>
      </c>
      <c r="W1260" s="150">
        <f>+MATCH(PROVEEDORES[[#This Row],[año facturado]],Retenciones!$1:$1,0)</f>
        <v>7</v>
      </c>
      <c r="X1260" s="151">
        <f>+VLOOKUP(PROVEEDORES[[#This Row],[ID RETENCION]],Retenciones!$A$1:$O$25,PROVEEDORES[[#This Row],[indicador de columna]],FALSE)</f>
        <v>0</v>
      </c>
      <c r="Y1260" s="152">
        <f>+VLOOKUP(PROVEEDORES[[#This Row],[ID RETENCION]],Retenciones!$A$1:$O$25,2,FALSE)</f>
        <v>0</v>
      </c>
      <c r="Z1260" s="153" t="b">
        <f>+OR(COUNTIF(PROVEEDORES[[#This Row],[PROVEEDOR]],"*"&amp;'Palabra que no opera y Listas d'!$A$2&amp;"*"))</f>
        <v>0</v>
      </c>
    </row>
    <row r="1261" spans="1:26" ht="27.75" customHeight="1" x14ac:dyDescent="0.3">
      <c r="A1261" s="144" t="str">
        <f>+IF(PROVEEDORES[[#This Row],[FECHA DE PAGO]]=PROVEEDORES[[#This Row],[FECHA DE FACTURACIÓN]],"DE CONTADO","CRÉDITO")</f>
        <v>DE CONTADO</v>
      </c>
      <c r="B1261" s="144" t="b">
        <f>+IF((PROVEEDORES[[#This Row],[FECHA DE PAGO]]-PROVEEDORES[[#This Row],[FECHA DE FACTURACIÓN]])&gt;PROVEEDORES[[#This Row],[PLAZO Días]],"PAGO VENCIDO")</f>
        <v>0</v>
      </c>
      <c r="C1261" s="144">
        <f>+VLOOKUP(PROVEEDORES[[#This Row],[PROVEEDOR]],TERCEROS_INFO[#All],2,FALSE)</f>
        <v>0</v>
      </c>
      <c r="D1261" s="145">
        <f>+SUMIFS(PROVEEDORES[Total],PROVEEDORES[PROVEEDOR],PROVEEDORES[[#This Row],[PROVEEDOR]],PROVEEDORES[FECHA DE PAGO],"")</f>
        <v>0</v>
      </c>
      <c r="E1261" s="146"/>
      <c r="F1261" s="144">
        <f>+VLOOKUP(PROVEEDORES[[#This Row],[PROVEEDOR]],
                       Terceros!$A:$G,
                       5,
                       FALSE)</f>
        <v>0</v>
      </c>
      <c r="G1261" s="122">
        <v>45338</v>
      </c>
      <c r="H1261" s="102" t="s">
        <v>1805</v>
      </c>
      <c r="I1261" s="122">
        <v>45338</v>
      </c>
      <c r="J1261" s="103" t="s">
        <v>1586</v>
      </c>
      <c r="K1261" s="103" t="s">
        <v>1512</v>
      </c>
      <c r="L1261" s="103" t="s">
        <v>1390</v>
      </c>
      <c r="M1261" s="105">
        <v>227000</v>
      </c>
      <c r="N1261" s="147">
        <v>0</v>
      </c>
      <c r="O1261" s="147">
        <v>0</v>
      </c>
      <c r="P1261" s="148">
        <v>0</v>
      </c>
      <c r="Q1261" s="147">
        <v>0</v>
      </c>
      <c r="R1261" s="149">
        <v>227000</v>
      </c>
      <c r="S12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1" s="150">
        <f ca="1">+IF(PROVEEDORES[[#This Row],[FECHA DE PAGO]]=0,TODAY()-PROVEEDORES[[#This Row],[FECHA DE FACTURACIÓN]]-PROVEEDORES[[#This Row],[PLAZO Días]],0)</f>
        <v>0</v>
      </c>
      <c r="U1261" s="150">
        <f>+VLOOKUP(PROVEEDORES[[#This Row],[PROVEEDOR]],Terceros!$A:$E,4,FALSE)</f>
        <v>0</v>
      </c>
      <c r="V1261" s="150">
        <f>+YEAR(PROVEEDORES[[#This Row],[FECHA DE FACTURACIÓN]])</f>
        <v>2024</v>
      </c>
      <c r="W1261" s="150">
        <f>+MATCH(PROVEEDORES[[#This Row],[año facturado]],Retenciones!$1:$1,0)</f>
        <v>7</v>
      </c>
      <c r="X1261" s="151">
        <f>+VLOOKUP(PROVEEDORES[[#This Row],[ID RETENCION]],Retenciones!$A$1:$O$25,PROVEEDORES[[#This Row],[indicador de columna]],FALSE)</f>
        <v>0</v>
      </c>
      <c r="Y1261" s="152">
        <f>+VLOOKUP(PROVEEDORES[[#This Row],[ID RETENCION]],Retenciones!$A$1:$O$25,2,FALSE)</f>
        <v>0</v>
      </c>
      <c r="Z1261" s="153" t="b">
        <f>+OR(COUNTIF(PROVEEDORES[[#This Row],[PROVEEDOR]],"*"&amp;'Palabra que no opera y Listas d'!$A$2&amp;"*"))</f>
        <v>0</v>
      </c>
    </row>
    <row r="1262" spans="1:26" ht="27.75" customHeight="1" x14ac:dyDescent="0.3">
      <c r="A1262" s="144" t="str">
        <f>+IF(PROVEEDORES[[#This Row],[FECHA DE PAGO]]=PROVEEDORES[[#This Row],[FECHA DE FACTURACIÓN]],"DE CONTADO","CRÉDITO")</f>
        <v>DE CONTADO</v>
      </c>
      <c r="B1262" s="144" t="b">
        <f>+IF((PROVEEDORES[[#This Row],[FECHA DE PAGO]]-PROVEEDORES[[#This Row],[FECHA DE FACTURACIÓN]])&gt;PROVEEDORES[[#This Row],[PLAZO Días]],"PAGO VENCIDO")</f>
        <v>0</v>
      </c>
      <c r="C1262" s="144">
        <f>+VLOOKUP(PROVEEDORES[[#This Row],[PROVEEDOR]],TERCEROS_INFO[#All],2,FALSE)</f>
        <v>0</v>
      </c>
      <c r="D1262" s="145">
        <f>+SUMIFS(PROVEEDORES[Total],PROVEEDORES[PROVEEDOR],PROVEEDORES[[#This Row],[PROVEEDOR]],PROVEEDORES[FECHA DE PAGO],"")</f>
        <v>0</v>
      </c>
      <c r="E1262" s="146"/>
      <c r="F1262" s="144">
        <f>+VLOOKUP(PROVEEDORES[[#This Row],[PROVEEDOR]],
                       Terceros!$A:$G,
                       5,
                       FALSE)</f>
        <v>0</v>
      </c>
      <c r="G1262" s="122">
        <v>45338</v>
      </c>
      <c r="H1262" s="102" t="s">
        <v>1801</v>
      </c>
      <c r="I1262" s="122">
        <v>45338</v>
      </c>
      <c r="J1262" s="103"/>
      <c r="K1262" s="103" t="s">
        <v>1512</v>
      </c>
      <c r="L1262" s="103" t="s">
        <v>1390</v>
      </c>
      <c r="M1262" s="105">
        <v>609600</v>
      </c>
      <c r="N1262" s="147">
        <v>0</v>
      </c>
      <c r="O1262" s="147">
        <v>0</v>
      </c>
      <c r="P1262" s="148">
        <v>0</v>
      </c>
      <c r="Q1262" s="147">
        <v>0</v>
      </c>
      <c r="R1262" s="149">
        <v>609600</v>
      </c>
      <c r="S12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2" s="150">
        <f ca="1">+IF(PROVEEDORES[[#This Row],[FECHA DE PAGO]]=0,TODAY()-PROVEEDORES[[#This Row],[FECHA DE FACTURACIÓN]]-PROVEEDORES[[#This Row],[PLAZO Días]],0)</f>
        <v>0</v>
      </c>
      <c r="U1262" s="150">
        <f>+VLOOKUP(PROVEEDORES[[#This Row],[PROVEEDOR]],Terceros!$A:$E,4,FALSE)</f>
        <v>0</v>
      </c>
      <c r="V1262" s="150">
        <f>+YEAR(PROVEEDORES[[#This Row],[FECHA DE FACTURACIÓN]])</f>
        <v>2024</v>
      </c>
      <c r="W1262" s="150">
        <f>+MATCH(PROVEEDORES[[#This Row],[año facturado]],Retenciones!$1:$1,0)</f>
        <v>7</v>
      </c>
      <c r="X1262" s="151">
        <f>+VLOOKUP(PROVEEDORES[[#This Row],[ID RETENCION]],Retenciones!$A$1:$O$25,PROVEEDORES[[#This Row],[indicador de columna]],FALSE)</f>
        <v>0</v>
      </c>
      <c r="Y1262" s="152">
        <f>+VLOOKUP(PROVEEDORES[[#This Row],[ID RETENCION]],Retenciones!$A$1:$O$25,2,FALSE)</f>
        <v>0</v>
      </c>
      <c r="Z1262" s="153" t="b">
        <f>+OR(COUNTIF(PROVEEDORES[[#This Row],[PROVEEDOR]],"*"&amp;'Palabra que no opera y Listas d'!$A$2&amp;"*"))</f>
        <v>0</v>
      </c>
    </row>
    <row r="1263" spans="1:26" ht="27.75" customHeight="1" x14ac:dyDescent="0.3">
      <c r="A1263" s="144" t="str">
        <f>+IF(PROVEEDORES[[#This Row],[FECHA DE PAGO]]=PROVEEDORES[[#This Row],[FECHA DE FACTURACIÓN]],"DE CONTADO","CRÉDITO")</f>
        <v>DE CONTADO</v>
      </c>
      <c r="B1263" s="144" t="b">
        <f>+IF((PROVEEDORES[[#This Row],[FECHA DE PAGO]]-PROVEEDORES[[#This Row],[FECHA DE FACTURACIÓN]])&gt;PROVEEDORES[[#This Row],[PLAZO Días]],"PAGO VENCIDO")</f>
        <v>0</v>
      </c>
      <c r="C1263" s="144">
        <f>+VLOOKUP(PROVEEDORES[[#This Row],[PROVEEDOR]],TERCEROS_INFO[#All],2,FALSE)</f>
        <v>0</v>
      </c>
      <c r="D1263" s="145">
        <f>+SUMIFS(PROVEEDORES[Total],PROVEEDORES[PROVEEDOR],PROVEEDORES[[#This Row],[PROVEEDOR]],PROVEEDORES[FECHA DE PAGO],"")</f>
        <v>0</v>
      </c>
      <c r="E1263" s="146"/>
      <c r="F1263" s="144">
        <f>+VLOOKUP(PROVEEDORES[[#This Row],[PROVEEDOR]],
                       Terceros!$A:$G,
                       5,
                       FALSE)</f>
        <v>0</v>
      </c>
      <c r="G1263" s="122">
        <v>45338</v>
      </c>
      <c r="H1263" s="102" t="s">
        <v>1550</v>
      </c>
      <c r="I1263" s="122">
        <v>45338</v>
      </c>
      <c r="J1263" s="103">
        <v>23298</v>
      </c>
      <c r="K1263" s="103"/>
      <c r="L1263" s="103" t="s">
        <v>1390</v>
      </c>
      <c r="M1263" s="105">
        <v>17612</v>
      </c>
      <c r="N1263" s="147">
        <v>3346.28</v>
      </c>
      <c r="O1263" s="147">
        <v>0</v>
      </c>
      <c r="P1263" s="148">
        <v>0</v>
      </c>
      <c r="Q1263" s="147">
        <v>0</v>
      </c>
      <c r="R1263" s="149">
        <v>20958.28</v>
      </c>
      <c r="S12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3" s="150">
        <f ca="1">+IF(PROVEEDORES[[#This Row],[FECHA DE PAGO]]=0,TODAY()-PROVEEDORES[[#This Row],[FECHA DE FACTURACIÓN]]-PROVEEDORES[[#This Row],[PLAZO Días]],0)</f>
        <v>0</v>
      </c>
      <c r="U1263" s="150">
        <f>+VLOOKUP(PROVEEDORES[[#This Row],[PROVEEDOR]],Terceros!$A:$E,4,FALSE)</f>
        <v>0.19</v>
      </c>
      <c r="V1263" s="150">
        <f>+YEAR(PROVEEDORES[[#This Row],[FECHA DE FACTURACIÓN]])</f>
        <v>2024</v>
      </c>
      <c r="W1263" s="150">
        <f>+MATCH(PROVEEDORES[[#This Row],[año facturado]],Retenciones!$1:$1,0)</f>
        <v>7</v>
      </c>
      <c r="X1263" s="151" t="e">
        <f>+VLOOKUP(PROVEEDORES[[#This Row],[ID RETENCION]],Retenciones!$A$1:$O$25,PROVEEDORES[[#This Row],[indicador de columna]],FALSE)</f>
        <v>#N/A</v>
      </c>
      <c r="Y1263" s="152" t="e">
        <f>+VLOOKUP(PROVEEDORES[[#This Row],[ID RETENCION]],Retenciones!$A$1:$O$25,2,FALSE)</f>
        <v>#N/A</v>
      </c>
      <c r="Z1263" s="153" t="b">
        <f>+OR(COUNTIF(PROVEEDORES[[#This Row],[PROVEEDOR]],"*"&amp;'Palabra que no opera y Listas d'!$A$2&amp;"*"))</f>
        <v>0</v>
      </c>
    </row>
    <row r="1264" spans="1:26" ht="27.75" customHeight="1" x14ac:dyDescent="0.3">
      <c r="A1264" s="144" t="str">
        <f>+IF(PROVEEDORES[[#This Row],[FECHA DE PAGO]]=PROVEEDORES[[#This Row],[FECHA DE FACTURACIÓN]],"DE CONTADO","CRÉDITO")</f>
        <v>CRÉDITO</v>
      </c>
      <c r="B1264" s="144" t="str">
        <f>+IF((PROVEEDORES[[#This Row],[FECHA DE PAGO]]-PROVEEDORES[[#This Row],[FECHA DE FACTURACIÓN]])&gt;PROVEEDORES[[#This Row],[PLAZO Días]],"PAGO VENCIDO")</f>
        <v>PAGO VENCIDO</v>
      </c>
      <c r="C1264" s="144">
        <f>+VLOOKUP(PROVEEDORES[[#This Row],[PROVEEDOR]],TERCEROS_INFO[#All],2,FALSE)</f>
        <v>0</v>
      </c>
      <c r="D1264" s="145">
        <f>+SUMIFS(PROVEEDORES[Total],PROVEEDORES[PROVEEDOR],PROVEEDORES[[#This Row],[PROVEEDOR]],PROVEEDORES[FECHA DE PAGO],"")</f>
        <v>0</v>
      </c>
      <c r="E1264" s="146"/>
      <c r="F1264" s="144">
        <f>+VLOOKUP(PROVEEDORES[[#This Row],[PROVEEDOR]],
                       Terceros!$A:$G,
                       5,
                       FALSE)</f>
        <v>0</v>
      </c>
      <c r="G1264" s="122">
        <v>45339</v>
      </c>
      <c r="H1264" s="102" t="s">
        <v>496</v>
      </c>
      <c r="I1264" s="122">
        <v>45338</v>
      </c>
      <c r="J1264" s="103" t="s">
        <v>1590</v>
      </c>
      <c r="K1264" s="103" t="s">
        <v>1512</v>
      </c>
      <c r="L1264" s="103"/>
      <c r="M1264" s="105">
        <v>1093000</v>
      </c>
      <c r="N1264" s="147">
        <v>0</v>
      </c>
      <c r="O1264" s="147">
        <v>0</v>
      </c>
      <c r="P1264" s="148">
        <v>0</v>
      </c>
      <c r="Q1264" s="147">
        <v>0</v>
      </c>
      <c r="R1264" s="149">
        <v>1093000</v>
      </c>
      <c r="S12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4" s="150">
        <f ca="1">+IF(PROVEEDORES[[#This Row],[FECHA DE PAGO]]=0,TODAY()-PROVEEDORES[[#This Row],[FECHA DE FACTURACIÓN]]-PROVEEDORES[[#This Row],[PLAZO Días]],0)</f>
        <v>0</v>
      </c>
      <c r="U1264" s="150">
        <f>+VLOOKUP(PROVEEDORES[[#This Row],[PROVEEDOR]],Terceros!$A:$E,4,FALSE)</f>
        <v>0</v>
      </c>
      <c r="V1264" s="150">
        <f>+YEAR(PROVEEDORES[[#This Row],[FECHA DE FACTURACIÓN]])</f>
        <v>2024</v>
      </c>
      <c r="W1264" s="150">
        <f>+MATCH(PROVEEDORES[[#This Row],[año facturado]],Retenciones!$1:$1,0)</f>
        <v>7</v>
      </c>
      <c r="X1264" s="151">
        <f>+VLOOKUP(PROVEEDORES[[#This Row],[ID RETENCION]],Retenciones!$A$1:$O$25,PROVEEDORES[[#This Row],[indicador de columna]],FALSE)</f>
        <v>0</v>
      </c>
      <c r="Y1264" s="152">
        <f>+VLOOKUP(PROVEEDORES[[#This Row],[ID RETENCION]],Retenciones!$A$1:$O$25,2,FALSE)</f>
        <v>0</v>
      </c>
      <c r="Z1264" s="153" t="b">
        <f>+OR(COUNTIF(PROVEEDORES[[#This Row],[PROVEEDOR]],"*"&amp;'Palabra que no opera y Listas d'!$A$2&amp;"*"))</f>
        <v>0</v>
      </c>
    </row>
    <row r="1265" spans="1:26" ht="27.75" customHeight="1" x14ac:dyDescent="0.3">
      <c r="A1265" s="144" t="str">
        <f>+IF(PROVEEDORES[[#This Row],[FECHA DE PAGO]]=PROVEEDORES[[#This Row],[FECHA DE FACTURACIÓN]],"DE CONTADO","CRÉDITO")</f>
        <v>DE CONTADO</v>
      </c>
      <c r="B1265" s="144" t="b">
        <f>+IF((PROVEEDORES[[#This Row],[FECHA DE PAGO]]-PROVEEDORES[[#This Row],[FECHA DE FACTURACIÓN]])&gt;PROVEEDORES[[#This Row],[PLAZO Días]],"PAGO VENCIDO")</f>
        <v>0</v>
      </c>
      <c r="C1265" s="144">
        <f>+VLOOKUP(PROVEEDORES[[#This Row],[PROVEEDOR]],TERCEROS_INFO[#All],2,FALSE)</f>
        <v>0</v>
      </c>
      <c r="D1265" s="145">
        <f>+SUMIFS(PROVEEDORES[Total],PROVEEDORES[PROVEEDOR],PROVEEDORES[[#This Row],[PROVEEDOR]],PROVEEDORES[FECHA DE PAGO],"")</f>
        <v>550000</v>
      </c>
      <c r="E1265" s="146"/>
      <c r="F1265" s="144">
        <f>+VLOOKUP(PROVEEDORES[[#This Row],[PROVEEDOR]],
                       Terceros!$A:$G,
                       5,
                       FALSE)</f>
        <v>0</v>
      </c>
      <c r="G1265" s="122">
        <v>45339</v>
      </c>
      <c r="H1265" s="102" t="s">
        <v>1784</v>
      </c>
      <c r="I1265" s="122">
        <v>45339</v>
      </c>
      <c r="J1265" s="103" t="s">
        <v>1584</v>
      </c>
      <c r="K1265" s="103" t="s">
        <v>1512</v>
      </c>
      <c r="L1265" s="103" t="s">
        <v>1390</v>
      </c>
      <c r="M1265" s="105">
        <v>690000</v>
      </c>
      <c r="N1265" s="147">
        <v>0</v>
      </c>
      <c r="O1265" s="147">
        <v>0</v>
      </c>
      <c r="P1265" s="148">
        <v>0</v>
      </c>
      <c r="Q1265" s="147">
        <v>0</v>
      </c>
      <c r="R1265" s="149">
        <v>690000</v>
      </c>
      <c r="S12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5" s="150">
        <f ca="1">+IF(PROVEEDORES[[#This Row],[FECHA DE PAGO]]=0,TODAY()-PROVEEDORES[[#This Row],[FECHA DE FACTURACIÓN]]-PROVEEDORES[[#This Row],[PLAZO Días]],0)</f>
        <v>0</v>
      </c>
      <c r="U1265" s="150">
        <f>+VLOOKUP(PROVEEDORES[[#This Row],[PROVEEDOR]],Terceros!$A:$E,4,FALSE)</f>
        <v>0</v>
      </c>
      <c r="V1265" s="150">
        <f>+YEAR(PROVEEDORES[[#This Row],[FECHA DE FACTURACIÓN]])</f>
        <v>2024</v>
      </c>
      <c r="W1265" s="150">
        <f>+MATCH(PROVEEDORES[[#This Row],[año facturado]],Retenciones!$1:$1,0)</f>
        <v>7</v>
      </c>
      <c r="X1265" s="151">
        <f>+VLOOKUP(PROVEEDORES[[#This Row],[ID RETENCION]],Retenciones!$A$1:$O$25,PROVEEDORES[[#This Row],[indicador de columna]],FALSE)</f>
        <v>0</v>
      </c>
      <c r="Y1265" s="152">
        <f>+VLOOKUP(PROVEEDORES[[#This Row],[ID RETENCION]],Retenciones!$A$1:$O$25,2,FALSE)</f>
        <v>0</v>
      </c>
      <c r="Z1265" s="153" t="b">
        <f>+OR(COUNTIF(PROVEEDORES[[#This Row],[PROVEEDOR]],"*"&amp;'Palabra que no opera y Listas d'!$A$2&amp;"*"))</f>
        <v>0</v>
      </c>
    </row>
    <row r="1266" spans="1:26" ht="27.75" customHeight="1" x14ac:dyDescent="0.3">
      <c r="A1266" s="144" t="str">
        <f>+IF(PROVEEDORES[[#This Row],[FECHA DE PAGO]]=PROVEEDORES[[#This Row],[FECHA DE FACTURACIÓN]],"DE CONTADO","CRÉDITO")</f>
        <v>CRÉDITO</v>
      </c>
      <c r="B1266" s="144" t="str">
        <f>+IF((PROVEEDORES[[#This Row],[FECHA DE PAGO]]-PROVEEDORES[[#This Row],[FECHA DE FACTURACIÓN]])&gt;PROVEEDORES[[#This Row],[PLAZO Días]],"PAGO VENCIDO")</f>
        <v>PAGO VENCIDO</v>
      </c>
      <c r="C1266" s="144">
        <f>+VLOOKUP(PROVEEDORES[[#This Row],[PROVEEDOR]],TERCEROS_INFO[#All],2,FALSE)</f>
        <v>0</v>
      </c>
      <c r="D1266" s="145">
        <f>+SUMIFS(PROVEEDORES[Total],PROVEEDORES[PROVEEDOR],PROVEEDORES[[#This Row],[PROVEEDOR]],PROVEEDORES[FECHA DE PAGO],"")</f>
        <v>0</v>
      </c>
      <c r="E1266" s="146"/>
      <c r="F1266" s="144">
        <f>+VLOOKUP(PROVEEDORES[[#This Row],[PROVEEDOR]],
                       Terceros!$A:$G,
                       5,
                       FALSE)</f>
        <v>0</v>
      </c>
      <c r="G1266" s="122">
        <v>45341</v>
      </c>
      <c r="H1266" s="102" t="s">
        <v>391</v>
      </c>
      <c r="I1266" s="122">
        <v>45293</v>
      </c>
      <c r="J1266" s="103" t="s">
        <v>1551</v>
      </c>
      <c r="K1266" s="103" t="s">
        <v>1512</v>
      </c>
      <c r="L1266" s="103" t="s">
        <v>1515</v>
      </c>
      <c r="M1266" s="105">
        <v>357058</v>
      </c>
      <c r="N1266" s="147">
        <v>0</v>
      </c>
      <c r="O1266" s="147">
        <v>10697.52</v>
      </c>
      <c r="P1266" s="148">
        <v>0</v>
      </c>
      <c r="Q1266" s="147">
        <v>0</v>
      </c>
      <c r="R1266" s="149">
        <v>346360.48</v>
      </c>
      <c r="S12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6" s="150">
        <f ca="1">+IF(PROVEEDORES[[#This Row],[FECHA DE PAGO]]=0,TODAY()-PROVEEDORES[[#This Row],[FECHA DE FACTURACIÓN]]-PROVEEDORES[[#This Row],[PLAZO Días]],0)</f>
        <v>0</v>
      </c>
      <c r="U1266" s="150">
        <f>+VLOOKUP(PROVEEDORES[[#This Row],[PROVEEDOR]],Terceros!$A:$E,4,FALSE)</f>
        <v>0</v>
      </c>
      <c r="V1266" s="150">
        <f>+YEAR(PROVEEDORES[[#This Row],[FECHA DE FACTURACIÓN]])</f>
        <v>2024</v>
      </c>
      <c r="W1266" s="150">
        <f>+MATCH(PROVEEDORES[[#This Row],[año facturado]],Retenciones!$1:$1,0)</f>
        <v>7</v>
      </c>
      <c r="X1266" s="151">
        <f>+VLOOKUP(PROVEEDORES[[#This Row],[ID RETENCION]],Retenciones!$A$1:$O$25,PROVEEDORES[[#This Row],[indicador de columna]],FALSE)</f>
        <v>0</v>
      </c>
      <c r="Y1266" s="152">
        <f>+VLOOKUP(PROVEEDORES[[#This Row],[ID RETENCION]],Retenciones!$A$1:$O$25,2,FALSE)</f>
        <v>0</v>
      </c>
      <c r="Z1266" s="153" t="b">
        <f>+OR(COUNTIF(PROVEEDORES[[#This Row],[PROVEEDOR]],"*"&amp;'Palabra que no opera y Listas d'!$A$2&amp;"*"))</f>
        <v>1</v>
      </c>
    </row>
    <row r="1267" spans="1:26" ht="27.75" customHeight="1" x14ac:dyDescent="0.3">
      <c r="A1267" s="144" t="str">
        <f>+IF(PROVEEDORES[[#This Row],[FECHA DE PAGO]]=PROVEEDORES[[#This Row],[FECHA DE FACTURACIÓN]],"DE CONTADO","CRÉDITO")</f>
        <v>CRÉDITO</v>
      </c>
      <c r="B1267" s="144" t="str">
        <f>+IF((PROVEEDORES[[#This Row],[FECHA DE PAGO]]-PROVEEDORES[[#This Row],[FECHA DE FACTURACIÓN]])&gt;PROVEEDORES[[#This Row],[PLAZO Días]],"PAGO VENCIDO")</f>
        <v>PAGO VENCIDO</v>
      </c>
      <c r="C1267" s="144">
        <f>+VLOOKUP(PROVEEDORES[[#This Row],[PROVEEDOR]],TERCEROS_INFO[#All],2,FALSE)</f>
        <v>0</v>
      </c>
      <c r="D1267" s="145">
        <f>+SUMIFS(PROVEEDORES[Total],PROVEEDORES[PROVEEDOR],PROVEEDORES[[#This Row],[PROVEEDOR]],PROVEEDORES[FECHA DE PAGO],"")</f>
        <v>7281829.8799999999</v>
      </c>
      <c r="E1267" s="146"/>
      <c r="F1267" s="144" t="str">
        <f>+VLOOKUP(PROVEEDORES[[#This Row],[PROVEEDOR]],
                       Terceros!$A:$G,
                       5,
                       FALSE)</f>
        <v>2,5% con base</v>
      </c>
      <c r="G1267" s="122">
        <v>45341</v>
      </c>
      <c r="H1267" s="102" t="s">
        <v>1445</v>
      </c>
      <c r="I1267" s="122">
        <v>45309</v>
      </c>
      <c r="J1267" s="103" t="s">
        <v>1446</v>
      </c>
      <c r="K1267" s="103" t="s">
        <v>1512</v>
      </c>
      <c r="L1267" s="103" t="s">
        <v>1515</v>
      </c>
      <c r="M1267" s="105">
        <v>2245165.5</v>
      </c>
      <c r="N1267" s="147">
        <v>426581.44500000001</v>
      </c>
      <c r="O1267" s="147">
        <v>0</v>
      </c>
      <c r="P1267" s="148">
        <v>2.5000000000000001E-2</v>
      </c>
      <c r="Q1267" s="147">
        <v>56129.137500000004</v>
      </c>
      <c r="R1267" s="149">
        <v>2615617.8074999996</v>
      </c>
      <c r="S12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7" s="150">
        <f ca="1">+IF(PROVEEDORES[[#This Row],[FECHA DE PAGO]]=0,TODAY()-PROVEEDORES[[#This Row],[FECHA DE FACTURACIÓN]]-PROVEEDORES[[#This Row],[PLAZO Días]],0)</f>
        <v>0</v>
      </c>
      <c r="U1267" s="150">
        <f>+VLOOKUP(PROVEEDORES[[#This Row],[PROVEEDOR]],Terceros!$A:$E,4,FALSE)</f>
        <v>0.19</v>
      </c>
      <c r="V1267" s="150">
        <f>+YEAR(PROVEEDORES[[#This Row],[FECHA DE FACTURACIÓN]])</f>
        <v>2024</v>
      </c>
      <c r="W1267" s="150">
        <f>+MATCH(PROVEEDORES[[#This Row],[año facturado]],Retenciones!$1:$1,0)</f>
        <v>7</v>
      </c>
      <c r="X1267" s="151" t="e">
        <f>+VLOOKUP(PROVEEDORES[[#This Row],[ID RETENCION]],Retenciones!$A$1:$O$25,PROVEEDORES[[#This Row],[indicador de columna]],FALSE)</f>
        <v>#N/A</v>
      </c>
      <c r="Y1267" s="152" t="e">
        <f>+VLOOKUP(PROVEEDORES[[#This Row],[ID RETENCION]],Retenciones!$A$1:$O$25,2,FALSE)</f>
        <v>#N/A</v>
      </c>
      <c r="Z1267" s="153" t="b">
        <f>+OR(COUNTIF(PROVEEDORES[[#This Row],[PROVEEDOR]],"*"&amp;'Palabra que no opera y Listas d'!$A$2&amp;"*"))</f>
        <v>0</v>
      </c>
    </row>
    <row r="1268" spans="1:26" ht="27.75" customHeight="1" x14ac:dyDescent="0.3">
      <c r="A1268" s="144" t="str">
        <f>+IF(PROVEEDORES[[#This Row],[FECHA DE PAGO]]=PROVEEDORES[[#This Row],[FECHA DE FACTURACIÓN]],"DE CONTADO","CRÉDITO")</f>
        <v>CRÉDITO</v>
      </c>
      <c r="B1268" s="144" t="str">
        <f>+IF((PROVEEDORES[[#This Row],[FECHA DE PAGO]]-PROVEEDORES[[#This Row],[FECHA DE FACTURACIÓN]])&gt;PROVEEDORES[[#This Row],[PLAZO Días]],"PAGO VENCIDO")</f>
        <v>PAGO VENCIDO</v>
      </c>
      <c r="C1268" s="144">
        <f>+VLOOKUP(PROVEEDORES[[#This Row],[PROVEEDOR]],TERCEROS_INFO[#All],2,FALSE)</f>
        <v>0</v>
      </c>
      <c r="D1268" s="145">
        <f>+SUMIFS(PROVEEDORES[Total],PROVEEDORES[PROVEEDOR],PROVEEDORES[[#This Row],[PROVEEDOR]],PROVEEDORES[FECHA DE PAGO],"")</f>
        <v>0</v>
      </c>
      <c r="E1268" s="146"/>
      <c r="F1268" s="144" t="str">
        <f>+VLOOKUP(PROVEEDORES[[#This Row],[PROVEEDOR]],
                       Terceros!$A:$G,
                       5,
                       FALSE)</f>
        <v>2,5% con base</v>
      </c>
      <c r="G1268" s="122">
        <v>45341</v>
      </c>
      <c r="H1268" s="102" t="s">
        <v>19</v>
      </c>
      <c r="I1268" s="122">
        <v>45310</v>
      </c>
      <c r="J1268" s="103" t="s">
        <v>1443</v>
      </c>
      <c r="K1268" s="103" t="s">
        <v>1512</v>
      </c>
      <c r="L1268" s="103" t="s">
        <v>1515</v>
      </c>
      <c r="M1268" s="105">
        <v>4314984</v>
      </c>
      <c r="N1268" s="147">
        <v>819846.96</v>
      </c>
      <c r="O1268" s="147">
        <v>129449.51999999999</v>
      </c>
      <c r="P1268" s="148">
        <v>2.5000000000000001E-2</v>
      </c>
      <c r="Q1268" s="147">
        <v>107874.6</v>
      </c>
      <c r="R1268" s="149">
        <v>4897506.8400000008</v>
      </c>
      <c r="S12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8" s="150">
        <f ca="1">+IF(PROVEEDORES[[#This Row],[FECHA DE PAGO]]=0,TODAY()-PROVEEDORES[[#This Row],[FECHA DE FACTURACIÓN]]-PROVEEDORES[[#This Row],[PLAZO Días]],0)</f>
        <v>0</v>
      </c>
      <c r="U1268" s="150">
        <f>+VLOOKUP(PROVEEDORES[[#This Row],[PROVEEDOR]],Terceros!$A:$E,4,FALSE)</f>
        <v>0.19</v>
      </c>
      <c r="V1268" s="150">
        <f>+YEAR(PROVEEDORES[[#This Row],[FECHA DE FACTURACIÓN]])</f>
        <v>2024</v>
      </c>
      <c r="W1268" s="150">
        <f>+MATCH(PROVEEDORES[[#This Row],[año facturado]],Retenciones!$1:$1,0)</f>
        <v>7</v>
      </c>
      <c r="X1268" s="151" t="e">
        <f>+VLOOKUP(PROVEEDORES[[#This Row],[ID RETENCION]],Retenciones!$A$1:$O$25,PROVEEDORES[[#This Row],[indicador de columna]],FALSE)</f>
        <v>#N/A</v>
      </c>
      <c r="Y1268" s="152" t="e">
        <f>+VLOOKUP(PROVEEDORES[[#This Row],[ID RETENCION]],Retenciones!$A$1:$O$25,2,FALSE)</f>
        <v>#N/A</v>
      </c>
      <c r="Z1268" s="153" t="b">
        <f>+OR(COUNTIF(PROVEEDORES[[#This Row],[PROVEEDOR]],"*"&amp;'Palabra que no opera y Listas d'!$A$2&amp;"*"))</f>
        <v>0</v>
      </c>
    </row>
    <row r="1269" spans="1:26" ht="27.75" customHeight="1" x14ac:dyDescent="0.3">
      <c r="A1269" s="144" t="str">
        <f>+IF(PROVEEDORES[[#This Row],[FECHA DE PAGO]]=PROVEEDORES[[#This Row],[FECHA DE FACTURACIÓN]],"DE CONTADO","CRÉDITO")</f>
        <v>CRÉDITO</v>
      </c>
      <c r="B1269" s="144" t="str">
        <f>+IF((PROVEEDORES[[#This Row],[FECHA DE PAGO]]-PROVEEDORES[[#This Row],[FECHA DE FACTURACIÓN]])&gt;PROVEEDORES[[#This Row],[PLAZO Días]],"PAGO VENCIDO")</f>
        <v>PAGO VENCIDO</v>
      </c>
      <c r="C1269" s="144">
        <f>+VLOOKUP(PROVEEDORES[[#This Row],[PROVEEDOR]],TERCEROS_INFO[#All],2,FALSE)</f>
        <v>0</v>
      </c>
      <c r="D1269" s="145">
        <f>+SUMIFS(PROVEEDORES[Total],PROVEEDORES[PROVEEDOR],PROVEEDORES[[#This Row],[PROVEEDOR]],PROVEEDORES[FECHA DE PAGO],"")</f>
        <v>0</v>
      </c>
      <c r="E1269" s="146"/>
      <c r="F1269" s="144" t="str">
        <f>+VLOOKUP(PROVEEDORES[[#This Row],[PROVEEDOR]],
                       Terceros!$A:$G,
                       5,
                       FALSE)</f>
        <v>3,5% sin base</v>
      </c>
      <c r="G1269" s="122">
        <v>45341</v>
      </c>
      <c r="H1269" s="102" t="s">
        <v>409</v>
      </c>
      <c r="I1269" s="122">
        <v>45331</v>
      </c>
      <c r="J1269" s="103" t="s">
        <v>1552</v>
      </c>
      <c r="K1269" s="103" t="s">
        <v>1512</v>
      </c>
      <c r="L1269" s="103" t="s">
        <v>1515</v>
      </c>
      <c r="M1269" s="105">
        <v>39710</v>
      </c>
      <c r="N1269" s="147">
        <v>7544.9</v>
      </c>
      <c r="O1269" s="147">
        <v>0</v>
      </c>
      <c r="P1269" s="148">
        <v>3.5000000000000003E-2</v>
      </c>
      <c r="Q1269" s="147">
        <v>1389.8500000000001</v>
      </c>
      <c r="R1269" s="149">
        <v>45865.05</v>
      </c>
      <c r="S12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9" s="150">
        <f ca="1">+IF(PROVEEDORES[[#This Row],[FECHA DE PAGO]]=0,TODAY()-PROVEEDORES[[#This Row],[FECHA DE FACTURACIÓN]]-PROVEEDORES[[#This Row],[PLAZO Días]],0)</f>
        <v>0</v>
      </c>
      <c r="U1269" s="150">
        <f>+VLOOKUP(PROVEEDORES[[#This Row],[PROVEEDOR]],Terceros!$A:$E,4,FALSE)</f>
        <v>0.19</v>
      </c>
      <c r="V1269" s="150">
        <f>+YEAR(PROVEEDORES[[#This Row],[FECHA DE FACTURACIÓN]])</f>
        <v>2024</v>
      </c>
      <c r="W1269" s="150">
        <f>+MATCH(PROVEEDORES[[#This Row],[año facturado]],Retenciones!$1:$1,0)</f>
        <v>7</v>
      </c>
      <c r="X1269" s="151" t="e">
        <f>+VLOOKUP(PROVEEDORES[[#This Row],[ID RETENCION]],Retenciones!$A$1:$O$25,PROVEEDORES[[#This Row],[indicador de columna]],FALSE)</f>
        <v>#N/A</v>
      </c>
      <c r="Y1269" s="152" t="e">
        <f>+VLOOKUP(PROVEEDORES[[#This Row],[ID RETENCION]],Retenciones!$A$1:$O$25,2,FALSE)</f>
        <v>#N/A</v>
      </c>
      <c r="Z1269" s="153" t="b">
        <f>+OR(COUNTIF(PROVEEDORES[[#This Row],[PROVEEDOR]],"*"&amp;'Palabra que no opera y Listas d'!$A$2&amp;"*"))</f>
        <v>1</v>
      </c>
    </row>
    <row r="1270" spans="1:26" ht="27.75" customHeight="1" x14ac:dyDescent="0.3">
      <c r="A1270" s="144" t="str">
        <f>+IF(PROVEEDORES[[#This Row],[FECHA DE PAGO]]=PROVEEDORES[[#This Row],[FECHA DE FACTURACIÓN]],"DE CONTADO","CRÉDITO")</f>
        <v>CRÉDITO</v>
      </c>
      <c r="B1270" s="144" t="str">
        <f>+IF((PROVEEDORES[[#This Row],[FECHA DE PAGO]]-PROVEEDORES[[#This Row],[FECHA DE FACTURACIÓN]])&gt;PROVEEDORES[[#This Row],[PLAZO Días]],"PAGO VENCIDO")</f>
        <v>PAGO VENCIDO</v>
      </c>
      <c r="C1270" s="144">
        <f>+VLOOKUP(PROVEEDORES[[#This Row],[PROVEEDOR]],TERCEROS_INFO[#All],2,FALSE)</f>
        <v>0</v>
      </c>
      <c r="D1270" s="145">
        <f>+SUMIFS(PROVEEDORES[Total],PROVEEDORES[PROVEEDOR],PROVEEDORES[[#This Row],[PROVEEDOR]],PROVEEDORES[FECHA DE PAGO],"")</f>
        <v>26134091.5</v>
      </c>
      <c r="E1270" s="146"/>
      <c r="F1270" s="144">
        <f>+VLOOKUP(PROVEEDORES[[#This Row],[PROVEEDOR]],
                       Terceros!$A:$G,
                       5,
                       FALSE)</f>
        <v>0</v>
      </c>
      <c r="G1270" s="122">
        <v>45342</v>
      </c>
      <c r="H1270" s="102" t="s">
        <v>238</v>
      </c>
      <c r="I1270" s="122">
        <v>45282</v>
      </c>
      <c r="J1270" s="103">
        <v>1873</v>
      </c>
      <c r="K1270" s="103" t="s">
        <v>1512</v>
      </c>
      <c r="L1270" s="103" t="s">
        <v>1516</v>
      </c>
      <c r="M1270" s="105">
        <v>367015.60000000003</v>
      </c>
      <c r="N1270" s="147">
        <v>0</v>
      </c>
      <c r="O1270" s="147">
        <v>0</v>
      </c>
      <c r="P1270" s="148">
        <v>0</v>
      </c>
      <c r="Q1270" s="147">
        <v>0</v>
      </c>
      <c r="R1270" s="149">
        <v>367015.60000000003</v>
      </c>
      <c r="S12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0" s="150">
        <f ca="1">+IF(PROVEEDORES[[#This Row],[FECHA DE PAGO]]=0,TODAY()-PROVEEDORES[[#This Row],[FECHA DE FACTURACIÓN]]-PROVEEDORES[[#This Row],[PLAZO Días]],0)</f>
        <v>0</v>
      </c>
      <c r="U1270" s="150">
        <f>+VLOOKUP(PROVEEDORES[[#This Row],[PROVEEDOR]],Terceros!$A:$E,4,FALSE)</f>
        <v>0</v>
      </c>
      <c r="V1270" s="150">
        <f>+YEAR(PROVEEDORES[[#This Row],[FECHA DE FACTURACIÓN]])</f>
        <v>2023</v>
      </c>
      <c r="W1270" s="150">
        <f>+MATCH(PROVEEDORES[[#This Row],[año facturado]],Retenciones!$1:$1,0)</f>
        <v>6</v>
      </c>
      <c r="X1270" s="151">
        <f>+VLOOKUP(PROVEEDORES[[#This Row],[ID RETENCION]],Retenciones!$A$1:$O$25,PROVEEDORES[[#This Row],[indicador de columna]],FALSE)</f>
        <v>0</v>
      </c>
      <c r="Y1270" s="152">
        <f>+VLOOKUP(PROVEEDORES[[#This Row],[ID RETENCION]],Retenciones!$A$1:$O$25,2,FALSE)</f>
        <v>0</v>
      </c>
      <c r="Z1270" s="153" t="b">
        <f>+OR(COUNTIF(PROVEEDORES[[#This Row],[PROVEEDOR]],"*"&amp;'Palabra que no opera y Listas d'!$A$2&amp;"*"))</f>
        <v>0</v>
      </c>
    </row>
    <row r="1271" spans="1:26" ht="27.75" customHeight="1" x14ac:dyDescent="0.3">
      <c r="A1271" s="144" t="str">
        <f>+IF(PROVEEDORES[[#This Row],[FECHA DE PAGO]]=PROVEEDORES[[#This Row],[FECHA DE FACTURACIÓN]],"DE CONTADO","CRÉDITO")</f>
        <v>CRÉDITO</v>
      </c>
      <c r="B1271" s="144" t="str">
        <f>+IF((PROVEEDORES[[#This Row],[FECHA DE PAGO]]-PROVEEDORES[[#This Row],[FECHA DE FACTURACIÓN]])&gt;PROVEEDORES[[#This Row],[PLAZO Días]],"PAGO VENCIDO")</f>
        <v>PAGO VENCIDO</v>
      </c>
      <c r="C1271" s="144">
        <f>+VLOOKUP(PROVEEDORES[[#This Row],[PROVEEDOR]],TERCEROS_INFO[#All],2,FALSE)</f>
        <v>0</v>
      </c>
      <c r="D1271" s="145">
        <f>+SUMIFS(PROVEEDORES[Total],PROVEEDORES[PROVEEDOR],PROVEEDORES[[#This Row],[PROVEEDOR]],PROVEEDORES[FECHA DE PAGO],"")</f>
        <v>0</v>
      </c>
      <c r="E1271" s="146"/>
      <c r="F1271" s="144">
        <f>+VLOOKUP(PROVEEDORES[[#This Row],[PROVEEDOR]],
                       Terceros!$A:$G,
                       5,
                       FALSE)</f>
        <v>0</v>
      </c>
      <c r="G1271" s="122">
        <v>45342</v>
      </c>
      <c r="H1271" s="102" t="s">
        <v>240</v>
      </c>
      <c r="I1271" s="122">
        <v>45288</v>
      </c>
      <c r="J1271" s="103" t="s">
        <v>1458</v>
      </c>
      <c r="K1271" s="103" t="s">
        <v>516</v>
      </c>
      <c r="L1271" s="103" t="s">
        <v>1516</v>
      </c>
      <c r="M1271" s="105">
        <v>2852349.5</v>
      </c>
      <c r="N1271" s="147">
        <v>0</v>
      </c>
      <c r="O1271" s="147">
        <v>0</v>
      </c>
      <c r="P1271" s="148">
        <v>0</v>
      </c>
      <c r="Q1271" s="147">
        <v>0</v>
      </c>
      <c r="R1271" s="149">
        <v>2852349.5</v>
      </c>
      <c r="S12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1" s="150">
        <f ca="1">+IF(PROVEEDORES[[#This Row],[FECHA DE PAGO]]=0,TODAY()-PROVEEDORES[[#This Row],[FECHA DE FACTURACIÓN]]-PROVEEDORES[[#This Row],[PLAZO Días]],0)</f>
        <v>0</v>
      </c>
      <c r="U1271" s="150">
        <f>+VLOOKUP(PROVEEDORES[[#This Row],[PROVEEDOR]],Terceros!$A:$E,4,FALSE)</f>
        <v>0</v>
      </c>
      <c r="V1271" s="150">
        <f>+YEAR(PROVEEDORES[[#This Row],[FECHA DE FACTURACIÓN]])</f>
        <v>2023</v>
      </c>
      <c r="W1271" s="150">
        <f>+MATCH(PROVEEDORES[[#This Row],[año facturado]],Retenciones!$1:$1,0)</f>
        <v>6</v>
      </c>
      <c r="X1271" s="151">
        <f>+VLOOKUP(PROVEEDORES[[#This Row],[ID RETENCION]],Retenciones!$A$1:$O$25,PROVEEDORES[[#This Row],[indicador de columna]],FALSE)</f>
        <v>0</v>
      </c>
      <c r="Y1271" s="152">
        <f>+VLOOKUP(PROVEEDORES[[#This Row],[ID RETENCION]],Retenciones!$A$1:$O$25,2,FALSE)</f>
        <v>0</v>
      </c>
      <c r="Z1271" s="153" t="b">
        <f>+OR(COUNTIF(PROVEEDORES[[#This Row],[PROVEEDOR]],"*"&amp;'Palabra que no opera y Listas d'!$A$2&amp;"*"))</f>
        <v>0</v>
      </c>
    </row>
    <row r="1272" spans="1:26" ht="27.75" customHeight="1" x14ac:dyDescent="0.3">
      <c r="A1272" s="144" t="str">
        <f>+IF(PROVEEDORES[[#This Row],[FECHA DE PAGO]]=PROVEEDORES[[#This Row],[FECHA DE FACTURACIÓN]],"DE CONTADO","CRÉDITO")</f>
        <v>CRÉDITO</v>
      </c>
      <c r="B1272" s="144" t="str">
        <f>+IF((PROVEEDORES[[#This Row],[FECHA DE PAGO]]-PROVEEDORES[[#This Row],[FECHA DE FACTURACIÓN]])&gt;PROVEEDORES[[#This Row],[PLAZO Días]],"PAGO VENCIDO")</f>
        <v>PAGO VENCIDO</v>
      </c>
      <c r="C1272" s="144">
        <f>+VLOOKUP(PROVEEDORES[[#This Row],[PROVEEDOR]],TERCEROS_INFO[#All],2,FALSE)</f>
        <v>0</v>
      </c>
      <c r="D1272" s="145">
        <f>+SUMIFS(PROVEEDORES[Total],PROVEEDORES[PROVEEDOR],PROVEEDORES[[#This Row],[PROVEEDOR]],PROVEEDORES[FECHA DE PAGO],"")</f>
        <v>26134091.5</v>
      </c>
      <c r="E1272" s="146"/>
      <c r="F1272" s="144">
        <f>+VLOOKUP(PROVEEDORES[[#This Row],[PROVEEDOR]],
                       Terceros!$A:$G,
                       5,
                       FALSE)</f>
        <v>0</v>
      </c>
      <c r="G1272" s="122">
        <v>45342</v>
      </c>
      <c r="H1272" s="102" t="s">
        <v>238</v>
      </c>
      <c r="I1272" s="122">
        <v>45292</v>
      </c>
      <c r="J1272" s="103">
        <v>1883</v>
      </c>
      <c r="K1272" s="103" t="s">
        <v>1512</v>
      </c>
      <c r="L1272" s="103" t="s">
        <v>1516</v>
      </c>
      <c r="M1272" s="105">
        <v>621134.01</v>
      </c>
      <c r="N1272" s="147">
        <v>0</v>
      </c>
      <c r="O1272" s="147">
        <v>0</v>
      </c>
      <c r="P1272" s="148">
        <v>0</v>
      </c>
      <c r="Q1272" s="147">
        <v>0</v>
      </c>
      <c r="R1272" s="149">
        <v>621134.01</v>
      </c>
      <c r="S12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2" s="150">
        <f ca="1">+IF(PROVEEDORES[[#This Row],[FECHA DE PAGO]]=0,TODAY()-PROVEEDORES[[#This Row],[FECHA DE FACTURACIÓN]]-PROVEEDORES[[#This Row],[PLAZO Días]],0)</f>
        <v>0</v>
      </c>
      <c r="U1272" s="150">
        <f>+VLOOKUP(PROVEEDORES[[#This Row],[PROVEEDOR]],Terceros!$A:$E,4,FALSE)</f>
        <v>0</v>
      </c>
      <c r="V1272" s="150">
        <f>+YEAR(PROVEEDORES[[#This Row],[FECHA DE FACTURACIÓN]])</f>
        <v>2024</v>
      </c>
      <c r="W1272" s="150">
        <f>+MATCH(PROVEEDORES[[#This Row],[año facturado]],Retenciones!$1:$1,0)</f>
        <v>7</v>
      </c>
      <c r="X1272" s="151">
        <f>+VLOOKUP(PROVEEDORES[[#This Row],[ID RETENCION]],Retenciones!$A$1:$O$25,PROVEEDORES[[#This Row],[indicador de columna]],FALSE)</f>
        <v>0</v>
      </c>
      <c r="Y1272" s="152">
        <f>+VLOOKUP(PROVEEDORES[[#This Row],[ID RETENCION]],Retenciones!$A$1:$O$25,2,FALSE)</f>
        <v>0</v>
      </c>
      <c r="Z1272" s="153" t="b">
        <f>+OR(COUNTIF(PROVEEDORES[[#This Row],[PROVEEDOR]],"*"&amp;'Palabra que no opera y Listas d'!$A$2&amp;"*"))</f>
        <v>0</v>
      </c>
    </row>
    <row r="1273" spans="1:26" ht="27.75" customHeight="1" x14ac:dyDescent="0.3">
      <c r="A1273" s="144" t="str">
        <f>+IF(PROVEEDORES[[#This Row],[FECHA DE PAGO]]=PROVEEDORES[[#This Row],[FECHA DE FACTURACIÓN]],"DE CONTADO","CRÉDITO")</f>
        <v>CRÉDITO</v>
      </c>
      <c r="B1273" s="144" t="str">
        <f>+IF((PROVEEDORES[[#This Row],[FECHA DE PAGO]]-PROVEEDORES[[#This Row],[FECHA DE FACTURACIÓN]])&gt;PROVEEDORES[[#This Row],[PLAZO Días]],"PAGO VENCIDO")</f>
        <v>PAGO VENCIDO</v>
      </c>
      <c r="C1273" s="144">
        <f>+VLOOKUP(PROVEEDORES[[#This Row],[PROVEEDOR]],TERCEROS_INFO[#All],2,FALSE)</f>
        <v>0</v>
      </c>
      <c r="D1273" s="145">
        <f>+SUMIFS(PROVEEDORES[Total],PROVEEDORES[PROVEEDOR],PROVEEDORES[[#This Row],[PROVEEDOR]],PROVEEDORES[FECHA DE PAGO],"")</f>
        <v>26134091.5</v>
      </c>
      <c r="E1273" s="146"/>
      <c r="F1273" s="144">
        <f>+VLOOKUP(PROVEEDORES[[#This Row],[PROVEEDOR]],
                       Terceros!$A:$G,
                       5,
                       FALSE)</f>
        <v>0</v>
      </c>
      <c r="G1273" s="122">
        <v>45342</v>
      </c>
      <c r="H1273" s="102" t="s">
        <v>238</v>
      </c>
      <c r="I1273" s="122">
        <v>45292</v>
      </c>
      <c r="J1273" s="103">
        <v>1884</v>
      </c>
      <c r="K1273" s="103" t="s">
        <v>1512</v>
      </c>
      <c r="L1273" s="103" t="s">
        <v>1516</v>
      </c>
      <c r="M1273" s="105">
        <v>223400.80000000002</v>
      </c>
      <c r="N1273" s="147">
        <v>0</v>
      </c>
      <c r="O1273" s="147">
        <v>0</v>
      </c>
      <c r="P1273" s="148">
        <v>0</v>
      </c>
      <c r="Q1273" s="147">
        <v>0</v>
      </c>
      <c r="R1273" s="149">
        <v>223400.80000000002</v>
      </c>
      <c r="S12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3" s="150">
        <f ca="1">+IF(PROVEEDORES[[#This Row],[FECHA DE PAGO]]=0,TODAY()-PROVEEDORES[[#This Row],[FECHA DE FACTURACIÓN]]-PROVEEDORES[[#This Row],[PLAZO Días]],0)</f>
        <v>0</v>
      </c>
      <c r="U1273" s="150">
        <f>+VLOOKUP(PROVEEDORES[[#This Row],[PROVEEDOR]],Terceros!$A:$E,4,FALSE)</f>
        <v>0</v>
      </c>
      <c r="V1273" s="150">
        <f>+YEAR(PROVEEDORES[[#This Row],[FECHA DE FACTURACIÓN]])</f>
        <v>2024</v>
      </c>
      <c r="W1273" s="150">
        <f>+MATCH(PROVEEDORES[[#This Row],[año facturado]],Retenciones!$1:$1,0)</f>
        <v>7</v>
      </c>
      <c r="X1273" s="151">
        <f>+VLOOKUP(PROVEEDORES[[#This Row],[ID RETENCION]],Retenciones!$A$1:$O$25,PROVEEDORES[[#This Row],[indicador de columna]],FALSE)</f>
        <v>0</v>
      </c>
      <c r="Y1273" s="152">
        <f>+VLOOKUP(PROVEEDORES[[#This Row],[ID RETENCION]],Retenciones!$A$1:$O$25,2,FALSE)</f>
        <v>0</v>
      </c>
      <c r="Z1273" s="153" t="b">
        <f>+OR(COUNTIF(PROVEEDORES[[#This Row],[PROVEEDOR]],"*"&amp;'Palabra que no opera y Listas d'!$A$2&amp;"*"))</f>
        <v>0</v>
      </c>
    </row>
    <row r="1274" spans="1:26" ht="27.75" customHeight="1" x14ac:dyDescent="0.3">
      <c r="A1274" s="144" t="str">
        <f>+IF(PROVEEDORES[[#This Row],[FECHA DE PAGO]]=PROVEEDORES[[#This Row],[FECHA DE FACTURACIÓN]],"DE CONTADO","CRÉDITO")</f>
        <v>CRÉDITO</v>
      </c>
      <c r="B1274" s="144" t="str">
        <f>+IF((PROVEEDORES[[#This Row],[FECHA DE PAGO]]-PROVEEDORES[[#This Row],[FECHA DE FACTURACIÓN]])&gt;PROVEEDORES[[#This Row],[PLAZO Días]],"PAGO VENCIDO")</f>
        <v>PAGO VENCIDO</v>
      </c>
      <c r="C1274" s="144">
        <f>+VLOOKUP(PROVEEDORES[[#This Row],[PROVEEDOR]],TERCEROS_INFO[#All],2,FALSE)</f>
        <v>0</v>
      </c>
      <c r="D1274" s="145">
        <f>+SUMIFS(PROVEEDORES[Total],PROVEEDORES[PROVEEDOR],PROVEEDORES[[#This Row],[PROVEEDOR]],PROVEEDORES[FECHA DE PAGO],"")</f>
        <v>0</v>
      </c>
      <c r="E1274" s="146"/>
      <c r="F1274" s="144">
        <f>+VLOOKUP(PROVEEDORES[[#This Row],[PROVEEDOR]],
                       Terceros!$A:$G,
                       5,
                       FALSE)</f>
        <v>0</v>
      </c>
      <c r="G1274" s="122">
        <v>45342</v>
      </c>
      <c r="H1274" s="102" t="s">
        <v>1785</v>
      </c>
      <c r="I1274" s="122">
        <v>45271</v>
      </c>
      <c r="J1274" s="103" t="s">
        <v>1359</v>
      </c>
      <c r="K1274" s="103" t="s">
        <v>1512</v>
      </c>
      <c r="L1274" s="103" t="s">
        <v>1390</v>
      </c>
      <c r="M1274" s="105">
        <v>101000</v>
      </c>
      <c r="N1274" s="147">
        <v>0</v>
      </c>
      <c r="O1274" s="147">
        <v>5050</v>
      </c>
      <c r="P1274" s="148">
        <v>0</v>
      </c>
      <c r="Q1274" s="147">
        <v>0</v>
      </c>
      <c r="R1274" s="149">
        <v>95950</v>
      </c>
      <c r="S12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4" s="150">
        <f ca="1">+IF(PROVEEDORES[[#This Row],[FECHA DE PAGO]]=0,TODAY()-PROVEEDORES[[#This Row],[FECHA DE FACTURACIÓN]]-PROVEEDORES[[#This Row],[PLAZO Días]],0)</f>
        <v>0</v>
      </c>
      <c r="U1274" s="150">
        <f>+VLOOKUP(PROVEEDORES[[#This Row],[PROVEEDOR]],Terceros!$A:$E,4,FALSE)</f>
        <v>0</v>
      </c>
      <c r="V1274" s="150">
        <f>+YEAR(PROVEEDORES[[#This Row],[FECHA DE FACTURACIÓN]])</f>
        <v>2023</v>
      </c>
      <c r="W1274" s="150">
        <f>+MATCH(PROVEEDORES[[#This Row],[año facturado]],Retenciones!$1:$1,0)</f>
        <v>6</v>
      </c>
      <c r="X1274" s="151">
        <f>+VLOOKUP(PROVEEDORES[[#This Row],[ID RETENCION]],Retenciones!$A$1:$O$25,PROVEEDORES[[#This Row],[indicador de columna]],FALSE)</f>
        <v>0</v>
      </c>
      <c r="Y1274" s="152">
        <f>+VLOOKUP(PROVEEDORES[[#This Row],[ID RETENCION]],Retenciones!$A$1:$O$25,2,FALSE)</f>
        <v>0</v>
      </c>
      <c r="Z1274" s="153" t="b">
        <f>+OR(COUNTIF(PROVEEDORES[[#This Row],[PROVEEDOR]],"*"&amp;'Palabra que no opera y Listas d'!$A$2&amp;"*"))</f>
        <v>0</v>
      </c>
    </row>
    <row r="1275" spans="1:26" ht="27.75" customHeight="1" x14ac:dyDescent="0.3">
      <c r="A1275" s="144" t="str">
        <f>+IF(PROVEEDORES[[#This Row],[FECHA DE PAGO]]=PROVEEDORES[[#This Row],[FECHA DE FACTURACIÓN]],"DE CONTADO","CRÉDITO")</f>
        <v>CRÉDITO</v>
      </c>
      <c r="B1275" s="144" t="str">
        <f>+IF((PROVEEDORES[[#This Row],[FECHA DE PAGO]]-PROVEEDORES[[#This Row],[FECHA DE FACTURACIÓN]])&gt;PROVEEDORES[[#This Row],[PLAZO Días]],"PAGO VENCIDO")</f>
        <v>PAGO VENCIDO</v>
      </c>
      <c r="C1275" s="144">
        <f>+VLOOKUP(PROVEEDORES[[#This Row],[PROVEEDOR]],TERCEROS_INFO[#All],2,FALSE)</f>
        <v>0</v>
      </c>
      <c r="D1275" s="145">
        <f>+SUMIFS(PROVEEDORES[Total],PROVEEDORES[PROVEEDOR],PROVEEDORES[[#This Row],[PROVEEDOR]],PROVEEDORES[FECHA DE PAGO],"")</f>
        <v>26134091.5</v>
      </c>
      <c r="E1275" s="146"/>
      <c r="F1275" s="144">
        <f>+VLOOKUP(PROVEEDORES[[#This Row],[PROVEEDOR]],
                       Terceros!$A:$G,
                       5,
                       FALSE)</f>
        <v>0</v>
      </c>
      <c r="G1275" s="122">
        <v>45342</v>
      </c>
      <c r="H1275" s="102" t="s">
        <v>238</v>
      </c>
      <c r="I1275" s="122">
        <v>45311</v>
      </c>
      <c r="J1275" s="103" t="s">
        <v>1442</v>
      </c>
      <c r="K1275" s="103" t="s">
        <v>1512</v>
      </c>
      <c r="L1275" s="103" t="s">
        <v>1516</v>
      </c>
      <c r="M1275" s="105">
        <v>510630.40000000002</v>
      </c>
      <c r="N1275" s="147">
        <v>0</v>
      </c>
      <c r="O1275" s="147">
        <v>0</v>
      </c>
      <c r="P1275" s="148">
        <v>0</v>
      </c>
      <c r="Q1275" s="147">
        <v>0</v>
      </c>
      <c r="R1275" s="149">
        <v>510630.40000000002</v>
      </c>
      <c r="S12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5" s="150">
        <f ca="1">+IF(PROVEEDORES[[#This Row],[FECHA DE PAGO]]=0,TODAY()-PROVEEDORES[[#This Row],[FECHA DE FACTURACIÓN]]-PROVEEDORES[[#This Row],[PLAZO Días]],0)</f>
        <v>0</v>
      </c>
      <c r="U1275" s="150">
        <f>+VLOOKUP(PROVEEDORES[[#This Row],[PROVEEDOR]],Terceros!$A:$E,4,FALSE)</f>
        <v>0</v>
      </c>
      <c r="V1275" s="150">
        <f>+YEAR(PROVEEDORES[[#This Row],[FECHA DE FACTURACIÓN]])</f>
        <v>2024</v>
      </c>
      <c r="W1275" s="150">
        <f>+MATCH(PROVEEDORES[[#This Row],[año facturado]],Retenciones!$1:$1,0)</f>
        <v>7</v>
      </c>
      <c r="X1275" s="151">
        <f>+VLOOKUP(PROVEEDORES[[#This Row],[ID RETENCION]],Retenciones!$A$1:$O$25,PROVEEDORES[[#This Row],[indicador de columna]],FALSE)</f>
        <v>0</v>
      </c>
      <c r="Y1275" s="152">
        <f>+VLOOKUP(PROVEEDORES[[#This Row],[ID RETENCION]],Retenciones!$A$1:$O$25,2,FALSE)</f>
        <v>0</v>
      </c>
      <c r="Z1275" s="153" t="b">
        <f>+OR(COUNTIF(PROVEEDORES[[#This Row],[PROVEEDOR]],"*"&amp;'Palabra que no opera y Listas d'!$A$2&amp;"*"))</f>
        <v>0</v>
      </c>
    </row>
    <row r="1276" spans="1:26" ht="27.75" customHeight="1" x14ac:dyDescent="0.3">
      <c r="A1276" s="144" t="str">
        <f>+IF(PROVEEDORES[[#This Row],[FECHA DE PAGO]]=PROVEEDORES[[#This Row],[FECHA DE FACTURACIÓN]],"DE CONTADO","CRÉDITO")</f>
        <v>CRÉDITO</v>
      </c>
      <c r="B1276" s="144" t="str">
        <f>+IF((PROVEEDORES[[#This Row],[FECHA DE PAGO]]-PROVEEDORES[[#This Row],[FECHA DE FACTURACIÓN]])&gt;PROVEEDORES[[#This Row],[PLAZO Días]],"PAGO VENCIDO")</f>
        <v>PAGO VENCIDO</v>
      </c>
      <c r="C1276" s="144">
        <f>+VLOOKUP(PROVEEDORES[[#This Row],[PROVEEDOR]],TERCEROS_INFO[#All],2,FALSE)</f>
        <v>0</v>
      </c>
      <c r="D1276" s="145">
        <f>+SUMIFS(PROVEEDORES[Total],PROVEEDORES[PROVEEDOR],PROVEEDORES[[#This Row],[PROVEEDOR]],PROVEEDORES[FECHA DE PAGO],"")</f>
        <v>26134091.5</v>
      </c>
      <c r="E1276" s="146"/>
      <c r="F1276" s="144">
        <f>+VLOOKUP(PROVEEDORES[[#This Row],[PROVEEDOR]],
                       Terceros!$A:$G,
                       5,
                       FALSE)</f>
        <v>0</v>
      </c>
      <c r="G1276" s="122">
        <v>45342</v>
      </c>
      <c r="H1276" s="102" t="s">
        <v>238</v>
      </c>
      <c r="I1276" s="122">
        <v>45311</v>
      </c>
      <c r="J1276" s="103">
        <v>1892</v>
      </c>
      <c r="K1276" s="103" t="s">
        <v>1512</v>
      </c>
      <c r="L1276" s="103" t="s">
        <v>1516</v>
      </c>
      <c r="M1276" s="105">
        <v>1456094.5</v>
      </c>
      <c r="N1276" s="147">
        <v>0</v>
      </c>
      <c r="O1276" s="147">
        <v>0</v>
      </c>
      <c r="P1276" s="148">
        <v>0</v>
      </c>
      <c r="Q1276" s="147">
        <v>0</v>
      </c>
      <c r="R1276" s="149">
        <v>1456094.5</v>
      </c>
      <c r="S12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6" s="150">
        <f ca="1">+IF(PROVEEDORES[[#This Row],[FECHA DE PAGO]]=0,TODAY()-PROVEEDORES[[#This Row],[FECHA DE FACTURACIÓN]]-PROVEEDORES[[#This Row],[PLAZO Días]],0)</f>
        <v>0</v>
      </c>
      <c r="U1276" s="150">
        <f>+VLOOKUP(PROVEEDORES[[#This Row],[PROVEEDOR]],Terceros!$A:$E,4,FALSE)</f>
        <v>0</v>
      </c>
      <c r="V1276" s="150">
        <f>+YEAR(PROVEEDORES[[#This Row],[FECHA DE FACTURACIÓN]])</f>
        <v>2024</v>
      </c>
      <c r="W1276" s="150">
        <f>+MATCH(PROVEEDORES[[#This Row],[año facturado]],Retenciones!$1:$1,0)</f>
        <v>7</v>
      </c>
      <c r="X1276" s="151">
        <f>+VLOOKUP(PROVEEDORES[[#This Row],[ID RETENCION]],Retenciones!$A$1:$O$25,PROVEEDORES[[#This Row],[indicador de columna]],FALSE)</f>
        <v>0</v>
      </c>
      <c r="Y1276" s="152">
        <f>+VLOOKUP(PROVEEDORES[[#This Row],[ID RETENCION]],Retenciones!$A$1:$O$25,2,FALSE)</f>
        <v>0</v>
      </c>
      <c r="Z1276" s="153" t="b">
        <f>+OR(COUNTIF(PROVEEDORES[[#This Row],[PROVEEDOR]],"*"&amp;'Palabra que no opera y Listas d'!$A$2&amp;"*"))</f>
        <v>0</v>
      </c>
    </row>
    <row r="1277" spans="1:26" ht="27.75" customHeight="1" x14ac:dyDescent="0.3">
      <c r="A1277" s="144" t="str">
        <f>+IF(PROVEEDORES[[#This Row],[FECHA DE PAGO]]=PROVEEDORES[[#This Row],[FECHA DE FACTURACIÓN]],"DE CONTADO","CRÉDITO")</f>
        <v>CRÉDITO</v>
      </c>
      <c r="B1277" s="144" t="str">
        <f>+IF((PROVEEDORES[[#This Row],[FECHA DE PAGO]]-PROVEEDORES[[#This Row],[FECHA DE FACTURACIÓN]])&gt;PROVEEDORES[[#This Row],[PLAZO Días]],"PAGO VENCIDO")</f>
        <v>PAGO VENCIDO</v>
      </c>
      <c r="C1277" s="144">
        <f>+VLOOKUP(PROVEEDORES[[#This Row],[PROVEEDOR]],TERCEROS_INFO[#All],2,FALSE)</f>
        <v>0</v>
      </c>
      <c r="D1277" s="145">
        <f>+SUMIFS(PROVEEDORES[Total],PROVEEDORES[PROVEEDOR],PROVEEDORES[[#This Row],[PROVEEDOR]],PROVEEDORES[FECHA DE PAGO],"")</f>
        <v>26134091.5</v>
      </c>
      <c r="E1277" s="146"/>
      <c r="F1277" s="144">
        <f>+VLOOKUP(PROVEEDORES[[#This Row],[PROVEEDOR]],
                       Terceros!$A:$G,
                       5,
                       FALSE)</f>
        <v>0</v>
      </c>
      <c r="G1277" s="122">
        <v>45342</v>
      </c>
      <c r="H1277" s="102" t="s">
        <v>238</v>
      </c>
      <c r="I1277" s="122">
        <v>45321</v>
      </c>
      <c r="J1277" s="103" t="s">
        <v>1468</v>
      </c>
      <c r="K1277" s="103" t="s">
        <v>1512</v>
      </c>
      <c r="L1277" s="103" t="s">
        <v>1516</v>
      </c>
      <c r="M1277" s="105">
        <v>526587.6</v>
      </c>
      <c r="N1277" s="147">
        <v>0</v>
      </c>
      <c r="O1277" s="147">
        <v>0</v>
      </c>
      <c r="P1277" s="148">
        <v>0</v>
      </c>
      <c r="Q1277" s="147">
        <v>0</v>
      </c>
      <c r="R1277" s="149">
        <v>526587.6</v>
      </c>
      <c r="S12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7" s="150">
        <f ca="1">+IF(PROVEEDORES[[#This Row],[FECHA DE PAGO]]=0,TODAY()-PROVEEDORES[[#This Row],[FECHA DE FACTURACIÓN]]-PROVEEDORES[[#This Row],[PLAZO Días]],0)</f>
        <v>0</v>
      </c>
      <c r="U1277" s="150">
        <f>+VLOOKUP(PROVEEDORES[[#This Row],[PROVEEDOR]],Terceros!$A:$E,4,FALSE)</f>
        <v>0</v>
      </c>
      <c r="V1277" s="150">
        <f>+YEAR(PROVEEDORES[[#This Row],[FECHA DE FACTURACIÓN]])</f>
        <v>2024</v>
      </c>
      <c r="W1277" s="150">
        <f>+MATCH(PROVEEDORES[[#This Row],[año facturado]],Retenciones!$1:$1,0)</f>
        <v>7</v>
      </c>
      <c r="X1277" s="151">
        <f>+VLOOKUP(PROVEEDORES[[#This Row],[ID RETENCION]],Retenciones!$A$1:$O$25,PROVEEDORES[[#This Row],[indicador de columna]],FALSE)</f>
        <v>0</v>
      </c>
      <c r="Y1277" s="152">
        <f>+VLOOKUP(PROVEEDORES[[#This Row],[ID RETENCION]],Retenciones!$A$1:$O$25,2,FALSE)</f>
        <v>0</v>
      </c>
      <c r="Z1277" s="153" t="b">
        <f>+OR(COUNTIF(PROVEEDORES[[#This Row],[PROVEEDOR]],"*"&amp;'Palabra que no opera y Listas d'!$A$2&amp;"*"))</f>
        <v>0</v>
      </c>
    </row>
    <row r="1278" spans="1:26" ht="27.75" customHeight="1" x14ac:dyDescent="0.3">
      <c r="A1278" s="144" t="str">
        <f>+IF(PROVEEDORES[[#This Row],[FECHA DE PAGO]]=PROVEEDORES[[#This Row],[FECHA DE FACTURACIÓN]],"DE CONTADO","CRÉDITO")</f>
        <v>CRÉDITO</v>
      </c>
      <c r="B1278" s="144" t="str">
        <f>+IF((PROVEEDORES[[#This Row],[FECHA DE PAGO]]-PROVEEDORES[[#This Row],[FECHA DE FACTURACIÓN]])&gt;PROVEEDORES[[#This Row],[PLAZO Días]],"PAGO VENCIDO")</f>
        <v>PAGO VENCIDO</v>
      </c>
      <c r="C1278" s="144">
        <f>+VLOOKUP(PROVEEDORES[[#This Row],[PROVEEDOR]],TERCEROS_INFO[#All],2,FALSE)</f>
        <v>0</v>
      </c>
      <c r="D1278" s="145">
        <f>+SUMIFS(PROVEEDORES[Total],PROVEEDORES[PROVEEDOR],PROVEEDORES[[#This Row],[PROVEEDOR]],PROVEEDORES[FECHA DE PAGO],"")</f>
        <v>0</v>
      </c>
      <c r="E1278" s="146"/>
      <c r="F1278" s="144">
        <f>+VLOOKUP(PROVEEDORES[[#This Row],[PROVEEDOR]],
                       Terceros!$A:$G,
                       5,
                       FALSE)</f>
        <v>0</v>
      </c>
      <c r="G1278" s="122">
        <v>45342</v>
      </c>
      <c r="H1278" s="102" t="s">
        <v>1785</v>
      </c>
      <c r="I1278" s="122">
        <v>45271</v>
      </c>
      <c r="J1278" s="103" t="s">
        <v>1358</v>
      </c>
      <c r="K1278" s="103" t="s">
        <v>1512</v>
      </c>
      <c r="L1278" s="103" t="s">
        <v>1390</v>
      </c>
      <c r="M1278" s="105">
        <v>4925000</v>
      </c>
      <c r="N1278" s="147">
        <v>0</v>
      </c>
      <c r="O1278" s="147">
        <v>0</v>
      </c>
      <c r="P1278" s="148">
        <v>0</v>
      </c>
      <c r="Q1278" s="147">
        <v>0</v>
      </c>
      <c r="R1278" s="149">
        <v>4925000</v>
      </c>
      <c r="S12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8" s="150">
        <f ca="1">+IF(PROVEEDORES[[#This Row],[FECHA DE PAGO]]=0,TODAY()-PROVEEDORES[[#This Row],[FECHA DE FACTURACIÓN]]-PROVEEDORES[[#This Row],[PLAZO Días]],0)</f>
        <v>0</v>
      </c>
      <c r="U1278" s="150">
        <f>+VLOOKUP(PROVEEDORES[[#This Row],[PROVEEDOR]],Terceros!$A:$E,4,FALSE)</f>
        <v>0</v>
      </c>
      <c r="V1278" s="150">
        <f>+YEAR(PROVEEDORES[[#This Row],[FECHA DE FACTURACIÓN]])</f>
        <v>2023</v>
      </c>
      <c r="W1278" s="150">
        <f>+MATCH(PROVEEDORES[[#This Row],[año facturado]],Retenciones!$1:$1,0)</f>
        <v>6</v>
      </c>
      <c r="X1278" s="151">
        <f>+VLOOKUP(PROVEEDORES[[#This Row],[ID RETENCION]],Retenciones!$A$1:$O$25,PROVEEDORES[[#This Row],[indicador de columna]],FALSE)</f>
        <v>0</v>
      </c>
      <c r="Y1278" s="152">
        <f>+VLOOKUP(PROVEEDORES[[#This Row],[ID RETENCION]],Retenciones!$A$1:$O$25,2,FALSE)</f>
        <v>0</v>
      </c>
      <c r="Z1278" s="153" t="b">
        <f>+OR(COUNTIF(PROVEEDORES[[#This Row],[PROVEEDOR]],"*"&amp;'Palabra que no opera y Listas d'!$A$2&amp;"*"))</f>
        <v>0</v>
      </c>
    </row>
    <row r="1279" spans="1:26" ht="27.75" customHeight="1" x14ac:dyDescent="0.3">
      <c r="A1279" s="144" t="str">
        <f>+IF(PROVEEDORES[[#This Row],[FECHA DE PAGO]]=PROVEEDORES[[#This Row],[FECHA DE FACTURACIÓN]],"DE CONTADO","CRÉDITO")</f>
        <v>CRÉDITO</v>
      </c>
      <c r="B1279" s="144" t="b">
        <f>+IF((PROVEEDORES[[#This Row],[FECHA DE PAGO]]-PROVEEDORES[[#This Row],[FECHA DE FACTURACIÓN]])&gt;PROVEEDORES[[#This Row],[PLAZO Días]],"PAGO VENCIDO")</f>
        <v>0</v>
      </c>
      <c r="C1279" s="144">
        <f>+VLOOKUP(PROVEEDORES[[#This Row],[PROVEEDOR]],TERCEROS_INFO[#All],2,FALSE)</f>
        <v>0</v>
      </c>
      <c r="D1279" s="145">
        <f>+SUMIFS(PROVEEDORES[Total],PROVEEDORES[PROVEEDOR],PROVEEDORES[[#This Row],[PROVEEDOR]],PROVEEDORES[FECHA DE PAGO],"")</f>
        <v>0</v>
      </c>
      <c r="E1279" s="146"/>
      <c r="F1279" s="144">
        <f>+VLOOKUP(PROVEEDORES[[#This Row],[PROVEEDOR]],
                       Terceros!$A:$G,
                       5,
                       FALSE)</f>
        <v>0</v>
      </c>
      <c r="G1279" s="122">
        <v>45342</v>
      </c>
      <c r="H1279" s="102" t="s">
        <v>1785</v>
      </c>
      <c r="I1279" s="122">
        <v>45343</v>
      </c>
      <c r="J1279" s="103" t="s">
        <v>1717</v>
      </c>
      <c r="K1279" s="103" t="s">
        <v>1512</v>
      </c>
      <c r="L1279" s="103"/>
      <c r="M1279" s="105">
        <v>100000</v>
      </c>
      <c r="N1279" s="147">
        <v>0</v>
      </c>
      <c r="O1279" s="147">
        <v>0</v>
      </c>
      <c r="P1279" s="148">
        <v>0</v>
      </c>
      <c r="Q1279" s="147">
        <v>0</v>
      </c>
      <c r="R1279" s="149">
        <v>100000</v>
      </c>
      <c r="S12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9" s="150">
        <f ca="1">+IF(PROVEEDORES[[#This Row],[FECHA DE PAGO]]=0,TODAY()-PROVEEDORES[[#This Row],[FECHA DE FACTURACIÓN]]-PROVEEDORES[[#This Row],[PLAZO Días]],0)</f>
        <v>0</v>
      </c>
      <c r="U1279" s="150">
        <f>+VLOOKUP(PROVEEDORES[[#This Row],[PROVEEDOR]],Terceros!$A:$E,4,FALSE)</f>
        <v>0</v>
      </c>
      <c r="V1279" s="150">
        <f>+YEAR(PROVEEDORES[[#This Row],[FECHA DE FACTURACIÓN]])</f>
        <v>2024</v>
      </c>
      <c r="W1279" s="150">
        <f>+MATCH(PROVEEDORES[[#This Row],[año facturado]],Retenciones!$1:$1,0)</f>
        <v>7</v>
      </c>
      <c r="X1279" s="151">
        <f>+VLOOKUP(PROVEEDORES[[#This Row],[ID RETENCION]],Retenciones!$A$1:$O$25,PROVEEDORES[[#This Row],[indicador de columna]],FALSE)</f>
        <v>0</v>
      </c>
      <c r="Y1279" s="152">
        <f>+VLOOKUP(PROVEEDORES[[#This Row],[ID RETENCION]],Retenciones!$A$1:$O$25,2,FALSE)</f>
        <v>0</v>
      </c>
      <c r="Z1279" s="153" t="b">
        <f>+OR(COUNTIF(PROVEEDORES[[#This Row],[PROVEEDOR]],"*"&amp;'Palabra que no opera y Listas d'!$A$2&amp;"*"))</f>
        <v>0</v>
      </c>
    </row>
    <row r="1280" spans="1:26" ht="27.75" customHeight="1" x14ac:dyDescent="0.3">
      <c r="A1280" s="144" t="str">
        <f>+IF(PROVEEDORES[[#This Row],[FECHA DE PAGO]]=PROVEEDORES[[#This Row],[FECHA DE FACTURACIÓN]],"DE CONTADO","CRÉDITO")</f>
        <v>CRÉDITO</v>
      </c>
      <c r="B1280" s="144" t="str">
        <f>+IF((PROVEEDORES[[#This Row],[FECHA DE PAGO]]-PROVEEDORES[[#This Row],[FECHA DE FACTURACIÓN]])&gt;PROVEEDORES[[#This Row],[PLAZO Días]],"PAGO VENCIDO")</f>
        <v>PAGO VENCIDO</v>
      </c>
      <c r="C1280" s="144">
        <f>+VLOOKUP(PROVEEDORES[[#This Row],[PROVEEDOR]],TERCEROS_INFO[#All],2,FALSE)</f>
        <v>0</v>
      </c>
      <c r="D1280" s="145">
        <f>+SUMIFS(PROVEEDORES[Total],PROVEEDORES[PROVEEDOR],PROVEEDORES[[#This Row],[PROVEEDOR]],PROVEEDORES[FECHA DE PAGO],"")</f>
        <v>26134091.5</v>
      </c>
      <c r="E1280" s="146"/>
      <c r="F1280" s="144">
        <f>+VLOOKUP(PROVEEDORES[[#This Row],[PROVEEDOR]],
                       Terceros!$A:$G,
                       5,
                       FALSE)</f>
        <v>0</v>
      </c>
      <c r="G1280" s="122">
        <v>45342</v>
      </c>
      <c r="H1280" s="102" t="s">
        <v>238</v>
      </c>
      <c r="I1280" s="122">
        <v>45337</v>
      </c>
      <c r="J1280" s="103">
        <v>1916</v>
      </c>
      <c r="K1280" s="103" t="s">
        <v>516</v>
      </c>
      <c r="L1280" s="103" t="s">
        <v>1516</v>
      </c>
      <c r="M1280" s="105">
        <v>590416.4</v>
      </c>
      <c r="N1280" s="147">
        <v>0</v>
      </c>
      <c r="O1280" s="147">
        <v>0</v>
      </c>
      <c r="P1280" s="148">
        <v>0</v>
      </c>
      <c r="Q1280" s="147">
        <v>0</v>
      </c>
      <c r="R1280" s="149">
        <v>590416.4</v>
      </c>
      <c r="S12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0" s="150">
        <f ca="1">+IF(PROVEEDORES[[#This Row],[FECHA DE PAGO]]=0,TODAY()-PROVEEDORES[[#This Row],[FECHA DE FACTURACIÓN]]-PROVEEDORES[[#This Row],[PLAZO Días]],0)</f>
        <v>0</v>
      </c>
      <c r="U1280" s="150">
        <f>+VLOOKUP(PROVEEDORES[[#This Row],[PROVEEDOR]],Terceros!$A:$E,4,FALSE)</f>
        <v>0</v>
      </c>
      <c r="V1280" s="150">
        <f>+YEAR(PROVEEDORES[[#This Row],[FECHA DE FACTURACIÓN]])</f>
        <v>2024</v>
      </c>
      <c r="W1280" s="150">
        <f>+MATCH(PROVEEDORES[[#This Row],[año facturado]],Retenciones!$1:$1,0)</f>
        <v>7</v>
      </c>
      <c r="X1280" s="151">
        <f>+VLOOKUP(PROVEEDORES[[#This Row],[ID RETENCION]],Retenciones!$A$1:$O$25,PROVEEDORES[[#This Row],[indicador de columna]],FALSE)</f>
        <v>0</v>
      </c>
      <c r="Y1280" s="152">
        <f>+VLOOKUP(PROVEEDORES[[#This Row],[ID RETENCION]],Retenciones!$A$1:$O$25,2,FALSE)</f>
        <v>0</v>
      </c>
      <c r="Z1280" s="153" t="b">
        <f>+OR(COUNTIF(PROVEEDORES[[#This Row],[PROVEEDOR]],"*"&amp;'Palabra que no opera y Listas d'!$A$2&amp;"*"))</f>
        <v>0</v>
      </c>
    </row>
    <row r="1281" spans="1:26" ht="27.75" customHeight="1" x14ac:dyDescent="0.3">
      <c r="A1281" s="144" t="str">
        <f>+IF(PROVEEDORES[[#This Row],[FECHA DE PAGO]]=PROVEEDORES[[#This Row],[FECHA DE FACTURACIÓN]],"DE CONTADO","CRÉDITO")</f>
        <v>CRÉDITO</v>
      </c>
      <c r="B1281" s="144" t="str">
        <f>+IF((PROVEEDORES[[#This Row],[FECHA DE PAGO]]-PROVEEDORES[[#This Row],[FECHA DE FACTURACIÓN]])&gt;PROVEEDORES[[#This Row],[PLAZO Días]],"PAGO VENCIDO")</f>
        <v>PAGO VENCIDO</v>
      </c>
      <c r="C1281" s="144">
        <f>+VLOOKUP(PROVEEDORES[[#This Row],[PROVEEDOR]],TERCEROS_INFO[#All],2,FALSE)</f>
        <v>0</v>
      </c>
      <c r="D1281" s="145">
        <f>+SUMIFS(PROVEEDORES[Total],PROVEEDORES[PROVEEDOR],PROVEEDORES[[#This Row],[PROVEEDOR]],PROVEEDORES[FECHA DE PAGO],"")</f>
        <v>26134091.5</v>
      </c>
      <c r="E1281" s="146"/>
      <c r="F1281" s="144">
        <f>+VLOOKUP(PROVEEDORES[[#This Row],[PROVEEDOR]],
                       Terceros!$A:$G,
                       5,
                       FALSE)</f>
        <v>0</v>
      </c>
      <c r="G1281" s="122">
        <v>45342</v>
      </c>
      <c r="H1281" s="102" t="s">
        <v>238</v>
      </c>
      <c r="I1281" s="122">
        <v>45337</v>
      </c>
      <c r="J1281" s="103">
        <v>1917</v>
      </c>
      <c r="K1281" s="103" t="s">
        <v>516</v>
      </c>
      <c r="L1281" s="103" t="s">
        <v>1516</v>
      </c>
      <c r="M1281" s="105">
        <v>335101.2</v>
      </c>
      <c r="N1281" s="147">
        <v>0</v>
      </c>
      <c r="O1281" s="147">
        <v>0</v>
      </c>
      <c r="P1281" s="148">
        <v>0</v>
      </c>
      <c r="Q1281" s="147">
        <v>0</v>
      </c>
      <c r="R1281" s="149">
        <v>335101.2</v>
      </c>
      <c r="S12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1" s="150">
        <f ca="1">+IF(PROVEEDORES[[#This Row],[FECHA DE PAGO]]=0,TODAY()-PROVEEDORES[[#This Row],[FECHA DE FACTURACIÓN]]-PROVEEDORES[[#This Row],[PLAZO Días]],0)</f>
        <v>0</v>
      </c>
      <c r="U1281" s="150">
        <f>+VLOOKUP(PROVEEDORES[[#This Row],[PROVEEDOR]],Terceros!$A:$E,4,FALSE)</f>
        <v>0</v>
      </c>
      <c r="V1281" s="150">
        <f>+YEAR(PROVEEDORES[[#This Row],[FECHA DE FACTURACIÓN]])</f>
        <v>2024</v>
      </c>
      <c r="W1281" s="150">
        <f>+MATCH(PROVEEDORES[[#This Row],[año facturado]],Retenciones!$1:$1,0)</f>
        <v>7</v>
      </c>
      <c r="X1281" s="151">
        <f>+VLOOKUP(PROVEEDORES[[#This Row],[ID RETENCION]],Retenciones!$A$1:$O$25,PROVEEDORES[[#This Row],[indicador de columna]],FALSE)</f>
        <v>0</v>
      </c>
      <c r="Y1281" s="152">
        <f>+VLOOKUP(PROVEEDORES[[#This Row],[ID RETENCION]],Retenciones!$A$1:$O$25,2,FALSE)</f>
        <v>0</v>
      </c>
      <c r="Z1281" s="153" t="b">
        <f>+OR(COUNTIF(PROVEEDORES[[#This Row],[PROVEEDOR]],"*"&amp;'Palabra que no opera y Listas d'!$A$2&amp;"*"))</f>
        <v>0</v>
      </c>
    </row>
    <row r="1282" spans="1:26" ht="27.75" customHeight="1" x14ac:dyDescent="0.3">
      <c r="A1282" s="144" t="str">
        <f>+IF(PROVEEDORES[[#This Row],[FECHA DE PAGO]]=PROVEEDORES[[#This Row],[FECHA DE FACTURACIÓN]],"DE CONTADO","CRÉDITO")</f>
        <v>CRÉDITO</v>
      </c>
      <c r="B1282" s="144" t="str">
        <f>+IF((PROVEEDORES[[#This Row],[FECHA DE PAGO]]-PROVEEDORES[[#This Row],[FECHA DE FACTURACIÓN]])&gt;PROVEEDORES[[#This Row],[PLAZO Días]],"PAGO VENCIDO")</f>
        <v>PAGO VENCIDO</v>
      </c>
      <c r="C1282" s="144">
        <f>+VLOOKUP(PROVEEDORES[[#This Row],[PROVEEDOR]],TERCEROS_INFO[#All],2,FALSE)</f>
        <v>0</v>
      </c>
      <c r="D1282" s="145">
        <f>+SUMIFS(PROVEEDORES[Total],PROVEEDORES[PROVEEDOR],PROVEEDORES[[#This Row],[PROVEEDOR]],PROVEEDORES[FECHA DE PAGO],"")</f>
        <v>26134091.5</v>
      </c>
      <c r="E1282" s="146"/>
      <c r="F1282" s="144">
        <f>+VLOOKUP(PROVEEDORES[[#This Row],[PROVEEDOR]],
                       Terceros!$A:$G,
                       5,
                       FALSE)</f>
        <v>0</v>
      </c>
      <c r="G1282" s="122">
        <v>45342</v>
      </c>
      <c r="H1282" s="102" t="s">
        <v>238</v>
      </c>
      <c r="I1282" s="122">
        <v>45337</v>
      </c>
      <c r="J1282" s="103">
        <v>1918</v>
      </c>
      <c r="K1282" s="103" t="s">
        <v>516</v>
      </c>
      <c r="L1282" s="103" t="s">
        <v>1516</v>
      </c>
      <c r="M1282" s="105">
        <v>223400.80000000002</v>
      </c>
      <c r="N1282" s="147">
        <v>0</v>
      </c>
      <c r="O1282" s="147">
        <v>0</v>
      </c>
      <c r="P1282" s="148">
        <v>0</v>
      </c>
      <c r="Q1282" s="147">
        <v>0</v>
      </c>
      <c r="R1282" s="149">
        <v>223400.80000000002</v>
      </c>
      <c r="S12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2" s="150">
        <f ca="1">+IF(PROVEEDORES[[#This Row],[FECHA DE PAGO]]=0,TODAY()-PROVEEDORES[[#This Row],[FECHA DE FACTURACIÓN]]-PROVEEDORES[[#This Row],[PLAZO Días]],0)</f>
        <v>0</v>
      </c>
      <c r="U1282" s="150">
        <f>+VLOOKUP(PROVEEDORES[[#This Row],[PROVEEDOR]],Terceros!$A:$E,4,FALSE)</f>
        <v>0</v>
      </c>
      <c r="V1282" s="150">
        <f>+YEAR(PROVEEDORES[[#This Row],[FECHA DE FACTURACIÓN]])</f>
        <v>2024</v>
      </c>
      <c r="W1282" s="150">
        <f>+MATCH(PROVEEDORES[[#This Row],[año facturado]],Retenciones!$1:$1,0)</f>
        <v>7</v>
      </c>
      <c r="X1282" s="151">
        <f>+VLOOKUP(PROVEEDORES[[#This Row],[ID RETENCION]],Retenciones!$A$1:$O$25,PROVEEDORES[[#This Row],[indicador de columna]],FALSE)</f>
        <v>0</v>
      </c>
      <c r="Y1282" s="152">
        <f>+VLOOKUP(PROVEEDORES[[#This Row],[ID RETENCION]],Retenciones!$A$1:$O$25,2,FALSE)</f>
        <v>0</v>
      </c>
      <c r="Z1282" s="153" t="b">
        <f>+OR(COUNTIF(PROVEEDORES[[#This Row],[PROVEEDOR]],"*"&amp;'Palabra que no opera y Listas d'!$A$2&amp;"*"))</f>
        <v>0</v>
      </c>
    </row>
    <row r="1283" spans="1:26" ht="27.75" customHeight="1" x14ac:dyDescent="0.3">
      <c r="A1283" s="144" t="str">
        <f>+IF(PROVEEDORES[[#This Row],[FECHA DE PAGO]]=PROVEEDORES[[#This Row],[FECHA DE FACTURACIÓN]],"DE CONTADO","CRÉDITO")</f>
        <v>CRÉDITO</v>
      </c>
      <c r="B1283" s="144" t="str">
        <f>+IF((PROVEEDORES[[#This Row],[FECHA DE PAGO]]-PROVEEDORES[[#This Row],[FECHA DE FACTURACIÓN]])&gt;PROVEEDORES[[#This Row],[PLAZO Días]],"PAGO VENCIDO")</f>
        <v>PAGO VENCIDO</v>
      </c>
      <c r="C1283" s="144">
        <f>+VLOOKUP(PROVEEDORES[[#This Row],[PROVEEDOR]],TERCEROS_INFO[#All],2,FALSE)</f>
        <v>0</v>
      </c>
      <c r="D1283" s="145">
        <f>+SUMIFS(PROVEEDORES[Total],PROVEEDORES[PROVEEDOR],PROVEEDORES[[#This Row],[PROVEEDOR]],PROVEEDORES[FECHA DE PAGO],"")</f>
        <v>26134091.5</v>
      </c>
      <c r="E1283" s="146"/>
      <c r="F1283" s="144">
        <f>+VLOOKUP(PROVEEDORES[[#This Row],[PROVEEDOR]],
                       Terceros!$A:$G,
                       5,
                       FALSE)</f>
        <v>0</v>
      </c>
      <c r="G1283" s="122">
        <v>45342</v>
      </c>
      <c r="H1283" s="102" t="s">
        <v>238</v>
      </c>
      <c r="I1283" s="122">
        <v>45337</v>
      </c>
      <c r="J1283" s="103">
        <v>1919</v>
      </c>
      <c r="K1283" s="103" t="s">
        <v>516</v>
      </c>
      <c r="L1283" s="103" t="s">
        <v>1516</v>
      </c>
      <c r="M1283" s="105">
        <v>351058.4</v>
      </c>
      <c r="N1283" s="147">
        <v>0</v>
      </c>
      <c r="O1283" s="147">
        <v>0</v>
      </c>
      <c r="P1283" s="148">
        <v>0</v>
      </c>
      <c r="Q1283" s="147">
        <v>0</v>
      </c>
      <c r="R1283" s="149">
        <v>351058.4</v>
      </c>
      <c r="S12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3" s="150">
        <f ca="1">+IF(PROVEEDORES[[#This Row],[FECHA DE PAGO]]=0,TODAY()-PROVEEDORES[[#This Row],[FECHA DE FACTURACIÓN]]-PROVEEDORES[[#This Row],[PLAZO Días]],0)</f>
        <v>0</v>
      </c>
      <c r="U1283" s="150">
        <f>+VLOOKUP(PROVEEDORES[[#This Row],[PROVEEDOR]],Terceros!$A:$E,4,FALSE)</f>
        <v>0</v>
      </c>
      <c r="V1283" s="150">
        <f>+YEAR(PROVEEDORES[[#This Row],[FECHA DE FACTURACIÓN]])</f>
        <v>2024</v>
      </c>
      <c r="W1283" s="150">
        <f>+MATCH(PROVEEDORES[[#This Row],[año facturado]],Retenciones!$1:$1,0)</f>
        <v>7</v>
      </c>
      <c r="X1283" s="151">
        <f>+VLOOKUP(PROVEEDORES[[#This Row],[ID RETENCION]],Retenciones!$A$1:$O$25,PROVEEDORES[[#This Row],[indicador de columna]],FALSE)</f>
        <v>0</v>
      </c>
      <c r="Y1283" s="152">
        <f>+VLOOKUP(PROVEEDORES[[#This Row],[ID RETENCION]],Retenciones!$A$1:$O$25,2,FALSE)</f>
        <v>0</v>
      </c>
      <c r="Z1283" s="153" t="b">
        <f>+OR(COUNTIF(PROVEEDORES[[#This Row],[PROVEEDOR]],"*"&amp;'Palabra que no opera y Listas d'!$A$2&amp;"*"))</f>
        <v>0</v>
      </c>
    </row>
    <row r="1284" spans="1:26" ht="27.75" customHeight="1" x14ac:dyDescent="0.3">
      <c r="A1284" s="144" t="str">
        <f>+IF(PROVEEDORES[[#This Row],[FECHA DE PAGO]]=PROVEEDORES[[#This Row],[FECHA DE FACTURACIÓN]],"DE CONTADO","CRÉDITO")</f>
        <v>CRÉDITO</v>
      </c>
      <c r="B1284" s="144" t="str">
        <f>+IF((PROVEEDORES[[#This Row],[FECHA DE PAGO]]-PROVEEDORES[[#This Row],[FECHA DE FACTURACIÓN]])&gt;PROVEEDORES[[#This Row],[PLAZO Días]],"PAGO VENCIDO")</f>
        <v>PAGO VENCIDO</v>
      </c>
      <c r="C1284" s="144">
        <f>+VLOOKUP(PROVEEDORES[[#This Row],[PROVEEDOR]],TERCEROS_INFO[#All],2,FALSE)</f>
        <v>0</v>
      </c>
      <c r="D1284" s="145">
        <f>+SUMIFS(PROVEEDORES[Total],PROVEEDORES[PROVEEDOR],PROVEEDORES[[#This Row],[PROVEEDOR]],PROVEEDORES[FECHA DE PAGO],"")</f>
        <v>26134091.5</v>
      </c>
      <c r="E1284" s="146"/>
      <c r="F1284" s="144">
        <f>+VLOOKUP(PROVEEDORES[[#This Row],[PROVEEDOR]],
                       Terceros!$A:$G,
                       5,
                       FALSE)</f>
        <v>0</v>
      </c>
      <c r="G1284" s="122">
        <v>45342</v>
      </c>
      <c r="H1284" s="102" t="s">
        <v>238</v>
      </c>
      <c r="I1284" s="122">
        <v>45337</v>
      </c>
      <c r="J1284" s="103">
        <v>1922</v>
      </c>
      <c r="K1284" s="103" t="s">
        <v>516</v>
      </c>
      <c r="L1284" s="103" t="s">
        <v>1516</v>
      </c>
      <c r="M1284" s="105">
        <v>207443.6</v>
      </c>
      <c r="N1284" s="147">
        <v>0</v>
      </c>
      <c r="O1284" s="147">
        <v>0</v>
      </c>
      <c r="P1284" s="148">
        <v>0</v>
      </c>
      <c r="Q1284" s="147">
        <v>0</v>
      </c>
      <c r="R1284" s="149">
        <v>207443.6</v>
      </c>
      <c r="S12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4" s="150">
        <f ca="1">+IF(PROVEEDORES[[#This Row],[FECHA DE PAGO]]=0,TODAY()-PROVEEDORES[[#This Row],[FECHA DE FACTURACIÓN]]-PROVEEDORES[[#This Row],[PLAZO Días]],0)</f>
        <v>0</v>
      </c>
      <c r="U1284" s="150">
        <f>+VLOOKUP(PROVEEDORES[[#This Row],[PROVEEDOR]],Terceros!$A:$E,4,FALSE)</f>
        <v>0</v>
      </c>
      <c r="V1284" s="150">
        <f>+YEAR(PROVEEDORES[[#This Row],[FECHA DE FACTURACIÓN]])</f>
        <v>2024</v>
      </c>
      <c r="W1284" s="150">
        <f>+MATCH(PROVEEDORES[[#This Row],[año facturado]],Retenciones!$1:$1,0)</f>
        <v>7</v>
      </c>
      <c r="X1284" s="151">
        <f>+VLOOKUP(PROVEEDORES[[#This Row],[ID RETENCION]],Retenciones!$A$1:$O$25,PROVEEDORES[[#This Row],[indicador de columna]],FALSE)</f>
        <v>0</v>
      </c>
      <c r="Y1284" s="152">
        <f>+VLOOKUP(PROVEEDORES[[#This Row],[ID RETENCION]],Retenciones!$A$1:$O$25,2,FALSE)</f>
        <v>0</v>
      </c>
      <c r="Z1284" s="153" t="b">
        <f>+OR(COUNTIF(PROVEEDORES[[#This Row],[PROVEEDOR]],"*"&amp;'Palabra que no opera y Listas d'!$A$2&amp;"*"))</f>
        <v>0</v>
      </c>
    </row>
    <row r="1285" spans="1:26" ht="27.75" customHeight="1" x14ac:dyDescent="0.3">
      <c r="A1285" s="144" t="str">
        <f>+IF(PROVEEDORES[[#This Row],[FECHA DE PAGO]]=PROVEEDORES[[#This Row],[FECHA DE FACTURACIÓN]],"DE CONTADO","CRÉDITO")</f>
        <v>CRÉDITO</v>
      </c>
      <c r="B1285" s="144" t="str">
        <f>+IF((PROVEEDORES[[#This Row],[FECHA DE PAGO]]-PROVEEDORES[[#This Row],[FECHA DE FACTURACIÓN]])&gt;PROVEEDORES[[#This Row],[PLAZO Días]],"PAGO VENCIDO")</f>
        <v>PAGO VENCIDO</v>
      </c>
      <c r="C1285" s="144">
        <f>+VLOOKUP(PROVEEDORES[[#This Row],[PROVEEDOR]],TERCEROS_INFO[#All],2,FALSE)</f>
        <v>0</v>
      </c>
      <c r="D1285" s="145">
        <f>+SUMIFS(PROVEEDORES[Total],PROVEEDORES[PROVEEDOR],PROVEEDORES[[#This Row],[PROVEEDOR]],PROVEEDORES[FECHA DE PAGO],"")</f>
        <v>0</v>
      </c>
      <c r="E1285" s="146"/>
      <c r="F1285" s="144" t="str">
        <f>+VLOOKUP(PROVEEDORES[[#This Row],[PROVEEDOR]],
                       Terceros!$A:$G,
                       5,
                       FALSE)</f>
        <v>3,5% sin base</v>
      </c>
      <c r="G1285" s="122">
        <v>45343</v>
      </c>
      <c r="H1285" s="102" t="s">
        <v>395</v>
      </c>
      <c r="I1285" s="122">
        <v>45328</v>
      </c>
      <c r="J1285" s="103" t="s">
        <v>1553</v>
      </c>
      <c r="K1285" s="103" t="s">
        <v>1512</v>
      </c>
      <c r="L1285" s="103" t="s">
        <v>1515</v>
      </c>
      <c r="M1285" s="105">
        <v>3456200</v>
      </c>
      <c r="N1285" s="147">
        <v>0</v>
      </c>
      <c r="O1285" s="147">
        <v>0</v>
      </c>
      <c r="P1285" s="148">
        <v>3.5000000000000003E-2</v>
      </c>
      <c r="Q1285" s="147">
        <v>120967.00000000001</v>
      </c>
      <c r="R1285" s="149">
        <v>3335233</v>
      </c>
      <c r="S12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5" s="150">
        <f ca="1">+IF(PROVEEDORES[[#This Row],[FECHA DE PAGO]]=0,TODAY()-PROVEEDORES[[#This Row],[FECHA DE FACTURACIÓN]]-PROVEEDORES[[#This Row],[PLAZO Días]],0)</f>
        <v>0</v>
      </c>
      <c r="U1285" s="150">
        <f>+VLOOKUP(PROVEEDORES[[#This Row],[PROVEEDOR]],Terceros!$A:$E,4,FALSE)</f>
        <v>0</v>
      </c>
      <c r="V1285" s="150">
        <f>+YEAR(PROVEEDORES[[#This Row],[FECHA DE FACTURACIÓN]])</f>
        <v>2024</v>
      </c>
      <c r="W1285" s="150">
        <f>+MATCH(PROVEEDORES[[#This Row],[año facturado]],Retenciones!$1:$1,0)</f>
        <v>7</v>
      </c>
      <c r="X1285" s="151">
        <f>+VLOOKUP(PROVEEDORES[[#This Row],[ID RETENCION]],Retenciones!$A$1:$O$25,PROVEEDORES[[#This Row],[indicador de columna]],FALSE)</f>
        <v>0</v>
      </c>
      <c r="Y1285" s="152">
        <f>+VLOOKUP(PROVEEDORES[[#This Row],[ID RETENCION]],Retenciones!$A$1:$O$25,2,FALSE)</f>
        <v>0</v>
      </c>
      <c r="Z1285" s="153" t="b">
        <f>+OR(COUNTIF(PROVEEDORES[[#This Row],[PROVEEDOR]],"*"&amp;'Palabra que no opera y Listas d'!$A$2&amp;"*"))</f>
        <v>1</v>
      </c>
    </row>
    <row r="1286" spans="1:26" ht="27.75" customHeight="1" x14ac:dyDescent="0.3">
      <c r="A1286" s="144" t="str">
        <f>+IF(PROVEEDORES[[#This Row],[FECHA DE PAGO]]=PROVEEDORES[[#This Row],[FECHA DE FACTURACIÓN]],"DE CONTADO","CRÉDITO")</f>
        <v>CRÉDITO</v>
      </c>
      <c r="B1286" s="144" t="str">
        <f>+IF((PROVEEDORES[[#This Row],[FECHA DE PAGO]]-PROVEEDORES[[#This Row],[FECHA DE FACTURACIÓN]])&gt;PROVEEDORES[[#This Row],[PLAZO Días]],"PAGO VENCIDO")</f>
        <v>PAGO VENCIDO</v>
      </c>
      <c r="C1286" s="144">
        <f>+VLOOKUP(PROVEEDORES[[#This Row],[PROVEEDOR]],TERCEROS_INFO[#All],2,FALSE)</f>
        <v>0</v>
      </c>
      <c r="D1286" s="145">
        <f>+SUMIFS(PROVEEDORES[Total],PROVEEDORES[PROVEEDOR],PROVEEDORES[[#This Row],[PROVEEDOR]],PROVEEDORES[FECHA DE PAGO],"")</f>
        <v>0</v>
      </c>
      <c r="E1286" s="146"/>
      <c r="F1286" s="144" t="str">
        <f>+VLOOKUP(PROVEEDORES[[#This Row],[PROVEEDOR]],
                       Terceros!$A:$G,
                       5,
                       FALSE)</f>
        <v>2,5% con base</v>
      </c>
      <c r="G1286" s="122">
        <v>45343</v>
      </c>
      <c r="H1286" s="102" t="s">
        <v>222</v>
      </c>
      <c r="I1286" s="122">
        <v>45342</v>
      </c>
      <c r="J1286" s="103" t="s">
        <v>1559</v>
      </c>
      <c r="K1286" s="103" t="s">
        <v>516</v>
      </c>
      <c r="L1286" s="103" t="s">
        <v>1516</v>
      </c>
      <c r="M1286" s="105">
        <v>1539986</v>
      </c>
      <c r="N1286" s="147">
        <v>76999</v>
      </c>
      <c r="O1286" s="147">
        <v>0</v>
      </c>
      <c r="P1286" s="148">
        <v>2.5000000000000001E-2</v>
      </c>
      <c r="Q1286" s="147">
        <v>38499.65</v>
      </c>
      <c r="R1286" s="149">
        <v>1578485.35</v>
      </c>
      <c r="S12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6" s="150">
        <f ca="1">+IF(PROVEEDORES[[#This Row],[FECHA DE PAGO]]=0,TODAY()-PROVEEDORES[[#This Row],[FECHA DE FACTURACIÓN]]-PROVEEDORES[[#This Row],[PLAZO Días]],0)</f>
        <v>0</v>
      </c>
      <c r="U1286" s="150">
        <f>+VLOOKUP(PROVEEDORES[[#This Row],[PROVEEDOR]],Terceros!$A:$E,4,FALSE)</f>
        <v>0.19</v>
      </c>
      <c r="V1286" s="150">
        <f>+YEAR(PROVEEDORES[[#This Row],[FECHA DE FACTURACIÓN]])</f>
        <v>2024</v>
      </c>
      <c r="W1286" s="150">
        <f>+MATCH(PROVEEDORES[[#This Row],[año facturado]],Retenciones!$1:$1,0)</f>
        <v>7</v>
      </c>
      <c r="X1286" s="151" t="e">
        <f>+VLOOKUP(PROVEEDORES[[#This Row],[ID RETENCION]],Retenciones!$A$1:$O$25,PROVEEDORES[[#This Row],[indicador de columna]],FALSE)</f>
        <v>#N/A</v>
      </c>
      <c r="Y1286" s="152" t="e">
        <f>+VLOOKUP(PROVEEDORES[[#This Row],[ID RETENCION]],Retenciones!$A$1:$O$25,2,FALSE)</f>
        <v>#N/A</v>
      </c>
      <c r="Z1286" s="153" t="b">
        <f>+OR(COUNTIF(PROVEEDORES[[#This Row],[PROVEEDOR]],"*"&amp;'Palabra que no opera y Listas d'!$A$2&amp;"*"))</f>
        <v>0</v>
      </c>
    </row>
    <row r="1287" spans="1:26" ht="27.75" customHeight="1" x14ac:dyDescent="0.3">
      <c r="A1287" s="144" t="str">
        <f>+IF(PROVEEDORES[[#This Row],[FECHA DE PAGO]]=PROVEEDORES[[#This Row],[FECHA DE FACTURACIÓN]],"DE CONTADO","CRÉDITO")</f>
        <v>DE CONTADO</v>
      </c>
      <c r="B1287" s="144" t="b">
        <f>+IF((PROVEEDORES[[#This Row],[FECHA DE PAGO]]-PROVEEDORES[[#This Row],[FECHA DE FACTURACIÓN]])&gt;PROVEEDORES[[#This Row],[PLAZO Días]],"PAGO VENCIDO")</f>
        <v>0</v>
      </c>
      <c r="C1287" s="144">
        <f>+VLOOKUP(PROVEEDORES[[#This Row],[PROVEEDOR]],TERCEROS_INFO[#All],2,FALSE)</f>
        <v>0</v>
      </c>
      <c r="D1287" s="145">
        <f>+SUMIFS(PROVEEDORES[Total],PROVEEDORES[PROVEEDOR],PROVEEDORES[[#This Row],[PROVEEDOR]],PROVEEDORES[FECHA DE PAGO],"")</f>
        <v>0</v>
      </c>
      <c r="E1287" s="146"/>
      <c r="F1287" s="144" t="str">
        <f>+VLOOKUP(PROVEEDORES[[#This Row],[PROVEEDOR]],
                       Terceros!$A:$G,
                       5,
                       FALSE)</f>
        <v>2,5% con base</v>
      </c>
      <c r="G1287" s="122">
        <v>45343</v>
      </c>
      <c r="H1287" s="102" t="s">
        <v>1169</v>
      </c>
      <c r="I1287" s="122">
        <v>45343</v>
      </c>
      <c r="J1287" s="103" t="s">
        <v>1569</v>
      </c>
      <c r="K1287" s="103" t="s">
        <v>1512</v>
      </c>
      <c r="L1287" s="103" t="s">
        <v>1390</v>
      </c>
      <c r="M1287" s="105">
        <v>552100.85</v>
      </c>
      <c r="N1287" s="147">
        <v>104899.1615</v>
      </c>
      <c r="O1287" s="147">
        <v>0</v>
      </c>
      <c r="P1287" s="148">
        <v>0</v>
      </c>
      <c r="Q1287" s="147">
        <v>0</v>
      </c>
      <c r="R1287" s="149">
        <v>657000.01150000002</v>
      </c>
      <c r="S12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7" s="150">
        <f ca="1">+IF(PROVEEDORES[[#This Row],[FECHA DE PAGO]]=0,TODAY()-PROVEEDORES[[#This Row],[FECHA DE FACTURACIÓN]]-PROVEEDORES[[#This Row],[PLAZO Días]],0)</f>
        <v>0</v>
      </c>
      <c r="U1287" s="150">
        <f>+VLOOKUP(PROVEEDORES[[#This Row],[PROVEEDOR]],Terceros!$A:$E,4,FALSE)</f>
        <v>0.19</v>
      </c>
      <c r="V1287" s="150">
        <f>+YEAR(PROVEEDORES[[#This Row],[FECHA DE FACTURACIÓN]])</f>
        <v>2024</v>
      </c>
      <c r="W1287" s="150">
        <f>+MATCH(PROVEEDORES[[#This Row],[año facturado]],Retenciones!$1:$1,0)</f>
        <v>7</v>
      </c>
      <c r="X1287" s="151" t="e">
        <f>+VLOOKUP(PROVEEDORES[[#This Row],[ID RETENCION]],Retenciones!$A$1:$O$25,PROVEEDORES[[#This Row],[indicador de columna]],FALSE)</f>
        <v>#N/A</v>
      </c>
      <c r="Y1287" s="152" t="e">
        <f>+VLOOKUP(PROVEEDORES[[#This Row],[ID RETENCION]],Retenciones!$A$1:$O$25,2,FALSE)</f>
        <v>#N/A</v>
      </c>
      <c r="Z1287" s="153" t="b">
        <f>+OR(COUNTIF(PROVEEDORES[[#This Row],[PROVEEDOR]],"*"&amp;'Palabra que no opera y Listas d'!$A$2&amp;"*"))</f>
        <v>0</v>
      </c>
    </row>
    <row r="1288" spans="1:26" ht="27.75" customHeight="1" x14ac:dyDescent="0.3">
      <c r="A1288" s="144" t="str">
        <f>+IF(PROVEEDORES[[#This Row],[FECHA DE PAGO]]=PROVEEDORES[[#This Row],[FECHA DE FACTURACIÓN]],"DE CONTADO","CRÉDITO")</f>
        <v>DE CONTADO</v>
      </c>
      <c r="B1288" s="144" t="b">
        <f>+IF((PROVEEDORES[[#This Row],[FECHA DE PAGO]]-PROVEEDORES[[#This Row],[FECHA DE FACTURACIÓN]])&gt;PROVEEDORES[[#This Row],[PLAZO Días]],"PAGO VENCIDO")</f>
        <v>0</v>
      </c>
      <c r="C1288" s="144">
        <f>+VLOOKUP(PROVEEDORES[[#This Row],[PROVEEDOR]],TERCEROS_INFO[#All],2,FALSE)</f>
        <v>0</v>
      </c>
      <c r="D1288" s="145">
        <f>+SUMIFS(PROVEEDORES[Total],PROVEEDORES[PROVEEDOR],PROVEEDORES[[#This Row],[PROVEEDOR]],PROVEEDORES[FECHA DE PAGO],"")</f>
        <v>0</v>
      </c>
      <c r="E1288" s="146"/>
      <c r="F1288" s="144">
        <f>+VLOOKUP(PROVEEDORES[[#This Row],[PROVEEDOR]],
                       Terceros!$A:$G,
                       5,
                       FALSE)</f>
        <v>0</v>
      </c>
      <c r="G1288" s="122">
        <v>45344</v>
      </c>
      <c r="H1288" s="102" t="s">
        <v>1801</v>
      </c>
      <c r="I1288" s="122">
        <v>45344</v>
      </c>
      <c r="J1288" s="103"/>
      <c r="K1288" s="103" t="s">
        <v>1512</v>
      </c>
      <c r="L1288" s="103" t="s">
        <v>1390</v>
      </c>
      <c r="M1288" s="105">
        <v>533177</v>
      </c>
      <c r="N1288" s="147">
        <v>0</v>
      </c>
      <c r="O1288" s="147">
        <v>0</v>
      </c>
      <c r="P1288" s="148">
        <v>0</v>
      </c>
      <c r="Q1288" s="147">
        <v>0</v>
      </c>
      <c r="R1288" s="149">
        <v>533177</v>
      </c>
      <c r="S12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8" s="150">
        <f ca="1">+IF(PROVEEDORES[[#This Row],[FECHA DE PAGO]]=0,TODAY()-PROVEEDORES[[#This Row],[FECHA DE FACTURACIÓN]]-PROVEEDORES[[#This Row],[PLAZO Días]],0)</f>
        <v>0</v>
      </c>
      <c r="U1288" s="150">
        <f>+VLOOKUP(PROVEEDORES[[#This Row],[PROVEEDOR]],Terceros!$A:$E,4,FALSE)</f>
        <v>0</v>
      </c>
      <c r="V1288" s="150">
        <f>+YEAR(PROVEEDORES[[#This Row],[FECHA DE FACTURACIÓN]])</f>
        <v>2024</v>
      </c>
      <c r="W1288" s="150">
        <f>+MATCH(PROVEEDORES[[#This Row],[año facturado]],Retenciones!$1:$1,0)</f>
        <v>7</v>
      </c>
      <c r="X1288" s="151">
        <f>+VLOOKUP(PROVEEDORES[[#This Row],[ID RETENCION]],Retenciones!$A$1:$O$25,PROVEEDORES[[#This Row],[indicador de columna]],FALSE)</f>
        <v>0</v>
      </c>
      <c r="Y1288" s="152">
        <f>+VLOOKUP(PROVEEDORES[[#This Row],[ID RETENCION]],Retenciones!$A$1:$O$25,2,FALSE)</f>
        <v>0</v>
      </c>
      <c r="Z1288" s="153" t="b">
        <f>+OR(COUNTIF(PROVEEDORES[[#This Row],[PROVEEDOR]],"*"&amp;'Palabra que no opera y Listas d'!$A$2&amp;"*"))</f>
        <v>0</v>
      </c>
    </row>
    <row r="1289" spans="1:26" ht="27.75" customHeight="1" x14ac:dyDescent="0.3">
      <c r="A1289" s="144" t="str">
        <f>+IF(PROVEEDORES[[#This Row],[FECHA DE PAGO]]=PROVEEDORES[[#This Row],[FECHA DE FACTURACIÓN]],"DE CONTADO","CRÉDITO")</f>
        <v>CRÉDITO</v>
      </c>
      <c r="B1289" s="144" t="str">
        <f>+IF((PROVEEDORES[[#This Row],[FECHA DE PAGO]]-PROVEEDORES[[#This Row],[FECHA DE FACTURACIÓN]])&gt;PROVEEDORES[[#This Row],[PLAZO Días]],"PAGO VENCIDO")</f>
        <v>PAGO VENCIDO</v>
      </c>
      <c r="C1289" s="144">
        <f>+VLOOKUP(PROVEEDORES[[#This Row],[PROVEEDOR]],TERCEROS_INFO[#All],2,FALSE)</f>
        <v>0</v>
      </c>
      <c r="D1289" s="145">
        <f>+SUMIFS(PROVEEDORES[Total],PROVEEDORES[PROVEEDOR],PROVEEDORES[[#This Row],[PROVEEDOR]],PROVEEDORES[FECHA DE PAGO],"")</f>
        <v>0</v>
      </c>
      <c r="E1289" s="146"/>
      <c r="F1289" s="144">
        <f>+VLOOKUP(PROVEEDORES[[#This Row],[PROVEEDOR]],
                       Terceros!$A:$G,
                       5,
                       FALSE)</f>
        <v>0</v>
      </c>
      <c r="G1289" s="122">
        <v>45345</v>
      </c>
      <c r="H1289" s="102" t="s">
        <v>1797</v>
      </c>
      <c r="I1289" s="122">
        <v>45265</v>
      </c>
      <c r="J1289" s="103" t="s">
        <v>1373</v>
      </c>
      <c r="K1289" s="103" t="s">
        <v>1512</v>
      </c>
      <c r="L1289" s="103" t="s">
        <v>1390</v>
      </c>
      <c r="M1289" s="105">
        <v>680000</v>
      </c>
      <c r="N1289" s="147">
        <v>0</v>
      </c>
      <c r="O1289" s="147">
        <v>0</v>
      </c>
      <c r="P1289" s="148">
        <v>0</v>
      </c>
      <c r="Q1289" s="147">
        <v>0</v>
      </c>
      <c r="R1289" s="149">
        <v>680000</v>
      </c>
      <c r="S12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9" s="150">
        <f ca="1">+IF(PROVEEDORES[[#This Row],[FECHA DE PAGO]]=0,TODAY()-PROVEEDORES[[#This Row],[FECHA DE FACTURACIÓN]]-PROVEEDORES[[#This Row],[PLAZO Días]],0)</f>
        <v>0</v>
      </c>
      <c r="U1289" s="150">
        <f>+VLOOKUP(PROVEEDORES[[#This Row],[PROVEEDOR]],Terceros!$A:$E,4,FALSE)</f>
        <v>0</v>
      </c>
      <c r="V1289" s="150">
        <f>+YEAR(PROVEEDORES[[#This Row],[FECHA DE FACTURACIÓN]])</f>
        <v>2023</v>
      </c>
      <c r="W1289" s="150">
        <f>+MATCH(PROVEEDORES[[#This Row],[año facturado]],Retenciones!$1:$1,0)</f>
        <v>6</v>
      </c>
      <c r="X1289" s="151">
        <f>+VLOOKUP(PROVEEDORES[[#This Row],[ID RETENCION]],Retenciones!$A$1:$O$25,PROVEEDORES[[#This Row],[indicador de columna]],FALSE)</f>
        <v>0</v>
      </c>
      <c r="Y1289" s="152">
        <f>+VLOOKUP(PROVEEDORES[[#This Row],[ID RETENCION]],Retenciones!$A$1:$O$25,2,FALSE)</f>
        <v>0</v>
      </c>
      <c r="Z1289" s="153" t="b">
        <f>+OR(COUNTIF(PROVEEDORES[[#This Row],[PROVEEDOR]],"*"&amp;'Palabra que no opera y Listas d'!$A$2&amp;"*"))</f>
        <v>0</v>
      </c>
    </row>
    <row r="1290" spans="1:26" ht="27.75" customHeight="1" x14ac:dyDescent="0.3">
      <c r="A1290" s="144" t="str">
        <f>+IF(PROVEEDORES[[#This Row],[FECHA DE PAGO]]=PROVEEDORES[[#This Row],[FECHA DE FACTURACIÓN]],"DE CONTADO","CRÉDITO")</f>
        <v>CRÉDITO</v>
      </c>
      <c r="B1290" s="144" t="str">
        <f>+IF((PROVEEDORES[[#This Row],[FECHA DE PAGO]]-PROVEEDORES[[#This Row],[FECHA DE FACTURACIÓN]])&gt;PROVEEDORES[[#This Row],[PLAZO Días]],"PAGO VENCIDO")</f>
        <v>PAGO VENCIDO</v>
      </c>
      <c r="C1290" s="144">
        <f>+VLOOKUP(PROVEEDORES[[#This Row],[PROVEEDOR]],TERCEROS_INFO[#All],2,FALSE)</f>
        <v>0</v>
      </c>
      <c r="D1290" s="145">
        <f>+SUMIFS(PROVEEDORES[Total],PROVEEDORES[PROVEEDOR],PROVEEDORES[[#This Row],[PROVEEDOR]],PROVEEDORES[FECHA DE PAGO],"")</f>
        <v>0</v>
      </c>
      <c r="E1290" s="146"/>
      <c r="F1290" s="144" t="str">
        <f>+VLOOKUP(PROVEEDORES[[#This Row],[PROVEEDOR]],
                       Terceros!$A:$G,
                       5,
                       FALSE)</f>
        <v>2,5% con base</v>
      </c>
      <c r="G1290" s="122">
        <v>45345</v>
      </c>
      <c r="H1290" s="102" t="s">
        <v>71</v>
      </c>
      <c r="I1290" s="122">
        <v>45287</v>
      </c>
      <c r="J1290" s="103" t="s">
        <v>1617</v>
      </c>
      <c r="K1290" s="103" t="s">
        <v>1512</v>
      </c>
      <c r="L1290" s="103" t="s">
        <v>1516</v>
      </c>
      <c r="M1290" s="105">
        <v>18270200</v>
      </c>
      <c r="N1290" s="147">
        <v>3471338</v>
      </c>
      <c r="O1290" s="147">
        <v>0</v>
      </c>
      <c r="P1290" s="148">
        <v>2.5000000000000001E-2</v>
      </c>
      <c r="Q1290" s="147">
        <v>456755</v>
      </c>
      <c r="R1290" s="149">
        <v>14884783</v>
      </c>
      <c r="S12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0" s="150">
        <f ca="1">+IF(PROVEEDORES[[#This Row],[FECHA DE PAGO]]=0,TODAY()-PROVEEDORES[[#This Row],[FECHA DE FACTURACIÓN]]-PROVEEDORES[[#This Row],[PLAZO Días]],0)</f>
        <v>0</v>
      </c>
      <c r="U1290" s="150">
        <f>+VLOOKUP(PROVEEDORES[[#This Row],[PROVEEDOR]],Terceros!$A:$E,4,FALSE)</f>
        <v>0.19</v>
      </c>
      <c r="V1290" s="150">
        <f>+YEAR(PROVEEDORES[[#This Row],[FECHA DE FACTURACIÓN]])</f>
        <v>2023</v>
      </c>
      <c r="W1290" s="150">
        <f>+MATCH(PROVEEDORES[[#This Row],[año facturado]],Retenciones!$1:$1,0)</f>
        <v>6</v>
      </c>
      <c r="X1290" s="151" t="e">
        <f>+VLOOKUP(PROVEEDORES[[#This Row],[ID RETENCION]],Retenciones!$A$1:$O$25,PROVEEDORES[[#This Row],[indicador de columna]],FALSE)</f>
        <v>#N/A</v>
      </c>
      <c r="Y1290" s="152" t="e">
        <f>+VLOOKUP(PROVEEDORES[[#This Row],[ID RETENCION]],Retenciones!$A$1:$O$25,2,FALSE)</f>
        <v>#N/A</v>
      </c>
      <c r="Z1290" s="153" t="b">
        <f>+OR(COUNTIF(PROVEEDORES[[#This Row],[PROVEEDOR]],"*"&amp;'Palabra que no opera y Listas d'!$A$2&amp;"*"))</f>
        <v>0</v>
      </c>
    </row>
    <row r="1291" spans="1:26" ht="27.75" customHeight="1" x14ac:dyDescent="0.3">
      <c r="A1291" s="144" t="str">
        <f>+IF(PROVEEDORES[[#This Row],[FECHA DE PAGO]]=PROVEEDORES[[#This Row],[FECHA DE FACTURACIÓN]],"DE CONTADO","CRÉDITO")</f>
        <v>CRÉDITO</v>
      </c>
      <c r="B1291" s="144" t="str">
        <f>+IF((PROVEEDORES[[#This Row],[FECHA DE PAGO]]-PROVEEDORES[[#This Row],[FECHA DE FACTURACIÓN]])&gt;PROVEEDORES[[#This Row],[PLAZO Días]],"PAGO VENCIDO")</f>
        <v>PAGO VENCIDO</v>
      </c>
      <c r="C1291" s="144">
        <f>+VLOOKUP(PROVEEDORES[[#This Row],[PROVEEDOR]],TERCEROS_INFO[#All],2,FALSE)</f>
        <v>0</v>
      </c>
      <c r="D1291" s="145">
        <f>+SUMIFS(PROVEEDORES[Total],PROVEEDORES[PROVEEDOR],PROVEEDORES[[#This Row],[PROVEEDOR]],PROVEEDORES[FECHA DE PAGO],"")</f>
        <v>0</v>
      </c>
      <c r="E1291" s="146"/>
      <c r="F1291" s="144">
        <f>+VLOOKUP(PROVEEDORES[[#This Row],[PROVEEDOR]],
                       Terceros!$A:$G,
                       5,
                       FALSE)</f>
        <v>0</v>
      </c>
      <c r="G1291" s="122">
        <v>45346</v>
      </c>
      <c r="H1291" s="102" t="s">
        <v>496</v>
      </c>
      <c r="I1291" s="122">
        <v>45345</v>
      </c>
      <c r="J1291" s="103" t="s">
        <v>1591</v>
      </c>
      <c r="K1291" s="103" t="s">
        <v>1512</v>
      </c>
      <c r="L1291" s="103"/>
      <c r="M1291" s="105">
        <v>1095000</v>
      </c>
      <c r="N1291" s="147">
        <v>0</v>
      </c>
      <c r="O1291" s="147">
        <v>0</v>
      </c>
      <c r="P1291" s="148">
        <v>0</v>
      </c>
      <c r="Q1291" s="147">
        <v>0</v>
      </c>
      <c r="R1291" s="149">
        <v>1095000</v>
      </c>
      <c r="S12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1" s="150">
        <f ca="1">+IF(PROVEEDORES[[#This Row],[FECHA DE PAGO]]=0,TODAY()-PROVEEDORES[[#This Row],[FECHA DE FACTURACIÓN]]-PROVEEDORES[[#This Row],[PLAZO Días]],0)</f>
        <v>0</v>
      </c>
      <c r="U1291" s="150">
        <f>+VLOOKUP(PROVEEDORES[[#This Row],[PROVEEDOR]],Terceros!$A:$E,4,FALSE)</f>
        <v>0</v>
      </c>
      <c r="V1291" s="150">
        <f>+YEAR(PROVEEDORES[[#This Row],[FECHA DE FACTURACIÓN]])</f>
        <v>2024</v>
      </c>
      <c r="W1291" s="150">
        <f>+MATCH(PROVEEDORES[[#This Row],[año facturado]],Retenciones!$1:$1,0)</f>
        <v>7</v>
      </c>
      <c r="X1291" s="151">
        <f>+VLOOKUP(PROVEEDORES[[#This Row],[ID RETENCION]],Retenciones!$A$1:$O$25,PROVEEDORES[[#This Row],[indicador de columna]],FALSE)</f>
        <v>0</v>
      </c>
      <c r="Y1291" s="152">
        <f>+VLOOKUP(PROVEEDORES[[#This Row],[ID RETENCION]],Retenciones!$A$1:$O$25,2,FALSE)</f>
        <v>0</v>
      </c>
      <c r="Z1291" s="153" t="b">
        <f>+OR(COUNTIF(PROVEEDORES[[#This Row],[PROVEEDOR]],"*"&amp;'Palabra que no opera y Listas d'!$A$2&amp;"*"))</f>
        <v>0</v>
      </c>
    </row>
    <row r="1292" spans="1:26" ht="27.75" customHeight="1" x14ac:dyDescent="0.3">
      <c r="A1292" s="144" t="str">
        <f>+IF(PROVEEDORES[[#This Row],[FECHA DE PAGO]]=PROVEEDORES[[#This Row],[FECHA DE FACTURACIÓN]],"DE CONTADO","CRÉDITO")</f>
        <v>CRÉDITO</v>
      </c>
      <c r="B1292" s="144" t="str">
        <f>+IF((PROVEEDORES[[#This Row],[FECHA DE PAGO]]-PROVEEDORES[[#This Row],[FECHA DE FACTURACIÓN]])&gt;PROVEEDORES[[#This Row],[PLAZO Días]],"PAGO VENCIDO")</f>
        <v>PAGO VENCIDO</v>
      </c>
      <c r="C1292" s="144">
        <f>+VLOOKUP(PROVEEDORES[[#This Row],[PROVEEDOR]],TERCEROS_INFO[#All],2,FALSE)</f>
        <v>0</v>
      </c>
      <c r="D1292" s="145">
        <f>+SUMIFS(PROVEEDORES[Total],PROVEEDORES[PROVEEDOR],PROVEEDORES[[#This Row],[PROVEEDOR]],PROVEEDORES[FECHA DE PAGO],"")</f>
        <v>0</v>
      </c>
      <c r="E1292" s="146"/>
      <c r="F1292" s="144" t="str">
        <f>+VLOOKUP(PROVEEDORES[[#This Row],[PROVEEDOR]],
                       Terceros!$A:$G,
                       5,
                       FALSE)</f>
        <v>2,5% con base</v>
      </c>
      <c r="G1292" s="122">
        <v>45348</v>
      </c>
      <c r="H1292" s="102" t="s">
        <v>305</v>
      </c>
      <c r="I1292" s="122">
        <v>44867</v>
      </c>
      <c r="J1292" s="103" t="s">
        <v>1448</v>
      </c>
      <c r="K1292" s="103" t="s">
        <v>1512</v>
      </c>
      <c r="L1292" s="103" t="s">
        <v>1515</v>
      </c>
      <c r="M1292" s="105">
        <v>-56302.52</v>
      </c>
      <c r="N1292" s="147">
        <v>-10697.478799999999</v>
      </c>
      <c r="O1292" s="147">
        <v>0</v>
      </c>
      <c r="P1292" s="148">
        <v>0</v>
      </c>
      <c r="Q1292" s="147">
        <v>0</v>
      </c>
      <c r="R1292" s="149">
        <v>-66999.998800000001</v>
      </c>
      <c r="S12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2" s="150">
        <f ca="1">+IF(PROVEEDORES[[#This Row],[FECHA DE PAGO]]=0,TODAY()-PROVEEDORES[[#This Row],[FECHA DE FACTURACIÓN]]-PROVEEDORES[[#This Row],[PLAZO Días]],0)</f>
        <v>0</v>
      </c>
      <c r="U1292" s="150">
        <f>+VLOOKUP(PROVEEDORES[[#This Row],[PROVEEDOR]],Terceros!$A:$E,4,FALSE)</f>
        <v>0.19</v>
      </c>
      <c r="V1292" s="150">
        <f>+YEAR(PROVEEDORES[[#This Row],[FECHA DE FACTURACIÓN]])</f>
        <v>2022</v>
      </c>
      <c r="W1292" s="150">
        <f>+MATCH(PROVEEDORES[[#This Row],[año facturado]],Retenciones!$1:$1,0)</f>
        <v>5</v>
      </c>
      <c r="X1292" s="151" t="e">
        <f>+VLOOKUP(PROVEEDORES[[#This Row],[ID RETENCION]],Retenciones!$A$1:$O$25,PROVEEDORES[[#This Row],[indicador de columna]],FALSE)</f>
        <v>#N/A</v>
      </c>
      <c r="Y1292" s="152" t="e">
        <f>+VLOOKUP(PROVEEDORES[[#This Row],[ID RETENCION]],Retenciones!$A$1:$O$25,2,FALSE)</f>
        <v>#N/A</v>
      </c>
      <c r="Z1292" s="153" t="b">
        <f>+OR(COUNTIF(PROVEEDORES[[#This Row],[PROVEEDOR]],"*"&amp;'Palabra que no opera y Listas d'!$A$2&amp;"*"))</f>
        <v>0</v>
      </c>
    </row>
    <row r="1293" spans="1:26" ht="27.75" customHeight="1" x14ac:dyDescent="0.3">
      <c r="A1293" s="144" t="str">
        <f>+IF(PROVEEDORES[[#This Row],[FECHA DE PAGO]]=PROVEEDORES[[#This Row],[FECHA DE FACTURACIÓN]],"DE CONTADO","CRÉDITO")</f>
        <v>CRÉDITO</v>
      </c>
      <c r="B1293" s="144" t="str">
        <f>+IF((PROVEEDORES[[#This Row],[FECHA DE PAGO]]-PROVEEDORES[[#This Row],[FECHA DE FACTURACIÓN]])&gt;PROVEEDORES[[#This Row],[PLAZO Días]],"PAGO VENCIDO")</f>
        <v>PAGO VENCIDO</v>
      </c>
      <c r="C1293" s="144">
        <f>+VLOOKUP(PROVEEDORES[[#This Row],[PROVEEDOR]],TERCEROS_INFO[#All],2,FALSE)</f>
        <v>0</v>
      </c>
      <c r="D1293" s="145">
        <f>+SUMIFS(PROVEEDORES[Total],PROVEEDORES[PROVEEDOR],PROVEEDORES[[#This Row],[PROVEEDOR]],PROVEEDORES[FECHA DE PAGO],"")</f>
        <v>9349257.8100000005</v>
      </c>
      <c r="E1293" s="146"/>
      <c r="F1293" s="144" t="str">
        <f>+VLOOKUP(PROVEEDORES[[#This Row],[PROVEEDOR]],
                       Terceros!$A:$G,
                       5,
                       FALSE)</f>
        <v>2,5% con base</v>
      </c>
      <c r="G1293" s="122">
        <v>45348</v>
      </c>
      <c r="H1293" s="102" t="s">
        <v>242</v>
      </c>
      <c r="I1293" s="122">
        <v>45265</v>
      </c>
      <c r="J1293" s="103" t="s">
        <v>1329</v>
      </c>
      <c r="K1293" s="103" t="s">
        <v>1512</v>
      </c>
      <c r="L1293" s="103" t="s">
        <v>1516</v>
      </c>
      <c r="M1293" s="105">
        <v>3478190</v>
      </c>
      <c r="N1293" s="147">
        <v>660856.1</v>
      </c>
      <c r="O1293" s="147">
        <v>0</v>
      </c>
      <c r="P1293" s="148">
        <v>2.5000000000000001E-2</v>
      </c>
      <c r="Q1293" s="147">
        <v>86954.75</v>
      </c>
      <c r="R1293" s="149">
        <v>4052091.35</v>
      </c>
      <c r="S12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3" s="150">
        <f ca="1">+IF(PROVEEDORES[[#This Row],[FECHA DE PAGO]]=0,TODAY()-PROVEEDORES[[#This Row],[FECHA DE FACTURACIÓN]]-PROVEEDORES[[#This Row],[PLAZO Días]],0)</f>
        <v>0</v>
      </c>
      <c r="U1293" s="150">
        <f>+VLOOKUP(PROVEEDORES[[#This Row],[PROVEEDOR]],Terceros!$A:$E,4,FALSE)</f>
        <v>0.19</v>
      </c>
      <c r="V1293" s="150">
        <f>+YEAR(PROVEEDORES[[#This Row],[FECHA DE FACTURACIÓN]])</f>
        <v>2023</v>
      </c>
      <c r="W1293" s="150">
        <f>+MATCH(PROVEEDORES[[#This Row],[año facturado]],Retenciones!$1:$1,0)</f>
        <v>6</v>
      </c>
      <c r="X1293" s="151" t="e">
        <f>+VLOOKUP(PROVEEDORES[[#This Row],[ID RETENCION]],Retenciones!$A$1:$O$25,PROVEEDORES[[#This Row],[indicador de columna]],FALSE)</f>
        <v>#N/A</v>
      </c>
      <c r="Y1293" s="152" t="e">
        <f>+VLOOKUP(PROVEEDORES[[#This Row],[ID RETENCION]],Retenciones!$A$1:$O$25,2,FALSE)</f>
        <v>#N/A</v>
      </c>
      <c r="Z1293" s="153" t="b">
        <f>+OR(COUNTIF(PROVEEDORES[[#This Row],[PROVEEDOR]],"*"&amp;'Palabra que no opera y Listas d'!$A$2&amp;"*"))</f>
        <v>0</v>
      </c>
    </row>
    <row r="1294" spans="1:26" ht="27.75" customHeight="1" x14ac:dyDescent="0.3">
      <c r="A1294" s="144" t="str">
        <f>+IF(PROVEEDORES[[#This Row],[FECHA DE PAGO]]=PROVEEDORES[[#This Row],[FECHA DE FACTURACIÓN]],"DE CONTADO","CRÉDITO")</f>
        <v>CRÉDITO</v>
      </c>
      <c r="B1294" s="144" t="str">
        <f>+IF((PROVEEDORES[[#This Row],[FECHA DE PAGO]]-PROVEEDORES[[#This Row],[FECHA DE FACTURACIÓN]])&gt;PROVEEDORES[[#This Row],[PLAZO Días]],"PAGO VENCIDO")</f>
        <v>PAGO VENCIDO</v>
      </c>
      <c r="C1294" s="144">
        <f>+VLOOKUP(PROVEEDORES[[#This Row],[PROVEEDOR]],TERCEROS_INFO[#All],2,FALSE)</f>
        <v>0</v>
      </c>
      <c r="D1294" s="145">
        <f>+SUMIFS(PROVEEDORES[Total],PROVEEDORES[PROVEEDOR],PROVEEDORES[[#This Row],[PROVEEDOR]],PROVEEDORES[FECHA DE PAGO],"")</f>
        <v>1000043.22</v>
      </c>
      <c r="E1294" s="146"/>
      <c r="F1294" s="144" t="str">
        <f>+VLOOKUP(PROVEEDORES[[#This Row],[PROVEEDOR]],
                       Terceros!$A:$G,
                       5,
                       FALSE)</f>
        <v>2,5% con base</v>
      </c>
      <c r="G1294" s="122">
        <v>45348</v>
      </c>
      <c r="H1294" s="102" t="s">
        <v>237</v>
      </c>
      <c r="I1294" s="122">
        <v>45272</v>
      </c>
      <c r="J1294" s="103" t="s">
        <v>1356</v>
      </c>
      <c r="K1294" s="103" t="s">
        <v>1512</v>
      </c>
      <c r="L1294" s="103" t="s">
        <v>1515</v>
      </c>
      <c r="M1294" s="105">
        <v>2754790</v>
      </c>
      <c r="N1294" s="147">
        <v>523410.10000000003</v>
      </c>
      <c r="O1294" s="147">
        <v>0</v>
      </c>
      <c r="P1294" s="148">
        <v>2.5000000000000001E-2</v>
      </c>
      <c r="Q1294" s="147">
        <v>68869.75</v>
      </c>
      <c r="R1294" s="149">
        <v>3209330.35</v>
      </c>
      <c r="S12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4" s="150">
        <f ca="1">+IF(PROVEEDORES[[#This Row],[FECHA DE PAGO]]=0,TODAY()-PROVEEDORES[[#This Row],[FECHA DE FACTURACIÓN]]-PROVEEDORES[[#This Row],[PLAZO Días]],0)</f>
        <v>0</v>
      </c>
      <c r="U1294" s="150">
        <f>+VLOOKUP(PROVEEDORES[[#This Row],[PROVEEDOR]],Terceros!$A:$E,4,FALSE)</f>
        <v>0.19</v>
      </c>
      <c r="V1294" s="150">
        <f>+YEAR(PROVEEDORES[[#This Row],[FECHA DE FACTURACIÓN]])</f>
        <v>2023</v>
      </c>
      <c r="W1294" s="150">
        <f>+MATCH(PROVEEDORES[[#This Row],[año facturado]],Retenciones!$1:$1,0)</f>
        <v>6</v>
      </c>
      <c r="X1294" s="151" t="e">
        <f>+VLOOKUP(PROVEEDORES[[#This Row],[ID RETENCION]],Retenciones!$A$1:$O$25,PROVEEDORES[[#This Row],[indicador de columna]],FALSE)</f>
        <v>#N/A</v>
      </c>
      <c r="Y1294" s="152" t="e">
        <f>+VLOOKUP(PROVEEDORES[[#This Row],[ID RETENCION]],Retenciones!$A$1:$O$25,2,FALSE)</f>
        <v>#N/A</v>
      </c>
      <c r="Z1294" s="153" t="b">
        <f>+OR(COUNTIF(PROVEEDORES[[#This Row],[PROVEEDOR]],"*"&amp;'Palabra que no opera y Listas d'!$A$2&amp;"*"))</f>
        <v>0</v>
      </c>
    </row>
    <row r="1295" spans="1:26" ht="27.75" customHeight="1" x14ac:dyDescent="0.3">
      <c r="A1295" s="144" t="str">
        <f>+IF(PROVEEDORES[[#This Row],[FECHA DE PAGO]]=PROVEEDORES[[#This Row],[FECHA DE FACTURACIÓN]],"DE CONTADO","CRÉDITO")</f>
        <v>CRÉDITO</v>
      </c>
      <c r="B1295" s="144" t="str">
        <f>+IF((PROVEEDORES[[#This Row],[FECHA DE PAGO]]-PROVEEDORES[[#This Row],[FECHA DE FACTURACIÓN]])&gt;PROVEEDORES[[#This Row],[PLAZO Días]],"PAGO VENCIDO")</f>
        <v>PAGO VENCIDO</v>
      </c>
      <c r="C1295" s="144">
        <f>+VLOOKUP(PROVEEDORES[[#This Row],[PROVEEDOR]],TERCEROS_INFO[#All],2,FALSE)</f>
        <v>0</v>
      </c>
      <c r="D1295" s="145">
        <f>+SUMIFS(PROVEEDORES[Total],PROVEEDORES[PROVEEDOR],PROVEEDORES[[#This Row],[PROVEEDOR]],PROVEEDORES[FECHA DE PAGO],"")</f>
        <v>0</v>
      </c>
      <c r="E1295" s="146"/>
      <c r="F1295" s="144" t="str">
        <f>+VLOOKUP(PROVEEDORES[[#This Row],[PROVEEDOR]],
                       Terceros!$A:$G,
                       5,
                       FALSE)</f>
        <v>2,5% con base</v>
      </c>
      <c r="G1295" s="122">
        <v>45348</v>
      </c>
      <c r="H1295" s="102" t="s">
        <v>594</v>
      </c>
      <c r="I1295" s="122">
        <v>45275</v>
      </c>
      <c r="J1295" s="103" t="s">
        <v>1355</v>
      </c>
      <c r="K1295" s="103" t="s">
        <v>1512</v>
      </c>
      <c r="L1295" s="103" t="s">
        <v>1516</v>
      </c>
      <c r="M1295" s="105">
        <v>4754000</v>
      </c>
      <c r="N1295" s="147">
        <v>903260</v>
      </c>
      <c r="O1295" s="147">
        <v>0</v>
      </c>
      <c r="P1295" s="148">
        <v>2.5000000000000001E-2</v>
      </c>
      <c r="Q1295" s="147">
        <v>118850</v>
      </c>
      <c r="R1295" s="149">
        <v>5538410</v>
      </c>
      <c r="S12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5" s="150">
        <f ca="1">+IF(PROVEEDORES[[#This Row],[FECHA DE PAGO]]=0,TODAY()-PROVEEDORES[[#This Row],[FECHA DE FACTURACIÓN]]-PROVEEDORES[[#This Row],[PLAZO Días]],0)</f>
        <v>0</v>
      </c>
      <c r="U1295" s="150">
        <f>+VLOOKUP(PROVEEDORES[[#This Row],[PROVEEDOR]],Terceros!$A:$E,4,FALSE)</f>
        <v>0.19</v>
      </c>
      <c r="V1295" s="150">
        <f>+YEAR(PROVEEDORES[[#This Row],[FECHA DE FACTURACIÓN]])</f>
        <v>2023</v>
      </c>
      <c r="W1295" s="150">
        <f>+MATCH(PROVEEDORES[[#This Row],[año facturado]],Retenciones!$1:$1,0)</f>
        <v>6</v>
      </c>
      <c r="X1295" s="151" t="e">
        <f>+VLOOKUP(PROVEEDORES[[#This Row],[ID RETENCION]],Retenciones!$A$1:$O$25,PROVEEDORES[[#This Row],[indicador de columna]],FALSE)</f>
        <v>#N/A</v>
      </c>
      <c r="Y1295" s="152" t="e">
        <f>+VLOOKUP(PROVEEDORES[[#This Row],[ID RETENCION]],Retenciones!$A$1:$O$25,2,FALSE)</f>
        <v>#N/A</v>
      </c>
      <c r="Z1295" s="153" t="b">
        <f>+OR(COUNTIF(PROVEEDORES[[#This Row],[PROVEEDOR]],"*"&amp;'Palabra que no opera y Listas d'!$A$2&amp;"*"))</f>
        <v>0</v>
      </c>
    </row>
    <row r="1296" spans="1:26" ht="27.75" customHeight="1" x14ac:dyDescent="0.3">
      <c r="A1296" s="144" t="str">
        <f>+IF(PROVEEDORES[[#This Row],[FECHA DE PAGO]]=PROVEEDORES[[#This Row],[FECHA DE FACTURACIÓN]],"DE CONTADO","CRÉDITO")</f>
        <v>CRÉDITO</v>
      </c>
      <c r="B1296" s="144" t="str">
        <f>+IF((PROVEEDORES[[#This Row],[FECHA DE PAGO]]-PROVEEDORES[[#This Row],[FECHA DE FACTURACIÓN]])&gt;PROVEEDORES[[#This Row],[PLAZO Días]],"PAGO VENCIDO")</f>
        <v>PAGO VENCIDO</v>
      </c>
      <c r="C1296" s="144">
        <f>+VLOOKUP(PROVEEDORES[[#This Row],[PROVEEDOR]],TERCEROS_INFO[#All],2,FALSE)</f>
        <v>0</v>
      </c>
      <c r="D1296" s="145">
        <f>+SUMIFS(PROVEEDORES[Total],PROVEEDORES[PROVEEDOR],PROVEEDORES[[#This Row],[PROVEEDOR]],PROVEEDORES[FECHA DE PAGO],"")</f>
        <v>1460000.29</v>
      </c>
      <c r="E1296" s="146"/>
      <c r="F1296" s="144" t="str">
        <f>+VLOOKUP(PROVEEDORES[[#This Row],[PROVEEDOR]],
                       Terceros!$A:$G,
                       5,
                       FALSE)</f>
        <v>2,5% con base</v>
      </c>
      <c r="G1296" s="122">
        <v>45348</v>
      </c>
      <c r="H1296" s="102" t="s">
        <v>142</v>
      </c>
      <c r="I1296" s="122">
        <v>45278</v>
      </c>
      <c r="J1296" s="103" t="s">
        <v>1347</v>
      </c>
      <c r="K1296" s="103" t="s">
        <v>1512</v>
      </c>
      <c r="L1296" s="103" t="s">
        <v>1516</v>
      </c>
      <c r="M1296" s="105">
        <v>868908</v>
      </c>
      <c r="N1296" s="147">
        <v>165092.51999999999</v>
      </c>
      <c r="O1296" s="147">
        <v>0</v>
      </c>
      <c r="P1296" s="148">
        <v>0</v>
      </c>
      <c r="Q1296" s="147">
        <v>0</v>
      </c>
      <c r="R1296" s="149">
        <v>1034000.52</v>
      </c>
      <c r="S12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6" s="150">
        <f ca="1">+IF(PROVEEDORES[[#This Row],[FECHA DE PAGO]]=0,TODAY()-PROVEEDORES[[#This Row],[FECHA DE FACTURACIÓN]]-PROVEEDORES[[#This Row],[PLAZO Días]],0)</f>
        <v>0</v>
      </c>
      <c r="U1296" s="150">
        <f>+VLOOKUP(PROVEEDORES[[#This Row],[PROVEEDOR]],Terceros!$A:$E,4,FALSE)</f>
        <v>0.19</v>
      </c>
      <c r="V1296" s="150">
        <f>+YEAR(PROVEEDORES[[#This Row],[FECHA DE FACTURACIÓN]])</f>
        <v>2023</v>
      </c>
      <c r="W1296" s="150">
        <f>+MATCH(PROVEEDORES[[#This Row],[año facturado]],Retenciones!$1:$1,0)</f>
        <v>6</v>
      </c>
      <c r="X1296" s="151" t="e">
        <f>+VLOOKUP(PROVEEDORES[[#This Row],[ID RETENCION]],Retenciones!$A$1:$O$25,PROVEEDORES[[#This Row],[indicador de columna]],FALSE)</f>
        <v>#N/A</v>
      </c>
      <c r="Y1296" s="152" t="e">
        <f>+VLOOKUP(PROVEEDORES[[#This Row],[ID RETENCION]],Retenciones!$A$1:$O$25,2,FALSE)</f>
        <v>#N/A</v>
      </c>
      <c r="Z1296" s="153" t="b">
        <f>+OR(COUNTIF(PROVEEDORES[[#This Row],[PROVEEDOR]],"*"&amp;'Palabra que no opera y Listas d'!$A$2&amp;"*"))</f>
        <v>0</v>
      </c>
    </row>
    <row r="1297" spans="1:26" ht="27.75" customHeight="1" x14ac:dyDescent="0.3">
      <c r="A1297" s="144" t="str">
        <f>+IF(PROVEEDORES[[#This Row],[FECHA DE PAGO]]=PROVEEDORES[[#This Row],[FECHA DE FACTURACIÓN]],"DE CONTADO","CRÉDITO")</f>
        <v>CRÉDITO</v>
      </c>
      <c r="B1297" s="144" t="str">
        <f>+IF((PROVEEDORES[[#This Row],[FECHA DE PAGO]]-PROVEEDORES[[#This Row],[FECHA DE FACTURACIÓN]])&gt;PROVEEDORES[[#This Row],[PLAZO Días]],"PAGO VENCIDO")</f>
        <v>PAGO VENCIDO</v>
      </c>
      <c r="C1297" s="144">
        <f>+VLOOKUP(PROVEEDORES[[#This Row],[PROVEEDOR]],TERCEROS_INFO[#All],2,FALSE)</f>
        <v>0</v>
      </c>
      <c r="D1297" s="145">
        <f>+SUMIFS(PROVEEDORES[Total],PROVEEDORES[PROVEEDOR],PROVEEDORES[[#This Row],[PROVEEDOR]],PROVEEDORES[FECHA DE PAGO],"")</f>
        <v>9349257.8100000005</v>
      </c>
      <c r="E1297" s="146"/>
      <c r="F1297" s="144" t="str">
        <f>+VLOOKUP(PROVEEDORES[[#This Row],[PROVEEDOR]],
                       Terceros!$A:$G,
                       5,
                       FALSE)</f>
        <v>2,5% con base</v>
      </c>
      <c r="G1297" s="122">
        <v>45348</v>
      </c>
      <c r="H1297" s="102" t="s">
        <v>242</v>
      </c>
      <c r="I1297" s="122">
        <v>45289</v>
      </c>
      <c r="J1297" s="103" t="s">
        <v>1389</v>
      </c>
      <c r="K1297" s="103" t="s">
        <v>1512</v>
      </c>
      <c r="L1297" s="103" t="s">
        <v>1516</v>
      </c>
      <c r="M1297" s="105">
        <v>1274790</v>
      </c>
      <c r="N1297" s="147">
        <v>242210.1</v>
      </c>
      <c r="O1297" s="147">
        <v>0</v>
      </c>
      <c r="P1297" s="148">
        <v>2.5000000000000001E-2</v>
      </c>
      <c r="Q1297" s="147">
        <v>31869.75</v>
      </c>
      <c r="R1297" s="149">
        <v>1485130.35</v>
      </c>
      <c r="S12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7" s="150">
        <f ca="1">+IF(PROVEEDORES[[#This Row],[FECHA DE PAGO]]=0,TODAY()-PROVEEDORES[[#This Row],[FECHA DE FACTURACIÓN]]-PROVEEDORES[[#This Row],[PLAZO Días]],0)</f>
        <v>0</v>
      </c>
      <c r="U1297" s="150">
        <f>+VLOOKUP(PROVEEDORES[[#This Row],[PROVEEDOR]],Terceros!$A:$E,4,FALSE)</f>
        <v>0.19</v>
      </c>
      <c r="V1297" s="150">
        <f>+YEAR(PROVEEDORES[[#This Row],[FECHA DE FACTURACIÓN]])</f>
        <v>2023</v>
      </c>
      <c r="W1297" s="150">
        <f>+MATCH(PROVEEDORES[[#This Row],[año facturado]],Retenciones!$1:$1,0)</f>
        <v>6</v>
      </c>
      <c r="X1297" s="151" t="e">
        <f>+VLOOKUP(PROVEEDORES[[#This Row],[ID RETENCION]],Retenciones!$A$1:$O$25,PROVEEDORES[[#This Row],[indicador de columna]],FALSE)</f>
        <v>#N/A</v>
      </c>
      <c r="Y1297" s="152" t="e">
        <f>+VLOOKUP(PROVEEDORES[[#This Row],[ID RETENCION]],Retenciones!$A$1:$O$25,2,FALSE)</f>
        <v>#N/A</v>
      </c>
      <c r="Z1297" s="153" t="b">
        <f>+OR(COUNTIF(PROVEEDORES[[#This Row],[PROVEEDOR]],"*"&amp;'Palabra que no opera y Listas d'!$A$2&amp;"*"))</f>
        <v>0</v>
      </c>
    </row>
    <row r="1298" spans="1:26" ht="27.75" customHeight="1" x14ac:dyDescent="0.3">
      <c r="A1298" s="144" t="str">
        <f>+IF(PROVEEDORES[[#This Row],[FECHA DE PAGO]]=PROVEEDORES[[#This Row],[FECHA DE FACTURACIÓN]],"DE CONTADO","CRÉDITO")</f>
        <v>CRÉDITO</v>
      </c>
      <c r="B1298" s="144" t="str">
        <f>+IF((PROVEEDORES[[#This Row],[FECHA DE PAGO]]-PROVEEDORES[[#This Row],[FECHA DE FACTURACIÓN]])&gt;PROVEEDORES[[#This Row],[PLAZO Días]],"PAGO VENCIDO")</f>
        <v>PAGO VENCIDO</v>
      </c>
      <c r="C1298" s="144">
        <f>+VLOOKUP(PROVEEDORES[[#This Row],[PROVEEDOR]],TERCEROS_INFO[#All],2,FALSE)</f>
        <v>0</v>
      </c>
      <c r="D1298" s="145">
        <f>+SUMIFS(PROVEEDORES[Total],PROVEEDORES[PROVEEDOR],PROVEEDORES[[#This Row],[PROVEEDOR]],PROVEEDORES[FECHA DE PAGO],"")</f>
        <v>9349257.8100000005</v>
      </c>
      <c r="E1298" s="146"/>
      <c r="F1298" s="144" t="str">
        <f>+VLOOKUP(PROVEEDORES[[#This Row],[PROVEEDOR]],
                       Terceros!$A:$G,
                       5,
                       FALSE)</f>
        <v>2,5% con base</v>
      </c>
      <c r="G1298" s="122">
        <v>45348</v>
      </c>
      <c r="H1298" s="102" t="s">
        <v>242</v>
      </c>
      <c r="I1298" s="122">
        <v>45308</v>
      </c>
      <c r="J1298" s="103" t="s">
        <v>1435</v>
      </c>
      <c r="K1298" s="103" t="s">
        <v>1512</v>
      </c>
      <c r="L1298" s="103" t="s">
        <v>1516</v>
      </c>
      <c r="M1298" s="105">
        <v>1109186</v>
      </c>
      <c r="N1298" s="147">
        <v>210745.34</v>
      </c>
      <c r="O1298" s="147">
        <v>0</v>
      </c>
      <c r="P1298" s="148">
        <v>0</v>
      </c>
      <c r="Q1298" s="147">
        <v>0</v>
      </c>
      <c r="R1298" s="149">
        <v>1319931.3400000001</v>
      </c>
      <c r="S12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8" s="150">
        <f ca="1">+IF(PROVEEDORES[[#This Row],[FECHA DE PAGO]]=0,TODAY()-PROVEEDORES[[#This Row],[FECHA DE FACTURACIÓN]]-PROVEEDORES[[#This Row],[PLAZO Días]],0)</f>
        <v>0</v>
      </c>
      <c r="U1298" s="150">
        <f>+VLOOKUP(PROVEEDORES[[#This Row],[PROVEEDOR]],Terceros!$A:$E,4,FALSE)</f>
        <v>0.19</v>
      </c>
      <c r="V1298" s="150">
        <f>+YEAR(PROVEEDORES[[#This Row],[FECHA DE FACTURACIÓN]])</f>
        <v>2024</v>
      </c>
      <c r="W1298" s="150">
        <f>+MATCH(PROVEEDORES[[#This Row],[año facturado]],Retenciones!$1:$1,0)</f>
        <v>7</v>
      </c>
      <c r="X1298" s="151" t="e">
        <f>+VLOOKUP(PROVEEDORES[[#This Row],[ID RETENCION]],Retenciones!$A$1:$O$25,PROVEEDORES[[#This Row],[indicador de columna]],FALSE)</f>
        <v>#N/A</v>
      </c>
      <c r="Y1298" s="152" t="e">
        <f>+VLOOKUP(PROVEEDORES[[#This Row],[ID RETENCION]],Retenciones!$A$1:$O$25,2,FALSE)</f>
        <v>#N/A</v>
      </c>
      <c r="Z1298" s="153" t="b">
        <f>+OR(COUNTIF(PROVEEDORES[[#This Row],[PROVEEDOR]],"*"&amp;'Palabra que no opera y Listas d'!$A$2&amp;"*"))</f>
        <v>0</v>
      </c>
    </row>
    <row r="1299" spans="1:26" ht="27.75" customHeight="1" x14ac:dyDescent="0.3">
      <c r="A1299" s="144" t="str">
        <f>+IF(PROVEEDORES[[#This Row],[FECHA DE PAGO]]=PROVEEDORES[[#This Row],[FECHA DE FACTURACIÓN]],"DE CONTADO","CRÉDITO")</f>
        <v>CRÉDITO</v>
      </c>
      <c r="B1299" s="144" t="str">
        <f>+IF((PROVEEDORES[[#This Row],[FECHA DE PAGO]]-PROVEEDORES[[#This Row],[FECHA DE FACTURACIÓN]])&gt;PROVEEDORES[[#This Row],[PLAZO Días]],"PAGO VENCIDO")</f>
        <v>PAGO VENCIDO</v>
      </c>
      <c r="C1299" s="144">
        <f>+VLOOKUP(PROVEEDORES[[#This Row],[PROVEEDOR]],TERCEROS_INFO[#All],2,FALSE)</f>
        <v>0</v>
      </c>
      <c r="D1299" s="145">
        <f>+SUMIFS(PROVEEDORES[Total],PROVEEDORES[PROVEEDOR],PROVEEDORES[[#This Row],[PROVEEDOR]],PROVEEDORES[FECHA DE PAGO],"")</f>
        <v>1000043.22</v>
      </c>
      <c r="E1299" s="146"/>
      <c r="F1299" s="144" t="str">
        <f>+VLOOKUP(PROVEEDORES[[#This Row],[PROVEEDOR]],
                       Terceros!$A:$G,
                       5,
                       FALSE)</f>
        <v>2,5% con base</v>
      </c>
      <c r="G1299" s="122">
        <v>45348</v>
      </c>
      <c r="H1299" s="102" t="s">
        <v>237</v>
      </c>
      <c r="I1299" s="122">
        <v>45315</v>
      </c>
      <c r="J1299" s="103" t="s">
        <v>1462</v>
      </c>
      <c r="K1299" s="103" t="s">
        <v>1512</v>
      </c>
      <c r="L1299" s="103" t="s">
        <v>1515</v>
      </c>
      <c r="M1299" s="105">
        <v>1848739.5</v>
      </c>
      <c r="N1299" s="147">
        <v>351260.505</v>
      </c>
      <c r="O1299" s="147">
        <v>0</v>
      </c>
      <c r="P1299" s="148">
        <v>2.5000000000000001E-2</v>
      </c>
      <c r="Q1299" s="147">
        <v>46218.487500000003</v>
      </c>
      <c r="R1299" s="149">
        <v>2153781.5175000001</v>
      </c>
      <c r="S12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9" s="150">
        <f ca="1">+IF(PROVEEDORES[[#This Row],[FECHA DE PAGO]]=0,TODAY()-PROVEEDORES[[#This Row],[FECHA DE FACTURACIÓN]]-PROVEEDORES[[#This Row],[PLAZO Días]],0)</f>
        <v>0</v>
      </c>
      <c r="U1299" s="150">
        <f>+VLOOKUP(PROVEEDORES[[#This Row],[PROVEEDOR]],Terceros!$A:$E,4,FALSE)</f>
        <v>0.19</v>
      </c>
      <c r="V1299" s="150">
        <f>+YEAR(PROVEEDORES[[#This Row],[FECHA DE FACTURACIÓN]])</f>
        <v>2024</v>
      </c>
      <c r="W1299" s="150">
        <f>+MATCH(PROVEEDORES[[#This Row],[año facturado]],Retenciones!$1:$1,0)</f>
        <v>7</v>
      </c>
      <c r="X1299" s="151" t="e">
        <f>+VLOOKUP(PROVEEDORES[[#This Row],[ID RETENCION]],Retenciones!$A$1:$O$25,PROVEEDORES[[#This Row],[indicador de columna]],FALSE)</f>
        <v>#N/A</v>
      </c>
      <c r="Y1299" s="152" t="e">
        <f>+VLOOKUP(PROVEEDORES[[#This Row],[ID RETENCION]],Retenciones!$A$1:$O$25,2,FALSE)</f>
        <v>#N/A</v>
      </c>
      <c r="Z1299" s="153" t="b">
        <f>+OR(COUNTIF(PROVEEDORES[[#This Row],[PROVEEDOR]],"*"&amp;'Palabra que no opera y Listas d'!$A$2&amp;"*"))</f>
        <v>0</v>
      </c>
    </row>
    <row r="1300" spans="1:26" ht="27.75" customHeight="1" x14ac:dyDescent="0.3">
      <c r="A1300" s="144" t="str">
        <f>+IF(PROVEEDORES[[#This Row],[FECHA DE PAGO]]=PROVEEDORES[[#This Row],[FECHA DE FACTURACIÓN]],"DE CONTADO","CRÉDITO")</f>
        <v>CRÉDITO</v>
      </c>
      <c r="B1300" s="144" t="str">
        <f>+IF((PROVEEDORES[[#This Row],[FECHA DE PAGO]]-PROVEEDORES[[#This Row],[FECHA DE FACTURACIÓN]])&gt;PROVEEDORES[[#This Row],[PLAZO Días]],"PAGO VENCIDO")</f>
        <v>PAGO VENCIDO</v>
      </c>
      <c r="C1300" s="144">
        <f>+VLOOKUP(PROVEEDORES[[#This Row],[PROVEEDOR]],TERCEROS_INFO[#All],2,FALSE)</f>
        <v>0</v>
      </c>
      <c r="D1300" s="145">
        <f>+SUMIFS(PROVEEDORES[Total],PROVEEDORES[PROVEEDOR],PROVEEDORES[[#This Row],[PROVEEDOR]],PROVEEDORES[FECHA DE PAGO],"")</f>
        <v>1460000.29</v>
      </c>
      <c r="E1300" s="146"/>
      <c r="F1300" s="144" t="str">
        <f>+VLOOKUP(PROVEEDORES[[#This Row],[PROVEEDOR]],
                       Terceros!$A:$G,
                       5,
                       FALSE)</f>
        <v>2,5% con base</v>
      </c>
      <c r="G1300" s="122">
        <v>45348</v>
      </c>
      <c r="H1300" s="102" t="s">
        <v>142</v>
      </c>
      <c r="I1300" s="122">
        <v>45315</v>
      </c>
      <c r="J1300" s="103" t="s">
        <v>1459</v>
      </c>
      <c r="K1300" s="103" t="s">
        <v>1512</v>
      </c>
      <c r="L1300" s="103" t="s">
        <v>1515</v>
      </c>
      <c r="M1300" s="105">
        <v>397200</v>
      </c>
      <c r="N1300" s="147">
        <v>0</v>
      </c>
      <c r="O1300" s="147">
        <v>0</v>
      </c>
      <c r="P1300" s="148">
        <v>0</v>
      </c>
      <c r="Q1300" s="147">
        <v>0</v>
      </c>
      <c r="R1300" s="149">
        <v>397200</v>
      </c>
      <c r="S13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0" s="150">
        <f ca="1">+IF(PROVEEDORES[[#This Row],[FECHA DE PAGO]]=0,TODAY()-PROVEEDORES[[#This Row],[FECHA DE FACTURACIÓN]]-PROVEEDORES[[#This Row],[PLAZO Días]],0)</f>
        <v>0</v>
      </c>
      <c r="U1300" s="150">
        <f>+VLOOKUP(PROVEEDORES[[#This Row],[PROVEEDOR]],Terceros!$A:$E,4,FALSE)</f>
        <v>0.19</v>
      </c>
      <c r="V1300" s="150">
        <f>+YEAR(PROVEEDORES[[#This Row],[FECHA DE FACTURACIÓN]])</f>
        <v>2024</v>
      </c>
      <c r="W1300" s="150">
        <f>+MATCH(PROVEEDORES[[#This Row],[año facturado]],Retenciones!$1:$1,0)</f>
        <v>7</v>
      </c>
      <c r="X1300" s="151" t="e">
        <f>+VLOOKUP(PROVEEDORES[[#This Row],[ID RETENCION]],Retenciones!$A$1:$O$25,PROVEEDORES[[#This Row],[indicador de columna]],FALSE)</f>
        <v>#N/A</v>
      </c>
      <c r="Y1300" s="152" t="e">
        <f>+VLOOKUP(PROVEEDORES[[#This Row],[ID RETENCION]],Retenciones!$A$1:$O$25,2,FALSE)</f>
        <v>#N/A</v>
      </c>
      <c r="Z1300" s="153" t="b">
        <f>+OR(COUNTIF(PROVEEDORES[[#This Row],[PROVEEDOR]],"*"&amp;'Palabra que no opera y Listas d'!$A$2&amp;"*"))</f>
        <v>0</v>
      </c>
    </row>
    <row r="1301" spans="1:26" ht="27.75" customHeight="1" x14ac:dyDescent="0.3">
      <c r="A1301" s="144" t="str">
        <f>+IF(PROVEEDORES[[#This Row],[FECHA DE PAGO]]=PROVEEDORES[[#This Row],[FECHA DE FACTURACIÓN]],"DE CONTADO","CRÉDITO")</f>
        <v>CRÉDITO</v>
      </c>
      <c r="B1301" s="144" t="str">
        <f>+IF((PROVEEDORES[[#This Row],[FECHA DE PAGO]]-PROVEEDORES[[#This Row],[FECHA DE FACTURACIÓN]])&gt;PROVEEDORES[[#This Row],[PLAZO Días]],"PAGO VENCIDO")</f>
        <v>PAGO VENCIDO</v>
      </c>
      <c r="C1301" s="144">
        <f>+VLOOKUP(PROVEEDORES[[#This Row],[PROVEEDOR]],TERCEROS_INFO[#All],2,FALSE)</f>
        <v>0</v>
      </c>
      <c r="D1301" s="145" t="e">
        <f>+SUMIFS(PROVEEDORES[Total],PROVEEDORES[PROVEEDOR],PROVEEDORES[[#This Row],[PROVEEDOR]],PROVEEDORES[FECHA DE PAGO],"")</f>
        <v>#N/A</v>
      </c>
      <c r="E1301" s="146"/>
      <c r="F1301" s="144">
        <f>+VLOOKUP(PROVEEDORES[[#This Row],[PROVEEDOR]],
                       Terceros!$A:$G,
                       5,
                       FALSE)</f>
        <v>0</v>
      </c>
      <c r="G1301" s="122">
        <v>45348</v>
      </c>
      <c r="H1301" s="102" t="s">
        <v>16</v>
      </c>
      <c r="I1301" s="122">
        <v>45317</v>
      </c>
      <c r="J1301" s="103" t="s">
        <v>1460</v>
      </c>
      <c r="K1301" s="103" t="s">
        <v>1512</v>
      </c>
      <c r="L1301" s="103" t="s">
        <v>1515</v>
      </c>
      <c r="M1301" s="105">
        <v>1730813.22</v>
      </c>
      <c r="N1301" s="147">
        <v>16974</v>
      </c>
      <c r="O1301" s="147">
        <v>0</v>
      </c>
      <c r="P1301" s="148">
        <v>0</v>
      </c>
      <c r="Q1301" s="147">
        <v>0</v>
      </c>
      <c r="R1301" s="149">
        <v>1747787.22</v>
      </c>
      <c r="S13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1" s="150">
        <f ca="1">+IF(PROVEEDORES[[#This Row],[FECHA DE PAGO]]=0,TODAY()-PROVEEDORES[[#This Row],[FECHA DE FACTURACIÓN]]-PROVEEDORES[[#This Row],[PLAZO Días]],0)</f>
        <v>0</v>
      </c>
      <c r="U1301" s="150">
        <f>+VLOOKUP(PROVEEDORES[[#This Row],[PROVEEDOR]],Terceros!$A:$E,4,FALSE)</f>
        <v>0.19</v>
      </c>
      <c r="V1301" s="150">
        <f>+YEAR(PROVEEDORES[[#This Row],[FECHA DE FACTURACIÓN]])</f>
        <v>2024</v>
      </c>
      <c r="W1301" s="150">
        <f>+MATCH(PROVEEDORES[[#This Row],[año facturado]],Retenciones!$1:$1,0)</f>
        <v>7</v>
      </c>
      <c r="X1301" s="151" t="e">
        <f>+VLOOKUP(PROVEEDORES[[#This Row],[ID RETENCION]],Retenciones!$A$1:$O$25,PROVEEDORES[[#This Row],[indicador de columna]],FALSE)</f>
        <v>#N/A</v>
      </c>
      <c r="Y1301" s="152" t="e">
        <f>+VLOOKUP(PROVEEDORES[[#This Row],[ID RETENCION]],Retenciones!$A$1:$O$25,2,FALSE)</f>
        <v>#N/A</v>
      </c>
      <c r="Z1301" s="153" t="b">
        <f>+OR(COUNTIF(PROVEEDORES[[#This Row],[PROVEEDOR]],"*"&amp;'Palabra que no opera y Listas d'!$A$2&amp;"*"))</f>
        <v>0</v>
      </c>
    </row>
    <row r="1302" spans="1:26" ht="27.75" customHeight="1" x14ac:dyDescent="0.3">
      <c r="A1302" s="144" t="str">
        <f>+IF(PROVEEDORES[[#This Row],[FECHA DE PAGO]]=PROVEEDORES[[#This Row],[FECHA DE FACTURACIÓN]],"DE CONTADO","CRÉDITO")</f>
        <v>CRÉDITO</v>
      </c>
      <c r="B1302" s="144" t="str">
        <f>+IF((PROVEEDORES[[#This Row],[FECHA DE PAGO]]-PROVEEDORES[[#This Row],[FECHA DE FACTURACIÓN]])&gt;PROVEEDORES[[#This Row],[PLAZO Días]],"PAGO VENCIDO")</f>
        <v>PAGO VENCIDO</v>
      </c>
      <c r="C1302" s="144">
        <f>+VLOOKUP(PROVEEDORES[[#This Row],[PROVEEDOR]],TERCEROS_INFO[#All],2,FALSE)</f>
        <v>0</v>
      </c>
      <c r="D1302" s="145">
        <f>+SUMIFS(PROVEEDORES[Total],PROVEEDORES[PROVEEDOR],PROVEEDORES[[#This Row],[PROVEEDOR]],PROVEEDORES[FECHA DE PAGO],"")</f>
        <v>0</v>
      </c>
      <c r="E1302" s="146"/>
      <c r="F1302" s="144">
        <f>+VLOOKUP(PROVEEDORES[[#This Row],[PROVEEDOR]],
                       Terceros!$A:$G,
                       5,
                       FALSE)</f>
        <v>0</v>
      </c>
      <c r="G1302" s="122">
        <v>45348</v>
      </c>
      <c r="H1302" s="102" t="s">
        <v>1782</v>
      </c>
      <c r="I1302" s="122">
        <v>45320</v>
      </c>
      <c r="J1302" s="103" t="s">
        <v>1490</v>
      </c>
      <c r="K1302" s="103" t="s">
        <v>1512</v>
      </c>
      <c r="L1302" s="103" t="s">
        <v>1390</v>
      </c>
      <c r="M1302" s="105">
        <v>840000</v>
      </c>
      <c r="N1302" s="147">
        <v>0</v>
      </c>
      <c r="O1302" s="147">
        <v>0</v>
      </c>
      <c r="P1302" s="148">
        <v>0</v>
      </c>
      <c r="Q1302" s="147">
        <v>0</v>
      </c>
      <c r="R1302" s="149">
        <v>840000</v>
      </c>
      <c r="S13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2" s="150">
        <f ca="1">+IF(PROVEEDORES[[#This Row],[FECHA DE PAGO]]=0,TODAY()-PROVEEDORES[[#This Row],[FECHA DE FACTURACIÓN]]-PROVEEDORES[[#This Row],[PLAZO Días]],0)</f>
        <v>0</v>
      </c>
      <c r="U1302" s="150">
        <f>+VLOOKUP(PROVEEDORES[[#This Row],[PROVEEDOR]],Terceros!$A:$E,4,FALSE)</f>
        <v>0</v>
      </c>
      <c r="V1302" s="150">
        <f>+YEAR(PROVEEDORES[[#This Row],[FECHA DE FACTURACIÓN]])</f>
        <v>2024</v>
      </c>
      <c r="W1302" s="150">
        <f>+MATCH(PROVEEDORES[[#This Row],[año facturado]],Retenciones!$1:$1,0)</f>
        <v>7</v>
      </c>
      <c r="X1302" s="151">
        <f>+VLOOKUP(PROVEEDORES[[#This Row],[ID RETENCION]],Retenciones!$A$1:$O$25,PROVEEDORES[[#This Row],[indicador de columna]],FALSE)</f>
        <v>0</v>
      </c>
      <c r="Y1302" s="152">
        <f>+VLOOKUP(PROVEEDORES[[#This Row],[ID RETENCION]],Retenciones!$A$1:$O$25,2,FALSE)</f>
        <v>0</v>
      </c>
      <c r="Z1302" s="153" t="b">
        <f>+OR(COUNTIF(PROVEEDORES[[#This Row],[PROVEEDOR]],"*"&amp;'Palabra que no opera y Listas d'!$A$2&amp;"*"))</f>
        <v>0</v>
      </c>
    </row>
    <row r="1303" spans="1:26" ht="27.75" customHeight="1" x14ac:dyDescent="0.3">
      <c r="A1303" s="144" t="str">
        <f>+IF(PROVEEDORES[[#This Row],[FECHA DE PAGO]]=PROVEEDORES[[#This Row],[FECHA DE FACTURACIÓN]],"DE CONTADO","CRÉDITO")</f>
        <v>CRÉDITO</v>
      </c>
      <c r="B1303" s="144" t="str">
        <f>+IF((PROVEEDORES[[#This Row],[FECHA DE PAGO]]-PROVEEDORES[[#This Row],[FECHA DE FACTURACIÓN]])&gt;PROVEEDORES[[#This Row],[PLAZO Días]],"PAGO VENCIDO")</f>
        <v>PAGO VENCIDO</v>
      </c>
      <c r="C1303" s="144">
        <f>+VLOOKUP(PROVEEDORES[[#This Row],[PROVEEDOR]],TERCEROS_INFO[#All],2,FALSE)</f>
        <v>0</v>
      </c>
      <c r="D1303" s="145">
        <f>+SUMIFS(PROVEEDORES[Total],PROVEEDORES[PROVEEDOR],PROVEEDORES[[#This Row],[PROVEEDOR]],PROVEEDORES[FECHA DE PAGO],"")</f>
        <v>1000043.22</v>
      </c>
      <c r="E1303" s="146"/>
      <c r="F1303" s="144" t="str">
        <f>+VLOOKUP(PROVEEDORES[[#This Row],[PROVEEDOR]],
                       Terceros!$A:$G,
                       5,
                       FALSE)</f>
        <v>2,5% con base</v>
      </c>
      <c r="G1303" s="122">
        <v>45348</v>
      </c>
      <c r="H1303" s="102" t="s">
        <v>237</v>
      </c>
      <c r="I1303" s="122">
        <v>45329</v>
      </c>
      <c r="J1303" s="103" t="s">
        <v>1532</v>
      </c>
      <c r="K1303" s="103"/>
      <c r="L1303" s="103" t="s">
        <v>1515</v>
      </c>
      <c r="M1303" s="147">
        <v>-19500</v>
      </c>
      <c r="N1303" s="147">
        <v>0</v>
      </c>
      <c r="O1303" s="147">
        <v>0</v>
      </c>
      <c r="P1303" s="148">
        <v>0</v>
      </c>
      <c r="Q1303" s="147">
        <v>0</v>
      </c>
      <c r="R1303" s="149">
        <v>-19500</v>
      </c>
      <c r="S13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3" s="150">
        <f ca="1">+IF(PROVEEDORES[[#This Row],[FECHA DE PAGO]]=0,TODAY()-PROVEEDORES[[#This Row],[FECHA DE FACTURACIÓN]]-PROVEEDORES[[#This Row],[PLAZO Días]],0)</f>
        <v>0</v>
      </c>
      <c r="U1303" s="150">
        <f>+VLOOKUP(PROVEEDORES[[#This Row],[PROVEEDOR]],Terceros!$A:$E,4,FALSE)</f>
        <v>0.19</v>
      </c>
      <c r="V1303" s="150">
        <f>+YEAR(PROVEEDORES[[#This Row],[FECHA DE FACTURACIÓN]])</f>
        <v>2024</v>
      </c>
      <c r="W1303" s="150">
        <f>+MATCH(PROVEEDORES[[#This Row],[año facturado]],Retenciones!$1:$1,0)</f>
        <v>7</v>
      </c>
      <c r="X1303" s="151" t="e">
        <f>+VLOOKUP(PROVEEDORES[[#This Row],[ID RETENCION]],Retenciones!$A$1:$O$25,PROVEEDORES[[#This Row],[indicador de columna]],FALSE)</f>
        <v>#N/A</v>
      </c>
      <c r="Y1303" s="152" t="e">
        <f>+VLOOKUP(PROVEEDORES[[#This Row],[ID RETENCION]],Retenciones!$A$1:$O$25,2,FALSE)</f>
        <v>#N/A</v>
      </c>
      <c r="Z1303" s="153" t="b">
        <f>+OR(COUNTIF(PROVEEDORES[[#This Row],[PROVEEDOR]],"*"&amp;'Palabra que no opera y Listas d'!$A$2&amp;"*"))</f>
        <v>0</v>
      </c>
    </row>
    <row r="1304" spans="1:26" ht="27.75" customHeight="1" x14ac:dyDescent="0.3">
      <c r="A1304" s="144" t="str">
        <f>+IF(PROVEEDORES[[#This Row],[FECHA DE PAGO]]=PROVEEDORES[[#This Row],[FECHA DE FACTURACIÓN]],"DE CONTADO","CRÉDITO")</f>
        <v>DE CONTADO</v>
      </c>
      <c r="B1304" s="144" t="b">
        <f>+IF((PROVEEDORES[[#This Row],[FECHA DE PAGO]]-PROVEEDORES[[#This Row],[FECHA DE FACTURACIÓN]])&gt;PROVEEDORES[[#This Row],[PLAZO Días]],"PAGO VENCIDO")</f>
        <v>0</v>
      </c>
      <c r="C1304" s="144">
        <f>+VLOOKUP(PROVEEDORES[[#This Row],[PROVEEDOR]],TERCEROS_INFO[#All],2,FALSE)</f>
        <v>0</v>
      </c>
      <c r="D1304" s="145">
        <f>+SUMIFS(PROVEEDORES[Total],PROVEEDORES[PROVEEDOR],PROVEEDORES[[#This Row],[PROVEEDOR]],PROVEEDORES[FECHA DE PAGO],"")</f>
        <v>550000</v>
      </c>
      <c r="E1304" s="146"/>
      <c r="F1304" s="144">
        <f>+VLOOKUP(PROVEEDORES[[#This Row],[PROVEEDOR]],
                       Terceros!$A:$G,
                       5,
                       FALSE)</f>
        <v>0</v>
      </c>
      <c r="G1304" s="122">
        <v>45349</v>
      </c>
      <c r="H1304" s="102" t="s">
        <v>1784</v>
      </c>
      <c r="I1304" s="122">
        <v>45349</v>
      </c>
      <c r="J1304" s="103" t="s">
        <v>1583</v>
      </c>
      <c r="K1304" s="103" t="s">
        <v>1512</v>
      </c>
      <c r="L1304" s="103" t="s">
        <v>1390</v>
      </c>
      <c r="M1304" s="105">
        <v>720000</v>
      </c>
      <c r="N1304" s="147">
        <v>0</v>
      </c>
      <c r="O1304" s="147">
        <v>0</v>
      </c>
      <c r="P1304" s="148">
        <v>0</v>
      </c>
      <c r="Q1304" s="147">
        <v>0</v>
      </c>
      <c r="R1304" s="149">
        <v>720000</v>
      </c>
      <c r="S13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4" s="150">
        <f ca="1">+IF(PROVEEDORES[[#This Row],[FECHA DE PAGO]]=0,TODAY()-PROVEEDORES[[#This Row],[FECHA DE FACTURACIÓN]]-PROVEEDORES[[#This Row],[PLAZO Días]],0)</f>
        <v>0</v>
      </c>
      <c r="U1304" s="150">
        <f>+VLOOKUP(PROVEEDORES[[#This Row],[PROVEEDOR]],Terceros!$A:$E,4,FALSE)</f>
        <v>0</v>
      </c>
      <c r="V1304" s="150">
        <f>+YEAR(PROVEEDORES[[#This Row],[FECHA DE FACTURACIÓN]])</f>
        <v>2024</v>
      </c>
      <c r="W1304" s="150">
        <f>+MATCH(PROVEEDORES[[#This Row],[año facturado]],Retenciones!$1:$1,0)</f>
        <v>7</v>
      </c>
      <c r="X1304" s="151">
        <f>+VLOOKUP(PROVEEDORES[[#This Row],[ID RETENCION]],Retenciones!$A$1:$O$25,PROVEEDORES[[#This Row],[indicador de columna]],FALSE)</f>
        <v>0</v>
      </c>
      <c r="Y1304" s="152">
        <f>+VLOOKUP(PROVEEDORES[[#This Row],[ID RETENCION]],Retenciones!$A$1:$O$25,2,FALSE)</f>
        <v>0</v>
      </c>
      <c r="Z1304" s="153" t="b">
        <f>+OR(COUNTIF(PROVEEDORES[[#This Row],[PROVEEDOR]],"*"&amp;'Palabra que no opera y Listas d'!$A$2&amp;"*"))</f>
        <v>0</v>
      </c>
    </row>
    <row r="1305" spans="1:26" ht="27.75" customHeight="1" x14ac:dyDescent="0.3">
      <c r="A1305" s="144" t="str">
        <f>+IF(PROVEEDORES[[#This Row],[FECHA DE PAGO]]=PROVEEDORES[[#This Row],[FECHA DE FACTURACIÓN]],"DE CONTADO","CRÉDITO")</f>
        <v>CRÉDITO</v>
      </c>
      <c r="B1305" s="144" t="str">
        <f>+IF((PROVEEDORES[[#This Row],[FECHA DE PAGO]]-PROVEEDORES[[#This Row],[FECHA DE FACTURACIÓN]])&gt;PROVEEDORES[[#This Row],[PLAZO Días]],"PAGO VENCIDO")</f>
        <v>PAGO VENCIDO</v>
      </c>
      <c r="C1305" s="144">
        <f>+VLOOKUP(PROVEEDORES[[#This Row],[PROVEEDOR]],TERCEROS_INFO[#All],2,FALSE)</f>
        <v>0</v>
      </c>
      <c r="D1305" s="145">
        <f>+SUMIFS(PROVEEDORES[Total],PROVEEDORES[PROVEEDOR],PROVEEDORES[[#This Row],[PROVEEDOR]],PROVEEDORES[FECHA DE PAGO],"")</f>
        <v>0</v>
      </c>
      <c r="E1305" s="146"/>
      <c r="F1305" s="144" t="str">
        <f>+VLOOKUP(PROVEEDORES[[#This Row],[PROVEEDOR]],
                       Terceros!$A:$G,
                       5,
                       FALSE)</f>
        <v>11% sin base</v>
      </c>
      <c r="G1305" s="122">
        <v>45351</v>
      </c>
      <c r="H1305" s="102" t="s">
        <v>987</v>
      </c>
      <c r="I1305" s="122">
        <v>45342</v>
      </c>
      <c r="J1305" s="103" t="s">
        <v>1566</v>
      </c>
      <c r="K1305" s="103" t="s">
        <v>516</v>
      </c>
      <c r="L1305" s="103" t="s">
        <v>1516</v>
      </c>
      <c r="M1305" s="105">
        <v>354960</v>
      </c>
      <c r="N1305" s="147">
        <v>67442.399999999994</v>
      </c>
      <c r="O1305" s="147">
        <v>0</v>
      </c>
      <c r="P1305" s="148">
        <v>0.11</v>
      </c>
      <c r="Q1305" s="147">
        <v>39045.599999999999</v>
      </c>
      <c r="R1305" s="149">
        <v>383356.80000000005</v>
      </c>
      <c r="S13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5" s="150">
        <f ca="1">+IF(PROVEEDORES[[#This Row],[FECHA DE PAGO]]=0,TODAY()-PROVEEDORES[[#This Row],[FECHA DE FACTURACIÓN]]-PROVEEDORES[[#This Row],[PLAZO Días]],0)</f>
        <v>0</v>
      </c>
      <c r="U1305" s="150">
        <f>+VLOOKUP(PROVEEDORES[[#This Row],[PROVEEDOR]],Terceros!$A:$E,4,FALSE)</f>
        <v>0.19</v>
      </c>
      <c r="V1305" s="150">
        <f>+YEAR(PROVEEDORES[[#This Row],[FECHA DE FACTURACIÓN]])</f>
        <v>2024</v>
      </c>
      <c r="W1305" s="150">
        <f>+MATCH(PROVEEDORES[[#This Row],[año facturado]],Retenciones!$1:$1,0)</f>
        <v>7</v>
      </c>
      <c r="X1305" s="151" t="e">
        <f>+VLOOKUP(PROVEEDORES[[#This Row],[ID RETENCION]],Retenciones!$A$1:$O$25,PROVEEDORES[[#This Row],[indicador de columna]],FALSE)</f>
        <v>#N/A</v>
      </c>
      <c r="Y1305" s="152" t="e">
        <f>+VLOOKUP(PROVEEDORES[[#This Row],[ID RETENCION]],Retenciones!$A$1:$O$25,2,FALSE)</f>
        <v>#N/A</v>
      </c>
      <c r="Z1305" s="153" t="b">
        <f>+OR(COUNTIF(PROVEEDORES[[#This Row],[PROVEEDOR]],"*"&amp;'Palabra que no opera y Listas d'!$A$2&amp;"*"))</f>
        <v>0</v>
      </c>
    </row>
    <row r="1306" spans="1:26" ht="27.75" customHeight="1" x14ac:dyDescent="0.3">
      <c r="A1306" s="144" t="str">
        <f>+IF(PROVEEDORES[[#This Row],[FECHA DE PAGO]]=PROVEEDORES[[#This Row],[FECHA DE FACTURACIÓN]],"DE CONTADO","CRÉDITO")</f>
        <v>CRÉDITO</v>
      </c>
      <c r="B1306" s="144" t="str">
        <f>+IF((PROVEEDORES[[#This Row],[FECHA DE PAGO]]-PROVEEDORES[[#This Row],[FECHA DE FACTURACIÓN]])&gt;PROVEEDORES[[#This Row],[PLAZO Días]],"PAGO VENCIDO")</f>
        <v>PAGO VENCIDO</v>
      </c>
      <c r="C1306" s="144">
        <f>+VLOOKUP(PROVEEDORES[[#This Row],[PROVEEDOR]],TERCEROS_INFO[#All],2,FALSE)</f>
        <v>0</v>
      </c>
      <c r="D1306" s="145">
        <f>+SUMIFS(PROVEEDORES[Total],PROVEEDORES[PROVEEDOR],PROVEEDORES[[#This Row],[PROVEEDOR]],PROVEEDORES[FECHA DE PAGO],"")</f>
        <v>0</v>
      </c>
      <c r="E1306" s="146"/>
      <c r="F1306" s="144" t="str">
        <f>+VLOOKUP(PROVEEDORES[[#This Row],[PROVEEDOR]],
                       Terceros!$A:$G,
                       5,
                       FALSE)</f>
        <v>11% sin base</v>
      </c>
      <c r="G1306" s="122">
        <v>45351</v>
      </c>
      <c r="H1306" s="102" t="s">
        <v>987</v>
      </c>
      <c r="I1306" s="122">
        <v>45342</v>
      </c>
      <c r="J1306" s="103" t="s">
        <v>1565</v>
      </c>
      <c r="K1306" s="103" t="s">
        <v>516</v>
      </c>
      <c r="L1306" s="103" t="s">
        <v>1516</v>
      </c>
      <c r="M1306" s="105">
        <v>120000</v>
      </c>
      <c r="N1306" s="147">
        <v>22800</v>
      </c>
      <c r="O1306" s="147">
        <v>0</v>
      </c>
      <c r="P1306" s="148">
        <v>0.11</v>
      </c>
      <c r="Q1306" s="147">
        <v>13200</v>
      </c>
      <c r="R1306" s="149">
        <v>129600</v>
      </c>
      <c r="S13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6" s="150">
        <f ca="1">+IF(PROVEEDORES[[#This Row],[FECHA DE PAGO]]=0,TODAY()-PROVEEDORES[[#This Row],[FECHA DE FACTURACIÓN]]-PROVEEDORES[[#This Row],[PLAZO Días]],0)</f>
        <v>0</v>
      </c>
      <c r="U1306" s="150">
        <f>+VLOOKUP(PROVEEDORES[[#This Row],[PROVEEDOR]],Terceros!$A:$E,4,FALSE)</f>
        <v>0.19</v>
      </c>
      <c r="V1306" s="150">
        <f>+YEAR(PROVEEDORES[[#This Row],[FECHA DE FACTURACIÓN]])</f>
        <v>2024</v>
      </c>
      <c r="W1306" s="150">
        <f>+MATCH(PROVEEDORES[[#This Row],[año facturado]],Retenciones!$1:$1,0)</f>
        <v>7</v>
      </c>
      <c r="X1306" s="151" t="e">
        <f>+VLOOKUP(PROVEEDORES[[#This Row],[ID RETENCION]],Retenciones!$A$1:$O$25,PROVEEDORES[[#This Row],[indicador de columna]],FALSE)</f>
        <v>#N/A</v>
      </c>
      <c r="Y1306" s="152" t="e">
        <f>+VLOOKUP(PROVEEDORES[[#This Row],[ID RETENCION]],Retenciones!$A$1:$O$25,2,FALSE)</f>
        <v>#N/A</v>
      </c>
      <c r="Z1306" s="153" t="b">
        <f>+OR(COUNTIF(PROVEEDORES[[#This Row],[PROVEEDOR]],"*"&amp;'Palabra que no opera y Listas d'!$A$2&amp;"*"))</f>
        <v>0</v>
      </c>
    </row>
    <row r="1307" spans="1:26" ht="27.75" customHeight="1" x14ac:dyDescent="0.3">
      <c r="A1307" s="144" t="str">
        <f>+IF(PROVEEDORES[[#This Row],[FECHA DE PAGO]]=PROVEEDORES[[#This Row],[FECHA DE FACTURACIÓN]],"DE CONTADO","CRÉDITO")</f>
        <v>DE CONTADO</v>
      </c>
      <c r="B1307" s="144" t="b">
        <f>+IF((PROVEEDORES[[#This Row],[FECHA DE PAGO]]-PROVEEDORES[[#This Row],[FECHA DE FACTURACIÓN]])&gt;PROVEEDORES[[#This Row],[PLAZO Días]],"PAGO VENCIDO")</f>
        <v>0</v>
      </c>
      <c r="C1307" s="144">
        <f>+VLOOKUP(PROVEEDORES[[#This Row],[PROVEEDOR]],TERCEROS_INFO[#All],2,FALSE)</f>
        <v>0</v>
      </c>
      <c r="D1307" s="145">
        <f>+SUMIFS(PROVEEDORES[Total],PROVEEDORES[PROVEEDOR],PROVEEDORES[[#This Row],[PROVEEDOR]],PROVEEDORES[FECHA DE PAGO],"")</f>
        <v>0</v>
      </c>
      <c r="E1307" s="146"/>
      <c r="F1307" s="144">
        <f>+VLOOKUP(PROVEEDORES[[#This Row],[PROVEEDOR]],
                       Terceros!$A:$G,
                       5,
                       FALSE)</f>
        <v>0</v>
      </c>
      <c r="G1307" s="122">
        <v>45351</v>
      </c>
      <c r="H1307" s="102" t="s">
        <v>537</v>
      </c>
      <c r="I1307" s="122">
        <v>45351</v>
      </c>
      <c r="J1307" s="103" t="s">
        <v>493</v>
      </c>
      <c r="K1307" s="103" t="s">
        <v>1512</v>
      </c>
      <c r="L1307" s="103"/>
      <c r="M1307" s="105">
        <v>5031000</v>
      </c>
      <c r="N1307" s="147">
        <v>0</v>
      </c>
      <c r="O1307" s="147">
        <v>0</v>
      </c>
      <c r="P1307" s="148">
        <v>0</v>
      </c>
      <c r="Q1307" s="147">
        <v>0</v>
      </c>
      <c r="R1307" s="149">
        <v>5031000</v>
      </c>
      <c r="S13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7" s="150">
        <f ca="1">+IF(PROVEEDORES[[#This Row],[FECHA DE PAGO]]=0,TODAY()-PROVEEDORES[[#This Row],[FECHA DE FACTURACIÓN]]-PROVEEDORES[[#This Row],[PLAZO Días]],0)</f>
        <v>0</v>
      </c>
      <c r="U1307" s="150">
        <f>+VLOOKUP(PROVEEDORES[[#This Row],[PROVEEDOR]],Terceros!$A:$E,4,FALSE)</f>
        <v>0</v>
      </c>
      <c r="V1307" s="150">
        <f>+YEAR(PROVEEDORES[[#This Row],[FECHA DE FACTURACIÓN]])</f>
        <v>2024</v>
      </c>
      <c r="W1307" s="150">
        <f>+MATCH(PROVEEDORES[[#This Row],[año facturado]],Retenciones!$1:$1,0)</f>
        <v>7</v>
      </c>
      <c r="X1307" s="151">
        <f>+VLOOKUP(PROVEEDORES[[#This Row],[ID RETENCION]],Retenciones!$A$1:$O$25,PROVEEDORES[[#This Row],[indicador de columna]],FALSE)</f>
        <v>0</v>
      </c>
      <c r="Y1307" s="152">
        <f>+VLOOKUP(PROVEEDORES[[#This Row],[ID RETENCION]],Retenciones!$A$1:$O$25,2,FALSE)</f>
        <v>0</v>
      </c>
      <c r="Z1307" s="153" t="b">
        <f>+OR(COUNTIF(PROVEEDORES[[#This Row],[PROVEEDOR]],"*"&amp;'Palabra que no opera y Listas d'!$A$2&amp;"*"))</f>
        <v>0</v>
      </c>
    </row>
    <row r="1308" spans="1:26" ht="27.75" customHeight="1" x14ac:dyDescent="0.3">
      <c r="A1308" s="144" t="str">
        <f>+IF(PROVEEDORES[[#This Row],[FECHA DE PAGO]]=PROVEEDORES[[#This Row],[FECHA DE FACTURACIÓN]],"DE CONTADO","CRÉDITO")</f>
        <v>DE CONTADO</v>
      </c>
      <c r="B1308" s="144" t="b">
        <f>+IF((PROVEEDORES[[#This Row],[FECHA DE PAGO]]-PROVEEDORES[[#This Row],[FECHA DE FACTURACIÓN]])&gt;PROVEEDORES[[#This Row],[PLAZO Días]],"PAGO VENCIDO")</f>
        <v>0</v>
      </c>
      <c r="C1308" s="144">
        <f>+VLOOKUP(PROVEEDORES[[#This Row],[PROVEEDOR]],TERCEROS_INFO[#All],2,FALSE)</f>
        <v>0</v>
      </c>
      <c r="D1308" s="145">
        <f>+SUMIFS(PROVEEDORES[Total],PROVEEDORES[PROVEEDOR],PROVEEDORES[[#This Row],[PROVEEDOR]],PROVEEDORES[FECHA DE PAGO],"")</f>
        <v>0</v>
      </c>
      <c r="E1308" s="146"/>
      <c r="F1308" s="144">
        <f>+VLOOKUP(PROVEEDORES[[#This Row],[PROVEEDOR]],
                       Terceros!$A:$G,
                       5,
                       FALSE)</f>
        <v>0</v>
      </c>
      <c r="G1308" s="122">
        <v>45351</v>
      </c>
      <c r="H1308" s="102" t="s">
        <v>537</v>
      </c>
      <c r="I1308" s="122">
        <v>45351</v>
      </c>
      <c r="J1308" s="103" t="s">
        <v>491</v>
      </c>
      <c r="K1308" s="103" t="s">
        <v>1512</v>
      </c>
      <c r="L1308" s="103"/>
      <c r="M1308" s="105">
        <v>643500</v>
      </c>
      <c r="N1308" s="147">
        <v>0</v>
      </c>
      <c r="O1308" s="147">
        <v>0</v>
      </c>
      <c r="P1308" s="148">
        <v>0</v>
      </c>
      <c r="Q1308" s="147">
        <v>0</v>
      </c>
      <c r="R1308" s="149">
        <v>643500</v>
      </c>
      <c r="S13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8" s="150">
        <f ca="1">+IF(PROVEEDORES[[#This Row],[FECHA DE PAGO]]=0,TODAY()-PROVEEDORES[[#This Row],[FECHA DE FACTURACIÓN]]-PROVEEDORES[[#This Row],[PLAZO Días]],0)</f>
        <v>0</v>
      </c>
      <c r="U1308" s="150">
        <f>+VLOOKUP(PROVEEDORES[[#This Row],[PROVEEDOR]],Terceros!$A:$E,4,FALSE)</f>
        <v>0</v>
      </c>
      <c r="V1308" s="150">
        <f>+YEAR(PROVEEDORES[[#This Row],[FECHA DE FACTURACIÓN]])</f>
        <v>2024</v>
      </c>
      <c r="W1308" s="150">
        <f>+MATCH(PROVEEDORES[[#This Row],[año facturado]],Retenciones!$1:$1,0)</f>
        <v>7</v>
      </c>
      <c r="X1308" s="151">
        <f>+VLOOKUP(PROVEEDORES[[#This Row],[ID RETENCION]],Retenciones!$A$1:$O$25,PROVEEDORES[[#This Row],[indicador de columna]],FALSE)</f>
        <v>0</v>
      </c>
      <c r="Y1308" s="152">
        <f>+VLOOKUP(PROVEEDORES[[#This Row],[ID RETENCION]],Retenciones!$A$1:$O$25,2,FALSE)</f>
        <v>0</v>
      </c>
      <c r="Z1308" s="153" t="b">
        <f>+OR(COUNTIF(PROVEEDORES[[#This Row],[PROVEEDOR]],"*"&amp;'Palabra que no opera y Listas d'!$A$2&amp;"*"))</f>
        <v>0</v>
      </c>
    </row>
    <row r="1309" spans="1:26" ht="27.75" customHeight="1" x14ac:dyDescent="0.3">
      <c r="A1309" s="144" t="str">
        <f>+IF(PROVEEDORES[[#This Row],[FECHA DE PAGO]]=PROVEEDORES[[#This Row],[FECHA DE FACTURACIÓN]],"DE CONTADO","CRÉDITO")</f>
        <v>DE CONTADO</v>
      </c>
      <c r="B1309" s="144" t="b">
        <f>+IF((PROVEEDORES[[#This Row],[FECHA DE PAGO]]-PROVEEDORES[[#This Row],[FECHA DE FACTURACIÓN]])&gt;PROVEEDORES[[#This Row],[PLAZO Días]],"PAGO VENCIDO")</f>
        <v>0</v>
      </c>
      <c r="C1309" s="144">
        <f>+VLOOKUP(PROVEEDORES[[#This Row],[PROVEEDOR]],TERCEROS_INFO[#All],2,FALSE)</f>
        <v>0</v>
      </c>
      <c r="D1309" s="145">
        <f>+SUMIFS(PROVEEDORES[Total],PROVEEDORES[PROVEEDOR],PROVEEDORES[[#This Row],[PROVEEDOR]],PROVEEDORES[FECHA DE PAGO],"")</f>
        <v>0</v>
      </c>
      <c r="E1309" s="146"/>
      <c r="F1309" s="144">
        <f>+VLOOKUP(PROVEEDORES[[#This Row],[PROVEEDOR]],
                       Terceros!$A:$G,
                       5,
                       FALSE)</f>
        <v>0</v>
      </c>
      <c r="G1309" s="122">
        <v>45351</v>
      </c>
      <c r="H1309" s="102" t="s">
        <v>537</v>
      </c>
      <c r="I1309" s="122">
        <v>45351</v>
      </c>
      <c r="J1309" s="103" t="s">
        <v>494</v>
      </c>
      <c r="K1309" s="103" t="s">
        <v>1512</v>
      </c>
      <c r="L1309" s="103"/>
      <c r="M1309" s="105">
        <v>6400</v>
      </c>
      <c r="N1309" s="147">
        <v>0</v>
      </c>
      <c r="O1309" s="147">
        <v>0</v>
      </c>
      <c r="P1309" s="148">
        <v>0</v>
      </c>
      <c r="Q1309" s="147">
        <v>0</v>
      </c>
      <c r="R1309" s="149">
        <v>6400</v>
      </c>
      <c r="S13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9" s="150">
        <f ca="1">+IF(PROVEEDORES[[#This Row],[FECHA DE PAGO]]=0,TODAY()-PROVEEDORES[[#This Row],[FECHA DE FACTURACIÓN]]-PROVEEDORES[[#This Row],[PLAZO Días]],0)</f>
        <v>0</v>
      </c>
      <c r="U1309" s="150">
        <f>+VLOOKUP(PROVEEDORES[[#This Row],[PROVEEDOR]],Terceros!$A:$E,4,FALSE)</f>
        <v>0</v>
      </c>
      <c r="V1309" s="150">
        <f>+YEAR(PROVEEDORES[[#This Row],[FECHA DE FACTURACIÓN]])</f>
        <v>2024</v>
      </c>
      <c r="W1309" s="150">
        <f>+MATCH(PROVEEDORES[[#This Row],[año facturado]],Retenciones!$1:$1,0)</f>
        <v>7</v>
      </c>
      <c r="X1309" s="151">
        <f>+VLOOKUP(PROVEEDORES[[#This Row],[ID RETENCION]],Retenciones!$A$1:$O$25,PROVEEDORES[[#This Row],[indicador de columna]],FALSE)</f>
        <v>0</v>
      </c>
      <c r="Y1309" s="152">
        <f>+VLOOKUP(PROVEEDORES[[#This Row],[ID RETENCION]],Retenciones!$A$1:$O$25,2,FALSE)</f>
        <v>0</v>
      </c>
      <c r="Z1309" s="153" t="b">
        <f>+OR(COUNTIF(PROVEEDORES[[#This Row],[PROVEEDOR]],"*"&amp;'Palabra que no opera y Listas d'!$A$2&amp;"*"))</f>
        <v>0</v>
      </c>
    </row>
    <row r="1310" spans="1:26" ht="27.75" customHeight="1" x14ac:dyDescent="0.3">
      <c r="A1310" s="144" t="str">
        <f>+IF(PROVEEDORES[[#This Row],[FECHA DE PAGO]]=PROVEEDORES[[#This Row],[FECHA DE FACTURACIÓN]],"DE CONTADO","CRÉDITO")</f>
        <v>DE CONTADO</v>
      </c>
      <c r="B1310" s="144" t="b">
        <f>+IF((PROVEEDORES[[#This Row],[FECHA DE PAGO]]-PROVEEDORES[[#This Row],[FECHA DE FACTURACIÓN]])&gt;PROVEEDORES[[#This Row],[PLAZO Días]],"PAGO VENCIDO")</f>
        <v>0</v>
      </c>
      <c r="C1310" s="144">
        <f>+VLOOKUP(PROVEEDORES[[#This Row],[PROVEEDOR]],TERCEROS_INFO[#All],2,FALSE)</f>
        <v>0</v>
      </c>
      <c r="D1310" s="145">
        <f>+SUMIFS(PROVEEDORES[Total],PROVEEDORES[PROVEEDOR],PROVEEDORES[[#This Row],[PROVEEDOR]],PROVEEDORES[FECHA DE PAGO],"")</f>
        <v>0</v>
      </c>
      <c r="E1310" s="146"/>
      <c r="F1310" s="144">
        <f>+VLOOKUP(PROVEEDORES[[#This Row],[PROVEEDOR]],
                       Terceros!$A:$G,
                       5,
                       FALSE)</f>
        <v>0</v>
      </c>
      <c r="G1310" s="122">
        <v>45351</v>
      </c>
      <c r="H1310" s="102" t="s">
        <v>537</v>
      </c>
      <c r="I1310" s="122">
        <v>45351</v>
      </c>
      <c r="J1310" s="103" t="s">
        <v>1499</v>
      </c>
      <c r="K1310" s="103" t="s">
        <v>1512</v>
      </c>
      <c r="L1310" s="103"/>
      <c r="M1310" s="105">
        <v>1701400</v>
      </c>
      <c r="N1310" s="147">
        <v>0</v>
      </c>
      <c r="O1310" s="147">
        <v>0</v>
      </c>
      <c r="P1310" s="148">
        <v>0</v>
      </c>
      <c r="Q1310" s="147">
        <v>0</v>
      </c>
      <c r="R1310" s="149">
        <v>1701400</v>
      </c>
      <c r="S13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0" s="150">
        <f ca="1">+IF(PROVEEDORES[[#This Row],[FECHA DE PAGO]]=0,TODAY()-PROVEEDORES[[#This Row],[FECHA DE FACTURACIÓN]]-PROVEEDORES[[#This Row],[PLAZO Días]],0)</f>
        <v>0</v>
      </c>
      <c r="U1310" s="150">
        <f>+VLOOKUP(PROVEEDORES[[#This Row],[PROVEEDOR]],Terceros!$A:$E,4,FALSE)</f>
        <v>0</v>
      </c>
      <c r="V1310" s="150">
        <f>+YEAR(PROVEEDORES[[#This Row],[FECHA DE FACTURACIÓN]])</f>
        <v>2024</v>
      </c>
      <c r="W1310" s="150">
        <f>+MATCH(PROVEEDORES[[#This Row],[año facturado]],Retenciones!$1:$1,0)</f>
        <v>7</v>
      </c>
      <c r="X1310" s="151">
        <f>+VLOOKUP(PROVEEDORES[[#This Row],[ID RETENCION]],Retenciones!$A$1:$O$25,PROVEEDORES[[#This Row],[indicador de columna]],FALSE)</f>
        <v>0</v>
      </c>
      <c r="Y1310" s="152">
        <f>+VLOOKUP(PROVEEDORES[[#This Row],[ID RETENCION]],Retenciones!$A$1:$O$25,2,FALSE)</f>
        <v>0</v>
      </c>
      <c r="Z1310" s="153" t="b">
        <f>+OR(COUNTIF(PROVEEDORES[[#This Row],[PROVEEDOR]],"*"&amp;'Palabra que no opera y Listas d'!$A$2&amp;"*"))</f>
        <v>0</v>
      </c>
    </row>
    <row r="1311" spans="1:26" ht="27.75" customHeight="1" x14ac:dyDescent="0.3">
      <c r="A1311" s="144" t="str">
        <f>+IF(PROVEEDORES[[#This Row],[FECHA DE PAGO]]=PROVEEDORES[[#This Row],[FECHA DE FACTURACIÓN]],"DE CONTADO","CRÉDITO")</f>
        <v>DE CONTADO</v>
      </c>
      <c r="B1311" s="144" t="b">
        <f>+IF((PROVEEDORES[[#This Row],[FECHA DE PAGO]]-PROVEEDORES[[#This Row],[FECHA DE FACTURACIÓN]])&gt;PROVEEDORES[[#This Row],[PLAZO Días]],"PAGO VENCIDO")</f>
        <v>0</v>
      </c>
      <c r="C1311" s="144">
        <f>+VLOOKUP(PROVEEDORES[[#This Row],[PROVEEDOR]],TERCEROS_INFO[#All],2,FALSE)</f>
        <v>0</v>
      </c>
      <c r="D1311" s="145">
        <f>+SUMIFS(PROVEEDORES[Total],PROVEEDORES[PROVEEDOR],PROVEEDORES[[#This Row],[PROVEEDOR]],PROVEEDORES[FECHA DE PAGO],"")</f>
        <v>0</v>
      </c>
      <c r="E1311" s="146"/>
      <c r="F1311" s="144">
        <f>+VLOOKUP(PROVEEDORES[[#This Row],[PROVEEDOR]],
                       Terceros!$A:$G,
                       5,
                       FALSE)</f>
        <v>0</v>
      </c>
      <c r="G1311" s="122">
        <v>45351</v>
      </c>
      <c r="H1311" s="102" t="s">
        <v>537</v>
      </c>
      <c r="I1311" s="122">
        <v>45351</v>
      </c>
      <c r="J1311" s="103" t="s">
        <v>1614</v>
      </c>
      <c r="K1311" s="103" t="s">
        <v>1512</v>
      </c>
      <c r="L1311" s="103"/>
      <c r="M1311" s="105">
        <v>430500</v>
      </c>
      <c r="N1311" s="147">
        <v>0</v>
      </c>
      <c r="O1311" s="147">
        <v>0</v>
      </c>
      <c r="P1311" s="148">
        <v>0</v>
      </c>
      <c r="Q1311" s="147">
        <v>0</v>
      </c>
      <c r="R1311" s="149">
        <v>430500</v>
      </c>
      <c r="S13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1" s="150">
        <f ca="1">+IF(PROVEEDORES[[#This Row],[FECHA DE PAGO]]=0,TODAY()-PROVEEDORES[[#This Row],[FECHA DE FACTURACIÓN]]-PROVEEDORES[[#This Row],[PLAZO Días]],0)</f>
        <v>0</v>
      </c>
      <c r="U1311" s="150">
        <f>+VLOOKUP(PROVEEDORES[[#This Row],[PROVEEDOR]],Terceros!$A:$E,4,FALSE)</f>
        <v>0</v>
      </c>
      <c r="V1311" s="150">
        <f>+YEAR(PROVEEDORES[[#This Row],[FECHA DE FACTURACIÓN]])</f>
        <v>2024</v>
      </c>
      <c r="W1311" s="150">
        <f>+MATCH(PROVEEDORES[[#This Row],[año facturado]],Retenciones!$1:$1,0)</f>
        <v>7</v>
      </c>
      <c r="X1311" s="151">
        <f>+VLOOKUP(PROVEEDORES[[#This Row],[ID RETENCION]],Retenciones!$A$1:$O$25,PROVEEDORES[[#This Row],[indicador de columna]],FALSE)</f>
        <v>0</v>
      </c>
      <c r="Y1311" s="152">
        <f>+VLOOKUP(PROVEEDORES[[#This Row],[ID RETENCION]],Retenciones!$A$1:$O$25,2,FALSE)</f>
        <v>0</v>
      </c>
      <c r="Z1311" s="153" t="b">
        <f>+OR(COUNTIF(PROVEEDORES[[#This Row],[PROVEEDOR]],"*"&amp;'Palabra que no opera y Listas d'!$A$2&amp;"*"))</f>
        <v>0</v>
      </c>
    </row>
    <row r="1312" spans="1:26" ht="27.75" customHeight="1" x14ac:dyDescent="0.3">
      <c r="A1312" s="144" t="str">
        <f>+IF(PROVEEDORES[[#This Row],[FECHA DE PAGO]]=PROVEEDORES[[#This Row],[FECHA DE FACTURACIÓN]],"DE CONTADO","CRÉDITO")</f>
        <v>DE CONTADO</v>
      </c>
      <c r="B1312" s="144" t="b">
        <f>+IF((PROVEEDORES[[#This Row],[FECHA DE PAGO]]-PROVEEDORES[[#This Row],[FECHA DE FACTURACIÓN]])&gt;PROVEEDORES[[#This Row],[PLAZO Días]],"PAGO VENCIDO")</f>
        <v>0</v>
      </c>
      <c r="C1312" s="144">
        <f>+VLOOKUP(PROVEEDORES[[#This Row],[PROVEEDOR]],TERCEROS_INFO[#All],2,FALSE)</f>
        <v>0</v>
      </c>
      <c r="D1312" s="145">
        <f>+SUMIFS(PROVEEDORES[Total],PROVEEDORES[PROVEEDOR],PROVEEDORES[[#This Row],[PROVEEDOR]],PROVEEDORES[FECHA DE PAGO],"")</f>
        <v>0</v>
      </c>
      <c r="E1312" s="146"/>
      <c r="F1312" s="144">
        <f>+VLOOKUP(PROVEEDORES[[#This Row],[PROVEEDOR]],
                       Terceros!$A:$G,
                       5,
                       FALSE)</f>
        <v>0</v>
      </c>
      <c r="G1312" s="122">
        <v>45351</v>
      </c>
      <c r="H1312" s="102" t="s">
        <v>537</v>
      </c>
      <c r="I1312" s="122">
        <v>45351</v>
      </c>
      <c r="J1312" s="103" t="s">
        <v>516</v>
      </c>
      <c r="K1312" s="103" t="s">
        <v>516</v>
      </c>
      <c r="L1312" s="103"/>
      <c r="M1312" s="105">
        <v>99000</v>
      </c>
      <c r="N1312" s="147">
        <v>0</v>
      </c>
      <c r="O1312" s="147">
        <v>0</v>
      </c>
      <c r="P1312" s="148">
        <v>0</v>
      </c>
      <c r="Q1312" s="147">
        <v>0</v>
      </c>
      <c r="R1312" s="149">
        <v>99000</v>
      </c>
      <c r="S13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2" s="150">
        <f ca="1">+IF(PROVEEDORES[[#This Row],[FECHA DE PAGO]]=0,TODAY()-PROVEEDORES[[#This Row],[FECHA DE FACTURACIÓN]]-PROVEEDORES[[#This Row],[PLAZO Días]],0)</f>
        <v>0</v>
      </c>
      <c r="U1312" s="150">
        <f>+VLOOKUP(PROVEEDORES[[#This Row],[PROVEEDOR]],Terceros!$A:$E,4,FALSE)</f>
        <v>0</v>
      </c>
      <c r="V1312" s="150">
        <f>+YEAR(PROVEEDORES[[#This Row],[FECHA DE FACTURACIÓN]])</f>
        <v>2024</v>
      </c>
      <c r="W1312" s="150">
        <f>+MATCH(PROVEEDORES[[#This Row],[año facturado]],Retenciones!$1:$1,0)</f>
        <v>7</v>
      </c>
      <c r="X1312" s="151">
        <f>+VLOOKUP(PROVEEDORES[[#This Row],[ID RETENCION]],Retenciones!$A$1:$O$25,PROVEEDORES[[#This Row],[indicador de columna]],FALSE)</f>
        <v>0</v>
      </c>
      <c r="Y1312" s="152">
        <f>+VLOOKUP(PROVEEDORES[[#This Row],[ID RETENCION]],Retenciones!$A$1:$O$25,2,FALSE)</f>
        <v>0</v>
      </c>
      <c r="Z1312" s="153" t="b">
        <f>+OR(COUNTIF(PROVEEDORES[[#This Row],[PROVEEDOR]],"*"&amp;'Palabra que no opera y Listas d'!$A$2&amp;"*"))</f>
        <v>0</v>
      </c>
    </row>
    <row r="1313" spans="1:26" ht="27.75" customHeight="1" x14ac:dyDescent="0.3">
      <c r="A1313" s="144" t="str">
        <f>+IF(PROVEEDORES[[#This Row],[FECHA DE PAGO]]=PROVEEDORES[[#This Row],[FECHA DE FACTURACIÓN]],"DE CONTADO","CRÉDITO")</f>
        <v>DE CONTADO</v>
      </c>
      <c r="B1313" s="144" t="b">
        <f>+IF((PROVEEDORES[[#This Row],[FECHA DE PAGO]]-PROVEEDORES[[#This Row],[FECHA DE FACTURACIÓN]])&gt;PROVEEDORES[[#This Row],[PLAZO Días]],"PAGO VENCIDO")</f>
        <v>0</v>
      </c>
      <c r="C1313" s="144">
        <f>+VLOOKUP(PROVEEDORES[[#This Row],[PROVEEDOR]],TERCEROS_INFO[#All],2,FALSE)</f>
        <v>0</v>
      </c>
      <c r="D1313" s="145">
        <f>+SUMIFS(PROVEEDORES[Total],PROVEEDORES[PROVEEDOR],PROVEEDORES[[#This Row],[PROVEEDOR]],PROVEEDORES[FECHA DE PAGO],"")</f>
        <v>0</v>
      </c>
      <c r="E1313" s="146"/>
      <c r="F1313" s="144">
        <f>+VLOOKUP(PROVEEDORES[[#This Row],[PROVEEDOR]],
                       Terceros!$A:$G,
                       5,
                       FALSE)</f>
        <v>0</v>
      </c>
      <c r="G1313" s="122">
        <v>45351</v>
      </c>
      <c r="H1313" s="102" t="s">
        <v>870</v>
      </c>
      <c r="I1313" s="122">
        <v>45351</v>
      </c>
      <c r="J1313" s="103" t="s">
        <v>1643</v>
      </c>
      <c r="K1313" s="103" t="s">
        <v>1512</v>
      </c>
      <c r="L1313" s="103" t="s">
        <v>1390</v>
      </c>
      <c r="M1313" s="105">
        <v>50000</v>
      </c>
      <c r="N1313" s="147">
        <v>0</v>
      </c>
      <c r="O1313" s="147">
        <v>0</v>
      </c>
      <c r="P1313" s="148">
        <v>0</v>
      </c>
      <c r="Q1313" s="147">
        <v>0</v>
      </c>
      <c r="R1313" s="149">
        <v>50000</v>
      </c>
      <c r="S13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3" s="150">
        <f ca="1">+IF(PROVEEDORES[[#This Row],[FECHA DE PAGO]]=0,TODAY()-PROVEEDORES[[#This Row],[FECHA DE FACTURACIÓN]]-PROVEEDORES[[#This Row],[PLAZO Días]],0)</f>
        <v>0</v>
      </c>
      <c r="U1313" s="150">
        <f>+VLOOKUP(PROVEEDORES[[#This Row],[PROVEEDOR]],Terceros!$A:$E,4,FALSE)</f>
        <v>0</v>
      </c>
      <c r="V1313" s="150">
        <f>+YEAR(PROVEEDORES[[#This Row],[FECHA DE FACTURACIÓN]])</f>
        <v>2024</v>
      </c>
      <c r="W1313" s="150">
        <f>+MATCH(PROVEEDORES[[#This Row],[año facturado]],Retenciones!$1:$1,0)</f>
        <v>7</v>
      </c>
      <c r="X1313" s="151">
        <f>+VLOOKUP(PROVEEDORES[[#This Row],[ID RETENCION]],Retenciones!$A$1:$O$25,PROVEEDORES[[#This Row],[indicador de columna]],FALSE)</f>
        <v>0</v>
      </c>
      <c r="Y1313" s="152">
        <f>+VLOOKUP(PROVEEDORES[[#This Row],[ID RETENCION]],Retenciones!$A$1:$O$25,2,FALSE)</f>
        <v>0</v>
      </c>
      <c r="Z1313" s="153" t="b">
        <f>+OR(COUNTIF(PROVEEDORES[[#This Row],[PROVEEDOR]],"*"&amp;'Palabra que no opera y Listas d'!$A$2&amp;"*"))</f>
        <v>0</v>
      </c>
    </row>
    <row r="1314" spans="1:26" ht="27.75" customHeight="1" x14ac:dyDescent="0.3">
      <c r="A1314" s="144" t="str">
        <f>+IF(PROVEEDORES[[#This Row],[FECHA DE PAGO]]=PROVEEDORES[[#This Row],[FECHA DE FACTURACIÓN]],"DE CONTADO","CRÉDITO")</f>
        <v>DE CONTADO</v>
      </c>
      <c r="B1314" s="144" t="b">
        <f>+IF((PROVEEDORES[[#This Row],[FECHA DE PAGO]]-PROVEEDORES[[#This Row],[FECHA DE FACTURACIÓN]])&gt;PROVEEDORES[[#This Row],[PLAZO Días]],"PAGO VENCIDO")</f>
        <v>0</v>
      </c>
      <c r="C1314" s="144">
        <f>+VLOOKUP(PROVEEDORES[[#This Row],[PROVEEDOR]],TERCEROS_INFO[#All],2,FALSE)</f>
        <v>0</v>
      </c>
      <c r="D1314" s="145">
        <f>+SUMIFS(PROVEEDORES[Total],PROVEEDORES[PROVEEDOR],PROVEEDORES[[#This Row],[PROVEEDOR]],PROVEEDORES[FECHA DE PAGO],"")</f>
        <v>0</v>
      </c>
      <c r="E1314" s="146"/>
      <c r="F1314" s="144">
        <f>+VLOOKUP(PROVEEDORES[[#This Row],[PROVEEDOR]],
                       Terceros!$A:$G,
                       5,
                       FALSE)</f>
        <v>0</v>
      </c>
      <c r="G1314" s="122">
        <v>45351</v>
      </c>
      <c r="H1314" s="102" t="s">
        <v>1801</v>
      </c>
      <c r="I1314" s="122">
        <v>45351</v>
      </c>
      <c r="J1314" s="103"/>
      <c r="K1314" s="103" t="s">
        <v>1512</v>
      </c>
      <c r="L1314" s="103" t="s">
        <v>1390</v>
      </c>
      <c r="M1314" s="105">
        <v>465600</v>
      </c>
      <c r="N1314" s="147">
        <v>0</v>
      </c>
      <c r="O1314" s="147">
        <v>0</v>
      </c>
      <c r="P1314" s="148">
        <v>0</v>
      </c>
      <c r="Q1314" s="147">
        <v>0</v>
      </c>
      <c r="R1314" s="149">
        <v>465600</v>
      </c>
      <c r="S13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4" s="150">
        <f ca="1">+IF(PROVEEDORES[[#This Row],[FECHA DE PAGO]]=0,TODAY()-PROVEEDORES[[#This Row],[FECHA DE FACTURACIÓN]]-PROVEEDORES[[#This Row],[PLAZO Días]],0)</f>
        <v>0</v>
      </c>
      <c r="U1314" s="150">
        <f>+VLOOKUP(PROVEEDORES[[#This Row],[PROVEEDOR]],Terceros!$A:$E,4,FALSE)</f>
        <v>0</v>
      </c>
      <c r="V1314" s="150">
        <f>+YEAR(PROVEEDORES[[#This Row],[FECHA DE FACTURACIÓN]])</f>
        <v>2024</v>
      </c>
      <c r="W1314" s="150">
        <f>+MATCH(PROVEEDORES[[#This Row],[año facturado]],Retenciones!$1:$1,0)</f>
        <v>7</v>
      </c>
      <c r="X1314" s="151">
        <f>+VLOOKUP(PROVEEDORES[[#This Row],[ID RETENCION]],Retenciones!$A$1:$O$25,PROVEEDORES[[#This Row],[indicador de columna]],FALSE)</f>
        <v>0</v>
      </c>
      <c r="Y1314" s="152">
        <f>+VLOOKUP(PROVEEDORES[[#This Row],[ID RETENCION]],Retenciones!$A$1:$O$25,2,FALSE)</f>
        <v>0</v>
      </c>
      <c r="Z1314" s="153" t="b">
        <f>+OR(COUNTIF(PROVEEDORES[[#This Row],[PROVEEDOR]],"*"&amp;'Palabra que no opera y Listas d'!$A$2&amp;"*"))</f>
        <v>0</v>
      </c>
    </row>
    <row r="1315" spans="1:26" ht="27.75" customHeight="1" x14ac:dyDescent="0.3">
      <c r="A1315" s="144" t="str">
        <f>+IF(PROVEEDORES[[#This Row],[FECHA DE PAGO]]=PROVEEDORES[[#This Row],[FECHA DE FACTURACIÓN]],"DE CONTADO","CRÉDITO")</f>
        <v>DE CONTADO</v>
      </c>
      <c r="B1315" s="144" t="b">
        <f>+IF((PROVEEDORES[[#This Row],[FECHA DE PAGO]]-PROVEEDORES[[#This Row],[FECHA DE FACTURACIÓN]])&gt;PROVEEDORES[[#This Row],[PLAZO Días]],"PAGO VENCIDO")</f>
        <v>0</v>
      </c>
      <c r="C1315" s="144">
        <f>+VLOOKUP(PROVEEDORES[[#This Row],[PROVEEDOR]],TERCEROS_INFO[#All],2,FALSE)</f>
        <v>0</v>
      </c>
      <c r="D1315" s="145">
        <f>+SUMIFS(PROVEEDORES[Total],PROVEEDORES[PROVEEDOR],PROVEEDORES[[#This Row],[PROVEEDOR]],PROVEEDORES[FECHA DE PAGO],"")</f>
        <v>0</v>
      </c>
      <c r="E1315" s="146"/>
      <c r="F1315" s="144">
        <f>+VLOOKUP(PROVEEDORES[[#This Row],[PROVEEDOR]],
                       Terceros!$A:$G,
                       5,
                       FALSE)</f>
        <v>0</v>
      </c>
      <c r="G1315" s="122">
        <v>45351</v>
      </c>
      <c r="H1315" s="102" t="s">
        <v>1801</v>
      </c>
      <c r="I1315" s="122">
        <v>45351</v>
      </c>
      <c r="J1315" s="103"/>
      <c r="K1315" s="103" t="s">
        <v>1512</v>
      </c>
      <c r="L1315" s="103" t="s">
        <v>1390</v>
      </c>
      <c r="M1315" s="105">
        <v>585000</v>
      </c>
      <c r="N1315" s="147">
        <v>0</v>
      </c>
      <c r="O1315" s="147">
        <v>0</v>
      </c>
      <c r="P1315" s="148">
        <v>0</v>
      </c>
      <c r="Q1315" s="147">
        <v>0</v>
      </c>
      <c r="R1315" s="149">
        <v>585000</v>
      </c>
      <c r="S13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5" s="150">
        <f ca="1">+IF(PROVEEDORES[[#This Row],[FECHA DE PAGO]]=0,TODAY()-PROVEEDORES[[#This Row],[FECHA DE FACTURACIÓN]]-PROVEEDORES[[#This Row],[PLAZO Días]],0)</f>
        <v>0</v>
      </c>
      <c r="U1315" s="150">
        <f>+VLOOKUP(PROVEEDORES[[#This Row],[PROVEEDOR]],Terceros!$A:$E,4,FALSE)</f>
        <v>0</v>
      </c>
      <c r="V1315" s="150">
        <f>+YEAR(PROVEEDORES[[#This Row],[FECHA DE FACTURACIÓN]])</f>
        <v>2024</v>
      </c>
      <c r="W1315" s="150">
        <f>+MATCH(PROVEEDORES[[#This Row],[año facturado]],Retenciones!$1:$1,0)</f>
        <v>7</v>
      </c>
      <c r="X1315" s="151">
        <f>+VLOOKUP(PROVEEDORES[[#This Row],[ID RETENCION]],Retenciones!$A$1:$O$25,PROVEEDORES[[#This Row],[indicador de columna]],FALSE)</f>
        <v>0</v>
      </c>
      <c r="Y1315" s="152">
        <f>+VLOOKUP(PROVEEDORES[[#This Row],[ID RETENCION]],Retenciones!$A$1:$O$25,2,FALSE)</f>
        <v>0</v>
      </c>
      <c r="Z1315" s="153" t="b">
        <f>+OR(COUNTIF(PROVEEDORES[[#This Row],[PROVEEDOR]],"*"&amp;'Palabra que no opera y Listas d'!$A$2&amp;"*"))</f>
        <v>0</v>
      </c>
    </row>
    <row r="1316" spans="1:26" ht="27.75" customHeight="1" x14ac:dyDescent="0.3">
      <c r="A1316" s="144" t="str">
        <f>+IF(PROVEEDORES[[#This Row],[FECHA DE PAGO]]=PROVEEDORES[[#This Row],[FECHA DE FACTURACIÓN]],"DE CONTADO","CRÉDITO")</f>
        <v>DE CONTADO</v>
      </c>
      <c r="B1316" s="144" t="b">
        <f>+IF((PROVEEDORES[[#This Row],[FECHA DE PAGO]]-PROVEEDORES[[#This Row],[FECHA DE FACTURACIÓN]])&gt;PROVEEDORES[[#This Row],[PLAZO Días]],"PAGO VENCIDO")</f>
        <v>0</v>
      </c>
      <c r="C1316" s="144">
        <f>+VLOOKUP(PROVEEDORES[[#This Row],[PROVEEDOR]],TERCEROS_INFO[#All],2,FALSE)</f>
        <v>0</v>
      </c>
      <c r="D1316" s="145">
        <f>+SUMIFS(PROVEEDORES[Total],PROVEEDORES[PROVEEDOR],PROVEEDORES[[#This Row],[PROVEEDOR]],PROVEEDORES[FECHA DE PAGO],"")</f>
        <v>0</v>
      </c>
      <c r="E1316" s="146"/>
      <c r="F1316" s="144">
        <f>+VLOOKUP(PROVEEDORES[[#This Row],[PROVEEDOR]],
                       Terceros!$A:$G,
                       5,
                       FALSE)</f>
        <v>0</v>
      </c>
      <c r="G1316" s="122">
        <v>45351</v>
      </c>
      <c r="H1316" s="102" t="s">
        <v>845</v>
      </c>
      <c r="I1316" s="122">
        <v>45351</v>
      </c>
      <c r="J1316" s="103" t="s">
        <v>1567</v>
      </c>
      <c r="K1316" s="103" t="s">
        <v>516</v>
      </c>
      <c r="L1316" s="103" t="s">
        <v>1390</v>
      </c>
      <c r="M1316" s="105">
        <v>554000</v>
      </c>
      <c r="N1316" s="147">
        <v>0</v>
      </c>
      <c r="O1316" s="147">
        <v>0</v>
      </c>
      <c r="P1316" s="148">
        <v>0</v>
      </c>
      <c r="Q1316" s="147">
        <v>0</v>
      </c>
      <c r="R1316" s="149">
        <v>554000</v>
      </c>
      <c r="S13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6" s="150">
        <f ca="1">+IF(PROVEEDORES[[#This Row],[FECHA DE PAGO]]=0,TODAY()-PROVEEDORES[[#This Row],[FECHA DE FACTURACIÓN]]-PROVEEDORES[[#This Row],[PLAZO Días]],0)</f>
        <v>0</v>
      </c>
      <c r="U1316" s="150">
        <f>+VLOOKUP(PROVEEDORES[[#This Row],[PROVEEDOR]],Terceros!$A:$E,4,FALSE)</f>
        <v>0</v>
      </c>
      <c r="V1316" s="150">
        <f>+YEAR(PROVEEDORES[[#This Row],[FECHA DE FACTURACIÓN]])</f>
        <v>2024</v>
      </c>
      <c r="W1316" s="150">
        <f>+MATCH(PROVEEDORES[[#This Row],[año facturado]],Retenciones!$1:$1,0)</f>
        <v>7</v>
      </c>
      <c r="X1316" s="151">
        <f>+VLOOKUP(PROVEEDORES[[#This Row],[ID RETENCION]],Retenciones!$A$1:$O$25,PROVEEDORES[[#This Row],[indicador de columna]],FALSE)</f>
        <v>0</v>
      </c>
      <c r="Y1316" s="152">
        <f>+VLOOKUP(PROVEEDORES[[#This Row],[ID RETENCION]],Retenciones!$A$1:$O$25,2,FALSE)</f>
        <v>0</v>
      </c>
      <c r="Z1316" s="153" t="b">
        <f>+OR(COUNTIF(PROVEEDORES[[#This Row],[PROVEEDOR]],"*"&amp;'Palabra que no opera y Listas d'!$A$2&amp;"*"))</f>
        <v>0</v>
      </c>
    </row>
    <row r="1317" spans="1:26" ht="27.75" customHeight="1" x14ac:dyDescent="0.3">
      <c r="A1317" s="144" t="str">
        <f>+IF(PROVEEDORES[[#This Row],[FECHA DE PAGO]]=PROVEEDORES[[#This Row],[FECHA DE FACTURACIÓN]],"DE CONTADO","CRÉDITO")</f>
        <v>CRÉDITO</v>
      </c>
      <c r="B1317" s="144" t="str">
        <f>+IF((PROVEEDORES[[#This Row],[FECHA DE PAGO]]-PROVEEDORES[[#This Row],[FECHA DE FACTURACIÓN]])&gt;PROVEEDORES[[#This Row],[PLAZO Días]],"PAGO VENCIDO")</f>
        <v>PAGO VENCIDO</v>
      </c>
      <c r="C1317" s="144">
        <f>+VLOOKUP(PROVEEDORES[[#This Row],[PROVEEDOR]],TERCEROS_INFO[#All],2,FALSE)</f>
        <v>0</v>
      </c>
      <c r="D1317" s="145">
        <f>+SUMIFS(PROVEEDORES[Total],PROVEEDORES[PROVEEDOR],PROVEEDORES[[#This Row],[PROVEEDOR]],PROVEEDORES[FECHA DE PAGO],"")</f>
        <v>0</v>
      </c>
      <c r="E1317" s="146"/>
      <c r="F1317" s="144">
        <f>+VLOOKUP(PROVEEDORES[[#This Row],[PROVEEDOR]],
                       Terceros!$A:$G,
                       5,
                       FALSE)</f>
        <v>0</v>
      </c>
      <c r="G1317" s="122">
        <v>45352</v>
      </c>
      <c r="H1317" s="102" t="s">
        <v>496</v>
      </c>
      <c r="I1317" s="122">
        <v>45351</v>
      </c>
      <c r="J1317" s="103" t="s">
        <v>1640</v>
      </c>
      <c r="K1317" s="103" t="s">
        <v>516</v>
      </c>
      <c r="L1317" s="103" t="s">
        <v>1523</v>
      </c>
      <c r="M1317" s="105">
        <v>5028000</v>
      </c>
      <c r="N1317" s="147">
        <v>0</v>
      </c>
      <c r="O1317" s="147">
        <v>0</v>
      </c>
      <c r="P1317" s="148">
        <v>0</v>
      </c>
      <c r="Q1317" s="147">
        <v>0</v>
      </c>
      <c r="R1317" s="149">
        <v>5028000</v>
      </c>
      <c r="S13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7" s="150">
        <f ca="1">+IF(PROVEEDORES[[#This Row],[FECHA DE PAGO]]=0,TODAY()-PROVEEDORES[[#This Row],[FECHA DE FACTURACIÓN]]-PROVEEDORES[[#This Row],[PLAZO Días]],0)</f>
        <v>0</v>
      </c>
      <c r="U1317" s="150">
        <f>+VLOOKUP(PROVEEDORES[[#This Row],[PROVEEDOR]],Terceros!$A:$E,4,FALSE)</f>
        <v>0</v>
      </c>
      <c r="V1317" s="150">
        <f>+YEAR(PROVEEDORES[[#This Row],[FECHA DE FACTURACIÓN]])</f>
        <v>2024</v>
      </c>
      <c r="W1317" s="150">
        <f>+MATCH(PROVEEDORES[[#This Row],[año facturado]],Retenciones!$1:$1,0)</f>
        <v>7</v>
      </c>
      <c r="X1317" s="151">
        <f>+VLOOKUP(PROVEEDORES[[#This Row],[ID RETENCION]],Retenciones!$A$1:$O$25,PROVEEDORES[[#This Row],[indicador de columna]],FALSE)</f>
        <v>0</v>
      </c>
      <c r="Y1317" s="152">
        <f>+VLOOKUP(PROVEEDORES[[#This Row],[ID RETENCION]],Retenciones!$A$1:$O$25,2,FALSE)</f>
        <v>0</v>
      </c>
      <c r="Z1317" s="153" t="b">
        <f>+OR(COUNTIF(PROVEEDORES[[#This Row],[PROVEEDOR]],"*"&amp;'Palabra que no opera y Listas d'!$A$2&amp;"*"))</f>
        <v>0</v>
      </c>
    </row>
    <row r="1318" spans="1:26" ht="27.75" customHeight="1" x14ac:dyDescent="0.3">
      <c r="A1318" s="144" t="str">
        <f>+IF(PROVEEDORES[[#This Row],[FECHA DE PAGO]]=PROVEEDORES[[#This Row],[FECHA DE FACTURACIÓN]],"DE CONTADO","CRÉDITO")</f>
        <v>DE CONTADO</v>
      </c>
      <c r="B1318" s="144" t="b">
        <f>+IF((PROVEEDORES[[#This Row],[FECHA DE PAGO]]-PROVEEDORES[[#This Row],[FECHA DE FACTURACIÓN]])&gt;PROVEEDORES[[#This Row],[PLAZO Días]],"PAGO VENCIDO")</f>
        <v>0</v>
      </c>
      <c r="C1318" s="144">
        <f>+VLOOKUP(PROVEEDORES[[#This Row],[PROVEEDOR]],TERCEROS_INFO[#All],2,FALSE)</f>
        <v>0</v>
      </c>
      <c r="D1318" s="145">
        <f>+SUMIFS(PROVEEDORES[Total],PROVEEDORES[PROVEEDOR],PROVEEDORES[[#This Row],[PROVEEDOR]],PROVEEDORES[FECHA DE PAGO],"")</f>
        <v>0</v>
      </c>
      <c r="E1318" s="146"/>
      <c r="F1318" s="144">
        <f>+VLOOKUP(PROVEEDORES[[#This Row],[PROVEEDOR]],
                       Terceros!$A:$G,
                       5,
                       FALSE)</f>
        <v>0</v>
      </c>
      <c r="G1318" s="122">
        <v>45352</v>
      </c>
      <c r="H1318" s="102" t="s">
        <v>405</v>
      </c>
      <c r="I1318" s="122">
        <v>45352</v>
      </c>
      <c r="J1318" s="103"/>
      <c r="K1318" s="103" t="s">
        <v>1512</v>
      </c>
      <c r="L1318" s="103" t="s">
        <v>1515</v>
      </c>
      <c r="M1318" s="105">
        <v>633500</v>
      </c>
      <c r="N1318" s="147">
        <v>0</v>
      </c>
      <c r="O1318" s="147">
        <v>0</v>
      </c>
      <c r="P1318" s="148">
        <v>0</v>
      </c>
      <c r="Q1318" s="147">
        <v>0</v>
      </c>
      <c r="R1318" s="149">
        <v>633500</v>
      </c>
      <c r="S13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8" s="150">
        <f ca="1">+IF(PROVEEDORES[[#This Row],[FECHA DE PAGO]]=0,TODAY()-PROVEEDORES[[#This Row],[FECHA DE FACTURACIÓN]]-PROVEEDORES[[#This Row],[PLAZO Días]],0)</f>
        <v>0</v>
      </c>
      <c r="U1318" s="150">
        <f>+VLOOKUP(PROVEEDORES[[#This Row],[PROVEEDOR]],Terceros!$A:$E,4,FALSE)</f>
        <v>0</v>
      </c>
      <c r="V1318" s="150">
        <f>+YEAR(PROVEEDORES[[#This Row],[FECHA DE FACTURACIÓN]])</f>
        <v>2024</v>
      </c>
      <c r="W1318" s="150">
        <f>+MATCH(PROVEEDORES[[#This Row],[año facturado]],Retenciones!$1:$1,0)</f>
        <v>7</v>
      </c>
      <c r="X1318" s="151">
        <f>+VLOOKUP(PROVEEDORES[[#This Row],[ID RETENCION]],Retenciones!$A$1:$O$25,PROVEEDORES[[#This Row],[indicador de columna]],FALSE)</f>
        <v>0</v>
      </c>
      <c r="Y1318" s="152">
        <f>+VLOOKUP(PROVEEDORES[[#This Row],[ID RETENCION]],Retenciones!$A$1:$O$25,2,FALSE)</f>
        <v>0</v>
      </c>
      <c r="Z1318" s="153" t="b">
        <f>+OR(COUNTIF(PROVEEDORES[[#This Row],[PROVEEDOR]],"*"&amp;'Palabra que no opera y Listas d'!$A$2&amp;"*"))</f>
        <v>1</v>
      </c>
    </row>
    <row r="1319" spans="1:26" ht="27.75" customHeight="1" x14ac:dyDescent="0.3">
      <c r="A1319" s="144" t="str">
        <f>+IF(PROVEEDORES[[#This Row],[FECHA DE PAGO]]=PROVEEDORES[[#This Row],[FECHA DE FACTURACIÓN]],"DE CONTADO","CRÉDITO")</f>
        <v>CRÉDITO</v>
      </c>
      <c r="B1319" s="144" t="str">
        <f>+IF((PROVEEDORES[[#This Row],[FECHA DE PAGO]]-PROVEEDORES[[#This Row],[FECHA DE FACTURACIÓN]])&gt;PROVEEDORES[[#This Row],[PLAZO Días]],"PAGO VENCIDO")</f>
        <v>PAGO VENCIDO</v>
      </c>
      <c r="C1319" s="144">
        <f>+VLOOKUP(PROVEEDORES[[#This Row],[PROVEEDOR]],TERCEROS_INFO[#All],2,FALSE)</f>
        <v>0</v>
      </c>
      <c r="D1319" s="145">
        <f>+SUMIFS(PROVEEDORES[Total],PROVEEDORES[PROVEEDOR],PROVEEDORES[[#This Row],[PROVEEDOR]],PROVEEDORES[FECHA DE PAGO],"")</f>
        <v>0</v>
      </c>
      <c r="E1319" s="146"/>
      <c r="F1319" s="144">
        <f>+VLOOKUP(PROVEEDORES[[#This Row],[PROVEEDOR]],
                       Terceros!$A:$G,
                       5,
                       FALSE)</f>
        <v>0</v>
      </c>
      <c r="G1319" s="122">
        <v>45353</v>
      </c>
      <c r="H1319" s="102" t="s">
        <v>474</v>
      </c>
      <c r="I1319" s="122">
        <v>45342</v>
      </c>
      <c r="J1319" s="103" t="s">
        <v>1595</v>
      </c>
      <c r="K1319" s="103" t="s">
        <v>1512</v>
      </c>
      <c r="L1319" s="103" t="s">
        <v>1390</v>
      </c>
      <c r="M1319" s="105">
        <v>2500000</v>
      </c>
      <c r="N1319" s="147">
        <v>0</v>
      </c>
      <c r="O1319" s="147">
        <v>0</v>
      </c>
      <c r="P1319" s="148">
        <v>0</v>
      </c>
      <c r="Q1319" s="147">
        <v>0</v>
      </c>
      <c r="R1319" s="149">
        <v>2500000</v>
      </c>
      <c r="S13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9" s="150">
        <f ca="1">+IF(PROVEEDORES[[#This Row],[FECHA DE PAGO]]=0,TODAY()-PROVEEDORES[[#This Row],[FECHA DE FACTURACIÓN]]-PROVEEDORES[[#This Row],[PLAZO Días]],0)</f>
        <v>0</v>
      </c>
      <c r="U1319" s="150">
        <f>+VLOOKUP(PROVEEDORES[[#This Row],[PROVEEDOR]],Terceros!$A:$E,4,FALSE)</f>
        <v>0</v>
      </c>
      <c r="V1319" s="150">
        <f>+YEAR(PROVEEDORES[[#This Row],[FECHA DE FACTURACIÓN]])</f>
        <v>2024</v>
      </c>
      <c r="W1319" s="150">
        <f>+MATCH(PROVEEDORES[[#This Row],[año facturado]],Retenciones!$1:$1,0)</f>
        <v>7</v>
      </c>
      <c r="X1319" s="151">
        <f>+VLOOKUP(PROVEEDORES[[#This Row],[ID RETENCION]],Retenciones!$A$1:$O$25,PROVEEDORES[[#This Row],[indicador de columna]],FALSE)</f>
        <v>0</v>
      </c>
      <c r="Y1319" s="152">
        <f>+VLOOKUP(PROVEEDORES[[#This Row],[ID RETENCION]],Retenciones!$A$1:$O$25,2,FALSE)</f>
        <v>0</v>
      </c>
      <c r="Z1319" s="153" t="b">
        <f>+OR(COUNTIF(PROVEEDORES[[#This Row],[PROVEEDOR]],"*"&amp;'Palabra que no opera y Listas d'!$A$2&amp;"*"))</f>
        <v>1</v>
      </c>
    </row>
    <row r="1320" spans="1:26" ht="27.75" customHeight="1" x14ac:dyDescent="0.3">
      <c r="A1320" s="144" t="str">
        <f>+IF(PROVEEDORES[[#This Row],[FECHA DE PAGO]]=PROVEEDORES[[#This Row],[FECHA DE FACTURACIÓN]],"DE CONTADO","CRÉDITO")</f>
        <v>CRÉDITO</v>
      </c>
      <c r="B1320" s="144" t="str">
        <f>+IF((PROVEEDORES[[#This Row],[FECHA DE PAGO]]-PROVEEDORES[[#This Row],[FECHA DE FACTURACIÓN]])&gt;PROVEEDORES[[#This Row],[PLAZO Días]],"PAGO VENCIDO")</f>
        <v>PAGO VENCIDO</v>
      </c>
      <c r="C1320" s="144">
        <f>+VLOOKUP(PROVEEDORES[[#This Row],[PROVEEDOR]],TERCEROS_INFO[#All],2,FALSE)</f>
        <v>0</v>
      </c>
      <c r="D1320" s="145">
        <f>+SUMIFS(PROVEEDORES[Total],PROVEEDORES[PROVEEDOR],PROVEEDORES[[#This Row],[PROVEEDOR]],PROVEEDORES[FECHA DE PAGO],"")</f>
        <v>17710735.315650001</v>
      </c>
      <c r="E1320" s="146"/>
      <c r="F1320" s="144" t="str">
        <f>+VLOOKUP(PROVEEDORES[[#This Row],[PROVEEDOR]],
                       Terceros!$A:$G,
                       5,
                       FALSE)</f>
        <v>2,5% con base</v>
      </c>
      <c r="G1320" s="122">
        <v>45355</v>
      </c>
      <c r="H1320" s="102" t="s">
        <v>11</v>
      </c>
      <c r="I1320" s="122">
        <v>45265</v>
      </c>
      <c r="J1320" s="103" t="s">
        <v>1320</v>
      </c>
      <c r="K1320" s="103" t="s">
        <v>1512</v>
      </c>
      <c r="L1320" s="103" t="s">
        <v>1517</v>
      </c>
      <c r="M1320" s="105">
        <v>10294117</v>
      </c>
      <c r="N1320" s="147">
        <v>1955882.23</v>
      </c>
      <c r="O1320" s="147">
        <v>0</v>
      </c>
      <c r="P1320" s="148">
        <v>2.5000000000000001E-2</v>
      </c>
      <c r="Q1320" s="147">
        <v>257352.92500000002</v>
      </c>
      <c r="R1320" s="149">
        <v>11992646.305</v>
      </c>
      <c r="S13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0" s="150">
        <f ca="1">+IF(PROVEEDORES[[#This Row],[FECHA DE PAGO]]=0,TODAY()-PROVEEDORES[[#This Row],[FECHA DE FACTURACIÓN]]-PROVEEDORES[[#This Row],[PLAZO Días]],0)</f>
        <v>0</v>
      </c>
      <c r="U1320" s="150">
        <f>+VLOOKUP(PROVEEDORES[[#This Row],[PROVEEDOR]],Terceros!$A:$E,4,FALSE)</f>
        <v>0.19</v>
      </c>
      <c r="V1320" s="150">
        <f>+YEAR(PROVEEDORES[[#This Row],[FECHA DE FACTURACIÓN]])</f>
        <v>2023</v>
      </c>
      <c r="W1320" s="150">
        <f>+MATCH(PROVEEDORES[[#This Row],[año facturado]],Retenciones!$1:$1,0)</f>
        <v>6</v>
      </c>
      <c r="X1320" s="151" t="e">
        <f>+VLOOKUP(PROVEEDORES[[#This Row],[ID RETENCION]],Retenciones!$A$1:$O$25,PROVEEDORES[[#This Row],[indicador de columna]],FALSE)</f>
        <v>#N/A</v>
      </c>
      <c r="Y1320" s="152" t="e">
        <f>+VLOOKUP(PROVEEDORES[[#This Row],[ID RETENCION]],Retenciones!$A$1:$O$25,2,FALSE)</f>
        <v>#N/A</v>
      </c>
      <c r="Z1320" s="153" t="b">
        <f>+OR(COUNTIF(PROVEEDORES[[#This Row],[PROVEEDOR]],"*"&amp;'Palabra que no opera y Listas d'!$A$2&amp;"*"))</f>
        <v>0</v>
      </c>
    </row>
    <row r="1321" spans="1:26" ht="27.75" customHeight="1" x14ac:dyDescent="0.3">
      <c r="A1321" s="144" t="str">
        <f>+IF(PROVEEDORES[[#This Row],[FECHA DE PAGO]]=PROVEEDORES[[#This Row],[FECHA DE FACTURACIÓN]],"DE CONTADO","CRÉDITO")</f>
        <v>CRÉDITO</v>
      </c>
      <c r="B1321" s="144" t="str">
        <f>+IF((PROVEEDORES[[#This Row],[FECHA DE PAGO]]-PROVEEDORES[[#This Row],[FECHA DE FACTURACIÓN]])&gt;PROVEEDORES[[#This Row],[PLAZO Días]],"PAGO VENCIDO")</f>
        <v>PAGO VENCIDO</v>
      </c>
      <c r="C1321" s="144">
        <f>+VLOOKUP(PROVEEDORES[[#This Row],[PROVEEDOR]],TERCEROS_INFO[#All],2,FALSE)</f>
        <v>0</v>
      </c>
      <c r="D1321" s="145">
        <f>+SUMIFS(PROVEEDORES[Total],PROVEEDORES[PROVEEDOR],PROVEEDORES[[#This Row],[PROVEEDOR]],PROVEEDORES[FECHA DE PAGO],"")</f>
        <v>17710735.315650001</v>
      </c>
      <c r="E1321" s="146"/>
      <c r="F1321" s="144" t="str">
        <f>+VLOOKUP(PROVEEDORES[[#This Row],[PROVEEDOR]],
                       Terceros!$A:$G,
                       5,
                       FALSE)</f>
        <v>2,5% con base</v>
      </c>
      <c r="G1321" s="122">
        <v>45355</v>
      </c>
      <c r="H1321" s="102" t="s">
        <v>11</v>
      </c>
      <c r="I1321" s="122">
        <v>45265</v>
      </c>
      <c r="J1321" s="103" t="s">
        <v>1321</v>
      </c>
      <c r="K1321" s="103" t="s">
        <v>1512</v>
      </c>
      <c r="L1321" s="103" t="s">
        <v>1517</v>
      </c>
      <c r="M1321" s="105">
        <v>37615</v>
      </c>
      <c r="N1321" s="147">
        <v>7146.85</v>
      </c>
      <c r="O1321" s="147">
        <v>0</v>
      </c>
      <c r="P1321" s="148">
        <v>0</v>
      </c>
      <c r="Q1321" s="147">
        <v>0</v>
      </c>
      <c r="R1321" s="149">
        <v>44761.85</v>
      </c>
      <c r="S13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1" s="150">
        <f ca="1">+IF(PROVEEDORES[[#This Row],[FECHA DE PAGO]]=0,TODAY()-PROVEEDORES[[#This Row],[FECHA DE FACTURACIÓN]]-PROVEEDORES[[#This Row],[PLAZO Días]],0)</f>
        <v>0</v>
      </c>
      <c r="U1321" s="150">
        <f>+VLOOKUP(PROVEEDORES[[#This Row],[PROVEEDOR]],Terceros!$A:$E,4,FALSE)</f>
        <v>0.19</v>
      </c>
      <c r="V1321" s="150">
        <f>+YEAR(PROVEEDORES[[#This Row],[FECHA DE FACTURACIÓN]])</f>
        <v>2023</v>
      </c>
      <c r="W1321" s="150">
        <f>+MATCH(PROVEEDORES[[#This Row],[año facturado]],Retenciones!$1:$1,0)</f>
        <v>6</v>
      </c>
      <c r="X1321" s="151" t="e">
        <f>+VLOOKUP(PROVEEDORES[[#This Row],[ID RETENCION]],Retenciones!$A$1:$O$25,PROVEEDORES[[#This Row],[indicador de columna]],FALSE)</f>
        <v>#N/A</v>
      </c>
      <c r="Y1321" s="152" t="e">
        <f>+VLOOKUP(PROVEEDORES[[#This Row],[ID RETENCION]],Retenciones!$A$1:$O$25,2,FALSE)</f>
        <v>#N/A</v>
      </c>
      <c r="Z1321" s="153" t="b">
        <f>+OR(COUNTIF(PROVEEDORES[[#This Row],[PROVEEDOR]],"*"&amp;'Palabra que no opera y Listas d'!$A$2&amp;"*"))</f>
        <v>0</v>
      </c>
    </row>
    <row r="1322" spans="1:26" ht="27.75" customHeight="1" x14ac:dyDescent="0.3">
      <c r="A1322" s="144" t="str">
        <f>+IF(PROVEEDORES[[#This Row],[FECHA DE PAGO]]=PROVEEDORES[[#This Row],[FECHA DE FACTURACIÓN]],"DE CONTADO","CRÉDITO")</f>
        <v>CRÉDITO</v>
      </c>
      <c r="B1322" s="144" t="str">
        <f>+IF((PROVEEDORES[[#This Row],[FECHA DE PAGO]]-PROVEEDORES[[#This Row],[FECHA DE FACTURACIÓN]])&gt;PROVEEDORES[[#This Row],[PLAZO Días]],"PAGO VENCIDO")</f>
        <v>PAGO VENCIDO</v>
      </c>
      <c r="C1322" s="144">
        <f>+VLOOKUP(PROVEEDORES[[#This Row],[PROVEEDOR]],TERCEROS_INFO[#All],2,FALSE)</f>
        <v>0</v>
      </c>
      <c r="D1322" s="145">
        <f>+SUMIFS(PROVEEDORES[Total],PROVEEDORES[PROVEEDOR],PROVEEDORES[[#This Row],[PROVEEDOR]],PROVEEDORES[FECHA DE PAGO],"")</f>
        <v>119844463.84</v>
      </c>
      <c r="E1322" s="146"/>
      <c r="F1322" s="144" t="str">
        <f>+VLOOKUP(PROVEEDORES[[#This Row],[PROVEEDOR]],
                       Terceros!$A:$G,
                       5,
                       FALSE)</f>
        <v>2,5% con base</v>
      </c>
      <c r="G1322" s="122">
        <v>45355</v>
      </c>
      <c r="H1322" s="102" t="s">
        <v>8</v>
      </c>
      <c r="I1322" s="122">
        <v>45281</v>
      </c>
      <c r="J1322" s="103" t="s">
        <v>1346</v>
      </c>
      <c r="K1322" s="103" t="s">
        <v>1512</v>
      </c>
      <c r="L1322" s="103" t="s">
        <v>1515</v>
      </c>
      <c r="M1322" s="105">
        <v>19142938</v>
      </c>
      <c r="N1322" s="147">
        <v>3637158.22</v>
      </c>
      <c r="O1322" s="147">
        <v>0</v>
      </c>
      <c r="P1322" s="148">
        <v>2.5000000000000001E-2</v>
      </c>
      <c r="Q1322" s="147">
        <v>478573.45</v>
      </c>
      <c r="R1322" s="149">
        <v>22301522.77</v>
      </c>
      <c r="S13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2" s="150">
        <f ca="1">+IF(PROVEEDORES[[#This Row],[FECHA DE PAGO]]=0,TODAY()-PROVEEDORES[[#This Row],[FECHA DE FACTURACIÓN]]-PROVEEDORES[[#This Row],[PLAZO Días]],0)</f>
        <v>0</v>
      </c>
      <c r="U1322" s="150">
        <f>+VLOOKUP(PROVEEDORES[[#This Row],[PROVEEDOR]],Terceros!$A:$E,4,FALSE)</f>
        <v>0.19</v>
      </c>
      <c r="V1322" s="150">
        <f>+YEAR(PROVEEDORES[[#This Row],[FECHA DE FACTURACIÓN]])</f>
        <v>2023</v>
      </c>
      <c r="W1322" s="150">
        <f>+MATCH(PROVEEDORES[[#This Row],[año facturado]],Retenciones!$1:$1,0)</f>
        <v>6</v>
      </c>
      <c r="X1322" s="151" t="e">
        <f>+VLOOKUP(PROVEEDORES[[#This Row],[ID RETENCION]],Retenciones!$A$1:$O$25,PROVEEDORES[[#This Row],[indicador de columna]],FALSE)</f>
        <v>#N/A</v>
      </c>
      <c r="Y1322" s="152" t="e">
        <f>+VLOOKUP(PROVEEDORES[[#This Row],[ID RETENCION]],Retenciones!$A$1:$O$25,2,FALSE)</f>
        <v>#N/A</v>
      </c>
      <c r="Z1322" s="153" t="b">
        <f>+OR(COUNTIF(PROVEEDORES[[#This Row],[PROVEEDOR]],"*"&amp;'Palabra que no opera y Listas d'!$A$2&amp;"*"))</f>
        <v>0</v>
      </c>
    </row>
    <row r="1323" spans="1:26" ht="27.75" customHeight="1" x14ac:dyDescent="0.3">
      <c r="A1323" s="144" t="str">
        <f>+IF(PROVEEDORES[[#This Row],[FECHA DE PAGO]]=PROVEEDORES[[#This Row],[FECHA DE FACTURACIÓN]],"DE CONTADO","CRÉDITO")</f>
        <v>CRÉDITO</v>
      </c>
      <c r="B1323" s="144" t="str">
        <f>+IF((PROVEEDORES[[#This Row],[FECHA DE PAGO]]-PROVEEDORES[[#This Row],[FECHA DE FACTURACIÓN]])&gt;PROVEEDORES[[#This Row],[PLAZO Días]],"PAGO VENCIDO")</f>
        <v>PAGO VENCIDO</v>
      </c>
      <c r="C1323" s="144">
        <f>+VLOOKUP(PROVEEDORES[[#This Row],[PROVEEDOR]],TERCEROS_INFO[#All],2,FALSE)</f>
        <v>0</v>
      </c>
      <c r="D1323" s="145">
        <f>+SUMIFS(PROVEEDORES[Total],PROVEEDORES[PROVEEDOR],PROVEEDORES[[#This Row],[PROVEEDOR]],PROVEEDORES[FECHA DE PAGO],"")</f>
        <v>119844463.84</v>
      </c>
      <c r="E1323" s="146"/>
      <c r="F1323" s="144" t="str">
        <f>+VLOOKUP(PROVEEDORES[[#This Row],[PROVEEDOR]],
                       Terceros!$A:$G,
                       5,
                       FALSE)</f>
        <v>2,5% con base</v>
      </c>
      <c r="G1323" s="122">
        <v>45355</v>
      </c>
      <c r="H1323" s="102" t="s">
        <v>8</v>
      </c>
      <c r="I1323" s="122">
        <v>45286</v>
      </c>
      <c r="J1323" s="103" t="s">
        <v>1367</v>
      </c>
      <c r="K1323" s="103" t="s">
        <v>1512</v>
      </c>
      <c r="L1323" s="103" t="s">
        <v>1515</v>
      </c>
      <c r="M1323" s="105">
        <v>487650</v>
      </c>
      <c r="N1323" s="147">
        <v>92653.5</v>
      </c>
      <c r="O1323" s="147">
        <v>0</v>
      </c>
      <c r="P1323" s="148">
        <v>0</v>
      </c>
      <c r="Q1323" s="147">
        <v>0</v>
      </c>
      <c r="R1323" s="149">
        <v>580303.5</v>
      </c>
      <c r="S13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3" s="150">
        <f ca="1">+IF(PROVEEDORES[[#This Row],[FECHA DE PAGO]]=0,TODAY()-PROVEEDORES[[#This Row],[FECHA DE FACTURACIÓN]]-PROVEEDORES[[#This Row],[PLAZO Días]],0)</f>
        <v>0</v>
      </c>
      <c r="U1323" s="150">
        <f>+VLOOKUP(PROVEEDORES[[#This Row],[PROVEEDOR]],Terceros!$A:$E,4,FALSE)</f>
        <v>0.19</v>
      </c>
      <c r="V1323" s="150">
        <f>+YEAR(PROVEEDORES[[#This Row],[FECHA DE FACTURACIÓN]])</f>
        <v>2023</v>
      </c>
      <c r="W1323" s="150">
        <f>+MATCH(PROVEEDORES[[#This Row],[año facturado]],Retenciones!$1:$1,0)</f>
        <v>6</v>
      </c>
      <c r="X1323" s="151" t="e">
        <f>+VLOOKUP(PROVEEDORES[[#This Row],[ID RETENCION]],Retenciones!$A$1:$O$25,PROVEEDORES[[#This Row],[indicador de columna]],FALSE)</f>
        <v>#N/A</v>
      </c>
      <c r="Y1323" s="152" t="e">
        <f>+VLOOKUP(PROVEEDORES[[#This Row],[ID RETENCION]],Retenciones!$A$1:$O$25,2,FALSE)</f>
        <v>#N/A</v>
      </c>
      <c r="Z1323" s="153" t="b">
        <f>+OR(COUNTIF(PROVEEDORES[[#This Row],[PROVEEDOR]],"*"&amp;'Palabra que no opera y Listas d'!$A$2&amp;"*"))</f>
        <v>0</v>
      </c>
    </row>
    <row r="1324" spans="1:26" ht="27.75" customHeight="1" x14ac:dyDescent="0.3">
      <c r="A1324" s="144" t="str">
        <f>+IF(PROVEEDORES[[#This Row],[FECHA DE PAGO]]=PROVEEDORES[[#This Row],[FECHA DE FACTURACIÓN]],"DE CONTADO","CRÉDITO")</f>
        <v>CRÉDITO</v>
      </c>
      <c r="B1324" s="144" t="str">
        <f>+IF((PROVEEDORES[[#This Row],[FECHA DE PAGO]]-PROVEEDORES[[#This Row],[FECHA DE FACTURACIÓN]])&gt;PROVEEDORES[[#This Row],[PLAZO Días]],"PAGO VENCIDO")</f>
        <v>PAGO VENCIDO</v>
      </c>
      <c r="C1324" s="144">
        <f>+VLOOKUP(PROVEEDORES[[#This Row],[PROVEEDOR]],TERCEROS_INFO[#All],2,FALSE)</f>
        <v>0</v>
      </c>
      <c r="D1324" s="145">
        <f>+SUMIFS(PROVEEDORES[Total],PROVEEDORES[PROVEEDOR],PROVEEDORES[[#This Row],[PROVEEDOR]],PROVEEDORES[FECHA DE PAGO],"")</f>
        <v>0</v>
      </c>
      <c r="E1324" s="146"/>
      <c r="F1324" s="144" t="str">
        <f>+VLOOKUP(PROVEEDORES[[#This Row],[PROVEEDOR]],
                       Terceros!$A:$G,
                       5,
                       FALSE)</f>
        <v>2,5% con base</v>
      </c>
      <c r="G1324" s="122">
        <v>45355</v>
      </c>
      <c r="H1324" s="102" t="s">
        <v>467</v>
      </c>
      <c r="I1324" s="122">
        <v>45315</v>
      </c>
      <c r="J1324" s="103" t="s">
        <v>1474</v>
      </c>
      <c r="K1324" s="103" t="s">
        <v>1512</v>
      </c>
      <c r="L1324" s="103" t="s">
        <v>1518</v>
      </c>
      <c r="M1324" s="105">
        <v>1879839.5</v>
      </c>
      <c r="N1324" s="147">
        <v>357169.505</v>
      </c>
      <c r="O1324" s="147">
        <v>0</v>
      </c>
      <c r="P1324" s="148">
        <v>2.5000000000000001E-2</v>
      </c>
      <c r="Q1324" s="147">
        <v>46995.987500000003</v>
      </c>
      <c r="R1324" s="149">
        <v>2190013.0175000001</v>
      </c>
      <c r="S13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4" s="150">
        <f ca="1">+IF(PROVEEDORES[[#This Row],[FECHA DE PAGO]]=0,TODAY()-PROVEEDORES[[#This Row],[FECHA DE FACTURACIÓN]]-PROVEEDORES[[#This Row],[PLAZO Días]],0)</f>
        <v>0</v>
      </c>
      <c r="U1324" s="150">
        <f>+VLOOKUP(PROVEEDORES[[#This Row],[PROVEEDOR]],Terceros!$A:$E,4,FALSE)</f>
        <v>0.19</v>
      </c>
      <c r="V1324" s="150">
        <f>+YEAR(PROVEEDORES[[#This Row],[FECHA DE FACTURACIÓN]])</f>
        <v>2024</v>
      </c>
      <c r="W1324" s="150">
        <f>+MATCH(PROVEEDORES[[#This Row],[año facturado]],Retenciones!$1:$1,0)</f>
        <v>7</v>
      </c>
      <c r="X1324" s="151" t="e">
        <f>+VLOOKUP(PROVEEDORES[[#This Row],[ID RETENCION]],Retenciones!$A$1:$O$25,PROVEEDORES[[#This Row],[indicador de columna]],FALSE)</f>
        <v>#N/A</v>
      </c>
      <c r="Y1324" s="152" t="e">
        <f>+VLOOKUP(PROVEEDORES[[#This Row],[ID RETENCION]],Retenciones!$A$1:$O$25,2,FALSE)</f>
        <v>#N/A</v>
      </c>
      <c r="Z1324" s="153" t="b">
        <f>+OR(COUNTIF(PROVEEDORES[[#This Row],[PROVEEDOR]],"*"&amp;'Palabra que no opera y Listas d'!$A$2&amp;"*"))</f>
        <v>0</v>
      </c>
    </row>
    <row r="1325" spans="1:26" ht="27.75" customHeight="1" x14ac:dyDescent="0.3">
      <c r="A1325" s="144" t="str">
        <f>+IF(PROVEEDORES[[#This Row],[FECHA DE PAGO]]=PROVEEDORES[[#This Row],[FECHA DE FACTURACIÓN]],"DE CONTADO","CRÉDITO")</f>
        <v>CRÉDITO</v>
      </c>
      <c r="B1325" s="144" t="str">
        <f>+IF((PROVEEDORES[[#This Row],[FECHA DE PAGO]]-PROVEEDORES[[#This Row],[FECHA DE FACTURACIÓN]])&gt;PROVEEDORES[[#This Row],[PLAZO Días]],"PAGO VENCIDO")</f>
        <v>PAGO VENCIDO</v>
      </c>
      <c r="C1325" s="144">
        <f>+VLOOKUP(PROVEEDORES[[#This Row],[PROVEEDOR]],TERCEROS_INFO[#All],2,FALSE)</f>
        <v>0</v>
      </c>
      <c r="D1325" s="145">
        <f>+SUMIFS(PROVEEDORES[Total],PROVEEDORES[PROVEEDOR],PROVEEDORES[[#This Row],[PROVEEDOR]],PROVEEDORES[FECHA DE PAGO],"")</f>
        <v>0</v>
      </c>
      <c r="E1325" s="146"/>
      <c r="F1325" s="144" t="str">
        <f>+VLOOKUP(PROVEEDORES[[#This Row],[PROVEEDOR]],
                       Terceros!$A:$G,
                       5,
                       FALSE)</f>
        <v>2,5% con base</v>
      </c>
      <c r="G1325" s="122">
        <v>45355</v>
      </c>
      <c r="H1325" s="102" t="s">
        <v>467</v>
      </c>
      <c r="I1325" s="122">
        <v>45331</v>
      </c>
      <c r="J1325" s="103" t="s">
        <v>1533</v>
      </c>
      <c r="K1325" s="103" t="s">
        <v>516</v>
      </c>
      <c r="L1325" s="103" t="s">
        <v>1518</v>
      </c>
      <c r="M1325" s="105">
        <v>627429</v>
      </c>
      <c r="N1325" s="147">
        <v>119211.51</v>
      </c>
      <c r="O1325" s="147">
        <v>0</v>
      </c>
      <c r="P1325" s="148">
        <v>0</v>
      </c>
      <c r="Q1325" s="147">
        <v>0</v>
      </c>
      <c r="R1325" s="149">
        <v>746640.51</v>
      </c>
      <c r="S13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5" s="150">
        <f ca="1">+IF(PROVEEDORES[[#This Row],[FECHA DE PAGO]]=0,TODAY()-PROVEEDORES[[#This Row],[FECHA DE FACTURACIÓN]]-PROVEEDORES[[#This Row],[PLAZO Días]],0)</f>
        <v>0</v>
      </c>
      <c r="U1325" s="150">
        <f>+VLOOKUP(PROVEEDORES[[#This Row],[PROVEEDOR]],Terceros!$A:$E,4,FALSE)</f>
        <v>0.19</v>
      </c>
      <c r="V1325" s="150">
        <f>+YEAR(PROVEEDORES[[#This Row],[FECHA DE FACTURACIÓN]])</f>
        <v>2024</v>
      </c>
      <c r="W1325" s="150">
        <f>+MATCH(PROVEEDORES[[#This Row],[año facturado]],Retenciones!$1:$1,0)</f>
        <v>7</v>
      </c>
      <c r="X1325" s="151" t="e">
        <f>+VLOOKUP(PROVEEDORES[[#This Row],[ID RETENCION]],Retenciones!$A$1:$O$25,PROVEEDORES[[#This Row],[indicador de columna]],FALSE)</f>
        <v>#N/A</v>
      </c>
      <c r="Y1325" s="152" t="e">
        <f>+VLOOKUP(PROVEEDORES[[#This Row],[ID RETENCION]],Retenciones!$A$1:$O$25,2,FALSE)</f>
        <v>#N/A</v>
      </c>
      <c r="Z1325" s="153" t="b">
        <f>+OR(COUNTIF(PROVEEDORES[[#This Row],[PROVEEDOR]],"*"&amp;'Palabra que no opera y Listas d'!$A$2&amp;"*"))</f>
        <v>0</v>
      </c>
    </row>
    <row r="1326" spans="1:26" ht="27.75" customHeight="1" x14ac:dyDescent="0.3">
      <c r="A1326" s="144" t="str">
        <f>+IF(PROVEEDORES[[#This Row],[FECHA DE PAGO]]=PROVEEDORES[[#This Row],[FECHA DE FACTURACIÓN]],"DE CONTADO","CRÉDITO")</f>
        <v>CRÉDITO</v>
      </c>
      <c r="B1326" s="144" t="str">
        <f>+IF((PROVEEDORES[[#This Row],[FECHA DE PAGO]]-PROVEEDORES[[#This Row],[FECHA DE FACTURACIÓN]])&gt;PROVEEDORES[[#This Row],[PLAZO Días]],"PAGO VENCIDO")</f>
        <v>PAGO VENCIDO</v>
      </c>
      <c r="C1326" s="144">
        <f>+VLOOKUP(PROVEEDORES[[#This Row],[PROVEEDOR]],TERCEROS_INFO[#All],2,FALSE)</f>
        <v>0</v>
      </c>
      <c r="D1326" s="145">
        <f>+SUMIFS(PROVEEDORES[Total],PROVEEDORES[PROVEEDOR],PROVEEDORES[[#This Row],[PROVEEDOR]],PROVEEDORES[FECHA DE PAGO],"")</f>
        <v>3130000</v>
      </c>
      <c r="E1326" s="146"/>
      <c r="F1326" s="144">
        <f>+VLOOKUP(PROVEEDORES[[#This Row],[PROVEEDOR]],
                       Terceros!$A:$G,
                       5,
                       FALSE)</f>
        <v>0</v>
      </c>
      <c r="G1326" s="122">
        <v>45356</v>
      </c>
      <c r="H1326" s="102" t="s">
        <v>487</v>
      </c>
      <c r="I1326" s="122">
        <v>45302</v>
      </c>
      <c r="J1326" s="103" t="s">
        <v>1427</v>
      </c>
      <c r="K1326" s="103" t="s">
        <v>1512</v>
      </c>
      <c r="L1326" s="103" t="s">
        <v>1390</v>
      </c>
      <c r="M1326" s="105">
        <v>1345500</v>
      </c>
      <c r="N1326" s="147">
        <v>0</v>
      </c>
      <c r="O1326" s="147">
        <v>0</v>
      </c>
      <c r="P1326" s="148">
        <v>0</v>
      </c>
      <c r="Q1326" s="147">
        <v>0</v>
      </c>
      <c r="R1326" s="149">
        <v>1345500</v>
      </c>
      <c r="S13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6" s="150">
        <f ca="1">+IF(PROVEEDORES[[#This Row],[FECHA DE PAGO]]=0,TODAY()-PROVEEDORES[[#This Row],[FECHA DE FACTURACIÓN]]-PROVEEDORES[[#This Row],[PLAZO Días]],0)</f>
        <v>0</v>
      </c>
      <c r="U1326" s="150">
        <f>+VLOOKUP(PROVEEDORES[[#This Row],[PROVEEDOR]],Terceros!$A:$E,4,FALSE)</f>
        <v>0</v>
      </c>
      <c r="V1326" s="150">
        <f>+YEAR(PROVEEDORES[[#This Row],[FECHA DE FACTURACIÓN]])</f>
        <v>2024</v>
      </c>
      <c r="W1326" s="150">
        <f>+MATCH(PROVEEDORES[[#This Row],[año facturado]],Retenciones!$1:$1,0)</f>
        <v>7</v>
      </c>
      <c r="X1326" s="151">
        <f>+VLOOKUP(PROVEEDORES[[#This Row],[ID RETENCION]],Retenciones!$A$1:$O$25,PROVEEDORES[[#This Row],[indicador de columna]],FALSE)</f>
        <v>0</v>
      </c>
      <c r="Y1326" s="152">
        <f>+VLOOKUP(PROVEEDORES[[#This Row],[ID RETENCION]],Retenciones!$A$1:$O$25,2,FALSE)</f>
        <v>0</v>
      </c>
      <c r="Z1326" s="153" t="b">
        <f>+OR(COUNTIF(PROVEEDORES[[#This Row],[PROVEEDOR]],"*"&amp;'Palabra que no opera y Listas d'!$A$2&amp;"*"))</f>
        <v>0</v>
      </c>
    </row>
    <row r="1327" spans="1:26" ht="27.75" customHeight="1" x14ac:dyDescent="0.3">
      <c r="A1327" s="144" t="str">
        <f>+IF(PROVEEDORES[[#This Row],[FECHA DE PAGO]]=PROVEEDORES[[#This Row],[FECHA DE FACTURACIÓN]],"DE CONTADO","CRÉDITO")</f>
        <v>CRÉDITO</v>
      </c>
      <c r="B1327" s="144" t="str">
        <f>+IF((PROVEEDORES[[#This Row],[FECHA DE PAGO]]-PROVEEDORES[[#This Row],[FECHA DE FACTURACIÓN]])&gt;PROVEEDORES[[#This Row],[PLAZO Días]],"PAGO VENCIDO")</f>
        <v>PAGO VENCIDO</v>
      </c>
      <c r="C1327" s="144">
        <f>+VLOOKUP(PROVEEDORES[[#This Row],[PROVEEDOR]],TERCEROS_INFO[#All],2,FALSE)</f>
        <v>0</v>
      </c>
      <c r="D1327" s="145">
        <f>+SUMIFS(PROVEEDORES[Total],PROVEEDORES[PROVEEDOR],PROVEEDORES[[#This Row],[PROVEEDOR]],PROVEEDORES[FECHA DE PAGO],"")</f>
        <v>12082215</v>
      </c>
      <c r="E1327" s="146"/>
      <c r="F1327" s="144" t="str">
        <f>+VLOOKUP(PROVEEDORES[[#This Row],[PROVEEDOR]],
                       Terceros!$A:$G,
                       5,
                       FALSE)</f>
        <v>2,5% con base</v>
      </c>
      <c r="G1327" s="122">
        <v>45356</v>
      </c>
      <c r="H1327" s="102" t="s">
        <v>31</v>
      </c>
      <c r="I1327" s="122">
        <v>45303</v>
      </c>
      <c r="J1327" s="103" t="s">
        <v>1414</v>
      </c>
      <c r="K1327" s="103" t="s">
        <v>1512</v>
      </c>
      <c r="L1327" s="103" t="s">
        <v>1515</v>
      </c>
      <c r="M1327" s="105">
        <v>512000</v>
      </c>
      <c r="N1327" s="147">
        <v>97280</v>
      </c>
      <c r="O1327" s="147">
        <v>0</v>
      </c>
      <c r="P1327" s="148">
        <v>0</v>
      </c>
      <c r="Q1327" s="147">
        <v>0</v>
      </c>
      <c r="R1327" s="149">
        <v>609280</v>
      </c>
      <c r="S13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7" s="150">
        <f ca="1">+IF(PROVEEDORES[[#This Row],[FECHA DE PAGO]]=0,TODAY()-PROVEEDORES[[#This Row],[FECHA DE FACTURACIÓN]]-PROVEEDORES[[#This Row],[PLAZO Días]],0)</f>
        <v>0</v>
      </c>
      <c r="U1327" s="150">
        <f>+VLOOKUP(PROVEEDORES[[#This Row],[PROVEEDOR]],Terceros!$A:$E,4,FALSE)</f>
        <v>0.19</v>
      </c>
      <c r="V1327" s="150">
        <f>+YEAR(PROVEEDORES[[#This Row],[FECHA DE FACTURACIÓN]])</f>
        <v>2024</v>
      </c>
      <c r="W1327" s="150">
        <f>+MATCH(PROVEEDORES[[#This Row],[año facturado]],Retenciones!$1:$1,0)</f>
        <v>7</v>
      </c>
      <c r="X1327" s="151" t="e">
        <f>+VLOOKUP(PROVEEDORES[[#This Row],[ID RETENCION]],Retenciones!$A$1:$O$25,PROVEEDORES[[#This Row],[indicador de columna]],FALSE)</f>
        <v>#N/A</v>
      </c>
      <c r="Y1327" s="152" t="e">
        <f>+VLOOKUP(PROVEEDORES[[#This Row],[ID RETENCION]],Retenciones!$A$1:$O$25,2,FALSE)</f>
        <v>#N/A</v>
      </c>
      <c r="Z1327" s="153" t="b">
        <f>+OR(COUNTIF(PROVEEDORES[[#This Row],[PROVEEDOR]],"*"&amp;'Palabra que no opera y Listas d'!$A$2&amp;"*"))</f>
        <v>0</v>
      </c>
    </row>
    <row r="1328" spans="1:26" ht="27.75" customHeight="1" x14ac:dyDescent="0.3">
      <c r="A1328" s="144" t="str">
        <f>+IF(PROVEEDORES[[#This Row],[FECHA DE PAGO]]=PROVEEDORES[[#This Row],[FECHA DE FACTURACIÓN]],"DE CONTADO","CRÉDITO")</f>
        <v>CRÉDITO</v>
      </c>
      <c r="B1328" s="144" t="str">
        <f>+IF((PROVEEDORES[[#This Row],[FECHA DE PAGO]]-PROVEEDORES[[#This Row],[FECHA DE FACTURACIÓN]])&gt;PROVEEDORES[[#This Row],[PLAZO Días]],"PAGO VENCIDO")</f>
        <v>PAGO VENCIDO</v>
      </c>
      <c r="C1328" s="144">
        <f>+VLOOKUP(PROVEEDORES[[#This Row],[PROVEEDOR]],TERCEROS_INFO[#All],2,FALSE)</f>
        <v>0</v>
      </c>
      <c r="D1328" s="145">
        <f>+SUMIFS(PROVEEDORES[Total],PROVEEDORES[PROVEEDOR],PROVEEDORES[[#This Row],[PROVEEDOR]],PROVEEDORES[FECHA DE PAGO],"")</f>
        <v>31839627.134999998</v>
      </c>
      <c r="E1328" s="146"/>
      <c r="F1328" s="144" t="str">
        <f>+VLOOKUP(PROVEEDORES[[#This Row],[PROVEEDOR]],
                       Terceros!$A:$G,
                       5,
                       FALSE)</f>
        <v>2,5% con base</v>
      </c>
      <c r="G1328" s="122">
        <v>45356</v>
      </c>
      <c r="H1328" s="102" t="s">
        <v>17</v>
      </c>
      <c r="I1328" s="122">
        <v>45310</v>
      </c>
      <c r="J1328" s="103" t="s">
        <v>1444</v>
      </c>
      <c r="K1328" s="103" t="s">
        <v>516</v>
      </c>
      <c r="L1328" s="103" t="s">
        <v>1515</v>
      </c>
      <c r="M1328" s="105">
        <v>628303</v>
      </c>
      <c r="N1328" s="147">
        <v>119377.57</v>
      </c>
      <c r="O1328" s="147">
        <v>0</v>
      </c>
      <c r="P1328" s="148">
        <v>0</v>
      </c>
      <c r="Q1328" s="147">
        <v>0</v>
      </c>
      <c r="R1328" s="149">
        <v>747680.57000000007</v>
      </c>
      <c r="S13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8" s="150">
        <f ca="1">+IF(PROVEEDORES[[#This Row],[FECHA DE PAGO]]=0,TODAY()-PROVEEDORES[[#This Row],[FECHA DE FACTURACIÓN]]-PROVEEDORES[[#This Row],[PLAZO Días]],0)</f>
        <v>0</v>
      </c>
      <c r="U1328" s="150">
        <f>+VLOOKUP(PROVEEDORES[[#This Row],[PROVEEDOR]],Terceros!$A:$E,4,FALSE)</f>
        <v>0.19</v>
      </c>
      <c r="V1328" s="150">
        <f>+YEAR(PROVEEDORES[[#This Row],[FECHA DE FACTURACIÓN]])</f>
        <v>2024</v>
      </c>
      <c r="W1328" s="150">
        <f>+MATCH(PROVEEDORES[[#This Row],[año facturado]],Retenciones!$1:$1,0)</f>
        <v>7</v>
      </c>
      <c r="X1328" s="151" t="e">
        <f>+VLOOKUP(PROVEEDORES[[#This Row],[ID RETENCION]],Retenciones!$A$1:$O$25,PROVEEDORES[[#This Row],[indicador de columna]],FALSE)</f>
        <v>#N/A</v>
      </c>
      <c r="Y1328" s="152" t="e">
        <f>+VLOOKUP(PROVEEDORES[[#This Row],[ID RETENCION]],Retenciones!$A$1:$O$25,2,FALSE)</f>
        <v>#N/A</v>
      </c>
      <c r="Z1328" s="153" t="b">
        <f>+OR(COUNTIF(PROVEEDORES[[#This Row],[PROVEEDOR]],"*"&amp;'Palabra que no opera y Listas d'!$A$2&amp;"*"))</f>
        <v>0</v>
      </c>
    </row>
    <row r="1329" spans="1:26" ht="27.75" customHeight="1" x14ac:dyDescent="0.3">
      <c r="A1329" s="144" t="str">
        <f>+IF(PROVEEDORES[[#This Row],[FECHA DE PAGO]]=PROVEEDORES[[#This Row],[FECHA DE FACTURACIÓN]],"DE CONTADO","CRÉDITO")</f>
        <v>CRÉDITO</v>
      </c>
      <c r="B1329" s="144" t="str">
        <f>+IF((PROVEEDORES[[#This Row],[FECHA DE PAGO]]-PROVEEDORES[[#This Row],[FECHA DE FACTURACIÓN]])&gt;PROVEEDORES[[#This Row],[PLAZO Días]],"PAGO VENCIDO")</f>
        <v>PAGO VENCIDO</v>
      </c>
      <c r="C1329" s="144">
        <f>+VLOOKUP(PROVEEDORES[[#This Row],[PROVEEDOR]],TERCEROS_INFO[#All],2,FALSE)</f>
        <v>0</v>
      </c>
      <c r="D1329" s="145">
        <f>+SUMIFS(PROVEEDORES[Total],PROVEEDORES[PROVEEDOR],PROVEEDORES[[#This Row],[PROVEEDOR]],PROVEEDORES[FECHA DE PAGO],"")</f>
        <v>1460000.29</v>
      </c>
      <c r="E1329" s="146"/>
      <c r="F1329" s="144" t="str">
        <f>+VLOOKUP(PROVEEDORES[[#This Row],[PROVEEDOR]],
                       Terceros!$A:$G,
                       5,
                       FALSE)</f>
        <v>2,5% con base</v>
      </c>
      <c r="G1329" s="122">
        <v>45356</v>
      </c>
      <c r="H1329" s="102" t="s">
        <v>142</v>
      </c>
      <c r="I1329" s="122">
        <v>45315</v>
      </c>
      <c r="J1329" s="103" t="s">
        <v>1459</v>
      </c>
      <c r="K1329" s="103" t="s">
        <v>1512</v>
      </c>
      <c r="L1329" s="103" t="s">
        <v>1516</v>
      </c>
      <c r="M1329" s="105">
        <v>3057983</v>
      </c>
      <c r="N1329" s="147">
        <v>581016.77</v>
      </c>
      <c r="O1329" s="147">
        <v>0</v>
      </c>
      <c r="P1329" s="148">
        <v>2.5000000000000001E-2</v>
      </c>
      <c r="Q1329" s="147">
        <v>76449.574999999997</v>
      </c>
      <c r="R1329" s="149">
        <v>3169850</v>
      </c>
      <c r="S13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9" s="150">
        <f ca="1">+IF(PROVEEDORES[[#This Row],[FECHA DE PAGO]]=0,TODAY()-PROVEEDORES[[#This Row],[FECHA DE FACTURACIÓN]]-PROVEEDORES[[#This Row],[PLAZO Días]],0)</f>
        <v>0</v>
      </c>
      <c r="U1329" s="150">
        <f>+VLOOKUP(PROVEEDORES[[#This Row],[PROVEEDOR]],Terceros!$A:$E,4,FALSE)</f>
        <v>0.19</v>
      </c>
      <c r="V1329" s="150">
        <f>+YEAR(PROVEEDORES[[#This Row],[FECHA DE FACTURACIÓN]])</f>
        <v>2024</v>
      </c>
      <c r="W1329" s="150">
        <f>+MATCH(PROVEEDORES[[#This Row],[año facturado]],Retenciones!$1:$1,0)</f>
        <v>7</v>
      </c>
      <c r="X1329" s="151" t="e">
        <f>+VLOOKUP(PROVEEDORES[[#This Row],[ID RETENCION]],Retenciones!$A$1:$O$25,PROVEEDORES[[#This Row],[indicador de columna]],FALSE)</f>
        <v>#N/A</v>
      </c>
      <c r="Y1329" s="152" t="e">
        <f>+VLOOKUP(PROVEEDORES[[#This Row],[ID RETENCION]],Retenciones!$A$1:$O$25,2,FALSE)</f>
        <v>#N/A</v>
      </c>
      <c r="Z1329" s="153" t="b">
        <f>+OR(COUNTIF(PROVEEDORES[[#This Row],[PROVEEDOR]],"*"&amp;'Palabra que no opera y Listas d'!$A$2&amp;"*"))</f>
        <v>0</v>
      </c>
    </row>
    <row r="1330" spans="1:26" ht="27.75" customHeight="1" x14ac:dyDescent="0.3">
      <c r="A1330" s="144" t="str">
        <f>+IF(PROVEEDORES[[#This Row],[FECHA DE PAGO]]=PROVEEDORES[[#This Row],[FECHA DE FACTURACIÓN]],"DE CONTADO","CRÉDITO")</f>
        <v>CRÉDITO</v>
      </c>
      <c r="B1330" s="144" t="str">
        <f>+IF((PROVEEDORES[[#This Row],[FECHA DE PAGO]]-PROVEEDORES[[#This Row],[FECHA DE FACTURACIÓN]])&gt;PROVEEDORES[[#This Row],[PLAZO Días]],"PAGO VENCIDO")</f>
        <v>PAGO VENCIDO</v>
      </c>
      <c r="C1330" s="144">
        <f>+VLOOKUP(PROVEEDORES[[#This Row],[PROVEEDOR]],TERCEROS_INFO[#All],2,FALSE)</f>
        <v>0</v>
      </c>
      <c r="D1330" s="145">
        <f>+SUMIFS(PROVEEDORES[Total],PROVEEDORES[PROVEEDOR],PROVEEDORES[[#This Row],[PROVEEDOR]],PROVEEDORES[FECHA DE PAGO],"")</f>
        <v>3130000</v>
      </c>
      <c r="E1330" s="146"/>
      <c r="F1330" s="144">
        <f>+VLOOKUP(PROVEEDORES[[#This Row],[PROVEEDOR]],
                       Terceros!$A:$G,
                       5,
                       FALSE)</f>
        <v>0</v>
      </c>
      <c r="G1330" s="122">
        <v>45356</v>
      </c>
      <c r="H1330" s="102" t="s">
        <v>487</v>
      </c>
      <c r="I1330" s="122">
        <v>45315</v>
      </c>
      <c r="J1330" s="103" t="s">
        <v>1463</v>
      </c>
      <c r="K1330" s="103" t="s">
        <v>1512</v>
      </c>
      <c r="L1330" s="103" t="s">
        <v>1390</v>
      </c>
      <c r="M1330" s="105">
        <v>1854500</v>
      </c>
      <c r="N1330" s="147">
        <v>0</v>
      </c>
      <c r="O1330" s="147">
        <v>0</v>
      </c>
      <c r="P1330" s="148">
        <v>0</v>
      </c>
      <c r="Q1330" s="147">
        <v>0</v>
      </c>
      <c r="R1330" s="149">
        <v>1854500</v>
      </c>
      <c r="S13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0" s="150">
        <f ca="1">+IF(PROVEEDORES[[#This Row],[FECHA DE PAGO]]=0,TODAY()-PROVEEDORES[[#This Row],[FECHA DE FACTURACIÓN]]-PROVEEDORES[[#This Row],[PLAZO Días]],0)</f>
        <v>0</v>
      </c>
      <c r="U1330" s="150">
        <f>+VLOOKUP(PROVEEDORES[[#This Row],[PROVEEDOR]],Terceros!$A:$E,4,FALSE)</f>
        <v>0</v>
      </c>
      <c r="V1330" s="150">
        <f>+YEAR(PROVEEDORES[[#This Row],[FECHA DE FACTURACIÓN]])</f>
        <v>2024</v>
      </c>
      <c r="W1330" s="150">
        <f>+MATCH(PROVEEDORES[[#This Row],[año facturado]],Retenciones!$1:$1,0)</f>
        <v>7</v>
      </c>
      <c r="X1330" s="151">
        <f>+VLOOKUP(PROVEEDORES[[#This Row],[ID RETENCION]],Retenciones!$A$1:$O$25,PROVEEDORES[[#This Row],[indicador de columna]],FALSE)</f>
        <v>0</v>
      </c>
      <c r="Y1330" s="152">
        <f>+VLOOKUP(PROVEEDORES[[#This Row],[ID RETENCION]],Retenciones!$A$1:$O$25,2,FALSE)</f>
        <v>0</v>
      </c>
      <c r="Z1330" s="153" t="b">
        <f>+OR(COUNTIF(PROVEEDORES[[#This Row],[PROVEEDOR]],"*"&amp;'Palabra que no opera y Listas d'!$A$2&amp;"*"))</f>
        <v>0</v>
      </c>
    </row>
    <row r="1331" spans="1:26" ht="27.75" customHeight="1" x14ac:dyDescent="0.3">
      <c r="A1331" s="144" t="str">
        <f>+IF(PROVEEDORES[[#This Row],[FECHA DE PAGO]]=PROVEEDORES[[#This Row],[FECHA DE FACTURACIÓN]],"DE CONTADO","CRÉDITO")</f>
        <v>CRÉDITO</v>
      </c>
      <c r="B1331" s="144" t="str">
        <f>+IF((PROVEEDORES[[#This Row],[FECHA DE PAGO]]-PROVEEDORES[[#This Row],[FECHA DE FACTURACIÓN]])&gt;PROVEEDORES[[#This Row],[PLAZO Días]],"PAGO VENCIDO")</f>
        <v>PAGO VENCIDO</v>
      </c>
      <c r="C1331" s="144">
        <f>+VLOOKUP(PROVEEDORES[[#This Row],[PROVEEDOR]],TERCEROS_INFO[#All],2,FALSE)</f>
        <v>0</v>
      </c>
      <c r="D1331" s="145">
        <f>+SUMIFS(PROVEEDORES[Total],PROVEEDORES[PROVEEDOR],PROVEEDORES[[#This Row],[PROVEEDOR]],PROVEEDORES[FECHA DE PAGO],"")</f>
        <v>7281829.8799999999</v>
      </c>
      <c r="E1331" s="146"/>
      <c r="F1331" s="144" t="str">
        <f>+VLOOKUP(PROVEEDORES[[#This Row],[PROVEEDOR]],
                       Terceros!$A:$G,
                       5,
                       FALSE)</f>
        <v>2,5% con base</v>
      </c>
      <c r="G1331" s="122">
        <v>45356</v>
      </c>
      <c r="H1331" s="102" t="s">
        <v>1445</v>
      </c>
      <c r="I1331" s="122">
        <v>45317</v>
      </c>
      <c r="J1331" s="103" t="s">
        <v>1470</v>
      </c>
      <c r="K1331" s="103" t="s">
        <v>1512</v>
      </c>
      <c r="L1331" s="103" t="s">
        <v>1515</v>
      </c>
      <c r="M1331" s="105">
        <v>259099</v>
      </c>
      <c r="N1331" s="147">
        <v>49228.81</v>
      </c>
      <c r="O1331" s="147">
        <v>0</v>
      </c>
      <c r="P1331" s="148">
        <v>0</v>
      </c>
      <c r="Q1331" s="147">
        <v>0</v>
      </c>
      <c r="R1331" s="149">
        <v>308327.81</v>
      </c>
      <c r="S13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1" s="150">
        <f ca="1">+IF(PROVEEDORES[[#This Row],[FECHA DE PAGO]]=0,TODAY()-PROVEEDORES[[#This Row],[FECHA DE FACTURACIÓN]]-PROVEEDORES[[#This Row],[PLAZO Días]],0)</f>
        <v>0</v>
      </c>
      <c r="U1331" s="150">
        <f>+VLOOKUP(PROVEEDORES[[#This Row],[PROVEEDOR]],Terceros!$A:$E,4,FALSE)</f>
        <v>0.19</v>
      </c>
      <c r="V1331" s="150">
        <f>+YEAR(PROVEEDORES[[#This Row],[FECHA DE FACTURACIÓN]])</f>
        <v>2024</v>
      </c>
      <c r="W1331" s="150">
        <f>+MATCH(PROVEEDORES[[#This Row],[año facturado]],Retenciones!$1:$1,0)</f>
        <v>7</v>
      </c>
      <c r="X1331" s="151" t="e">
        <f>+VLOOKUP(PROVEEDORES[[#This Row],[ID RETENCION]],Retenciones!$A$1:$O$25,PROVEEDORES[[#This Row],[indicador de columna]],FALSE)</f>
        <v>#N/A</v>
      </c>
      <c r="Y1331" s="152" t="e">
        <f>+VLOOKUP(PROVEEDORES[[#This Row],[ID RETENCION]],Retenciones!$A$1:$O$25,2,FALSE)</f>
        <v>#N/A</v>
      </c>
      <c r="Z1331" s="153" t="b">
        <f>+OR(COUNTIF(PROVEEDORES[[#This Row],[PROVEEDOR]],"*"&amp;'Palabra que no opera y Listas d'!$A$2&amp;"*"))</f>
        <v>0</v>
      </c>
    </row>
    <row r="1332" spans="1:26" ht="27.75" customHeight="1" x14ac:dyDescent="0.3">
      <c r="A1332" s="144" t="str">
        <f>+IF(PROVEEDORES[[#This Row],[FECHA DE PAGO]]=PROVEEDORES[[#This Row],[FECHA DE FACTURACIÓN]],"DE CONTADO","CRÉDITO")</f>
        <v>DE CONTADO</v>
      </c>
      <c r="B1332" s="144" t="b">
        <f>+IF((PROVEEDORES[[#This Row],[FECHA DE PAGO]]-PROVEEDORES[[#This Row],[FECHA DE FACTURACIÓN]])&gt;PROVEEDORES[[#This Row],[PLAZO Días]],"PAGO VENCIDO")</f>
        <v>0</v>
      </c>
      <c r="C1332" s="144">
        <f>+VLOOKUP(PROVEEDORES[[#This Row],[PROVEEDOR]],TERCEROS_INFO[#All],2,FALSE)</f>
        <v>0</v>
      </c>
      <c r="D1332" s="145">
        <f>+SUMIFS(PROVEEDORES[Total],PROVEEDORES[PROVEEDOR],PROVEEDORES[[#This Row],[PROVEEDOR]],PROVEEDORES[FECHA DE PAGO],"")</f>
        <v>0</v>
      </c>
      <c r="E1332" s="146"/>
      <c r="F1332" s="144">
        <f>+VLOOKUP(PROVEEDORES[[#This Row],[PROVEEDOR]],
                       Terceros!$A:$G,
                       5,
                       FALSE)</f>
        <v>0</v>
      </c>
      <c r="G1332" s="122">
        <v>45356</v>
      </c>
      <c r="H1332" s="102" t="s">
        <v>85</v>
      </c>
      <c r="I1332" s="122">
        <v>45356</v>
      </c>
      <c r="J1332" s="103" t="s">
        <v>1767</v>
      </c>
      <c r="K1332" s="103" t="s">
        <v>1512</v>
      </c>
      <c r="L1332" s="103" t="s">
        <v>1516</v>
      </c>
      <c r="M1332" s="105">
        <v>8767497</v>
      </c>
      <c r="N1332" s="147">
        <v>0</v>
      </c>
      <c r="O1332" s="147">
        <v>0</v>
      </c>
      <c r="P1332" s="148">
        <v>0</v>
      </c>
      <c r="Q1332" s="147">
        <v>0</v>
      </c>
      <c r="R1332" s="149">
        <v>8767497</v>
      </c>
      <c r="S13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2" s="150">
        <f ca="1">+IF(PROVEEDORES[[#This Row],[FECHA DE PAGO]]=0,TODAY()-PROVEEDORES[[#This Row],[FECHA DE FACTURACIÓN]]-PROVEEDORES[[#This Row],[PLAZO Días]],0)</f>
        <v>0</v>
      </c>
      <c r="U1332" s="150">
        <f>+VLOOKUP(PROVEEDORES[[#This Row],[PROVEEDOR]],Terceros!$A:$E,4,FALSE)</f>
        <v>0</v>
      </c>
      <c r="V1332" s="150">
        <f>+YEAR(PROVEEDORES[[#This Row],[FECHA DE FACTURACIÓN]])</f>
        <v>2024</v>
      </c>
      <c r="W1332" s="150">
        <f>+MATCH(PROVEEDORES[[#This Row],[año facturado]],Retenciones!$1:$1,0)</f>
        <v>7</v>
      </c>
      <c r="X1332" s="151">
        <f>+VLOOKUP(PROVEEDORES[[#This Row],[ID RETENCION]],Retenciones!$A$1:$O$25,PROVEEDORES[[#This Row],[indicador de columna]],FALSE)</f>
        <v>0</v>
      </c>
      <c r="Y1332" s="152">
        <f>+VLOOKUP(PROVEEDORES[[#This Row],[ID RETENCION]],Retenciones!$A$1:$O$25,2,FALSE)</f>
        <v>0</v>
      </c>
      <c r="Z1332" s="153" t="b">
        <f>+OR(COUNTIF(PROVEEDORES[[#This Row],[PROVEEDOR]],"*"&amp;'Palabra que no opera y Listas d'!$A$2&amp;"*"))</f>
        <v>0</v>
      </c>
    </row>
    <row r="1333" spans="1:26" ht="27.75" customHeight="1" x14ac:dyDescent="0.3">
      <c r="A1333" s="144" t="str">
        <f>+IF(PROVEEDORES[[#This Row],[FECHA DE PAGO]]=PROVEEDORES[[#This Row],[FECHA DE FACTURACIÓN]],"DE CONTADO","CRÉDITO")</f>
        <v>DE CONTADO</v>
      </c>
      <c r="B1333" s="144" t="b">
        <f>+IF((PROVEEDORES[[#This Row],[FECHA DE PAGO]]-PROVEEDORES[[#This Row],[FECHA DE FACTURACIÓN]])&gt;PROVEEDORES[[#This Row],[PLAZO Días]],"PAGO VENCIDO")</f>
        <v>0</v>
      </c>
      <c r="C1333" s="144">
        <f>+VLOOKUP(PROVEEDORES[[#This Row],[PROVEEDOR]],TERCEROS_INFO[#All],2,FALSE)</f>
        <v>0</v>
      </c>
      <c r="D1333" s="145">
        <f>+SUMIFS(PROVEEDORES[Total],PROVEEDORES[PROVEEDOR],PROVEEDORES[[#This Row],[PROVEEDOR]],PROVEEDORES[FECHA DE PAGO],"")</f>
        <v>0</v>
      </c>
      <c r="E1333" s="146"/>
      <c r="F1333" s="144">
        <f>+VLOOKUP(PROVEEDORES[[#This Row],[PROVEEDOR]],
                       Terceros!$A:$G,
                       5,
                       FALSE)</f>
        <v>0</v>
      </c>
      <c r="G1333" s="122">
        <v>45356</v>
      </c>
      <c r="H1333" s="102" t="s">
        <v>85</v>
      </c>
      <c r="I1333" s="122">
        <v>45356</v>
      </c>
      <c r="J1333" s="103" t="s">
        <v>1768</v>
      </c>
      <c r="K1333" s="103" t="s">
        <v>1512</v>
      </c>
      <c r="L1333" s="103" t="s">
        <v>1516</v>
      </c>
      <c r="M1333" s="105">
        <v>178579</v>
      </c>
      <c r="N1333" s="147">
        <v>0</v>
      </c>
      <c r="O1333" s="147">
        <v>0</v>
      </c>
      <c r="P1333" s="148">
        <v>0</v>
      </c>
      <c r="Q1333" s="147">
        <v>0</v>
      </c>
      <c r="R1333" s="149">
        <v>178579</v>
      </c>
      <c r="S13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3" s="150">
        <f ca="1">+IF(PROVEEDORES[[#This Row],[FECHA DE PAGO]]=0,TODAY()-PROVEEDORES[[#This Row],[FECHA DE FACTURACIÓN]]-PROVEEDORES[[#This Row],[PLAZO Días]],0)</f>
        <v>0</v>
      </c>
      <c r="U1333" s="150">
        <f>+VLOOKUP(PROVEEDORES[[#This Row],[PROVEEDOR]],Terceros!$A:$E,4,FALSE)</f>
        <v>0</v>
      </c>
      <c r="V1333" s="150">
        <f>+YEAR(PROVEEDORES[[#This Row],[FECHA DE FACTURACIÓN]])</f>
        <v>2024</v>
      </c>
      <c r="W1333" s="150">
        <f>+MATCH(PROVEEDORES[[#This Row],[año facturado]],Retenciones!$1:$1,0)</f>
        <v>7</v>
      </c>
      <c r="X1333" s="151">
        <f>+VLOOKUP(PROVEEDORES[[#This Row],[ID RETENCION]],Retenciones!$A$1:$O$25,PROVEEDORES[[#This Row],[indicador de columna]],FALSE)</f>
        <v>0</v>
      </c>
      <c r="Y1333" s="152">
        <f>+VLOOKUP(PROVEEDORES[[#This Row],[ID RETENCION]],Retenciones!$A$1:$O$25,2,FALSE)</f>
        <v>0</v>
      </c>
      <c r="Z1333" s="153" t="b">
        <f>+OR(COUNTIF(PROVEEDORES[[#This Row],[PROVEEDOR]],"*"&amp;'Palabra que no opera y Listas d'!$A$2&amp;"*"))</f>
        <v>0</v>
      </c>
    </row>
    <row r="1334" spans="1:26" ht="27.75" customHeight="1" x14ac:dyDescent="0.3">
      <c r="A1334" s="144" t="str">
        <f>+IF(PROVEEDORES[[#This Row],[FECHA DE PAGO]]=PROVEEDORES[[#This Row],[FECHA DE FACTURACIÓN]],"DE CONTADO","CRÉDITO")</f>
        <v>CRÉDITO</v>
      </c>
      <c r="B1334" s="144" t="str">
        <f>+IF((PROVEEDORES[[#This Row],[FECHA DE PAGO]]-PROVEEDORES[[#This Row],[FECHA DE FACTURACIÓN]])&gt;PROVEEDORES[[#This Row],[PLAZO Días]],"PAGO VENCIDO")</f>
        <v>PAGO VENCIDO</v>
      </c>
      <c r="C1334" s="144">
        <f>+VLOOKUP(PROVEEDORES[[#This Row],[PROVEEDOR]],TERCEROS_INFO[#All],2,FALSE)</f>
        <v>0</v>
      </c>
      <c r="D1334" s="145">
        <f>+SUMIFS(PROVEEDORES[Total],PROVEEDORES[PROVEEDOR],PROVEEDORES[[#This Row],[PROVEEDOR]],PROVEEDORES[FECHA DE PAGO],"")</f>
        <v>0</v>
      </c>
      <c r="E1334" s="146"/>
      <c r="F1334" s="144">
        <f>+VLOOKUP(PROVEEDORES[[#This Row],[PROVEEDOR]],
                       Terceros!$A:$G,
                       5,
                       FALSE)</f>
        <v>0</v>
      </c>
      <c r="G1334" s="122">
        <v>45357</v>
      </c>
      <c r="H1334" s="102" t="s">
        <v>1778</v>
      </c>
      <c r="I1334" s="122">
        <v>45308</v>
      </c>
      <c r="J1334" s="103" t="s">
        <v>1670</v>
      </c>
      <c r="K1334" s="103"/>
      <c r="L1334" s="103" t="s">
        <v>1390</v>
      </c>
      <c r="M1334" s="105">
        <v>70252</v>
      </c>
      <c r="N1334" s="147">
        <v>0</v>
      </c>
      <c r="O1334" s="147">
        <v>0</v>
      </c>
      <c r="P1334" s="148">
        <v>0</v>
      </c>
      <c r="Q1334" s="147">
        <v>0</v>
      </c>
      <c r="R1334" s="149">
        <v>70252</v>
      </c>
      <c r="S13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4" s="150">
        <f ca="1">+IF(PROVEEDORES[[#This Row],[FECHA DE PAGO]]=0,TODAY()-PROVEEDORES[[#This Row],[FECHA DE FACTURACIÓN]]-PROVEEDORES[[#This Row],[PLAZO Días]],0)</f>
        <v>0</v>
      </c>
      <c r="U1334" s="150">
        <f>+VLOOKUP(PROVEEDORES[[#This Row],[PROVEEDOR]],Terceros!$A:$E,4,FALSE)</f>
        <v>0</v>
      </c>
      <c r="V1334" s="150">
        <f>+YEAR(PROVEEDORES[[#This Row],[FECHA DE FACTURACIÓN]])</f>
        <v>2024</v>
      </c>
      <c r="W1334" s="150">
        <f>+MATCH(PROVEEDORES[[#This Row],[año facturado]],Retenciones!$1:$1,0)</f>
        <v>7</v>
      </c>
      <c r="X1334" s="151">
        <f>+VLOOKUP(PROVEEDORES[[#This Row],[ID RETENCION]],Retenciones!$A$1:$O$25,PROVEEDORES[[#This Row],[indicador de columna]],FALSE)</f>
        <v>0</v>
      </c>
      <c r="Y1334" s="152">
        <f>+VLOOKUP(PROVEEDORES[[#This Row],[ID RETENCION]],Retenciones!$A$1:$O$25,2,FALSE)</f>
        <v>0</v>
      </c>
      <c r="Z1334" s="153" t="b">
        <f>+OR(COUNTIF(PROVEEDORES[[#This Row],[PROVEEDOR]],"*"&amp;'Palabra que no opera y Listas d'!$A$2&amp;"*"))</f>
        <v>0</v>
      </c>
    </row>
    <row r="1335" spans="1:26" ht="27.75" customHeight="1" x14ac:dyDescent="0.3">
      <c r="A1335" s="144" t="str">
        <f>+IF(PROVEEDORES[[#This Row],[FECHA DE PAGO]]=PROVEEDORES[[#This Row],[FECHA DE FACTURACIÓN]],"DE CONTADO","CRÉDITO")</f>
        <v>CRÉDITO</v>
      </c>
      <c r="B1335" s="144" t="str">
        <f>+IF((PROVEEDORES[[#This Row],[FECHA DE PAGO]]-PROVEEDORES[[#This Row],[FECHA DE FACTURACIÓN]])&gt;PROVEEDORES[[#This Row],[PLAZO Días]],"PAGO VENCIDO")</f>
        <v>PAGO VENCIDO</v>
      </c>
      <c r="C1335" s="144">
        <f>+VLOOKUP(PROVEEDORES[[#This Row],[PROVEEDOR]],TERCEROS_INFO[#All],2,FALSE)</f>
        <v>0</v>
      </c>
      <c r="D1335" s="145">
        <f>+SUMIFS(PROVEEDORES[Total],PROVEEDORES[PROVEEDOR],PROVEEDORES[[#This Row],[PROVEEDOR]],PROVEEDORES[FECHA DE PAGO],"")</f>
        <v>0</v>
      </c>
      <c r="E1335" s="146"/>
      <c r="F1335" s="144">
        <f>+VLOOKUP(PROVEEDORES[[#This Row],[PROVEEDOR]],
                       Terceros!$A:$G,
                       5,
                       FALSE)</f>
        <v>0</v>
      </c>
      <c r="G1335" s="122">
        <v>45357</v>
      </c>
      <c r="H1335" s="102" t="s">
        <v>1778</v>
      </c>
      <c r="I1335" s="122">
        <v>45310</v>
      </c>
      <c r="J1335" s="103" t="s">
        <v>1564</v>
      </c>
      <c r="K1335" s="103"/>
      <c r="L1335" s="103" t="s">
        <v>1390</v>
      </c>
      <c r="M1335" s="105">
        <v>82337</v>
      </c>
      <c r="N1335" s="147">
        <v>0</v>
      </c>
      <c r="O1335" s="147">
        <v>0</v>
      </c>
      <c r="P1335" s="148">
        <v>0</v>
      </c>
      <c r="Q1335" s="147">
        <v>0</v>
      </c>
      <c r="R1335" s="149">
        <v>82337</v>
      </c>
      <c r="S13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5" s="150">
        <f ca="1">+IF(PROVEEDORES[[#This Row],[FECHA DE PAGO]]=0,TODAY()-PROVEEDORES[[#This Row],[FECHA DE FACTURACIÓN]]-PROVEEDORES[[#This Row],[PLAZO Días]],0)</f>
        <v>0</v>
      </c>
      <c r="U1335" s="150">
        <f>+VLOOKUP(PROVEEDORES[[#This Row],[PROVEEDOR]],Terceros!$A:$E,4,FALSE)</f>
        <v>0</v>
      </c>
      <c r="V1335" s="150">
        <f>+YEAR(PROVEEDORES[[#This Row],[FECHA DE FACTURACIÓN]])</f>
        <v>2024</v>
      </c>
      <c r="W1335" s="150">
        <f>+MATCH(PROVEEDORES[[#This Row],[año facturado]],Retenciones!$1:$1,0)</f>
        <v>7</v>
      </c>
      <c r="X1335" s="151">
        <f>+VLOOKUP(PROVEEDORES[[#This Row],[ID RETENCION]],Retenciones!$A$1:$O$25,PROVEEDORES[[#This Row],[indicador de columna]],FALSE)</f>
        <v>0</v>
      </c>
      <c r="Y1335" s="152">
        <f>+VLOOKUP(PROVEEDORES[[#This Row],[ID RETENCION]],Retenciones!$A$1:$O$25,2,FALSE)</f>
        <v>0</v>
      </c>
      <c r="Z1335" s="153" t="b">
        <f>+OR(COUNTIF(PROVEEDORES[[#This Row],[PROVEEDOR]],"*"&amp;'Palabra que no opera y Listas d'!$A$2&amp;"*"))</f>
        <v>0</v>
      </c>
    </row>
    <row r="1336" spans="1:26" ht="27.75" customHeight="1" x14ac:dyDescent="0.3">
      <c r="A1336" s="144" t="str">
        <f>+IF(PROVEEDORES[[#This Row],[FECHA DE PAGO]]=PROVEEDORES[[#This Row],[FECHA DE FACTURACIÓN]],"DE CONTADO","CRÉDITO")</f>
        <v>CRÉDITO</v>
      </c>
      <c r="B1336" s="144" t="str">
        <f>+IF((PROVEEDORES[[#This Row],[FECHA DE PAGO]]-PROVEEDORES[[#This Row],[FECHA DE FACTURACIÓN]])&gt;PROVEEDORES[[#This Row],[PLAZO Días]],"PAGO VENCIDO")</f>
        <v>PAGO VENCIDO</v>
      </c>
      <c r="C1336" s="144">
        <f>+VLOOKUP(PROVEEDORES[[#This Row],[PROVEEDOR]],TERCEROS_INFO[#All],2,FALSE)</f>
        <v>0</v>
      </c>
      <c r="D1336" s="145">
        <f>+SUMIFS(PROVEEDORES[Total],PROVEEDORES[PROVEEDOR],PROVEEDORES[[#This Row],[PROVEEDOR]],PROVEEDORES[FECHA DE PAGO],"")</f>
        <v>0</v>
      </c>
      <c r="E1336" s="146"/>
      <c r="F1336" s="144">
        <f>+VLOOKUP(PROVEEDORES[[#This Row],[PROVEEDOR]],
                       Terceros!$A:$G,
                       5,
                       FALSE)</f>
        <v>0</v>
      </c>
      <c r="G1336" s="122">
        <v>45357</v>
      </c>
      <c r="H1336" s="102" t="s">
        <v>1128</v>
      </c>
      <c r="I1336" s="122">
        <v>45324</v>
      </c>
      <c r="J1336" s="103" t="s">
        <v>1485</v>
      </c>
      <c r="K1336" s="103" t="s">
        <v>1512</v>
      </c>
      <c r="L1336" s="103" t="s">
        <v>1390</v>
      </c>
      <c r="M1336" s="105">
        <v>830</v>
      </c>
      <c r="N1336" s="147">
        <v>0</v>
      </c>
      <c r="O1336" s="147">
        <v>0</v>
      </c>
      <c r="P1336" s="148">
        <v>0</v>
      </c>
      <c r="Q1336" s="147">
        <v>0</v>
      </c>
      <c r="R1336" s="149">
        <v>830</v>
      </c>
      <c r="S13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6" s="150">
        <f ca="1">+IF(PROVEEDORES[[#This Row],[FECHA DE PAGO]]=0,TODAY()-PROVEEDORES[[#This Row],[FECHA DE FACTURACIÓN]]-PROVEEDORES[[#This Row],[PLAZO Días]],0)</f>
        <v>0</v>
      </c>
      <c r="U1336" s="150">
        <f>+VLOOKUP(PROVEEDORES[[#This Row],[PROVEEDOR]],Terceros!$A:$E,4,FALSE)</f>
        <v>0</v>
      </c>
      <c r="V1336" s="150">
        <f>+YEAR(PROVEEDORES[[#This Row],[FECHA DE FACTURACIÓN]])</f>
        <v>2024</v>
      </c>
      <c r="W1336" s="150">
        <f>+MATCH(PROVEEDORES[[#This Row],[año facturado]],Retenciones!$1:$1,0)</f>
        <v>7</v>
      </c>
      <c r="X1336" s="151">
        <f>+VLOOKUP(PROVEEDORES[[#This Row],[ID RETENCION]],Retenciones!$A$1:$O$25,PROVEEDORES[[#This Row],[indicador de columna]],FALSE)</f>
        <v>0</v>
      </c>
      <c r="Y1336" s="152">
        <f>+VLOOKUP(PROVEEDORES[[#This Row],[ID RETENCION]],Retenciones!$A$1:$O$25,2,FALSE)</f>
        <v>0</v>
      </c>
      <c r="Z1336" s="153" t="b">
        <f>+OR(COUNTIF(PROVEEDORES[[#This Row],[PROVEEDOR]],"*"&amp;'Palabra que no opera y Listas d'!$A$2&amp;"*"))</f>
        <v>0</v>
      </c>
    </row>
    <row r="1337" spans="1:26" ht="27.75" customHeight="1" x14ac:dyDescent="0.3">
      <c r="A1337" s="144" t="str">
        <f>+IF(PROVEEDORES[[#This Row],[FECHA DE PAGO]]=PROVEEDORES[[#This Row],[FECHA DE FACTURACIÓN]],"DE CONTADO","CRÉDITO")</f>
        <v>CRÉDITO</v>
      </c>
      <c r="B1337" s="144" t="str">
        <f>+IF((PROVEEDORES[[#This Row],[FECHA DE PAGO]]-PROVEEDORES[[#This Row],[FECHA DE FACTURACIÓN]])&gt;PROVEEDORES[[#This Row],[PLAZO Días]],"PAGO VENCIDO")</f>
        <v>PAGO VENCIDO</v>
      </c>
      <c r="C1337" s="144">
        <f>+VLOOKUP(PROVEEDORES[[#This Row],[PROVEEDOR]],TERCEROS_INFO[#All],2,FALSE)</f>
        <v>0</v>
      </c>
      <c r="D1337" s="145">
        <f>+SUMIFS(PROVEEDORES[Total],PROVEEDORES[PROVEEDOR],PROVEEDORES[[#This Row],[PROVEEDOR]],PROVEEDORES[FECHA DE PAGO],"")</f>
        <v>0</v>
      </c>
      <c r="E1337" s="146"/>
      <c r="F1337" s="144">
        <f>+VLOOKUP(PROVEEDORES[[#This Row],[PROVEEDOR]],
                       Terceros!$A:$G,
                       5,
                       FALSE)</f>
        <v>0</v>
      </c>
      <c r="G1337" s="122">
        <v>45357</v>
      </c>
      <c r="H1337" s="102" t="s">
        <v>1128</v>
      </c>
      <c r="I1337" s="122">
        <v>45324</v>
      </c>
      <c r="J1337" s="103" t="s">
        <v>1485</v>
      </c>
      <c r="K1337" s="103" t="s">
        <v>1512</v>
      </c>
      <c r="L1337" s="103" t="s">
        <v>1390</v>
      </c>
      <c r="M1337" s="105">
        <v>70252</v>
      </c>
      <c r="N1337" s="147">
        <v>0</v>
      </c>
      <c r="O1337" s="147">
        <v>0</v>
      </c>
      <c r="P1337" s="148">
        <v>0</v>
      </c>
      <c r="Q1337" s="147">
        <v>0</v>
      </c>
      <c r="R1337" s="149">
        <v>70252</v>
      </c>
      <c r="S13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7" s="150">
        <f ca="1">+IF(PROVEEDORES[[#This Row],[FECHA DE PAGO]]=0,TODAY()-PROVEEDORES[[#This Row],[FECHA DE FACTURACIÓN]]-PROVEEDORES[[#This Row],[PLAZO Días]],0)</f>
        <v>0</v>
      </c>
      <c r="U1337" s="150">
        <f>+VLOOKUP(PROVEEDORES[[#This Row],[PROVEEDOR]],Terceros!$A:$E,4,FALSE)</f>
        <v>0</v>
      </c>
      <c r="V1337" s="150">
        <f>+YEAR(PROVEEDORES[[#This Row],[FECHA DE FACTURACIÓN]])</f>
        <v>2024</v>
      </c>
      <c r="W1337" s="150">
        <f>+MATCH(PROVEEDORES[[#This Row],[año facturado]],Retenciones!$1:$1,0)</f>
        <v>7</v>
      </c>
      <c r="X1337" s="151">
        <f>+VLOOKUP(PROVEEDORES[[#This Row],[ID RETENCION]],Retenciones!$A$1:$O$25,PROVEEDORES[[#This Row],[indicador de columna]],FALSE)</f>
        <v>0</v>
      </c>
      <c r="Y1337" s="152">
        <f>+VLOOKUP(PROVEEDORES[[#This Row],[ID RETENCION]],Retenciones!$A$1:$O$25,2,FALSE)</f>
        <v>0</v>
      </c>
      <c r="Z1337" s="153" t="b">
        <f>+OR(COUNTIF(PROVEEDORES[[#This Row],[PROVEEDOR]],"*"&amp;'Palabra que no opera y Listas d'!$A$2&amp;"*"))</f>
        <v>0</v>
      </c>
    </row>
    <row r="1338" spans="1:26" ht="27.75" customHeight="1" x14ac:dyDescent="0.3">
      <c r="A1338" s="144" t="str">
        <f>+IF(PROVEEDORES[[#This Row],[FECHA DE PAGO]]=PROVEEDORES[[#This Row],[FECHA DE FACTURACIÓN]],"DE CONTADO","CRÉDITO")</f>
        <v>CRÉDITO</v>
      </c>
      <c r="B1338" s="144" t="str">
        <f>+IF((PROVEEDORES[[#This Row],[FECHA DE PAGO]]-PROVEEDORES[[#This Row],[FECHA DE FACTURACIÓN]])&gt;PROVEEDORES[[#This Row],[PLAZO Días]],"PAGO VENCIDO")</f>
        <v>PAGO VENCIDO</v>
      </c>
      <c r="C1338" s="144">
        <f>+VLOOKUP(PROVEEDORES[[#This Row],[PROVEEDOR]],TERCEROS_INFO[#All],2,FALSE)</f>
        <v>0</v>
      </c>
      <c r="D1338" s="145">
        <f>+SUMIFS(PROVEEDORES[Total],PROVEEDORES[PROVEEDOR],PROVEEDORES[[#This Row],[PROVEEDOR]],PROVEEDORES[FECHA DE PAGO],"")</f>
        <v>0</v>
      </c>
      <c r="E1338" s="146"/>
      <c r="F1338" s="144">
        <f>+VLOOKUP(PROVEEDORES[[#This Row],[PROVEEDOR]],
                       Terceros!$A:$G,
                       5,
                       FALSE)</f>
        <v>0</v>
      </c>
      <c r="G1338" s="122">
        <v>45357</v>
      </c>
      <c r="H1338" s="102" t="s">
        <v>1128</v>
      </c>
      <c r="I1338" s="122">
        <v>45324</v>
      </c>
      <c r="J1338" s="103" t="s">
        <v>1485</v>
      </c>
      <c r="K1338" s="103" t="s">
        <v>1512</v>
      </c>
      <c r="L1338" s="103" t="s">
        <v>1390</v>
      </c>
      <c r="M1338" s="105">
        <v>81507</v>
      </c>
      <c r="N1338" s="147">
        <v>0</v>
      </c>
      <c r="O1338" s="147">
        <v>0</v>
      </c>
      <c r="P1338" s="148">
        <v>0</v>
      </c>
      <c r="Q1338" s="147">
        <v>0</v>
      </c>
      <c r="R1338" s="149">
        <v>81507</v>
      </c>
      <c r="S13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8" s="150">
        <f ca="1">+IF(PROVEEDORES[[#This Row],[FECHA DE PAGO]]=0,TODAY()-PROVEEDORES[[#This Row],[FECHA DE FACTURACIÓN]]-PROVEEDORES[[#This Row],[PLAZO Días]],0)</f>
        <v>0</v>
      </c>
      <c r="U1338" s="150">
        <f>+VLOOKUP(PROVEEDORES[[#This Row],[PROVEEDOR]],Terceros!$A:$E,4,FALSE)</f>
        <v>0</v>
      </c>
      <c r="V1338" s="150">
        <f>+YEAR(PROVEEDORES[[#This Row],[FECHA DE FACTURACIÓN]])</f>
        <v>2024</v>
      </c>
      <c r="W1338" s="150">
        <f>+MATCH(PROVEEDORES[[#This Row],[año facturado]],Retenciones!$1:$1,0)</f>
        <v>7</v>
      </c>
      <c r="X1338" s="151">
        <f>+VLOOKUP(PROVEEDORES[[#This Row],[ID RETENCION]],Retenciones!$A$1:$O$25,PROVEEDORES[[#This Row],[indicador de columna]],FALSE)</f>
        <v>0</v>
      </c>
      <c r="Y1338" s="152">
        <f>+VLOOKUP(PROVEEDORES[[#This Row],[ID RETENCION]],Retenciones!$A$1:$O$25,2,FALSE)</f>
        <v>0</v>
      </c>
      <c r="Z1338" s="153" t="b">
        <f>+OR(COUNTIF(PROVEEDORES[[#This Row],[PROVEEDOR]],"*"&amp;'Palabra que no opera y Listas d'!$A$2&amp;"*"))</f>
        <v>0</v>
      </c>
    </row>
    <row r="1339" spans="1:26" ht="27.75" customHeight="1" x14ac:dyDescent="0.3">
      <c r="A1339" s="144" t="str">
        <f>+IF(PROVEEDORES[[#This Row],[FECHA DE PAGO]]=PROVEEDORES[[#This Row],[FECHA DE FACTURACIÓN]],"DE CONTADO","CRÉDITO")</f>
        <v>CRÉDITO</v>
      </c>
      <c r="B1339" s="144" t="str">
        <f>+IF((PROVEEDORES[[#This Row],[FECHA DE PAGO]]-PROVEEDORES[[#This Row],[FECHA DE FACTURACIÓN]])&gt;PROVEEDORES[[#This Row],[PLAZO Días]],"PAGO VENCIDO")</f>
        <v>PAGO VENCIDO</v>
      </c>
      <c r="C1339" s="144">
        <f>+VLOOKUP(PROVEEDORES[[#This Row],[PROVEEDOR]],TERCEROS_INFO[#All],2,FALSE)</f>
        <v>0</v>
      </c>
      <c r="D1339" s="145">
        <f>+SUMIFS(PROVEEDORES[Total],PROVEEDORES[PROVEEDOR],PROVEEDORES[[#This Row],[PROVEEDOR]],PROVEEDORES[FECHA DE PAGO],"")</f>
        <v>0</v>
      </c>
      <c r="E1339" s="146"/>
      <c r="F1339" s="144">
        <f>+VLOOKUP(PROVEEDORES[[#This Row],[PROVEEDOR]],
                       Terceros!$A:$G,
                       5,
                       FALSE)</f>
        <v>0</v>
      </c>
      <c r="G1339" s="122">
        <v>45357</v>
      </c>
      <c r="H1339" s="102" t="s">
        <v>1128</v>
      </c>
      <c r="I1339" s="122">
        <v>45324</v>
      </c>
      <c r="J1339" s="103" t="s">
        <v>1485</v>
      </c>
      <c r="K1339" s="103" t="s">
        <v>1512</v>
      </c>
      <c r="L1339" s="103" t="s">
        <v>1390</v>
      </c>
      <c r="M1339" s="105">
        <v>343916</v>
      </c>
      <c r="N1339" s="147">
        <v>0</v>
      </c>
      <c r="O1339" s="147">
        <v>0</v>
      </c>
      <c r="P1339" s="148">
        <v>0</v>
      </c>
      <c r="Q1339" s="147">
        <v>0</v>
      </c>
      <c r="R1339" s="149">
        <v>343916</v>
      </c>
      <c r="S13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9" s="150">
        <f ca="1">+IF(PROVEEDORES[[#This Row],[FECHA DE PAGO]]=0,TODAY()-PROVEEDORES[[#This Row],[FECHA DE FACTURACIÓN]]-PROVEEDORES[[#This Row],[PLAZO Días]],0)</f>
        <v>0</v>
      </c>
      <c r="U1339" s="150">
        <f>+VLOOKUP(PROVEEDORES[[#This Row],[PROVEEDOR]],Terceros!$A:$E,4,FALSE)</f>
        <v>0</v>
      </c>
      <c r="V1339" s="150">
        <f>+YEAR(PROVEEDORES[[#This Row],[FECHA DE FACTURACIÓN]])</f>
        <v>2024</v>
      </c>
      <c r="W1339" s="150">
        <f>+MATCH(PROVEEDORES[[#This Row],[año facturado]],Retenciones!$1:$1,0)</f>
        <v>7</v>
      </c>
      <c r="X1339" s="151">
        <f>+VLOOKUP(PROVEEDORES[[#This Row],[ID RETENCION]],Retenciones!$A$1:$O$25,PROVEEDORES[[#This Row],[indicador de columna]],FALSE)</f>
        <v>0</v>
      </c>
      <c r="Y1339" s="152">
        <f>+VLOOKUP(PROVEEDORES[[#This Row],[ID RETENCION]],Retenciones!$A$1:$O$25,2,FALSE)</f>
        <v>0</v>
      </c>
      <c r="Z1339" s="153" t="b">
        <f>+OR(COUNTIF(PROVEEDORES[[#This Row],[PROVEEDOR]],"*"&amp;'Palabra que no opera y Listas d'!$A$2&amp;"*"))</f>
        <v>0</v>
      </c>
    </row>
    <row r="1340" spans="1:26" ht="27.75" customHeight="1" x14ac:dyDescent="0.3">
      <c r="A1340" s="144" t="str">
        <f>+IF(PROVEEDORES[[#This Row],[FECHA DE PAGO]]=PROVEEDORES[[#This Row],[FECHA DE FACTURACIÓN]],"DE CONTADO","CRÉDITO")</f>
        <v>CRÉDITO</v>
      </c>
      <c r="B1340" s="144" t="str">
        <f>+IF((PROVEEDORES[[#This Row],[FECHA DE PAGO]]-PROVEEDORES[[#This Row],[FECHA DE FACTURACIÓN]])&gt;PROVEEDORES[[#This Row],[PLAZO Días]],"PAGO VENCIDO")</f>
        <v>PAGO VENCIDO</v>
      </c>
      <c r="C1340" s="144">
        <f>+VLOOKUP(PROVEEDORES[[#This Row],[PROVEEDOR]],TERCEROS_INFO[#All],2,FALSE)</f>
        <v>0</v>
      </c>
      <c r="D1340" s="145">
        <f>+SUMIFS(PROVEEDORES[Total],PROVEEDORES[PROVEEDOR],PROVEEDORES[[#This Row],[PROVEEDOR]],PROVEEDORES[FECHA DE PAGO],"")</f>
        <v>0</v>
      </c>
      <c r="E1340" s="146"/>
      <c r="F1340" s="144">
        <f>+VLOOKUP(PROVEEDORES[[#This Row],[PROVEEDOR]],
                       Terceros!$A:$G,
                       5,
                       FALSE)</f>
        <v>0</v>
      </c>
      <c r="G1340" s="122">
        <v>45357</v>
      </c>
      <c r="H1340" s="102" t="s">
        <v>1778</v>
      </c>
      <c r="I1340" s="122">
        <v>45324</v>
      </c>
      <c r="J1340" s="103" t="s">
        <v>1564</v>
      </c>
      <c r="K1340" s="103"/>
      <c r="L1340" s="103" t="s">
        <v>1390</v>
      </c>
      <c r="M1340" s="105">
        <v>313916</v>
      </c>
      <c r="N1340" s="147">
        <v>0</v>
      </c>
      <c r="O1340" s="147">
        <v>0</v>
      </c>
      <c r="P1340" s="148">
        <v>0</v>
      </c>
      <c r="Q1340" s="147">
        <v>0</v>
      </c>
      <c r="R1340" s="149">
        <v>313916</v>
      </c>
      <c r="S13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0" s="150">
        <f ca="1">+IF(PROVEEDORES[[#This Row],[FECHA DE PAGO]]=0,TODAY()-PROVEEDORES[[#This Row],[FECHA DE FACTURACIÓN]]-PROVEEDORES[[#This Row],[PLAZO Días]],0)</f>
        <v>0</v>
      </c>
      <c r="U1340" s="150">
        <f>+VLOOKUP(PROVEEDORES[[#This Row],[PROVEEDOR]],Terceros!$A:$E,4,FALSE)</f>
        <v>0</v>
      </c>
      <c r="V1340" s="150">
        <f>+YEAR(PROVEEDORES[[#This Row],[FECHA DE FACTURACIÓN]])</f>
        <v>2024</v>
      </c>
      <c r="W1340" s="150">
        <f>+MATCH(PROVEEDORES[[#This Row],[año facturado]],Retenciones!$1:$1,0)</f>
        <v>7</v>
      </c>
      <c r="X1340" s="151">
        <f>+VLOOKUP(PROVEEDORES[[#This Row],[ID RETENCION]],Retenciones!$A$1:$O$25,PROVEEDORES[[#This Row],[indicador de columna]],FALSE)</f>
        <v>0</v>
      </c>
      <c r="Y1340" s="152">
        <f>+VLOOKUP(PROVEEDORES[[#This Row],[ID RETENCION]],Retenciones!$A$1:$O$25,2,FALSE)</f>
        <v>0</v>
      </c>
      <c r="Z1340" s="153" t="b">
        <f>+OR(COUNTIF(PROVEEDORES[[#This Row],[PROVEEDOR]],"*"&amp;'Palabra que no opera y Listas d'!$A$2&amp;"*"))</f>
        <v>0</v>
      </c>
    </row>
    <row r="1341" spans="1:26" ht="27.75" customHeight="1" x14ac:dyDescent="0.3">
      <c r="A1341" s="144" t="str">
        <f>+IF(PROVEEDORES[[#This Row],[FECHA DE PAGO]]=PROVEEDORES[[#This Row],[FECHA DE FACTURACIÓN]],"DE CONTADO","CRÉDITO")</f>
        <v>DE CONTADO</v>
      </c>
      <c r="B1341" s="144" t="b">
        <f>+IF((PROVEEDORES[[#This Row],[FECHA DE PAGO]]-PROVEEDORES[[#This Row],[FECHA DE FACTURACIÓN]])&gt;PROVEEDORES[[#This Row],[PLAZO Días]],"PAGO VENCIDO")</f>
        <v>0</v>
      </c>
      <c r="C1341" s="144">
        <f>+VLOOKUP(PROVEEDORES[[#This Row],[PROVEEDOR]],TERCEROS_INFO[#All],2,FALSE)</f>
        <v>0</v>
      </c>
      <c r="D1341" s="145">
        <f>+SUMIFS(PROVEEDORES[Total],PROVEEDORES[PROVEEDOR],PROVEEDORES[[#This Row],[PROVEEDOR]],PROVEEDORES[FECHA DE PAGO],"")</f>
        <v>0</v>
      </c>
      <c r="E1341" s="146"/>
      <c r="F1341" s="144">
        <f>+VLOOKUP(PROVEEDORES[[#This Row],[PROVEEDOR]],
                       Terceros!$A:$G,
                       5,
                       FALSE)</f>
        <v>0</v>
      </c>
      <c r="G1341" s="122">
        <v>45357</v>
      </c>
      <c r="H1341" s="102" t="s">
        <v>1801</v>
      </c>
      <c r="I1341" s="122">
        <v>45357</v>
      </c>
      <c r="J1341" s="103"/>
      <c r="K1341" s="103" t="s">
        <v>1512</v>
      </c>
      <c r="L1341" s="103" t="s">
        <v>1390</v>
      </c>
      <c r="M1341" s="105">
        <v>1259000</v>
      </c>
      <c r="N1341" s="147">
        <v>0</v>
      </c>
      <c r="O1341" s="147">
        <v>0</v>
      </c>
      <c r="P1341" s="148">
        <v>0</v>
      </c>
      <c r="Q1341" s="147">
        <v>0</v>
      </c>
      <c r="R1341" s="149">
        <v>1259000</v>
      </c>
      <c r="S13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1" s="150">
        <f ca="1">+IF(PROVEEDORES[[#This Row],[FECHA DE PAGO]]=0,TODAY()-PROVEEDORES[[#This Row],[FECHA DE FACTURACIÓN]]-PROVEEDORES[[#This Row],[PLAZO Días]],0)</f>
        <v>0</v>
      </c>
      <c r="U1341" s="150">
        <f>+VLOOKUP(PROVEEDORES[[#This Row],[PROVEEDOR]],Terceros!$A:$E,4,FALSE)</f>
        <v>0</v>
      </c>
      <c r="V1341" s="150">
        <f>+YEAR(PROVEEDORES[[#This Row],[FECHA DE FACTURACIÓN]])</f>
        <v>2024</v>
      </c>
      <c r="W1341" s="150">
        <f>+MATCH(PROVEEDORES[[#This Row],[año facturado]],Retenciones!$1:$1,0)</f>
        <v>7</v>
      </c>
      <c r="X1341" s="151">
        <f>+VLOOKUP(PROVEEDORES[[#This Row],[ID RETENCION]],Retenciones!$A$1:$O$25,PROVEEDORES[[#This Row],[indicador de columna]],FALSE)</f>
        <v>0</v>
      </c>
      <c r="Y1341" s="152">
        <f>+VLOOKUP(PROVEEDORES[[#This Row],[ID RETENCION]],Retenciones!$A$1:$O$25,2,FALSE)</f>
        <v>0</v>
      </c>
      <c r="Z1341" s="153" t="b">
        <f>+OR(COUNTIF(PROVEEDORES[[#This Row],[PROVEEDOR]],"*"&amp;'Palabra que no opera y Listas d'!$A$2&amp;"*"))</f>
        <v>0</v>
      </c>
    </row>
    <row r="1342" spans="1:26" ht="27.75" customHeight="1" x14ac:dyDescent="0.3">
      <c r="A1342" s="144" t="str">
        <f>+IF(PROVEEDORES[[#This Row],[FECHA DE PAGO]]=PROVEEDORES[[#This Row],[FECHA DE FACTURACIÓN]],"DE CONTADO","CRÉDITO")</f>
        <v>CRÉDITO</v>
      </c>
      <c r="B1342" s="144" t="str">
        <f>+IF((PROVEEDORES[[#This Row],[FECHA DE PAGO]]-PROVEEDORES[[#This Row],[FECHA DE FACTURACIÓN]])&gt;PROVEEDORES[[#This Row],[PLAZO Días]],"PAGO VENCIDO")</f>
        <v>PAGO VENCIDO</v>
      </c>
      <c r="C1342" s="144">
        <f>+VLOOKUP(PROVEEDORES[[#This Row],[PROVEEDOR]],TERCEROS_INFO[#All],2,FALSE)</f>
        <v>0</v>
      </c>
      <c r="D1342" s="145">
        <f>+SUMIFS(PROVEEDORES[Total],PROVEEDORES[PROVEEDOR],PROVEEDORES[[#This Row],[PROVEEDOR]],PROVEEDORES[FECHA DE PAGO],"")</f>
        <v>0</v>
      </c>
      <c r="E1342" s="146"/>
      <c r="F1342" s="144" t="str">
        <f>+VLOOKUP(PROVEEDORES[[#This Row],[PROVEEDOR]],
                       Terceros!$A:$G,
                       5,
                       FALSE)</f>
        <v>2,5% con base</v>
      </c>
      <c r="G1342" s="122">
        <v>45358</v>
      </c>
      <c r="H1342" s="102" t="s">
        <v>71</v>
      </c>
      <c r="I1342" s="122">
        <v>45357</v>
      </c>
      <c r="J1342" s="103" t="s">
        <v>1619</v>
      </c>
      <c r="K1342" s="103" t="s">
        <v>1512</v>
      </c>
      <c r="L1342" s="103" t="s">
        <v>1390</v>
      </c>
      <c r="M1342" s="105">
        <v>8000000</v>
      </c>
      <c r="N1342" s="147">
        <v>1520000</v>
      </c>
      <c r="O1342" s="147">
        <v>0</v>
      </c>
      <c r="P1342" s="148">
        <v>2.5000000000000001E-2</v>
      </c>
      <c r="Q1342" s="147">
        <v>200000</v>
      </c>
      <c r="R1342" s="149">
        <v>9320000</v>
      </c>
      <c r="S13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2" s="150">
        <f ca="1">+IF(PROVEEDORES[[#This Row],[FECHA DE PAGO]]=0,TODAY()-PROVEEDORES[[#This Row],[FECHA DE FACTURACIÓN]]-PROVEEDORES[[#This Row],[PLAZO Días]],0)</f>
        <v>0</v>
      </c>
      <c r="U1342" s="150">
        <f>+VLOOKUP(PROVEEDORES[[#This Row],[PROVEEDOR]],Terceros!$A:$E,4,FALSE)</f>
        <v>0.19</v>
      </c>
      <c r="V1342" s="150">
        <f>+YEAR(PROVEEDORES[[#This Row],[FECHA DE FACTURACIÓN]])</f>
        <v>2024</v>
      </c>
      <c r="W1342" s="150">
        <f>+MATCH(PROVEEDORES[[#This Row],[año facturado]],Retenciones!$1:$1,0)</f>
        <v>7</v>
      </c>
      <c r="X1342" s="151" t="e">
        <f>+VLOOKUP(PROVEEDORES[[#This Row],[ID RETENCION]],Retenciones!$A$1:$O$25,PROVEEDORES[[#This Row],[indicador de columna]],FALSE)</f>
        <v>#N/A</v>
      </c>
      <c r="Y1342" s="152" t="e">
        <f>+VLOOKUP(PROVEEDORES[[#This Row],[ID RETENCION]],Retenciones!$A$1:$O$25,2,FALSE)</f>
        <v>#N/A</v>
      </c>
      <c r="Z1342" s="153" t="b">
        <f>+OR(COUNTIF(PROVEEDORES[[#This Row],[PROVEEDOR]],"*"&amp;'Palabra que no opera y Listas d'!$A$2&amp;"*"))</f>
        <v>0</v>
      </c>
    </row>
    <row r="1343" spans="1:26" ht="27.75" customHeight="1" x14ac:dyDescent="0.3">
      <c r="A1343" s="144" t="str">
        <f>+IF(PROVEEDORES[[#This Row],[FECHA DE PAGO]]=PROVEEDORES[[#This Row],[FECHA DE FACTURACIÓN]],"DE CONTADO","CRÉDITO")</f>
        <v>DE CONTADO</v>
      </c>
      <c r="B1343" s="144" t="b">
        <f>+IF((PROVEEDORES[[#This Row],[FECHA DE PAGO]]-PROVEEDORES[[#This Row],[FECHA DE FACTURACIÓN]])&gt;PROVEEDORES[[#This Row],[PLAZO Días]],"PAGO VENCIDO")</f>
        <v>0</v>
      </c>
      <c r="C1343" s="144">
        <f>+VLOOKUP(PROVEEDORES[[#This Row],[PROVEEDOR]],TERCEROS_INFO[#All],2,FALSE)</f>
        <v>0</v>
      </c>
      <c r="D1343" s="145">
        <f>+SUMIFS(PROVEEDORES[Total],PROVEEDORES[PROVEEDOR],PROVEEDORES[[#This Row],[PROVEEDOR]],PROVEEDORES[FECHA DE PAGO],"")</f>
        <v>0</v>
      </c>
      <c r="E1343" s="146"/>
      <c r="F1343" s="144">
        <f>+VLOOKUP(PROVEEDORES[[#This Row],[PROVEEDOR]],
                       Terceros!$A:$G,
                       5,
                       FALSE)</f>
        <v>0</v>
      </c>
      <c r="G1343" s="122">
        <v>45358</v>
      </c>
      <c r="H1343" s="102" t="s">
        <v>1801</v>
      </c>
      <c r="I1343" s="122">
        <v>45358</v>
      </c>
      <c r="J1343" s="103"/>
      <c r="K1343" s="103" t="s">
        <v>1512</v>
      </c>
      <c r="L1343" s="103" t="s">
        <v>1390</v>
      </c>
      <c r="M1343" s="105">
        <v>1334700</v>
      </c>
      <c r="N1343" s="147">
        <v>0</v>
      </c>
      <c r="O1343" s="147">
        <v>0</v>
      </c>
      <c r="P1343" s="148">
        <v>0</v>
      </c>
      <c r="Q1343" s="147">
        <v>0</v>
      </c>
      <c r="R1343" s="149">
        <v>1334700</v>
      </c>
      <c r="S13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3" s="150">
        <f ca="1">+IF(PROVEEDORES[[#This Row],[FECHA DE PAGO]]=0,TODAY()-PROVEEDORES[[#This Row],[FECHA DE FACTURACIÓN]]-PROVEEDORES[[#This Row],[PLAZO Días]],0)</f>
        <v>0</v>
      </c>
      <c r="U1343" s="150">
        <f>+VLOOKUP(PROVEEDORES[[#This Row],[PROVEEDOR]],Terceros!$A:$E,4,FALSE)</f>
        <v>0</v>
      </c>
      <c r="V1343" s="150">
        <f>+YEAR(PROVEEDORES[[#This Row],[FECHA DE FACTURACIÓN]])</f>
        <v>2024</v>
      </c>
      <c r="W1343" s="150">
        <f>+MATCH(PROVEEDORES[[#This Row],[año facturado]],Retenciones!$1:$1,0)</f>
        <v>7</v>
      </c>
      <c r="X1343" s="151">
        <f>+VLOOKUP(PROVEEDORES[[#This Row],[ID RETENCION]],Retenciones!$A$1:$O$25,PROVEEDORES[[#This Row],[indicador de columna]],FALSE)</f>
        <v>0</v>
      </c>
      <c r="Y1343" s="152">
        <f>+VLOOKUP(PROVEEDORES[[#This Row],[ID RETENCION]],Retenciones!$A$1:$O$25,2,FALSE)</f>
        <v>0</v>
      </c>
      <c r="Z1343" s="153" t="b">
        <f>+OR(COUNTIF(PROVEEDORES[[#This Row],[PROVEEDOR]],"*"&amp;'Palabra que no opera y Listas d'!$A$2&amp;"*"))</f>
        <v>0</v>
      </c>
    </row>
    <row r="1344" spans="1:26" ht="27.75" customHeight="1" x14ac:dyDescent="0.3">
      <c r="A1344" s="144" t="str">
        <f>+IF(PROVEEDORES[[#This Row],[FECHA DE PAGO]]=PROVEEDORES[[#This Row],[FECHA DE FACTURACIÓN]],"DE CONTADO","CRÉDITO")</f>
        <v>CRÉDITO</v>
      </c>
      <c r="B1344" s="144" t="str">
        <f>+IF((PROVEEDORES[[#This Row],[FECHA DE PAGO]]-PROVEEDORES[[#This Row],[FECHA DE FACTURACIÓN]])&gt;PROVEEDORES[[#This Row],[PLAZO Días]],"PAGO VENCIDO")</f>
        <v>PAGO VENCIDO</v>
      </c>
      <c r="C1344" s="144">
        <f>+VLOOKUP(PROVEEDORES[[#This Row],[PROVEEDOR]],TERCEROS_INFO[#All],2,FALSE)</f>
        <v>0</v>
      </c>
      <c r="D1344" s="145">
        <f>+SUMIFS(PROVEEDORES[Total],PROVEEDORES[PROVEEDOR],PROVEEDORES[[#This Row],[PROVEEDOR]],PROVEEDORES[FECHA DE PAGO],"")</f>
        <v>353983.35</v>
      </c>
      <c r="E1344" s="146"/>
      <c r="F1344" s="144" t="str">
        <f>+VLOOKUP(PROVEEDORES[[#This Row],[PROVEEDOR]],
                       Terceros!$A:$G,
                       5,
                       FALSE)</f>
        <v>2,5% con base</v>
      </c>
      <c r="G1344" s="122">
        <v>45359</v>
      </c>
      <c r="H1344" s="102" t="s">
        <v>385</v>
      </c>
      <c r="I1344" s="122">
        <v>45330</v>
      </c>
      <c r="J1344" s="103" t="s">
        <v>1538</v>
      </c>
      <c r="K1344" s="103" t="s">
        <v>1512</v>
      </c>
      <c r="L1344" s="103" t="s">
        <v>1515</v>
      </c>
      <c r="M1344" s="105">
        <v>234116</v>
      </c>
      <c r="N1344" s="147">
        <v>11705.800000000001</v>
      </c>
      <c r="O1344" s="147">
        <v>0</v>
      </c>
      <c r="P1344" s="148">
        <v>0</v>
      </c>
      <c r="Q1344" s="147">
        <v>0</v>
      </c>
      <c r="R1344" s="149">
        <v>245821.8</v>
      </c>
      <c r="S13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4" s="150">
        <f ca="1">+IF(PROVEEDORES[[#This Row],[FECHA DE PAGO]]=0,TODAY()-PROVEEDORES[[#This Row],[FECHA DE FACTURACIÓN]]-PROVEEDORES[[#This Row],[PLAZO Días]],0)</f>
        <v>0</v>
      </c>
      <c r="U1344" s="150">
        <f>+VLOOKUP(PROVEEDORES[[#This Row],[PROVEEDOR]],Terceros!$A:$E,4,FALSE)</f>
        <v>0.05</v>
      </c>
      <c r="V1344" s="150">
        <f>+YEAR(PROVEEDORES[[#This Row],[FECHA DE FACTURACIÓN]])</f>
        <v>2024</v>
      </c>
      <c r="W1344" s="150">
        <f>+MATCH(PROVEEDORES[[#This Row],[año facturado]],Retenciones!$1:$1,0)</f>
        <v>7</v>
      </c>
      <c r="X1344" s="151" t="e">
        <f>+VLOOKUP(PROVEEDORES[[#This Row],[ID RETENCION]],Retenciones!$A$1:$O$25,PROVEEDORES[[#This Row],[indicador de columna]],FALSE)</f>
        <v>#N/A</v>
      </c>
      <c r="Y1344" s="152" t="e">
        <f>+VLOOKUP(PROVEEDORES[[#This Row],[ID RETENCION]],Retenciones!$A$1:$O$25,2,FALSE)</f>
        <v>#N/A</v>
      </c>
      <c r="Z1344" s="153" t="b">
        <f>+OR(COUNTIF(PROVEEDORES[[#This Row],[PROVEEDOR]],"*"&amp;'Palabra que no opera y Listas d'!$A$2&amp;"*"))</f>
        <v>1</v>
      </c>
    </row>
    <row r="1345" spans="1:26" ht="27.75" customHeight="1" x14ac:dyDescent="0.3">
      <c r="A1345" s="144" t="str">
        <f>+IF(PROVEEDORES[[#This Row],[FECHA DE PAGO]]=PROVEEDORES[[#This Row],[FECHA DE FACTURACIÓN]],"DE CONTADO","CRÉDITO")</f>
        <v>CRÉDITO</v>
      </c>
      <c r="B1345" s="144" t="str">
        <f>+IF((PROVEEDORES[[#This Row],[FECHA DE PAGO]]-PROVEEDORES[[#This Row],[FECHA DE FACTURACIÓN]])&gt;PROVEEDORES[[#This Row],[PLAZO Días]],"PAGO VENCIDO")</f>
        <v>PAGO VENCIDO</v>
      </c>
      <c r="C1345" s="144">
        <f>+VLOOKUP(PROVEEDORES[[#This Row],[PROVEEDOR]],TERCEROS_INFO[#All],2,FALSE)</f>
        <v>0</v>
      </c>
      <c r="D1345" s="145">
        <f>+SUMIFS(PROVEEDORES[Total],PROVEEDORES[PROVEEDOR],PROVEEDORES[[#This Row],[PROVEEDOR]],PROVEEDORES[FECHA DE PAGO],"")</f>
        <v>181631</v>
      </c>
      <c r="E1345" s="146"/>
      <c r="F1345" s="144">
        <f>+VLOOKUP(PROVEEDORES[[#This Row],[PROVEEDOR]],
                       Terceros!$A:$G,
                       5,
                       FALSE)</f>
        <v>0</v>
      </c>
      <c r="G1345" s="122">
        <v>45362</v>
      </c>
      <c r="H1345" s="102" t="s">
        <v>383</v>
      </c>
      <c r="I1345" s="122">
        <v>45329</v>
      </c>
      <c r="J1345" s="103" t="s">
        <v>1530</v>
      </c>
      <c r="K1345" s="103" t="s">
        <v>1512</v>
      </c>
      <c r="L1345" s="103" t="s">
        <v>1515</v>
      </c>
      <c r="M1345" s="105">
        <v>-66719</v>
      </c>
      <c r="N1345" s="147">
        <v>-12676.61</v>
      </c>
      <c r="O1345" s="147">
        <v>0</v>
      </c>
      <c r="P1345" s="148">
        <v>0</v>
      </c>
      <c r="Q1345" s="147">
        <v>0</v>
      </c>
      <c r="R1345" s="149">
        <v>-79395.61</v>
      </c>
      <c r="S13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5" s="150">
        <f ca="1">+IF(PROVEEDORES[[#This Row],[FECHA DE PAGO]]=0,TODAY()-PROVEEDORES[[#This Row],[FECHA DE FACTURACIÓN]]-PROVEEDORES[[#This Row],[PLAZO Días]],0)</f>
        <v>0</v>
      </c>
      <c r="U1345" s="150">
        <f>+VLOOKUP(PROVEEDORES[[#This Row],[PROVEEDOR]],Terceros!$A:$E,4,FALSE)</f>
        <v>0.19</v>
      </c>
      <c r="V1345" s="150">
        <f>+YEAR(PROVEEDORES[[#This Row],[FECHA DE FACTURACIÓN]])</f>
        <v>2024</v>
      </c>
      <c r="W1345" s="150">
        <f>+MATCH(PROVEEDORES[[#This Row],[año facturado]],Retenciones!$1:$1,0)</f>
        <v>7</v>
      </c>
      <c r="X1345" s="151" t="e">
        <f>+VLOOKUP(PROVEEDORES[[#This Row],[ID RETENCION]],Retenciones!$A$1:$O$25,PROVEEDORES[[#This Row],[indicador de columna]],FALSE)</f>
        <v>#N/A</v>
      </c>
      <c r="Y1345" s="152" t="e">
        <f>+VLOOKUP(PROVEEDORES[[#This Row],[ID RETENCION]],Retenciones!$A$1:$O$25,2,FALSE)</f>
        <v>#N/A</v>
      </c>
      <c r="Z1345" s="153" t="b">
        <f>+OR(COUNTIF(PROVEEDORES[[#This Row],[PROVEEDOR]],"*"&amp;'Palabra que no opera y Listas d'!$A$2&amp;"*"))</f>
        <v>1</v>
      </c>
    </row>
    <row r="1346" spans="1:26" ht="27.75" customHeight="1" x14ac:dyDescent="0.3">
      <c r="A1346" s="144" t="str">
        <f>+IF(PROVEEDORES[[#This Row],[FECHA DE PAGO]]=PROVEEDORES[[#This Row],[FECHA DE FACTURACIÓN]],"DE CONTADO","CRÉDITO")</f>
        <v>CRÉDITO</v>
      </c>
      <c r="B1346" s="144" t="str">
        <f>+IF((PROVEEDORES[[#This Row],[FECHA DE PAGO]]-PROVEEDORES[[#This Row],[FECHA DE FACTURACIÓN]])&gt;PROVEEDORES[[#This Row],[PLAZO Días]],"PAGO VENCIDO")</f>
        <v>PAGO VENCIDO</v>
      </c>
      <c r="C1346" s="144">
        <f>+VLOOKUP(PROVEEDORES[[#This Row],[PROVEEDOR]],TERCEROS_INFO[#All],2,FALSE)</f>
        <v>0</v>
      </c>
      <c r="D1346" s="145">
        <f>+SUMIFS(PROVEEDORES[Total],PROVEEDORES[PROVEEDOR],PROVEEDORES[[#This Row],[PROVEEDOR]],PROVEEDORES[FECHA DE PAGO],"")</f>
        <v>-12893</v>
      </c>
      <c r="E1346" s="146"/>
      <c r="F1346" s="144" t="str">
        <f>+VLOOKUP(PROVEEDORES[[#This Row],[PROVEEDOR]],
                       Terceros!$A:$G,
                       5,
                       FALSE)</f>
        <v>3,5% sin base</v>
      </c>
      <c r="G1346" s="122">
        <v>45362</v>
      </c>
      <c r="H1346" s="102" t="s">
        <v>1433</v>
      </c>
      <c r="I1346" s="122">
        <v>45352</v>
      </c>
      <c r="J1346" s="103" t="s">
        <v>1612</v>
      </c>
      <c r="K1346" s="103" t="s">
        <v>1512</v>
      </c>
      <c r="L1346" s="103" t="s">
        <v>1515</v>
      </c>
      <c r="M1346" s="105">
        <v>4435417</v>
      </c>
      <c r="N1346" s="147">
        <v>752248</v>
      </c>
      <c r="O1346" s="147">
        <v>0</v>
      </c>
      <c r="P1346" s="148">
        <v>3.5000000000000003E-2</v>
      </c>
      <c r="Q1346" s="147">
        <v>138572</v>
      </c>
      <c r="R1346" s="149">
        <v>5049093</v>
      </c>
      <c r="S13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6" s="150">
        <f ca="1">+IF(PROVEEDORES[[#This Row],[FECHA DE PAGO]]=0,TODAY()-PROVEEDORES[[#This Row],[FECHA DE FACTURACIÓN]]-PROVEEDORES[[#This Row],[PLAZO Días]],0)</f>
        <v>0</v>
      </c>
      <c r="U1346" s="150">
        <f>+VLOOKUP(PROVEEDORES[[#This Row],[PROVEEDOR]],Terceros!$A:$E,4,FALSE)</f>
        <v>0.19</v>
      </c>
      <c r="V1346" s="150">
        <f>+YEAR(PROVEEDORES[[#This Row],[FECHA DE FACTURACIÓN]])</f>
        <v>2024</v>
      </c>
      <c r="W1346" s="150">
        <f>+MATCH(PROVEEDORES[[#This Row],[año facturado]],Retenciones!$1:$1,0)</f>
        <v>7</v>
      </c>
      <c r="X1346" s="151" t="e">
        <f>+VLOOKUP(PROVEEDORES[[#This Row],[ID RETENCION]],Retenciones!$A$1:$O$25,PROVEEDORES[[#This Row],[indicador de columna]],FALSE)</f>
        <v>#N/A</v>
      </c>
      <c r="Y1346" s="152" t="e">
        <f>+VLOOKUP(PROVEEDORES[[#This Row],[ID RETENCION]],Retenciones!$A$1:$O$25,2,FALSE)</f>
        <v>#N/A</v>
      </c>
      <c r="Z1346" s="153" t="b">
        <f>+OR(COUNTIF(PROVEEDORES[[#This Row],[PROVEEDOR]],"*"&amp;'Palabra que no opera y Listas d'!$A$2&amp;"*"))</f>
        <v>1</v>
      </c>
    </row>
    <row r="1347" spans="1:26" ht="27.75" customHeight="1" x14ac:dyDescent="0.3">
      <c r="A1347" s="144" t="str">
        <f>+IF(PROVEEDORES[[#This Row],[FECHA DE PAGO]]=PROVEEDORES[[#This Row],[FECHA DE FACTURACIÓN]],"DE CONTADO","CRÉDITO")</f>
        <v>CRÉDITO</v>
      </c>
      <c r="B1347" s="144" t="str">
        <f>+IF((PROVEEDORES[[#This Row],[FECHA DE PAGO]]-PROVEEDORES[[#This Row],[FECHA DE FACTURACIÓN]])&gt;PROVEEDORES[[#This Row],[PLAZO Días]],"PAGO VENCIDO")</f>
        <v>PAGO VENCIDO</v>
      </c>
      <c r="C1347" s="144">
        <f>+VLOOKUP(PROVEEDORES[[#This Row],[PROVEEDOR]],TERCEROS_INFO[#All],2,FALSE)</f>
        <v>0</v>
      </c>
      <c r="D1347" s="145">
        <f>+SUMIFS(PROVEEDORES[Total],PROVEEDORES[PROVEEDOR],PROVEEDORES[[#This Row],[PROVEEDOR]],PROVEEDORES[FECHA DE PAGO],"")</f>
        <v>0</v>
      </c>
      <c r="E1347" s="146"/>
      <c r="F1347" s="144" t="str">
        <f>+VLOOKUP(PROVEEDORES[[#This Row],[PROVEEDOR]],
                       Terceros!$A:$G,
                       5,
                       FALSE)</f>
        <v>3,5% sin base</v>
      </c>
      <c r="G1347" s="122">
        <v>45362</v>
      </c>
      <c r="H1347" s="102" t="s">
        <v>395</v>
      </c>
      <c r="I1347" s="122">
        <v>45352</v>
      </c>
      <c r="J1347" s="103" t="s">
        <v>1602</v>
      </c>
      <c r="K1347" s="103" t="s">
        <v>516</v>
      </c>
      <c r="L1347" s="103" t="s">
        <v>1516</v>
      </c>
      <c r="M1347" s="105">
        <v>3456200</v>
      </c>
      <c r="N1347" s="147">
        <v>0</v>
      </c>
      <c r="O1347" s="147">
        <v>10697</v>
      </c>
      <c r="P1347" s="148">
        <v>3.5000000000000003E-2</v>
      </c>
      <c r="Q1347" s="147">
        <v>120967.00000000001</v>
      </c>
      <c r="R1347" s="149">
        <v>3324536</v>
      </c>
      <c r="S13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7" s="150">
        <f ca="1">+IF(PROVEEDORES[[#This Row],[FECHA DE PAGO]]=0,TODAY()-PROVEEDORES[[#This Row],[FECHA DE FACTURACIÓN]]-PROVEEDORES[[#This Row],[PLAZO Días]],0)</f>
        <v>0</v>
      </c>
      <c r="U1347" s="150">
        <f>+VLOOKUP(PROVEEDORES[[#This Row],[PROVEEDOR]],Terceros!$A:$E,4,FALSE)</f>
        <v>0</v>
      </c>
      <c r="V1347" s="150">
        <f>+YEAR(PROVEEDORES[[#This Row],[FECHA DE FACTURACIÓN]])</f>
        <v>2024</v>
      </c>
      <c r="W1347" s="150">
        <f>+MATCH(PROVEEDORES[[#This Row],[año facturado]],Retenciones!$1:$1,0)</f>
        <v>7</v>
      </c>
      <c r="X1347" s="151">
        <f>+VLOOKUP(PROVEEDORES[[#This Row],[ID RETENCION]],Retenciones!$A$1:$O$25,PROVEEDORES[[#This Row],[indicador de columna]],FALSE)</f>
        <v>0</v>
      </c>
      <c r="Y1347" s="152">
        <f>+VLOOKUP(PROVEEDORES[[#This Row],[ID RETENCION]],Retenciones!$A$1:$O$25,2,FALSE)</f>
        <v>0</v>
      </c>
      <c r="Z1347" s="153" t="b">
        <f>+OR(COUNTIF(PROVEEDORES[[#This Row],[PROVEEDOR]],"*"&amp;'Palabra que no opera y Listas d'!$A$2&amp;"*"))</f>
        <v>1</v>
      </c>
    </row>
    <row r="1348" spans="1:26" ht="27.75" customHeight="1" x14ac:dyDescent="0.3">
      <c r="A1348" s="144" t="str">
        <f>+IF(PROVEEDORES[[#This Row],[FECHA DE PAGO]]=PROVEEDORES[[#This Row],[FECHA DE FACTURACIÓN]],"DE CONTADO","CRÉDITO")</f>
        <v>CRÉDITO</v>
      </c>
      <c r="B1348" s="144" t="str">
        <f>+IF((PROVEEDORES[[#This Row],[FECHA DE PAGO]]-PROVEEDORES[[#This Row],[FECHA DE FACTURACIÓN]])&gt;PROVEEDORES[[#This Row],[PLAZO Días]],"PAGO VENCIDO")</f>
        <v>PAGO VENCIDO</v>
      </c>
      <c r="C1348" s="144">
        <f>+VLOOKUP(PROVEEDORES[[#This Row],[PROVEEDOR]],TERCEROS_INFO[#All],2,FALSE)</f>
        <v>0</v>
      </c>
      <c r="D1348" s="145">
        <f>+SUMIFS(PROVEEDORES[Total],PROVEEDORES[PROVEEDOR],PROVEEDORES[[#This Row],[PROVEEDOR]],PROVEEDORES[FECHA DE PAGO],"")</f>
        <v>181631</v>
      </c>
      <c r="E1348" s="146"/>
      <c r="F1348" s="144">
        <f>+VLOOKUP(PROVEEDORES[[#This Row],[PROVEEDOR]],
                       Terceros!$A:$G,
                       5,
                       FALSE)</f>
        <v>0</v>
      </c>
      <c r="G1348" s="122">
        <v>45362</v>
      </c>
      <c r="H1348" s="102" t="s">
        <v>383</v>
      </c>
      <c r="I1348" s="122">
        <v>45352</v>
      </c>
      <c r="J1348" s="103" t="s">
        <v>1610</v>
      </c>
      <c r="K1348" s="103" t="s">
        <v>1512</v>
      </c>
      <c r="L1348" s="103" t="s">
        <v>1515</v>
      </c>
      <c r="M1348" s="105">
        <v>927604</v>
      </c>
      <c r="N1348" s="147">
        <v>176244.76</v>
      </c>
      <c r="O1348" s="147">
        <v>0</v>
      </c>
      <c r="P1348" s="148">
        <v>0.04</v>
      </c>
      <c r="Q1348" s="147">
        <v>37104.160000000003</v>
      </c>
      <c r="R1348" s="149">
        <v>1066744.6000000001</v>
      </c>
      <c r="S13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8" s="150">
        <f ca="1">+IF(PROVEEDORES[[#This Row],[FECHA DE PAGO]]=0,TODAY()-PROVEEDORES[[#This Row],[FECHA DE FACTURACIÓN]]-PROVEEDORES[[#This Row],[PLAZO Días]],0)</f>
        <v>0</v>
      </c>
      <c r="U1348" s="150">
        <f>+VLOOKUP(PROVEEDORES[[#This Row],[PROVEEDOR]],Terceros!$A:$E,4,FALSE)</f>
        <v>0.19</v>
      </c>
      <c r="V1348" s="150">
        <f>+YEAR(PROVEEDORES[[#This Row],[FECHA DE FACTURACIÓN]])</f>
        <v>2024</v>
      </c>
      <c r="W1348" s="150">
        <f>+MATCH(PROVEEDORES[[#This Row],[año facturado]],Retenciones!$1:$1,0)</f>
        <v>7</v>
      </c>
      <c r="X1348" s="151" t="e">
        <f>+VLOOKUP(PROVEEDORES[[#This Row],[ID RETENCION]],Retenciones!$A$1:$O$25,PROVEEDORES[[#This Row],[indicador de columna]],FALSE)</f>
        <v>#N/A</v>
      </c>
      <c r="Y1348" s="152" t="e">
        <f>+VLOOKUP(PROVEEDORES[[#This Row],[ID RETENCION]],Retenciones!$A$1:$O$25,2,FALSE)</f>
        <v>#N/A</v>
      </c>
      <c r="Z1348" s="153" t="b">
        <f>+OR(COUNTIF(PROVEEDORES[[#This Row],[PROVEEDOR]],"*"&amp;'Palabra que no opera y Listas d'!$A$2&amp;"*"))</f>
        <v>1</v>
      </c>
    </row>
    <row r="1349" spans="1:26" ht="27.75" customHeight="1" x14ac:dyDescent="0.3">
      <c r="A1349" s="144" t="str">
        <f>+IF(PROVEEDORES[[#This Row],[FECHA DE PAGO]]=PROVEEDORES[[#This Row],[FECHA DE FACTURACIÓN]],"DE CONTADO","CRÉDITO")</f>
        <v>CRÉDITO</v>
      </c>
      <c r="B1349" s="144" t="str">
        <f>+IF((PROVEEDORES[[#This Row],[FECHA DE PAGO]]-PROVEEDORES[[#This Row],[FECHA DE FACTURACIÓN]])&gt;PROVEEDORES[[#This Row],[PLAZO Días]],"PAGO VENCIDO")</f>
        <v>PAGO VENCIDO</v>
      </c>
      <c r="C1349" s="144">
        <f>+VLOOKUP(PROVEEDORES[[#This Row],[PROVEEDOR]],TERCEROS_INFO[#All],2,FALSE)</f>
        <v>0</v>
      </c>
      <c r="D1349" s="145">
        <f>+SUMIFS(PROVEEDORES[Total],PROVEEDORES[PROVEEDOR],PROVEEDORES[[#This Row],[PROVEEDOR]],PROVEEDORES[FECHA DE PAGO],"")</f>
        <v>0</v>
      </c>
      <c r="E1349" s="146"/>
      <c r="F1349" s="144" t="str">
        <f>+VLOOKUP(PROVEEDORES[[#This Row],[PROVEEDOR]],
                       Terceros!$A:$G,
                       5,
                       FALSE)</f>
        <v>3,5% sin base</v>
      </c>
      <c r="G1349" s="122">
        <v>45362</v>
      </c>
      <c r="H1349" s="102" t="s">
        <v>409</v>
      </c>
      <c r="I1349" s="122">
        <v>45352</v>
      </c>
      <c r="J1349" s="103" t="s">
        <v>1613</v>
      </c>
      <c r="K1349" s="103" t="s">
        <v>1512</v>
      </c>
      <c r="L1349" s="103" t="s">
        <v>1515</v>
      </c>
      <c r="M1349" s="105">
        <v>266218</v>
      </c>
      <c r="N1349" s="147">
        <v>50581.42</v>
      </c>
      <c r="O1349" s="147">
        <v>0</v>
      </c>
      <c r="P1349" s="148">
        <v>3.5000000000000003E-2</v>
      </c>
      <c r="Q1349" s="147">
        <v>9317.630000000001</v>
      </c>
      <c r="R1349" s="149">
        <v>307481.78999999998</v>
      </c>
      <c r="S13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9" s="150">
        <f ca="1">+IF(PROVEEDORES[[#This Row],[FECHA DE PAGO]]=0,TODAY()-PROVEEDORES[[#This Row],[FECHA DE FACTURACIÓN]]-PROVEEDORES[[#This Row],[PLAZO Días]],0)</f>
        <v>0</v>
      </c>
      <c r="U1349" s="150">
        <f>+VLOOKUP(PROVEEDORES[[#This Row],[PROVEEDOR]],Terceros!$A:$E,4,FALSE)</f>
        <v>0.19</v>
      </c>
      <c r="V1349" s="150">
        <f>+YEAR(PROVEEDORES[[#This Row],[FECHA DE FACTURACIÓN]])</f>
        <v>2024</v>
      </c>
      <c r="W1349" s="150">
        <f>+MATCH(PROVEEDORES[[#This Row],[año facturado]],Retenciones!$1:$1,0)</f>
        <v>7</v>
      </c>
      <c r="X1349" s="151" t="e">
        <f>+VLOOKUP(PROVEEDORES[[#This Row],[ID RETENCION]],Retenciones!$A$1:$O$25,PROVEEDORES[[#This Row],[indicador de columna]],FALSE)</f>
        <v>#N/A</v>
      </c>
      <c r="Y1349" s="152" t="e">
        <f>+VLOOKUP(PROVEEDORES[[#This Row],[ID RETENCION]],Retenciones!$A$1:$O$25,2,FALSE)</f>
        <v>#N/A</v>
      </c>
      <c r="Z1349" s="153" t="b">
        <f>+OR(COUNTIF(PROVEEDORES[[#This Row],[PROVEEDOR]],"*"&amp;'Palabra que no opera y Listas d'!$A$2&amp;"*"))</f>
        <v>1</v>
      </c>
    </row>
    <row r="1350" spans="1:26" ht="27.75" customHeight="1" x14ac:dyDescent="0.3">
      <c r="A1350" s="144" t="str">
        <f>+IF(PROVEEDORES[[#This Row],[FECHA DE PAGO]]=PROVEEDORES[[#This Row],[FECHA DE FACTURACIÓN]],"DE CONTADO","CRÉDITO")</f>
        <v>CRÉDITO</v>
      </c>
      <c r="B1350" s="144" t="str">
        <f>+IF((PROVEEDORES[[#This Row],[FECHA DE PAGO]]-PROVEEDORES[[#This Row],[FECHA DE FACTURACIÓN]])&gt;PROVEEDORES[[#This Row],[PLAZO Días]],"PAGO VENCIDO")</f>
        <v>PAGO VENCIDO</v>
      </c>
      <c r="C1350" s="144">
        <f>+VLOOKUP(PROVEEDORES[[#This Row],[PROVEEDOR]],TERCEROS_INFO[#All],2,FALSE)</f>
        <v>0</v>
      </c>
      <c r="D1350" s="145">
        <f>+SUMIFS(PROVEEDORES[Total],PROVEEDORES[PROVEEDOR],PROVEEDORES[[#This Row],[PROVEEDOR]],PROVEEDORES[FECHA DE PAGO],"")</f>
        <v>0</v>
      </c>
      <c r="E1350" s="146"/>
      <c r="F1350" s="144">
        <f>+VLOOKUP(PROVEEDORES[[#This Row],[PROVEEDOR]],
                       Terceros!$A:$G,
                       5,
                       FALSE)</f>
        <v>0</v>
      </c>
      <c r="G1350" s="122">
        <v>45362</v>
      </c>
      <c r="H1350" s="102" t="s">
        <v>391</v>
      </c>
      <c r="I1350" s="122">
        <v>45352</v>
      </c>
      <c r="J1350" s="103" t="s">
        <v>1609</v>
      </c>
      <c r="K1350" s="103" t="s">
        <v>1512</v>
      </c>
      <c r="L1350" s="103" t="s">
        <v>1515</v>
      </c>
      <c r="M1350" s="105">
        <v>357058</v>
      </c>
      <c r="N1350" s="147">
        <v>0</v>
      </c>
      <c r="O1350" s="147">
        <v>10697</v>
      </c>
      <c r="P1350" s="148">
        <v>0</v>
      </c>
      <c r="Q1350" s="147">
        <v>0</v>
      </c>
      <c r="R1350" s="149">
        <v>346361</v>
      </c>
      <c r="S13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0" s="150">
        <f ca="1">+IF(PROVEEDORES[[#This Row],[FECHA DE PAGO]]=0,TODAY()-PROVEEDORES[[#This Row],[FECHA DE FACTURACIÓN]]-PROVEEDORES[[#This Row],[PLAZO Días]],0)</f>
        <v>0</v>
      </c>
      <c r="U1350" s="150">
        <f>+VLOOKUP(PROVEEDORES[[#This Row],[PROVEEDOR]],Terceros!$A:$E,4,FALSE)</f>
        <v>0</v>
      </c>
      <c r="V1350" s="150">
        <f>+YEAR(PROVEEDORES[[#This Row],[FECHA DE FACTURACIÓN]])</f>
        <v>2024</v>
      </c>
      <c r="W1350" s="150">
        <f>+MATCH(PROVEEDORES[[#This Row],[año facturado]],Retenciones!$1:$1,0)</f>
        <v>7</v>
      </c>
      <c r="X1350" s="151">
        <f>+VLOOKUP(PROVEEDORES[[#This Row],[ID RETENCION]],Retenciones!$A$1:$O$25,PROVEEDORES[[#This Row],[indicador de columna]],FALSE)</f>
        <v>0</v>
      </c>
      <c r="Y1350" s="152">
        <f>+VLOOKUP(PROVEEDORES[[#This Row],[ID RETENCION]],Retenciones!$A$1:$O$25,2,FALSE)</f>
        <v>0</v>
      </c>
      <c r="Z1350" s="153" t="b">
        <f>+OR(COUNTIF(PROVEEDORES[[#This Row],[PROVEEDOR]],"*"&amp;'Palabra que no opera y Listas d'!$A$2&amp;"*"))</f>
        <v>1</v>
      </c>
    </row>
    <row r="1351" spans="1:26" ht="27.75" customHeight="1" x14ac:dyDescent="0.3">
      <c r="A1351" s="144" t="str">
        <f>+IF(PROVEEDORES[[#This Row],[FECHA DE PAGO]]=PROVEEDORES[[#This Row],[FECHA DE FACTURACIÓN]],"DE CONTADO","CRÉDITO")</f>
        <v>CRÉDITO</v>
      </c>
      <c r="B1351" s="144" t="str">
        <f>+IF((PROVEEDORES[[#This Row],[FECHA DE PAGO]]-PROVEEDORES[[#This Row],[FECHA DE FACTURACIÓN]])&gt;PROVEEDORES[[#This Row],[PLAZO Días]],"PAGO VENCIDO")</f>
        <v>PAGO VENCIDO</v>
      </c>
      <c r="C1351" s="144">
        <f>+VLOOKUP(PROVEEDORES[[#This Row],[PROVEEDOR]],TERCEROS_INFO[#All],2,FALSE)</f>
        <v>0</v>
      </c>
      <c r="D1351" s="145">
        <f>+SUMIFS(PROVEEDORES[Total],PROVEEDORES[PROVEEDOR],PROVEEDORES[[#This Row],[PROVEEDOR]],PROVEEDORES[FECHA DE PAGO],"")</f>
        <v>0</v>
      </c>
      <c r="E1351" s="146"/>
      <c r="F1351" s="144">
        <f>+VLOOKUP(PROVEEDORES[[#This Row],[PROVEEDOR]],
                       Terceros!$A:$G,
                       5,
                       FALSE)</f>
        <v>0</v>
      </c>
      <c r="G1351" s="122">
        <v>45362</v>
      </c>
      <c r="H1351" s="102" t="s">
        <v>397</v>
      </c>
      <c r="I1351" s="122">
        <v>45352</v>
      </c>
      <c r="J1351" s="103" t="s">
        <v>1607</v>
      </c>
      <c r="K1351" s="103" t="s">
        <v>1512</v>
      </c>
      <c r="L1351" s="103" t="s">
        <v>1515</v>
      </c>
      <c r="M1351" s="105">
        <v>1047050</v>
      </c>
      <c r="N1351" s="147">
        <v>0</v>
      </c>
      <c r="O1351" s="147">
        <v>0</v>
      </c>
      <c r="P1351" s="148">
        <v>0</v>
      </c>
      <c r="Q1351" s="147">
        <v>0</v>
      </c>
      <c r="R1351" s="149">
        <v>1047050</v>
      </c>
      <c r="S13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1" s="150">
        <f ca="1">+IF(PROVEEDORES[[#This Row],[FECHA DE PAGO]]=0,TODAY()-PROVEEDORES[[#This Row],[FECHA DE FACTURACIÓN]]-PROVEEDORES[[#This Row],[PLAZO Días]],0)</f>
        <v>0</v>
      </c>
      <c r="U1351" s="150">
        <f>+VLOOKUP(PROVEEDORES[[#This Row],[PROVEEDOR]],Terceros!$A:$E,4,FALSE)</f>
        <v>0</v>
      </c>
      <c r="V1351" s="150">
        <f>+YEAR(PROVEEDORES[[#This Row],[FECHA DE FACTURACIÓN]])</f>
        <v>2024</v>
      </c>
      <c r="W1351" s="150">
        <f>+MATCH(PROVEEDORES[[#This Row],[año facturado]],Retenciones!$1:$1,0)</f>
        <v>7</v>
      </c>
      <c r="X1351" s="151">
        <f>+VLOOKUP(PROVEEDORES[[#This Row],[ID RETENCION]],Retenciones!$A$1:$O$25,PROVEEDORES[[#This Row],[indicador de columna]],FALSE)</f>
        <v>0</v>
      </c>
      <c r="Y1351" s="152">
        <f>+VLOOKUP(PROVEEDORES[[#This Row],[ID RETENCION]],Retenciones!$A$1:$O$25,2,FALSE)</f>
        <v>0</v>
      </c>
      <c r="Z1351" s="153" t="b">
        <f>+OR(COUNTIF(PROVEEDORES[[#This Row],[PROVEEDOR]],"*"&amp;'Palabra que no opera y Listas d'!$A$2&amp;"*"))</f>
        <v>1</v>
      </c>
    </row>
    <row r="1352" spans="1:26" ht="27.75" customHeight="1" x14ac:dyDescent="0.3">
      <c r="A1352" s="144" t="str">
        <f>+IF(PROVEEDORES[[#This Row],[FECHA DE PAGO]]=PROVEEDORES[[#This Row],[FECHA DE FACTURACIÓN]],"DE CONTADO","CRÉDITO")</f>
        <v>CRÉDITO</v>
      </c>
      <c r="B1352" s="144" t="str">
        <f>+IF((PROVEEDORES[[#This Row],[FECHA DE PAGO]]-PROVEEDORES[[#This Row],[FECHA DE FACTURACIÓN]])&gt;PROVEEDORES[[#This Row],[PLAZO Días]],"PAGO VENCIDO")</f>
        <v>PAGO VENCIDO</v>
      </c>
      <c r="C1352" s="144">
        <f>+VLOOKUP(PROVEEDORES[[#This Row],[PROVEEDOR]],TERCEROS_INFO[#All],2,FALSE)</f>
        <v>0</v>
      </c>
      <c r="D1352" s="145">
        <f>+SUMIFS(PROVEEDORES[Total],PROVEEDORES[PROVEEDOR],PROVEEDORES[[#This Row],[PROVEEDOR]],PROVEEDORES[FECHA DE PAGO],"")</f>
        <v>0</v>
      </c>
      <c r="E1352" s="146"/>
      <c r="F1352" s="144">
        <f>+VLOOKUP(PROVEEDORES[[#This Row],[PROVEEDOR]],
                       Terceros!$A:$G,
                       5,
                       FALSE)</f>
        <v>0</v>
      </c>
      <c r="G1352" s="122">
        <v>45362</v>
      </c>
      <c r="H1352" s="102" t="s">
        <v>397</v>
      </c>
      <c r="I1352" s="122">
        <v>45352</v>
      </c>
      <c r="J1352" s="103" t="s">
        <v>1608</v>
      </c>
      <c r="K1352" s="103" t="s">
        <v>1512</v>
      </c>
      <c r="L1352" s="103" t="s">
        <v>1515</v>
      </c>
      <c r="M1352" s="105">
        <v>1024255</v>
      </c>
      <c r="N1352" s="147">
        <v>0</v>
      </c>
      <c r="O1352" s="147">
        <v>0</v>
      </c>
      <c r="P1352" s="148">
        <v>0</v>
      </c>
      <c r="Q1352" s="147">
        <v>0</v>
      </c>
      <c r="R1352" s="149">
        <v>1024255</v>
      </c>
      <c r="S13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2" s="150">
        <f ca="1">+IF(PROVEEDORES[[#This Row],[FECHA DE PAGO]]=0,TODAY()-PROVEEDORES[[#This Row],[FECHA DE FACTURACIÓN]]-PROVEEDORES[[#This Row],[PLAZO Días]],0)</f>
        <v>0</v>
      </c>
      <c r="U1352" s="150">
        <f>+VLOOKUP(PROVEEDORES[[#This Row],[PROVEEDOR]],Terceros!$A:$E,4,FALSE)</f>
        <v>0</v>
      </c>
      <c r="V1352" s="150">
        <f>+YEAR(PROVEEDORES[[#This Row],[FECHA DE FACTURACIÓN]])</f>
        <v>2024</v>
      </c>
      <c r="W1352" s="150">
        <f>+MATCH(PROVEEDORES[[#This Row],[año facturado]],Retenciones!$1:$1,0)</f>
        <v>7</v>
      </c>
      <c r="X1352" s="151">
        <f>+VLOOKUP(PROVEEDORES[[#This Row],[ID RETENCION]],Retenciones!$A$1:$O$25,PROVEEDORES[[#This Row],[indicador de columna]],FALSE)</f>
        <v>0</v>
      </c>
      <c r="Y1352" s="152">
        <f>+VLOOKUP(PROVEEDORES[[#This Row],[ID RETENCION]],Retenciones!$A$1:$O$25,2,FALSE)</f>
        <v>0</v>
      </c>
      <c r="Z1352" s="153" t="b">
        <f>+OR(COUNTIF(PROVEEDORES[[#This Row],[PROVEEDOR]],"*"&amp;'Palabra que no opera y Listas d'!$A$2&amp;"*"))</f>
        <v>1</v>
      </c>
    </row>
    <row r="1353" spans="1:26" ht="27.75" customHeight="1" x14ac:dyDescent="0.3">
      <c r="A1353" s="144" t="str">
        <f>+IF(PROVEEDORES[[#This Row],[FECHA DE PAGO]]=PROVEEDORES[[#This Row],[FECHA DE FACTURACIÓN]],"DE CONTADO","CRÉDITO")</f>
        <v>CRÉDITO</v>
      </c>
      <c r="B1353" s="144" t="str">
        <f>+IF((PROVEEDORES[[#This Row],[FECHA DE PAGO]]-PROVEEDORES[[#This Row],[FECHA DE FACTURACIÓN]])&gt;PROVEEDORES[[#This Row],[PLAZO Días]],"PAGO VENCIDO")</f>
        <v>PAGO VENCIDO</v>
      </c>
      <c r="C1353" s="144">
        <f>+VLOOKUP(PROVEEDORES[[#This Row],[PROVEEDOR]],TERCEROS_INFO[#All],2,FALSE)</f>
        <v>0</v>
      </c>
      <c r="D1353" s="145">
        <f>+SUMIFS(PROVEEDORES[Total],PROVEEDORES[PROVEEDOR],PROVEEDORES[[#This Row],[PROVEEDOR]],PROVEEDORES[FECHA DE PAGO],"")</f>
        <v>181631</v>
      </c>
      <c r="E1353" s="146"/>
      <c r="F1353" s="144">
        <f>+VLOOKUP(PROVEEDORES[[#This Row],[PROVEEDOR]],
                       Terceros!$A:$G,
                       5,
                       FALSE)</f>
        <v>0</v>
      </c>
      <c r="G1353" s="122">
        <v>45362</v>
      </c>
      <c r="H1353" s="102" t="s">
        <v>383</v>
      </c>
      <c r="I1353" s="122">
        <v>45352</v>
      </c>
      <c r="J1353" s="103" t="s">
        <v>1606</v>
      </c>
      <c r="K1353" s="103" t="s">
        <v>1512</v>
      </c>
      <c r="L1353" s="103" t="s">
        <v>1516</v>
      </c>
      <c r="M1353" s="105">
        <v>3792544</v>
      </c>
      <c r="N1353" s="147">
        <v>720583.36</v>
      </c>
      <c r="O1353" s="147">
        <v>0</v>
      </c>
      <c r="P1353" s="148">
        <v>0</v>
      </c>
      <c r="Q1353" s="147">
        <v>0</v>
      </c>
      <c r="R1353" s="149">
        <v>4513127.3600000003</v>
      </c>
      <c r="S13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3" s="150">
        <f ca="1">+IF(PROVEEDORES[[#This Row],[FECHA DE PAGO]]=0,TODAY()-PROVEEDORES[[#This Row],[FECHA DE FACTURACIÓN]]-PROVEEDORES[[#This Row],[PLAZO Días]],0)</f>
        <v>0</v>
      </c>
      <c r="U1353" s="150">
        <f>+VLOOKUP(PROVEEDORES[[#This Row],[PROVEEDOR]],Terceros!$A:$E,4,FALSE)</f>
        <v>0.19</v>
      </c>
      <c r="V1353" s="150">
        <f>+YEAR(PROVEEDORES[[#This Row],[FECHA DE FACTURACIÓN]])</f>
        <v>2024</v>
      </c>
      <c r="W1353" s="150">
        <f>+MATCH(PROVEEDORES[[#This Row],[año facturado]],Retenciones!$1:$1,0)</f>
        <v>7</v>
      </c>
      <c r="X1353" s="151" t="e">
        <f>+VLOOKUP(PROVEEDORES[[#This Row],[ID RETENCION]],Retenciones!$A$1:$O$25,PROVEEDORES[[#This Row],[indicador de columna]],FALSE)</f>
        <v>#N/A</v>
      </c>
      <c r="Y1353" s="152" t="e">
        <f>+VLOOKUP(PROVEEDORES[[#This Row],[ID RETENCION]],Retenciones!$A$1:$O$25,2,FALSE)</f>
        <v>#N/A</v>
      </c>
      <c r="Z1353" s="153" t="b">
        <f>+OR(COUNTIF(PROVEEDORES[[#This Row],[PROVEEDOR]],"*"&amp;'Palabra que no opera y Listas d'!$A$2&amp;"*"))</f>
        <v>1</v>
      </c>
    </row>
    <row r="1354" spans="1:26" ht="27.75" customHeight="1" x14ac:dyDescent="0.3">
      <c r="A1354" s="144" t="str">
        <f>+IF(PROVEEDORES[[#This Row],[FECHA DE PAGO]]=PROVEEDORES[[#This Row],[FECHA DE FACTURACIÓN]],"DE CONTADO","CRÉDITO")</f>
        <v>CRÉDITO</v>
      </c>
      <c r="B1354" s="144" t="str">
        <f>+IF((PROVEEDORES[[#This Row],[FECHA DE PAGO]]-PROVEEDORES[[#This Row],[FECHA DE FACTURACIÓN]])&gt;PROVEEDORES[[#This Row],[PLAZO Días]],"PAGO VENCIDO")</f>
        <v>PAGO VENCIDO</v>
      </c>
      <c r="C1354" s="144">
        <f>+VLOOKUP(PROVEEDORES[[#This Row],[PROVEEDOR]],TERCEROS_INFO[#All],2,FALSE)</f>
        <v>0</v>
      </c>
      <c r="D1354" s="145">
        <f>+SUMIFS(PROVEEDORES[Total],PROVEEDORES[PROVEEDOR],PROVEEDORES[[#This Row],[PROVEEDOR]],PROVEEDORES[FECHA DE PAGO],"")</f>
        <v>0</v>
      </c>
      <c r="E1354" s="146"/>
      <c r="F1354" s="144">
        <f>+VLOOKUP(PROVEEDORES[[#This Row],[PROVEEDOR]],
                       Terceros!$A:$G,
                       5,
                       FALSE)</f>
        <v>0</v>
      </c>
      <c r="G1354" s="122">
        <v>45362</v>
      </c>
      <c r="H1354" s="102" t="s">
        <v>497</v>
      </c>
      <c r="I1354" s="122">
        <v>45352</v>
      </c>
      <c r="J1354" s="103" t="s">
        <v>1603</v>
      </c>
      <c r="K1354" s="103" t="s">
        <v>1512</v>
      </c>
      <c r="L1354" s="103" t="s">
        <v>1516</v>
      </c>
      <c r="M1354" s="105">
        <v>5350576</v>
      </c>
      <c r="N1354" s="147">
        <v>1016609.4400000001</v>
      </c>
      <c r="O1354" s="147">
        <v>0</v>
      </c>
      <c r="P1354" s="148">
        <v>0</v>
      </c>
      <c r="Q1354" s="147">
        <v>0</v>
      </c>
      <c r="R1354" s="149">
        <v>6367185.4400000004</v>
      </c>
      <c r="S13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4" s="150">
        <f ca="1">+IF(PROVEEDORES[[#This Row],[FECHA DE PAGO]]=0,TODAY()-PROVEEDORES[[#This Row],[FECHA DE FACTURACIÓN]]-PROVEEDORES[[#This Row],[PLAZO Días]],0)</f>
        <v>0</v>
      </c>
      <c r="U1354" s="150">
        <f>+VLOOKUP(PROVEEDORES[[#This Row],[PROVEEDOR]],Terceros!$A:$E,4,FALSE)</f>
        <v>0.19</v>
      </c>
      <c r="V1354" s="150">
        <f>+YEAR(PROVEEDORES[[#This Row],[FECHA DE FACTURACIÓN]])</f>
        <v>2024</v>
      </c>
      <c r="W1354" s="150">
        <f>+MATCH(PROVEEDORES[[#This Row],[año facturado]],Retenciones!$1:$1,0)</f>
        <v>7</v>
      </c>
      <c r="X1354" s="151" t="e">
        <f>+VLOOKUP(PROVEEDORES[[#This Row],[ID RETENCION]],Retenciones!$A$1:$O$25,PROVEEDORES[[#This Row],[indicador de columna]],FALSE)</f>
        <v>#N/A</v>
      </c>
      <c r="Y1354" s="152" t="e">
        <f>+VLOOKUP(PROVEEDORES[[#This Row],[ID RETENCION]],Retenciones!$A$1:$O$25,2,FALSE)</f>
        <v>#N/A</v>
      </c>
      <c r="Z1354" s="153" t="b">
        <f>+OR(COUNTIF(PROVEEDORES[[#This Row],[PROVEEDOR]],"*"&amp;'Palabra que no opera y Listas d'!$A$2&amp;"*"))</f>
        <v>1</v>
      </c>
    </row>
    <row r="1355" spans="1:26" ht="27.75" customHeight="1" x14ac:dyDescent="0.3">
      <c r="A1355" s="144" t="str">
        <f>+IF(PROVEEDORES[[#This Row],[FECHA DE PAGO]]=PROVEEDORES[[#This Row],[FECHA DE FACTURACIÓN]],"DE CONTADO","CRÉDITO")</f>
        <v>CRÉDITO</v>
      </c>
      <c r="B1355" s="144" t="str">
        <f>+IF((PROVEEDORES[[#This Row],[FECHA DE PAGO]]-PROVEEDORES[[#This Row],[FECHA DE FACTURACIÓN]])&gt;PROVEEDORES[[#This Row],[PLAZO Días]],"PAGO VENCIDO")</f>
        <v>PAGO VENCIDO</v>
      </c>
      <c r="C1355" s="144">
        <f>+VLOOKUP(PROVEEDORES[[#This Row],[PROVEEDOR]],TERCEROS_INFO[#All],2,FALSE)</f>
        <v>0</v>
      </c>
      <c r="D1355" s="145">
        <f>+SUMIFS(PROVEEDORES[Total],PROVEEDORES[PROVEEDOR],PROVEEDORES[[#This Row],[PROVEEDOR]],PROVEEDORES[FECHA DE PAGO],"")</f>
        <v>0</v>
      </c>
      <c r="E1355" s="146"/>
      <c r="F1355" s="144">
        <f>+VLOOKUP(PROVEEDORES[[#This Row],[PROVEEDOR]],
                       Terceros!$A:$G,
                       5,
                       FALSE)</f>
        <v>0</v>
      </c>
      <c r="G1355" s="122">
        <v>45362</v>
      </c>
      <c r="H1355" s="102" t="s">
        <v>388</v>
      </c>
      <c r="I1355" s="122">
        <v>45356</v>
      </c>
      <c r="J1355" s="103" t="s">
        <v>1611</v>
      </c>
      <c r="K1355" s="103" t="s">
        <v>1512</v>
      </c>
      <c r="L1355" s="103" t="s">
        <v>1515</v>
      </c>
      <c r="M1355" s="105">
        <v>2202761</v>
      </c>
      <c r="N1355" s="147">
        <v>0</v>
      </c>
      <c r="O1355" s="147">
        <v>418942</v>
      </c>
      <c r="P1355" s="148">
        <v>0</v>
      </c>
      <c r="Q1355" s="147">
        <v>0</v>
      </c>
      <c r="R1355" s="149">
        <v>1783819</v>
      </c>
      <c r="S13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5" s="150">
        <f ca="1">+IF(PROVEEDORES[[#This Row],[FECHA DE PAGO]]=0,TODAY()-PROVEEDORES[[#This Row],[FECHA DE FACTURACIÓN]]-PROVEEDORES[[#This Row],[PLAZO Días]],0)</f>
        <v>0</v>
      </c>
      <c r="U1355" s="150">
        <f>+VLOOKUP(PROVEEDORES[[#This Row],[PROVEEDOR]],Terceros!$A:$E,4,FALSE)</f>
        <v>0</v>
      </c>
      <c r="V1355" s="150">
        <f>+YEAR(PROVEEDORES[[#This Row],[FECHA DE FACTURACIÓN]])</f>
        <v>2024</v>
      </c>
      <c r="W1355" s="150">
        <f>+MATCH(PROVEEDORES[[#This Row],[año facturado]],Retenciones!$1:$1,0)</f>
        <v>7</v>
      </c>
      <c r="X1355" s="151">
        <f>+VLOOKUP(PROVEEDORES[[#This Row],[ID RETENCION]],Retenciones!$A$1:$O$25,PROVEEDORES[[#This Row],[indicador de columna]],FALSE)</f>
        <v>0</v>
      </c>
      <c r="Y1355" s="152">
        <f>+VLOOKUP(PROVEEDORES[[#This Row],[ID RETENCION]],Retenciones!$A$1:$O$25,2,FALSE)</f>
        <v>0</v>
      </c>
      <c r="Z1355" s="153" t="b">
        <f>+OR(COUNTIF(PROVEEDORES[[#This Row],[PROVEEDOR]],"*"&amp;'Palabra que no opera y Listas d'!$A$2&amp;"*"))</f>
        <v>1</v>
      </c>
    </row>
    <row r="1356" spans="1:26" ht="27.75" customHeight="1" x14ac:dyDescent="0.3">
      <c r="A1356" s="144" t="str">
        <f>+IF(PROVEEDORES[[#This Row],[FECHA DE PAGO]]=PROVEEDORES[[#This Row],[FECHA DE FACTURACIÓN]],"DE CONTADO","CRÉDITO")</f>
        <v>CRÉDITO</v>
      </c>
      <c r="B1356" s="144" t="str">
        <f>+IF((PROVEEDORES[[#This Row],[FECHA DE PAGO]]-PROVEEDORES[[#This Row],[FECHA DE FACTURACIÓN]])&gt;PROVEEDORES[[#This Row],[PLAZO Días]],"PAGO VENCIDO")</f>
        <v>PAGO VENCIDO</v>
      </c>
      <c r="C1356" s="144">
        <f>+VLOOKUP(PROVEEDORES[[#This Row],[PROVEEDOR]],TERCEROS_INFO[#All],2,FALSE)</f>
        <v>0</v>
      </c>
      <c r="D1356" s="145">
        <f>+SUMIFS(PROVEEDORES[Total],PROVEEDORES[PROVEEDOR],PROVEEDORES[[#This Row],[PROVEEDOR]],PROVEEDORES[FECHA DE PAGO],"")</f>
        <v>0</v>
      </c>
      <c r="E1356" s="146"/>
      <c r="F1356" s="144">
        <f>+VLOOKUP(PROVEEDORES[[#This Row],[PROVEEDOR]],
                       Terceros!$A:$G,
                       5,
                       FALSE)</f>
        <v>0</v>
      </c>
      <c r="G1356" s="122">
        <v>45363</v>
      </c>
      <c r="H1356" s="102" t="s">
        <v>496</v>
      </c>
      <c r="I1356" s="122">
        <v>45362</v>
      </c>
      <c r="J1356" s="103" t="s">
        <v>1641</v>
      </c>
      <c r="K1356" s="103" t="s">
        <v>516</v>
      </c>
      <c r="L1356" s="103" t="s">
        <v>1523</v>
      </c>
      <c r="M1356" s="105">
        <v>3944000</v>
      </c>
      <c r="N1356" s="147">
        <v>0</v>
      </c>
      <c r="O1356" s="147">
        <v>0</v>
      </c>
      <c r="P1356" s="148">
        <v>0</v>
      </c>
      <c r="Q1356" s="147">
        <v>0</v>
      </c>
      <c r="R1356" s="149">
        <v>3944000</v>
      </c>
      <c r="S13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6" s="150">
        <f ca="1">+IF(PROVEEDORES[[#This Row],[FECHA DE PAGO]]=0,TODAY()-PROVEEDORES[[#This Row],[FECHA DE FACTURACIÓN]]-PROVEEDORES[[#This Row],[PLAZO Días]],0)</f>
        <v>0</v>
      </c>
      <c r="U1356" s="150">
        <f>+VLOOKUP(PROVEEDORES[[#This Row],[PROVEEDOR]],Terceros!$A:$E,4,FALSE)</f>
        <v>0</v>
      </c>
      <c r="V1356" s="150">
        <f>+YEAR(PROVEEDORES[[#This Row],[FECHA DE FACTURACIÓN]])</f>
        <v>2024</v>
      </c>
      <c r="W1356" s="150">
        <f>+MATCH(PROVEEDORES[[#This Row],[año facturado]],Retenciones!$1:$1,0)</f>
        <v>7</v>
      </c>
      <c r="X1356" s="151">
        <f>+VLOOKUP(PROVEEDORES[[#This Row],[ID RETENCION]],Retenciones!$A$1:$O$25,PROVEEDORES[[#This Row],[indicador de columna]],FALSE)</f>
        <v>0</v>
      </c>
      <c r="Y1356" s="152">
        <f>+VLOOKUP(PROVEEDORES[[#This Row],[ID RETENCION]],Retenciones!$A$1:$O$25,2,FALSE)</f>
        <v>0</v>
      </c>
      <c r="Z1356" s="153" t="b">
        <f>+OR(COUNTIF(PROVEEDORES[[#This Row],[PROVEEDOR]],"*"&amp;'Palabra que no opera y Listas d'!$A$2&amp;"*"))</f>
        <v>0</v>
      </c>
    </row>
    <row r="1357" spans="1:26" ht="27.75" customHeight="1" x14ac:dyDescent="0.3">
      <c r="A1357" s="144" t="str">
        <f>+IF(PROVEEDORES[[#This Row],[FECHA DE PAGO]]=PROVEEDORES[[#This Row],[FECHA DE FACTURACIÓN]],"DE CONTADO","CRÉDITO")</f>
        <v>CRÉDITO</v>
      </c>
      <c r="B1357" s="144" t="str">
        <f>+IF((PROVEEDORES[[#This Row],[FECHA DE PAGO]]-PROVEEDORES[[#This Row],[FECHA DE FACTURACIÓN]])&gt;PROVEEDORES[[#This Row],[PLAZO Días]],"PAGO VENCIDO")</f>
        <v>PAGO VENCIDO</v>
      </c>
      <c r="C1357" s="144">
        <f>+VLOOKUP(PROVEEDORES[[#This Row],[PROVEEDOR]],TERCEROS_INFO[#All],2,FALSE)</f>
        <v>0</v>
      </c>
      <c r="D1357" s="145">
        <f>+SUMIFS(PROVEEDORES[Total],PROVEEDORES[PROVEEDOR],PROVEEDORES[[#This Row],[PROVEEDOR]],PROVEEDORES[FECHA DE PAGO],"")</f>
        <v>5820290</v>
      </c>
      <c r="E1357" s="146"/>
      <c r="F1357" s="144">
        <f>+VLOOKUP(PROVEEDORES[[#This Row],[PROVEEDOR]],
                       Terceros!$A:$G,
                       5,
                       FALSE)</f>
        <v>0</v>
      </c>
      <c r="G1357" s="122">
        <v>45364</v>
      </c>
      <c r="H1357" s="102" t="s">
        <v>461</v>
      </c>
      <c r="I1357" s="122">
        <v>45318</v>
      </c>
      <c r="J1357" s="103" t="s">
        <v>1469</v>
      </c>
      <c r="K1357" s="103" t="s">
        <v>516</v>
      </c>
      <c r="L1357" s="103" t="s">
        <v>1516</v>
      </c>
      <c r="M1357" s="105">
        <v>4960000</v>
      </c>
      <c r="N1357" s="147">
        <v>942400</v>
      </c>
      <c r="O1357" s="147">
        <v>0</v>
      </c>
      <c r="P1357" s="148">
        <v>0</v>
      </c>
      <c r="Q1357" s="147">
        <v>0</v>
      </c>
      <c r="R1357" s="149">
        <v>5902400</v>
      </c>
      <c r="S13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7" s="150">
        <f ca="1">+IF(PROVEEDORES[[#This Row],[FECHA DE PAGO]]=0,TODAY()-PROVEEDORES[[#This Row],[FECHA DE FACTURACIÓN]]-PROVEEDORES[[#This Row],[PLAZO Días]],0)</f>
        <v>0</v>
      </c>
      <c r="U1357" s="150">
        <f>+VLOOKUP(PROVEEDORES[[#This Row],[PROVEEDOR]],Terceros!$A:$E,4,FALSE)</f>
        <v>0.19</v>
      </c>
      <c r="V1357" s="150">
        <f>+YEAR(PROVEEDORES[[#This Row],[FECHA DE FACTURACIÓN]])</f>
        <v>2024</v>
      </c>
      <c r="W1357" s="150">
        <f>+MATCH(PROVEEDORES[[#This Row],[año facturado]],Retenciones!$1:$1,0)</f>
        <v>7</v>
      </c>
      <c r="X1357" s="151" t="e">
        <f>+VLOOKUP(PROVEEDORES[[#This Row],[ID RETENCION]],Retenciones!$A$1:$O$25,PROVEEDORES[[#This Row],[indicador de columna]],FALSE)</f>
        <v>#N/A</v>
      </c>
      <c r="Y1357" s="152" t="e">
        <f>+VLOOKUP(PROVEEDORES[[#This Row],[ID RETENCION]],Retenciones!$A$1:$O$25,2,FALSE)</f>
        <v>#N/A</v>
      </c>
      <c r="Z1357" s="153" t="b">
        <f>+OR(COUNTIF(PROVEEDORES[[#This Row],[PROVEEDOR]],"*"&amp;'Palabra que no opera y Listas d'!$A$2&amp;"*"))</f>
        <v>0</v>
      </c>
    </row>
    <row r="1358" spans="1:26" ht="27.75" customHeight="1" x14ac:dyDescent="0.3">
      <c r="A1358" s="144" t="str">
        <f>+IF(PROVEEDORES[[#This Row],[FECHA DE PAGO]]=PROVEEDORES[[#This Row],[FECHA DE FACTURACIÓN]],"DE CONTADO","CRÉDITO")</f>
        <v>CRÉDITO</v>
      </c>
      <c r="B1358" s="144" t="str">
        <f>+IF((PROVEEDORES[[#This Row],[FECHA DE PAGO]]-PROVEEDORES[[#This Row],[FECHA DE FACTURACIÓN]])&gt;PROVEEDORES[[#This Row],[PLAZO Días]],"PAGO VENCIDO")</f>
        <v>PAGO VENCIDO</v>
      </c>
      <c r="C1358" s="144">
        <f>+VLOOKUP(PROVEEDORES[[#This Row],[PROVEEDOR]],TERCEROS_INFO[#All],2,FALSE)</f>
        <v>0</v>
      </c>
      <c r="D1358" s="145">
        <f>+SUMIFS(PROVEEDORES[Total],PROVEEDORES[PROVEEDOR],PROVEEDORES[[#This Row],[PROVEEDOR]],PROVEEDORES[FECHA DE PAGO],"")</f>
        <v>31839627.134999998</v>
      </c>
      <c r="E1358" s="146"/>
      <c r="F1358" s="144" t="str">
        <f>+VLOOKUP(PROVEEDORES[[#This Row],[PROVEEDOR]],
                       Terceros!$A:$G,
                       5,
                       FALSE)</f>
        <v>2,5% con base</v>
      </c>
      <c r="G1358" s="122">
        <v>45364</v>
      </c>
      <c r="H1358" s="102" t="s">
        <v>17</v>
      </c>
      <c r="I1358" s="122">
        <v>45321</v>
      </c>
      <c r="J1358" s="103" t="s">
        <v>1615</v>
      </c>
      <c r="K1358" s="103" t="s">
        <v>516</v>
      </c>
      <c r="L1358" s="103" t="s">
        <v>1515</v>
      </c>
      <c r="M1358" s="105">
        <v>1194685.2</v>
      </c>
      <c r="N1358" s="147">
        <v>226990.18799999999</v>
      </c>
      <c r="O1358" s="147">
        <v>0</v>
      </c>
      <c r="P1358" s="148">
        <v>0</v>
      </c>
      <c r="Q1358" s="147">
        <v>0</v>
      </c>
      <c r="R1358" s="149">
        <v>1421675.388</v>
      </c>
      <c r="S13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8" s="150">
        <f ca="1">+IF(PROVEEDORES[[#This Row],[FECHA DE PAGO]]=0,TODAY()-PROVEEDORES[[#This Row],[FECHA DE FACTURACIÓN]]-PROVEEDORES[[#This Row],[PLAZO Días]],0)</f>
        <v>0</v>
      </c>
      <c r="U1358" s="150">
        <f>+VLOOKUP(PROVEEDORES[[#This Row],[PROVEEDOR]],Terceros!$A:$E,4,FALSE)</f>
        <v>0.19</v>
      </c>
      <c r="V1358" s="150">
        <f>+YEAR(PROVEEDORES[[#This Row],[FECHA DE FACTURACIÓN]])</f>
        <v>2024</v>
      </c>
      <c r="W1358" s="150">
        <f>+MATCH(PROVEEDORES[[#This Row],[año facturado]],Retenciones!$1:$1,0)</f>
        <v>7</v>
      </c>
      <c r="X1358" s="151" t="e">
        <f>+VLOOKUP(PROVEEDORES[[#This Row],[ID RETENCION]],Retenciones!$A$1:$O$25,PROVEEDORES[[#This Row],[indicador de columna]],FALSE)</f>
        <v>#N/A</v>
      </c>
      <c r="Y1358" s="152" t="e">
        <f>+VLOOKUP(PROVEEDORES[[#This Row],[ID RETENCION]],Retenciones!$A$1:$O$25,2,FALSE)</f>
        <v>#N/A</v>
      </c>
      <c r="Z1358" s="153" t="b">
        <f>+OR(COUNTIF(PROVEEDORES[[#This Row],[PROVEEDOR]],"*"&amp;'Palabra que no opera y Listas d'!$A$2&amp;"*"))</f>
        <v>0</v>
      </c>
    </row>
    <row r="1359" spans="1:26" ht="27.75" customHeight="1" x14ac:dyDescent="0.3">
      <c r="A1359" s="144" t="str">
        <f>+IF(PROVEEDORES[[#This Row],[FECHA DE PAGO]]=PROVEEDORES[[#This Row],[FECHA DE FACTURACIÓN]],"DE CONTADO","CRÉDITO")</f>
        <v>CRÉDITO</v>
      </c>
      <c r="B1359" s="144" t="str">
        <f>+IF((PROVEEDORES[[#This Row],[FECHA DE PAGO]]-PROVEEDORES[[#This Row],[FECHA DE FACTURACIÓN]])&gt;PROVEEDORES[[#This Row],[PLAZO Días]],"PAGO VENCIDO")</f>
        <v>PAGO VENCIDO</v>
      </c>
      <c r="C1359" s="144">
        <f>+VLOOKUP(PROVEEDORES[[#This Row],[PROVEEDOR]],TERCEROS_INFO[#All],2,FALSE)</f>
        <v>0</v>
      </c>
      <c r="D1359" s="145">
        <f>+SUMIFS(PROVEEDORES[Total],PROVEEDORES[PROVEEDOR],PROVEEDORES[[#This Row],[PROVEEDOR]],PROVEEDORES[FECHA DE PAGO],"")</f>
        <v>5820290</v>
      </c>
      <c r="E1359" s="146"/>
      <c r="F1359" s="144">
        <f>+VLOOKUP(PROVEEDORES[[#This Row],[PROVEEDOR]],
                       Terceros!$A:$G,
                       5,
                       FALSE)</f>
        <v>0</v>
      </c>
      <c r="G1359" s="122">
        <v>45364</v>
      </c>
      <c r="H1359" s="102" t="s">
        <v>461</v>
      </c>
      <c r="I1359" s="122">
        <v>45322</v>
      </c>
      <c r="J1359" s="103" t="s">
        <v>1488</v>
      </c>
      <c r="K1359" s="103" t="s">
        <v>516</v>
      </c>
      <c r="L1359" s="103" t="s">
        <v>1516</v>
      </c>
      <c r="M1359" s="105">
        <v>5400000</v>
      </c>
      <c r="N1359" s="147">
        <v>1026000</v>
      </c>
      <c r="O1359" s="147">
        <v>0</v>
      </c>
      <c r="P1359" s="148">
        <v>0</v>
      </c>
      <c r="Q1359" s="147">
        <v>0</v>
      </c>
      <c r="R1359" s="149">
        <v>6426000</v>
      </c>
      <c r="S13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9" s="150">
        <f ca="1">+IF(PROVEEDORES[[#This Row],[FECHA DE PAGO]]=0,TODAY()-PROVEEDORES[[#This Row],[FECHA DE FACTURACIÓN]]-PROVEEDORES[[#This Row],[PLAZO Días]],0)</f>
        <v>0</v>
      </c>
      <c r="U1359" s="150">
        <f>+VLOOKUP(PROVEEDORES[[#This Row],[PROVEEDOR]],Terceros!$A:$E,4,FALSE)</f>
        <v>0.19</v>
      </c>
      <c r="V1359" s="150">
        <f>+YEAR(PROVEEDORES[[#This Row],[FECHA DE FACTURACIÓN]])</f>
        <v>2024</v>
      </c>
      <c r="W1359" s="150">
        <f>+MATCH(PROVEEDORES[[#This Row],[año facturado]],Retenciones!$1:$1,0)</f>
        <v>7</v>
      </c>
      <c r="X1359" s="151" t="e">
        <f>+VLOOKUP(PROVEEDORES[[#This Row],[ID RETENCION]],Retenciones!$A$1:$O$25,PROVEEDORES[[#This Row],[indicador de columna]],FALSE)</f>
        <v>#N/A</v>
      </c>
      <c r="Y1359" s="152" t="e">
        <f>+VLOOKUP(PROVEEDORES[[#This Row],[ID RETENCION]],Retenciones!$A$1:$O$25,2,FALSE)</f>
        <v>#N/A</v>
      </c>
      <c r="Z1359" s="153" t="b">
        <f>+OR(COUNTIF(PROVEEDORES[[#This Row],[PROVEEDOR]],"*"&amp;'Palabra que no opera y Listas d'!$A$2&amp;"*"))</f>
        <v>0</v>
      </c>
    </row>
    <row r="1360" spans="1:26" ht="27.75" customHeight="1" x14ac:dyDescent="0.3">
      <c r="A1360" s="144" t="str">
        <f>+IF(PROVEEDORES[[#This Row],[FECHA DE PAGO]]=PROVEEDORES[[#This Row],[FECHA DE FACTURACIÓN]],"DE CONTADO","CRÉDITO")</f>
        <v>CRÉDITO</v>
      </c>
      <c r="B1360" s="144" t="str">
        <f>+IF((PROVEEDORES[[#This Row],[FECHA DE PAGO]]-PROVEEDORES[[#This Row],[FECHA DE FACTURACIÓN]])&gt;PROVEEDORES[[#This Row],[PLAZO Días]],"PAGO VENCIDO")</f>
        <v>PAGO VENCIDO</v>
      </c>
      <c r="C1360" s="144">
        <f>+VLOOKUP(PROVEEDORES[[#This Row],[PROVEEDOR]],TERCEROS_INFO[#All],2,FALSE)</f>
        <v>0</v>
      </c>
      <c r="D1360" s="145">
        <f>+SUMIFS(PROVEEDORES[Total],PROVEEDORES[PROVEEDOR],PROVEEDORES[[#This Row],[PROVEEDOR]],PROVEEDORES[FECHA DE PAGO],"")</f>
        <v>31839627.134999998</v>
      </c>
      <c r="E1360" s="146"/>
      <c r="F1360" s="144" t="str">
        <f>+VLOOKUP(PROVEEDORES[[#This Row],[PROVEEDOR]],
                       Terceros!$A:$G,
                       5,
                       FALSE)</f>
        <v>2,5% con base</v>
      </c>
      <c r="G1360" s="122">
        <v>45364</v>
      </c>
      <c r="H1360" s="102" t="s">
        <v>17</v>
      </c>
      <c r="I1360" s="122">
        <v>45330</v>
      </c>
      <c r="J1360" s="103">
        <v>1082730</v>
      </c>
      <c r="K1360" s="103" t="s">
        <v>516</v>
      </c>
      <c r="L1360" s="103" t="s">
        <v>1515</v>
      </c>
      <c r="M1360" s="105">
        <v>3788095</v>
      </c>
      <c r="N1360" s="147">
        <v>719738.05</v>
      </c>
      <c r="O1360" s="147">
        <v>0</v>
      </c>
      <c r="P1360" s="148">
        <v>2.5000000000000001E-2</v>
      </c>
      <c r="Q1360" s="147">
        <v>94702.375</v>
      </c>
      <c r="R1360" s="149">
        <v>4413130.6749999998</v>
      </c>
      <c r="S13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0" s="150">
        <f ca="1">+IF(PROVEEDORES[[#This Row],[FECHA DE PAGO]]=0,TODAY()-PROVEEDORES[[#This Row],[FECHA DE FACTURACIÓN]]-PROVEEDORES[[#This Row],[PLAZO Días]],0)</f>
        <v>0</v>
      </c>
      <c r="U1360" s="150">
        <f>+VLOOKUP(PROVEEDORES[[#This Row],[PROVEEDOR]],Terceros!$A:$E,4,FALSE)</f>
        <v>0.19</v>
      </c>
      <c r="V1360" s="150">
        <f>+YEAR(PROVEEDORES[[#This Row],[FECHA DE FACTURACIÓN]])</f>
        <v>2024</v>
      </c>
      <c r="W1360" s="150">
        <f>+MATCH(PROVEEDORES[[#This Row],[año facturado]],Retenciones!$1:$1,0)</f>
        <v>7</v>
      </c>
      <c r="X1360" s="151" t="e">
        <f>+VLOOKUP(PROVEEDORES[[#This Row],[ID RETENCION]],Retenciones!$A$1:$O$25,PROVEEDORES[[#This Row],[indicador de columna]],FALSE)</f>
        <v>#N/A</v>
      </c>
      <c r="Y1360" s="152" t="e">
        <f>+VLOOKUP(PROVEEDORES[[#This Row],[ID RETENCION]],Retenciones!$A$1:$O$25,2,FALSE)</f>
        <v>#N/A</v>
      </c>
      <c r="Z1360" s="153" t="b">
        <f>+OR(COUNTIF(PROVEEDORES[[#This Row],[PROVEEDOR]],"*"&amp;'Palabra que no opera y Listas d'!$A$2&amp;"*"))</f>
        <v>0</v>
      </c>
    </row>
    <row r="1361" spans="1:26" ht="27.75" customHeight="1" x14ac:dyDescent="0.3">
      <c r="A1361" s="144" t="str">
        <f>+IF(PROVEEDORES[[#This Row],[FECHA DE PAGO]]=PROVEEDORES[[#This Row],[FECHA DE FACTURACIÓN]],"DE CONTADO","CRÉDITO")</f>
        <v>CRÉDITO</v>
      </c>
      <c r="B1361" s="144" t="str">
        <f>+IF((PROVEEDORES[[#This Row],[FECHA DE PAGO]]-PROVEEDORES[[#This Row],[FECHA DE FACTURACIÓN]])&gt;PROVEEDORES[[#This Row],[PLAZO Días]],"PAGO VENCIDO")</f>
        <v>PAGO VENCIDO</v>
      </c>
      <c r="C1361" s="144">
        <f>+VLOOKUP(PROVEEDORES[[#This Row],[PROVEEDOR]],TERCEROS_INFO[#All],2,FALSE)</f>
        <v>0</v>
      </c>
      <c r="D1361" s="145">
        <f>+SUMIFS(PROVEEDORES[Total],PROVEEDORES[PROVEEDOR],PROVEEDORES[[#This Row],[PROVEEDOR]],PROVEEDORES[FECHA DE PAGO],"")</f>
        <v>31839627.134999998</v>
      </c>
      <c r="E1361" s="146"/>
      <c r="F1361" s="144" t="str">
        <f>+VLOOKUP(PROVEEDORES[[#This Row],[PROVEEDOR]],
                       Terceros!$A:$G,
                       5,
                       FALSE)</f>
        <v>2,5% con base</v>
      </c>
      <c r="G1361" s="122">
        <v>45364</v>
      </c>
      <c r="H1361" s="102" t="s">
        <v>17</v>
      </c>
      <c r="I1361" s="122">
        <v>45331</v>
      </c>
      <c r="J1361" s="103">
        <v>1082818</v>
      </c>
      <c r="K1361" s="103" t="s">
        <v>516</v>
      </c>
      <c r="L1361" s="103" t="s">
        <v>1515</v>
      </c>
      <c r="M1361" s="105">
        <v>1564305</v>
      </c>
      <c r="N1361" s="147">
        <v>297217.95</v>
      </c>
      <c r="O1361" s="147">
        <v>0</v>
      </c>
      <c r="P1361" s="148">
        <v>2.5000000000000001E-2</v>
      </c>
      <c r="Q1361" s="147">
        <v>39107.625</v>
      </c>
      <c r="R1361" s="149">
        <v>1822415.325</v>
      </c>
      <c r="S13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1" s="150">
        <f ca="1">+IF(PROVEEDORES[[#This Row],[FECHA DE PAGO]]=0,TODAY()-PROVEEDORES[[#This Row],[FECHA DE FACTURACIÓN]]-PROVEEDORES[[#This Row],[PLAZO Días]],0)</f>
        <v>0</v>
      </c>
      <c r="U1361" s="150">
        <f>+VLOOKUP(PROVEEDORES[[#This Row],[PROVEEDOR]],Terceros!$A:$E,4,FALSE)</f>
        <v>0.19</v>
      </c>
      <c r="V1361" s="150">
        <f>+YEAR(PROVEEDORES[[#This Row],[FECHA DE FACTURACIÓN]])</f>
        <v>2024</v>
      </c>
      <c r="W1361" s="150">
        <f>+MATCH(PROVEEDORES[[#This Row],[año facturado]],Retenciones!$1:$1,0)</f>
        <v>7</v>
      </c>
      <c r="X1361" s="151" t="e">
        <f>+VLOOKUP(PROVEEDORES[[#This Row],[ID RETENCION]],Retenciones!$A$1:$O$25,PROVEEDORES[[#This Row],[indicador de columna]],FALSE)</f>
        <v>#N/A</v>
      </c>
      <c r="Y1361" s="152" t="e">
        <f>+VLOOKUP(PROVEEDORES[[#This Row],[ID RETENCION]],Retenciones!$A$1:$O$25,2,FALSE)</f>
        <v>#N/A</v>
      </c>
      <c r="Z1361" s="153" t="b">
        <f>+OR(COUNTIF(PROVEEDORES[[#This Row],[PROVEEDOR]],"*"&amp;'Palabra que no opera y Listas d'!$A$2&amp;"*"))</f>
        <v>0</v>
      </c>
    </row>
    <row r="1362" spans="1:26" ht="27.75" customHeight="1" x14ac:dyDescent="0.3">
      <c r="A1362" s="144" t="str">
        <f>+IF(PROVEEDORES[[#This Row],[FECHA DE PAGO]]=PROVEEDORES[[#This Row],[FECHA DE FACTURACIÓN]],"DE CONTADO","CRÉDITO")</f>
        <v>DE CONTADO</v>
      </c>
      <c r="B1362" s="144" t="b">
        <f>+IF((PROVEEDORES[[#This Row],[FECHA DE PAGO]]-PROVEEDORES[[#This Row],[FECHA DE FACTURACIÓN]])&gt;PROVEEDORES[[#This Row],[PLAZO Días]],"PAGO VENCIDO")</f>
        <v>0</v>
      </c>
      <c r="C1362" s="144">
        <f>+VLOOKUP(PROVEEDORES[[#This Row],[PROVEEDOR]],TERCEROS_INFO[#All],2,FALSE)</f>
        <v>0</v>
      </c>
      <c r="D1362" s="145">
        <f>+SUMIFS(PROVEEDORES[Total],PROVEEDORES[PROVEEDOR],PROVEEDORES[[#This Row],[PROVEEDOR]],PROVEEDORES[FECHA DE PAGO],"")</f>
        <v>0</v>
      </c>
      <c r="E1362" s="146"/>
      <c r="F1362" s="144">
        <f>+VLOOKUP(PROVEEDORES[[#This Row],[PROVEEDOR]],
                       Terceros!$A:$G,
                       5,
                       FALSE)</f>
        <v>0</v>
      </c>
      <c r="G1362" s="122">
        <v>45364</v>
      </c>
      <c r="H1362" s="102" t="s">
        <v>1782</v>
      </c>
      <c r="I1362" s="122">
        <v>45364</v>
      </c>
      <c r="J1362" s="103">
        <v>414</v>
      </c>
      <c r="K1362" s="103" t="s">
        <v>1512</v>
      </c>
      <c r="L1362" s="103" t="s">
        <v>1390</v>
      </c>
      <c r="M1362" s="105">
        <v>665000</v>
      </c>
      <c r="N1362" s="147">
        <v>0</v>
      </c>
      <c r="O1362" s="147">
        <v>0</v>
      </c>
      <c r="P1362" s="148">
        <v>0</v>
      </c>
      <c r="Q1362" s="147">
        <v>0</v>
      </c>
      <c r="R1362" s="149">
        <v>665000</v>
      </c>
      <c r="S13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2" s="150">
        <f ca="1">+IF(PROVEEDORES[[#This Row],[FECHA DE PAGO]]=0,TODAY()-PROVEEDORES[[#This Row],[FECHA DE FACTURACIÓN]]-PROVEEDORES[[#This Row],[PLAZO Días]],0)</f>
        <v>0</v>
      </c>
      <c r="U1362" s="150">
        <f>+VLOOKUP(PROVEEDORES[[#This Row],[PROVEEDOR]],Terceros!$A:$E,4,FALSE)</f>
        <v>0</v>
      </c>
      <c r="V1362" s="150">
        <f>+YEAR(PROVEEDORES[[#This Row],[FECHA DE FACTURACIÓN]])</f>
        <v>2024</v>
      </c>
      <c r="W1362" s="150">
        <f>+MATCH(PROVEEDORES[[#This Row],[año facturado]],Retenciones!$1:$1,0)</f>
        <v>7</v>
      </c>
      <c r="X1362" s="151">
        <f>+VLOOKUP(PROVEEDORES[[#This Row],[ID RETENCION]],Retenciones!$A$1:$O$25,PROVEEDORES[[#This Row],[indicador de columna]],FALSE)</f>
        <v>0</v>
      </c>
      <c r="Y1362" s="152">
        <f>+VLOOKUP(PROVEEDORES[[#This Row],[ID RETENCION]],Retenciones!$A$1:$O$25,2,FALSE)</f>
        <v>0</v>
      </c>
      <c r="Z1362" s="153" t="b">
        <f>+OR(COUNTIF(PROVEEDORES[[#This Row],[PROVEEDOR]],"*"&amp;'Palabra que no opera y Listas d'!$A$2&amp;"*"))</f>
        <v>0</v>
      </c>
    </row>
    <row r="1363" spans="1:26" ht="27.75" customHeight="1" x14ac:dyDescent="0.3">
      <c r="A1363" s="144" t="str">
        <f>+IF(PROVEEDORES[[#This Row],[FECHA DE PAGO]]=PROVEEDORES[[#This Row],[FECHA DE FACTURACIÓN]],"DE CONTADO","CRÉDITO")</f>
        <v>CRÉDITO</v>
      </c>
      <c r="B1363" s="144" t="str">
        <f>+IF((PROVEEDORES[[#This Row],[FECHA DE PAGO]]-PROVEEDORES[[#This Row],[FECHA DE FACTURACIÓN]])&gt;PROVEEDORES[[#This Row],[PLAZO Días]],"PAGO VENCIDO")</f>
        <v>PAGO VENCIDO</v>
      </c>
      <c r="C1363" s="144">
        <f>+VLOOKUP(PROVEEDORES[[#This Row],[PROVEEDOR]],TERCEROS_INFO[#All],2,FALSE)</f>
        <v>0</v>
      </c>
      <c r="D1363" s="145">
        <f>+SUMIFS(PROVEEDORES[Total],PROVEEDORES[PROVEEDOR],PROVEEDORES[[#This Row],[PROVEEDOR]],PROVEEDORES[FECHA DE PAGO],"")</f>
        <v>0</v>
      </c>
      <c r="E1363" s="146"/>
      <c r="F1363" s="144">
        <f>+VLOOKUP(PROVEEDORES[[#This Row],[PROVEEDOR]],
                       Terceros!$A:$G,
                       5,
                       FALSE)</f>
        <v>0</v>
      </c>
      <c r="G1363" s="122">
        <v>45367</v>
      </c>
      <c r="H1363" s="102" t="s">
        <v>490</v>
      </c>
      <c r="I1363" s="122">
        <v>45334</v>
      </c>
      <c r="J1363" s="103">
        <v>12512</v>
      </c>
      <c r="K1363" s="103" t="s">
        <v>1512</v>
      </c>
      <c r="L1363" s="103" t="s">
        <v>1390</v>
      </c>
      <c r="M1363" s="105">
        <v>1654600</v>
      </c>
      <c r="N1363" s="147">
        <v>0</v>
      </c>
      <c r="O1363" s="147">
        <v>165460</v>
      </c>
      <c r="P1363" s="148">
        <v>0</v>
      </c>
      <c r="Q1363" s="147">
        <v>0</v>
      </c>
      <c r="R1363" s="149">
        <v>1489140</v>
      </c>
      <c r="S13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3" s="150">
        <f ca="1">+IF(PROVEEDORES[[#This Row],[FECHA DE PAGO]]=0,TODAY()-PROVEEDORES[[#This Row],[FECHA DE FACTURACIÓN]]-PROVEEDORES[[#This Row],[PLAZO Días]],0)</f>
        <v>0</v>
      </c>
      <c r="U1363" s="150">
        <f>+VLOOKUP(PROVEEDORES[[#This Row],[PROVEEDOR]],Terceros!$A:$E,4,FALSE)</f>
        <v>0</v>
      </c>
      <c r="V1363" s="150">
        <f>+YEAR(PROVEEDORES[[#This Row],[FECHA DE FACTURACIÓN]])</f>
        <v>2024</v>
      </c>
      <c r="W1363" s="150">
        <f>+MATCH(PROVEEDORES[[#This Row],[año facturado]],Retenciones!$1:$1,0)</f>
        <v>7</v>
      </c>
      <c r="X1363" s="151">
        <f>+VLOOKUP(PROVEEDORES[[#This Row],[ID RETENCION]],Retenciones!$A$1:$O$25,PROVEEDORES[[#This Row],[indicador de columna]],FALSE)</f>
        <v>0</v>
      </c>
      <c r="Y1363" s="152">
        <f>+VLOOKUP(PROVEEDORES[[#This Row],[ID RETENCION]],Retenciones!$A$1:$O$25,2,FALSE)</f>
        <v>0</v>
      </c>
      <c r="Z1363" s="153" t="b">
        <f>+OR(COUNTIF(PROVEEDORES[[#This Row],[PROVEEDOR]],"*"&amp;'Palabra que no opera y Listas d'!$A$2&amp;"*"))</f>
        <v>0</v>
      </c>
    </row>
    <row r="1364" spans="1:26" ht="27.75" customHeight="1" x14ac:dyDescent="0.3">
      <c r="A1364" s="144" t="str">
        <f>+IF(PROVEEDORES[[#This Row],[FECHA DE PAGO]]=PROVEEDORES[[#This Row],[FECHA DE FACTURACIÓN]],"DE CONTADO","CRÉDITO")</f>
        <v>CRÉDITO</v>
      </c>
      <c r="B1364" s="144" t="str">
        <f>+IF((PROVEEDORES[[#This Row],[FECHA DE PAGO]]-PROVEEDORES[[#This Row],[FECHA DE FACTURACIÓN]])&gt;PROVEEDORES[[#This Row],[PLAZO Días]],"PAGO VENCIDO")</f>
        <v>PAGO VENCIDO</v>
      </c>
      <c r="C1364" s="144">
        <f>+VLOOKUP(PROVEEDORES[[#This Row],[PROVEEDOR]],TERCEROS_INFO[#All],2,FALSE)</f>
        <v>0</v>
      </c>
      <c r="D1364" s="145">
        <f>+SUMIFS(PROVEEDORES[Total],PROVEEDORES[PROVEEDOR],PROVEEDORES[[#This Row],[PROVEEDOR]],PROVEEDORES[FECHA DE PAGO],"")</f>
        <v>0</v>
      </c>
      <c r="E1364" s="146"/>
      <c r="F1364" s="144">
        <f>+VLOOKUP(PROVEEDORES[[#This Row],[PROVEEDOR]],
                       Terceros!$A:$G,
                       5,
                       FALSE)</f>
        <v>0</v>
      </c>
      <c r="G1364" s="122">
        <v>45367</v>
      </c>
      <c r="H1364" s="102" t="s">
        <v>845</v>
      </c>
      <c r="I1364" s="122">
        <v>45366</v>
      </c>
      <c r="J1364" s="103" t="s">
        <v>1628</v>
      </c>
      <c r="K1364" s="103" t="s">
        <v>516</v>
      </c>
      <c r="L1364" s="103" t="s">
        <v>1390</v>
      </c>
      <c r="M1364" s="105">
        <v>527000</v>
      </c>
      <c r="N1364" s="147">
        <v>0</v>
      </c>
      <c r="O1364" s="147">
        <v>0</v>
      </c>
      <c r="P1364" s="148">
        <v>0</v>
      </c>
      <c r="Q1364" s="147">
        <v>0</v>
      </c>
      <c r="R1364" s="149">
        <v>527000</v>
      </c>
      <c r="S13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4" s="150">
        <f ca="1">+IF(PROVEEDORES[[#This Row],[FECHA DE PAGO]]=0,TODAY()-PROVEEDORES[[#This Row],[FECHA DE FACTURACIÓN]]-PROVEEDORES[[#This Row],[PLAZO Días]],0)</f>
        <v>0</v>
      </c>
      <c r="U1364" s="150">
        <f>+VLOOKUP(PROVEEDORES[[#This Row],[PROVEEDOR]],Terceros!$A:$E,4,FALSE)</f>
        <v>0</v>
      </c>
      <c r="V1364" s="150">
        <f>+YEAR(PROVEEDORES[[#This Row],[FECHA DE FACTURACIÓN]])</f>
        <v>2024</v>
      </c>
      <c r="W1364" s="150">
        <f>+MATCH(PROVEEDORES[[#This Row],[año facturado]],Retenciones!$1:$1,0)</f>
        <v>7</v>
      </c>
      <c r="X1364" s="151">
        <f>+VLOOKUP(PROVEEDORES[[#This Row],[ID RETENCION]],Retenciones!$A$1:$O$25,PROVEEDORES[[#This Row],[indicador de columna]],FALSE)</f>
        <v>0</v>
      </c>
      <c r="Y1364" s="152">
        <f>+VLOOKUP(PROVEEDORES[[#This Row],[ID RETENCION]],Retenciones!$A$1:$O$25,2,FALSE)</f>
        <v>0</v>
      </c>
      <c r="Z1364" s="153" t="b">
        <f>+OR(COUNTIF(PROVEEDORES[[#This Row],[PROVEEDOR]],"*"&amp;'Palabra que no opera y Listas d'!$A$2&amp;"*"))</f>
        <v>0</v>
      </c>
    </row>
    <row r="1365" spans="1:26" ht="27.75" customHeight="1" x14ac:dyDescent="0.3">
      <c r="A1365" s="144" t="str">
        <f>+IF(PROVEEDORES[[#This Row],[FECHA DE PAGO]]=PROVEEDORES[[#This Row],[FECHA DE FACTURACIÓN]],"DE CONTADO","CRÉDITO")</f>
        <v>CRÉDITO</v>
      </c>
      <c r="B1365" s="144" t="str">
        <f>+IF((PROVEEDORES[[#This Row],[FECHA DE PAGO]]-PROVEEDORES[[#This Row],[FECHA DE FACTURACIÓN]])&gt;PROVEEDORES[[#This Row],[PLAZO Días]],"PAGO VENCIDO")</f>
        <v>PAGO VENCIDO</v>
      </c>
      <c r="C1365" s="144">
        <f>+VLOOKUP(PROVEEDORES[[#This Row],[PROVEEDOR]],TERCEROS_INFO[#All],2,FALSE)</f>
        <v>0</v>
      </c>
      <c r="D1365" s="145">
        <f>+SUMIFS(PROVEEDORES[Total],PROVEEDORES[PROVEEDOR],PROVEEDORES[[#This Row],[PROVEEDOR]],PROVEEDORES[FECHA DE PAGO],"")</f>
        <v>0</v>
      </c>
      <c r="E1365" s="146"/>
      <c r="F1365" s="144" t="str">
        <f>+VLOOKUP(PROVEEDORES[[#This Row],[PROVEEDOR]],
                       Terceros!$A:$G,
                       5,
                       FALSE)</f>
        <v>2,5% con base</v>
      </c>
      <c r="G1365" s="122">
        <v>45369</v>
      </c>
      <c r="H1365" s="102" t="s">
        <v>1562</v>
      </c>
      <c r="I1365" s="122">
        <v>45303</v>
      </c>
      <c r="J1365" s="103" t="s">
        <v>1415</v>
      </c>
      <c r="K1365" s="103" t="s">
        <v>516</v>
      </c>
      <c r="L1365" s="103" t="s">
        <v>1515</v>
      </c>
      <c r="M1365" s="105">
        <v>180000</v>
      </c>
      <c r="N1365" s="147">
        <v>34200</v>
      </c>
      <c r="O1365" s="147">
        <v>0</v>
      </c>
      <c r="P1365" s="148">
        <v>0</v>
      </c>
      <c r="Q1365" s="147">
        <v>0</v>
      </c>
      <c r="R1365" s="149">
        <v>214200</v>
      </c>
      <c r="S13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5" s="150">
        <f ca="1">+IF(PROVEEDORES[[#This Row],[FECHA DE PAGO]]=0,TODAY()-PROVEEDORES[[#This Row],[FECHA DE FACTURACIÓN]]-PROVEEDORES[[#This Row],[PLAZO Días]],0)</f>
        <v>0</v>
      </c>
      <c r="U1365" s="150">
        <f>+VLOOKUP(PROVEEDORES[[#This Row],[PROVEEDOR]],Terceros!$A:$E,4,FALSE)</f>
        <v>0.19</v>
      </c>
      <c r="V1365" s="150">
        <f>+YEAR(PROVEEDORES[[#This Row],[FECHA DE FACTURACIÓN]])</f>
        <v>2024</v>
      </c>
      <c r="W1365" s="150">
        <f>+MATCH(PROVEEDORES[[#This Row],[año facturado]],Retenciones!$1:$1,0)</f>
        <v>7</v>
      </c>
      <c r="X1365" s="151" t="e">
        <f>+VLOOKUP(PROVEEDORES[[#This Row],[ID RETENCION]],Retenciones!$A$1:$O$25,PROVEEDORES[[#This Row],[indicador de columna]],FALSE)</f>
        <v>#N/A</v>
      </c>
      <c r="Y1365" s="152" t="e">
        <f>+VLOOKUP(PROVEEDORES[[#This Row],[ID RETENCION]],Retenciones!$A$1:$O$25,2,FALSE)</f>
        <v>#N/A</v>
      </c>
      <c r="Z1365" s="153" t="b">
        <f>+OR(COUNTIF(PROVEEDORES[[#This Row],[PROVEEDOR]],"*"&amp;'Palabra que no opera y Listas d'!$A$2&amp;"*"))</f>
        <v>0</v>
      </c>
    </row>
    <row r="1366" spans="1:26" ht="27.75" customHeight="1" x14ac:dyDescent="0.3">
      <c r="A1366" s="144" t="str">
        <f>+IF(PROVEEDORES[[#This Row],[FECHA DE PAGO]]=PROVEEDORES[[#This Row],[FECHA DE FACTURACIÓN]],"DE CONTADO","CRÉDITO")</f>
        <v>CRÉDITO</v>
      </c>
      <c r="B1366" s="144" t="str">
        <f>+IF((PROVEEDORES[[#This Row],[FECHA DE PAGO]]-PROVEEDORES[[#This Row],[FECHA DE FACTURACIÓN]])&gt;PROVEEDORES[[#This Row],[PLAZO Días]],"PAGO VENCIDO")</f>
        <v>PAGO VENCIDO</v>
      </c>
      <c r="C1366" s="144">
        <f>+VLOOKUP(PROVEEDORES[[#This Row],[PROVEEDOR]],TERCEROS_INFO[#All],2,FALSE)</f>
        <v>0</v>
      </c>
      <c r="D1366" s="145">
        <f>+SUMIFS(PROVEEDORES[Total],PROVEEDORES[PROVEEDOR],PROVEEDORES[[#This Row],[PROVEEDOR]],PROVEEDORES[FECHA DE PAGO],"")</f>
        <v>9343197</v>
      </c>
      <c r="E1366" s="146"/>
      <c r="F1366" s="144" t="str">
        <f>+VLOOKUP(PROVEEDORES[[#This Row],[PROVEEDOR]],
                       Terceros!$A:$G,
                       5,
                       FALSE)</f>
        <v>2,5% con base</v>
      </c>
      <c r="G1366" s="122">
        <v>45369</v>
      </c>
      <c r="H1366" s="102" t="s">
        <v>466</v>
      </c>
      <c r="I1366" s="122">
        <v>45307</v>
      </c>
      <c r="J1366" s="103">
        <v>33399</v>
      </c>
      <c r="K1366" s="103" t="s">
        <v>1512</v>
      </c>
      <c r="L1366" s="103" t="s">
        <v>1515</v>
      </c>
      <c r="M1366" s="105">
        <v>1260000</v>
      </c>
      <c r="N1366" s="147">
        <v>239400</v>
      </c>
      <c r="O1366" s="147">
        <v>0</v>
      </c>
      <c r="P1366" s="148">
        <v>0</v>
      </c>
      <c r="Q1366" s="147">
        <v>0</v>
      </c>
      <c r="R1366" s="149">
        <v>1499400</v>
      </c>
      <c r="S13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6" s="150">
        <f ca="1">+IF(PROVEEDORES[[#This Row],[FECHA DE PAGO]]=0,TODAY()-PROVEEDORES[[#This Row],[FECHA DE FACTURACIÓN]]-PROVEEDORES[[#This Row],[PLAZO Días]],0)</f>
        <v>0</v>
      </c>
      <c r="U1366" s="150">
        <f>+VLOOKUP(PROVEEDORES[[#This Row],[PROVEEDOR]],Terceros!$A:$E,4,FALSE)</f>
        <v>0.19</v>
      </c>
      <c r="V1366" s="150">
        <f>+YEAR(PROVEEDORES[[#This Row],[FECHA DE FACTURACIÓN]])</f>
        <v>2024</v>
      </c>
      <c r="W1366" s="150">
        <f>+MATCH(PROVEEDORES[[#This Row],[año facturado]],Retenciones!$1:$1,0)</f>
        <v>7</v>
      </c>
      <c r="X1366" s="151" t="e">
        <f>+VLOOKUP(PROVEEDORES[[#This Row],[ID RETENCION]],Retenciones!$A$1:$O$25,PROVEEDORES[[#This Row],[indicador de columna]],FALSE)</f>
        <v>#N/A</v>
      </c>
      <c r="Y1366" s="152" t="e">
        <f>+VLOOKUP(PROVEEDORES[[#This Row],[ID RETENCION]],Retenciones!$A$1:$O$25,2,FALSE)</f>
        <v>#N/A</v>
      </c>
      <c r="Z1366" s="153" t="b">
        <f>+OR(COUNTIF(PROVEEDORES[[#This Row],[PROVEEDOR]],"*"&amp;'Palabra que no opera y Listas d'!$A$2&amp;"*"))</f>
        <v>0</v>
      </c>
    </row>
    <row r="1367" spans="1:26" ht="27.75" customHeight="1" x14ac:dyDescent="0.3">
      <c r="A1367" s="144" t="str">
        <f>+IF(PROVEEDORES[[#This Row],[FECHA DE PAGO]]=PROVEEDORES[[#This Row],[FECHA DE FACTURACIÓN]],"DE CONTADO","CRÉDITO")</f>
        <v>CRÉDITO</v>
      </c>
      <c r="B1367" s="144" t="str">
        <f>+IF((PROVEEDORES[[#This Row],[FECHA DE PAGO]]-PROVEEDORES[[#This Row],[FECHA DE FACTURACIÓN]])&gt;PROVEEDORES[[#This Row],[PLAZO Días]],"PAGO VENCIDO")</f>
        <v>PAGO VENCIDO</v>
      </c>
      <c r="C1367" s="144">
        <f>+VLOOKUP(PROVEEDORES[[#This Row],[PROVEEDOR]],TERCEROS_INFO[#All],2,FALSE)</f>
        <v>0</v>
      </c>
      <c r="D1367" s="145">
        <f>+SUMIFS(PROVEEDORES[Total],PROVEEDORES[PROVEEDOR],PROVEEDORES[[#This Row],[PROVEEDOR]],PROVEEDORES[FECHA DE PAGO],"")</f>
        <v>3461120</v>
      </c>
      <c r="E1367" s="146"/>
      <c r="F1367" s="144" t="str">
        <f>+VLOOKUP(PROVEEDORES[[#This Row],[PROVEEDOR]],
                       Terceros!$A:$G,
                       5,
                       FALSE)</f>
        <v>2,5% con base</v>
      </c>
      <c r="G1367" s="122">
        <v>45369</v>
      </c>
      <c r="H1367" s="102" t="s">
        <v>9</v>
      </c>
      <c r="I1367" s="122">
        <v>45315</v>
      </c>
      <c r="J1367" s="103" t="s">
        <v>1471</v>
      </c>
      <c r="K1367" s="103" t="s">
        <v>1512</v>
      </c>
      <c r="L1367" s="103" t="s">
        <v>1515</v>
      </c>
      <c r="M1367" s="105">
        <v>330000</v>
      </c>
      <c r="N1367" s="147">
        <v>62700</v>
      </c>
      <c r="O1367" s="147">
        <v>0</v>
      </c>
      <c r="P1367" s="148">
        <v>0</v>
      </c>
      <c r="Q1367" s="147">
        <v>0</v>
      </c>
      <c r="R1367" s="149">
        <v>392700</v>
      </c>
      <c r="S13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7" s="150">
        <f ca="1">+IF(PROVEEDORES[[#This Row],[FECHA DE PAGO]]=0,TODAY()-PROVEEDORES[[#This Row],[FECHA DE FACTURACIÓN]]-PROVEEDORES[[#This Row],[PLAZO Días]],0)</f>
        <v>0</v>
      </c>
      <c r="U1367" s="150">
        <f>+VLOOKUP(PROVEEDORES[[#This Row],[PROVEEDOR]],Terceros!$A:$E,4,FALSE)</f>
        <v>0.19</v>
      </c>
      <c r="V1367" s="150">
        <f>+YEAR(PROVEEDORES[[#This Row],[FECHA DE FACTURACIÓN]])</f>
        <v>2024</v>
      </c>
      <c r="W1367" s="150">
        <f>+MATCH(PROVEEDORES[[#This Row],[año facturado]],Retenciones!$1:$1,0)</f>
        <v>7</v>
      </c>
      <c r="X1367" s="151" t="e">
        <f>+VLOOKUP(PROVEEDORES[[#This Row],[ID RETENCION]],Retenciones!$A$1:$O$25,PROVEEDORES[[#This Row],[indicador de columna]],FALSE)</f>
        <v>#N/A</v>
      </c>
      <c r="Y1367" s="152" t="e">
        <f>+VLOOKUP(PROVEEDORES[[#This Row],[ID RETENCION]],Retenciones!$A$1:$O$25,2,FALSE)</f>
        <v>#N/A</v>
      </c>
      <c r="Z1367" s="153" t="b">
        <f>+OR(COUNTIF(PROVEEDORES[[#This Row],[PROVEEDOR]],"*"&amp;'Palabra que no opera y Listas d'!$A$2&amp;"*"))</f>
        <v>0</v>
      </c>
    </row>
    <row r="1368" spans="1:26" ht="27.75" customHeight="1" x14ac:dyDescent="0.3">
      <c r="A1368" s="144" t="str">
        <f>+IF(PROVEEDORES[[#This Row],[FECHA DE PAGO]]=PROVEEDORES[[#This Row],[FECHA DE FACTURACIÓN]],"DE CONTADO","CRÉDITO")</f>
        <v>CRÉDITO</v>
      </c>
      <c r="B1368" s="144" t="str">
        <f>+IF((PROVEEDORES[[#This Row],[FECHA DE PAGO]]-PROVEEDORES[[#This Row],[FECHA DE FACTURACIÓN]])&gt;PROVEEDORES[[#This Row],[PLAZO Días]],"PAGO VENCIDO")</f>
        <v>PAGO VENCIDO</v>
      </c>
      <c r="C1368" s="144">
        <f>+VLOOKUP(PROVEEDORES[[#This Row],[PROVEEDOR]],TERCEROS_INFO[#All],2,FALSE)</f>
        <v>0</v>
      </c>
      <c r="D1368" s="145">
        <f>+SUMIFS(PROVEEDORES[Total],PROVEEDORES[PROVEEDOR],PROVEEDORES[[#This Row],[PROVEEDOR]],PROVEEDORES[FECHA DE PAGO],"")</f>
        <v>28179645.060000002</v>
      </c>
      <c r="E1368" s="146"/>
      <c r="F1368" s="144">
        <f>+VLOOKUP(PROVEEDORES[[#This Row],[PROVEEDOR]],
                       Terceros!$A:$G,
                       5,
                       FALSE)</f>
        <v>0</v>
      </c>
      <c r="G1368" s="122">
        <v>45369</v>
      </c>
      <c r="H1368" s="102" t="s">
        <v>18</v>
      </c>
      <c r="I1368" s="122">
        <v>45316</v>
      </c>
      <c r="J1368" s="103" t="s">
        <v>1466</v>
      </c>
      <c r="K1368" s="103" t="s">
        <v>516</v>
      </c>
      <c r="L1368" s="103" t="s">
        <v>1515</v>
      </c>
      <c r="M1368" s="105">
        <v>2971140</v>
      </c>
      <c r="N1368" s="147">
        <v>564516.6</v>
      </c>
      <c r="O1368" s="147">
        <v>0</v>
      </c>
      <c r="P1368" s="148">
        <v>0</v>
      </c>
      <c r="Q1368" s="147">
        <v>0</v>
      </c>
      <c r="R1368" s="149">
        <v>3535656.6</v>
      </c>
      <c r="S13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8" s="150">
        <f ca="1">+IF(PROVEEDORES[[#This Row],[FECHA DE PAGO]]=0,TODAY()-PROVEEDORES[[#This Row],[FECHA DE FACTURACIÓN]]-PROVEEDORES[[#This Row],[PLAZO Días]],0)</f>
        <v>0</v>
      </c>
      <c r="U1368" s="150">
        <f>+VLOOKUP(PROVEEDORES[[#This Row],[PROVEEDOR]],Terceros!$A:$E,4,FALSE)</f>
        <v>0.19</v>
      </c>
      <c r="V1368" s="150">
        <f>+YEAR(PROVEEDORES[[#This Row],[FECHA DE FACTURACIÓN]])</f>
        <v>2024</v>
      </c>
      <c r="W1368" s="150">
        <f>+MATCH(PROVEEDORES[[#This Row],[año facturado]],Retenciones!$1:$1,0)</f>
        <v>7</v>
      </c>
      <c r="X1368" s="151" t="e">
        <f>+VLOOKUP(PROVEEDORES[[#This Row],[ID RETENCION]],Retenciones!$A$1:$O$25,PROVEEDORES[[#This Row],[indicador de columna]],FALSE)</f>
        <v>#N/A</v>
      </c>
      <c r="Y1368" s="152" t="e">
        <f>+VLOOKUP(PROVEEDORES[[#This Row],[ID RETENCION]],Retenciones!$A$1:$O$25,2,FALSE)</f>
        <v>#N/A</v>
      </c>
      <c r="Z1368" s="153" t="b">
        <f>+OR(COUNTIF(PROVEEDORES[[#This Row],[PROVEEDOR]],"*"&amp;'Palabra que no opera y Listas d'!$A$2&amp;"*"))</f>
        <v>0</v>
      </c>
    </row>
    <row r="1369" spans="1:26" ht="27.75" customHeight="1" x14ac:dyDescent="0.3">
      <c r="A1369" s="144" t="str">
        <f>+IF(PROVEEDORES[[#This Row],[FECHA DE PAGO]]=PROVEEDORES[[#This Row],[FECHA DE FACTURACIÓN]],"DE CONTADO","CRÉDITO")</f>
        <v>CRÉDITO</v>
      </c>
      <c r="B1369" s="144" t="str">
        <f>+IF((PROVEEDORES[[#This Row],[FECHA DE PAGO]]-PROVEEDORES[[#This Row],[FECHA DE FACTURACIÓN]])&gt;PROVEEDORES[[#This Row],[PLAZO Días]],"PAGO VENCIDO")</f>
        <v>PAGO VENCIDO</v>
      </c>
      <c r="C1369" s="144">
        <f>+VLOOKUP(PROVEEDORES[[#This Row],[PROVEEDOR]],TERCEROS_INFO[#All],2,FALSE)</f>
        <v>0</v>
      </c>
      <c r="D1369" s="145">
        <f>+SUMIFS(PROVEEDORES[Total],PROVEEDORES[PROVEEDOR],PROVEEDORES[[#This Row],[PROVEEDOR]],PROVEEDORES[FECHA DE PAGO],"")</f>
        <v>3461120</v>
      </c>
      <c r="E1369" s="146"/>
      <c r="F1369" s="144" t="str">
        <f>+VLOOKUP(PROVEEDORES[[#This Row],[PROVEEDOR]],
                       Terceros!$A:$G,
                       5,
                       FALSE)</f>
        <v>2,5% con base</v>
      </c>
      <c r="G1369" s="122">
        <v>45369</v>
      </c>
      <c r="H1369" s="102" t="s">
        <v>9</v>
      </c>
      <c r="I1369" s="122">
        <v>45320</v>
      </c>
      <c r="J1369" s="103" t="s">
        <v>1472</v>
      </c>
      <c r="K1369" s="103" t="s">
        <v>516</v>
      </c>
      <c r="L1369" s="103" t="s">
        <v>1515</v>
      </c>
      <c r="M1369" s="105">
        <v>4620000</v>
      </c>
      <c r="N1369" s="147">
        <v>877800</v>
      </c>
      <c r="O1369" s="147">
        <v>0</v>
      </c>
      <c r="P1369" s="148">
        <v>2.5000000000000001E-2</v>
      </c>
      <c r="Q1369" s="147">
        <v>115500</v>
      </c>
      <c r="R1369" s="149">
        <v>5382300</v>
      </c>
      <c r="S13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9" s="150">
        <f ca="1">+IF(PROVEEDORES[[#This Row],[FECHA DE PAGO]]=0,TODAY()-PROVEEDORES[[#This Row],[FECHA DE FACTURACIÓN]]-PROVEEDORES[[#This Row],[PLAZO Días]],0)</f>
        <v>0</v>
      </c>
      <c r="U1369" s="150">
        <f>+VLOOKUP(PROVEEDORES[[#This Row],[PROVEEDOR]],Terceros!$A:$E,4,FALSE)</f>
        <v>0.19</v>
      </c>
      <c r="V1369" s="150">
        <f>+YEAR(PROVEEDORES[[#This Row],[FECHA DE FACTURACIÓN]])</f>
        <v>2024</v>
      </c>
      <c r="W1369" s="150">
        <f>+MATCH(PROVEEDORES[[#This Row],[año facturado]],Retenciones!$1:$1,0)</f>
        <v>7</v>
      </c>
      <c r="X1369" s="151" t="e">
        <f>+VLOOKUP(PROVEEDORES[[#This Row],[ID RETENCION]],Retenciones!$A$1:$O$25,PROVEEDORES[[#This Row],[indicador de columna]],FALSE)</f>
        <v>#N/A</v>
      </c>
      <c r="Y1369" s="152" t="e">
        <f>+VLOOKUP(PROVEEDORES[[#This Row],[ID RETENCION]],Retenciones!$A$1:$O$25,2,FALSE)</f>
        <v>#N/A</v>
      </c>
      <c r="Z1369" s="153" t="b">
        <f>+OR(COUNTIF(PROVEEDORES[[#This Row],[PROVEEDOR]],"*"&amp;'Palabra que no opera y Listas d'!$A$2&amp;"*"))</f>
        <v>0</v>
      </c>
    </row>
    <row r="1370" spans="1:26" ht="27.75" customHeight="1" x14ac:dyDescent="0.3">
      <c r="A1370" s="144" t="str">
        <f>+IF(PROVEEDORES[[#This Row],[FECHA DE PAGO]]=PROVEEDORES[[#This Row],[FECHA DE FACTURACIÓN]],"DE CONTADO","CRÉDITO")</f>
        <v>CRÉDITO</v>
      </c>
      <c r="B1370" s="144" t="str">
        <f>+IF((PROVEEDORES[[#This Row],[FECHA DE PAGO]]-PROVEEDORES[[#This Row],[FECHA DE FACTURACIÓN]])&gt;PROVEEDORES[[#This Row],[PLAZO Días]],"PAGO VENCIDO")</f>
        <v>PAGO VENCIDO</v>
      </c>
      <c r="C1370" s="144">
        <f>+VLOOKUP(PROVEEDORES[[#This Row],[PROVEEDOR]],TERCEROS_INFO[#All],2,FALSE)</f>
        <v>0</v>
      </c>
      <c r="D1370" s="145">
        <f>+SUMIFS(PROVEEDORES[Total],PROVEEDORES[PROVEEDOR],PROVEEDORES[[#This Row],[PROVEEDOR]],PROVEEDORES[FECHA DE PAGO],"")</f>
        <v>2095000</v>
      </c>
      <c r="E1370" s="146"/>
      <c r="F1370" s="144">
        <f>+VLOOKUP(PROVEEDORES[[#This Row],[PROVEEDOR]],
                       Terceros!$A:$G,
                       5,
                       FALSE)</f>
        <v>0</v>
      </c>
      <c r="G1370" s="122">
        <v>45369</v>
      </c>
      <c r="H1370" s="102" t="s">
        <v>1781</v>
      </c>
      <c r="I1370" s="122">
        <v>45335</v>
      </c>
      <c r="J1370" s="103" t="s">
        <v>1592</v>
      </c>
      <c r="K1370" s="103" t="s">
        <v>1512</v>
      </c>
      <c r="L1370" s="103" t="s">
        <v>1390</v>
      </c>
      <c r="M1370" s="105">
        <v>2040000</v>
      </c>
      <c r="N1370" s="147">
        <v>0</v>
      </c>
      <c r="O1370" s="147">
        <v>0</v>
      </c>
      <c r="P1370" s="148">
        <v>0</v>
      </c>
      <c r="Q1370" s="147">
        <v>0</v>
      </c>
      <c r="R1370" s="149">
        <v>2040000</v>
      </c>
      <c r="S13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0" s="150">
        <f ca="1">+IF(PROVEEDORES[[#This Row],[FECHA DE PAGO]]=0,TODAY()-PROVEEDORES[[#This Row],[FECHA DE FACTURACIÓN]]-PROVEEDORES[[#This Row],[PLAZO Días]],0)</f>
        <v>0</v>
      </c>
      <c r="U1370" s="150">
        <f>+VLOOKUP(PROVEEDORES[[#This Row],[PROVEEDOR]],Terceros!$A:$E,4,FALSE)</f>
        <v>0</v>
      </c>
      <c r="V1370" s="150">
        <f>+YEAR(PROVEEDORES[[#This Row],[FECHA DE FACTURACIÓN]])</f>
        <v>2024</v>
      </c>
      <c r="W1370" s="150">
        <f>+MATCH(PROVEEDORES[[#This Row],[año facturado]],Retenciones!$1:$1,0)</f>
        <v>7</v>
      </c>
      <c r="X1370" s="151">
        <f>+VLOOKUP(PROVEEDORES[[#This Row],[ID RETENCION]],Retenciones!$A$1:$O$25,PROVEEDORES[[#This Row],[indicador de columna]],FALSE)</f>
        <v>0</v>
      </c>
      <c r="Y1370" s="152">
        <f>+VLOOKUP(PROVEEDORES[[#This Row],[ID RETENCION]],Retenciones!$A$1:$O$25,2,FALSE)</f>
        <v>0</v>
      </c>
      <c r="Z1370" s="153" t="b">
        <f>+OR(COUNTIF(PROVEEDORES[[#This Row],[PROVEEDOR]],"*"&amp;'Palabra que no opera y Listas d'!$A$2&amp;"*"))</f>
        <v>0</v>
      </c>
    </row>
    <row r="1371" spans="1:26" ht="27.75" customHeight="1" x14ac:dyDescent="0.3">
      <c r="A1371" s="144" t="str">
        <f>+IF(PROVEEDORES[[#This Row],[FECHA DE PAGO]]=PROVEEDORES[[#This Row],[FECHA DE FACTURACIÓN]],"DE CONTADO","CRÉDITO")</f>
        <v>DE CONTADO</v>
      </c>
      <c r="B1371" s="144" t="b">
        <f>+IF((PROVEEDORES[[#This Row],[FECHA DE PAGO]]-PROVEEDORES[[#This Row],[FECHA DE FACTURACIÓN]])&gt;PROVEEDORES[[#This Row],[PLAZO Días]],"PAGO VENCIDO")</f>
        <v>0</v>
      </c>
      <c r="C1371" s="144">
        <f>+VLOOKUP(PROVEEDORES[[#This Row],[PROVEEDOR]],TERCEROS_INFO[#All],2,FALSE)</f>
        <v>0</v>
      </c>
      <c r="D1371" s="145">
        <f>+SUMIFS(PROVEEDORES[Total],PROVEEDORES[PROVEEDOR],PROVEEDORES[[#This Row],[PROVEEDOR]],PROVEEDORES[FECHA DE PAGO],"")</f>
        <v>1503120</v>
      </c>
      <c r="E1371" s="146"/>
      <c r="F1371" s="144">
        <f>+VLOOKUP(PROVEEDORES[[#This Row],[PROVEEDOR]],
                       Terceros!$A:$G,
                       5,
                       FALSE)</f>
        <v>0</v>
      </c>
      <c r="G1371" s="122">
        <v>45369</v>
      </c>
      <c r="H1371" s="102" t="s">
        <v>1780</v>
      </c>
      <c r="I1371" s="122">
        <v>45369</v>
      </c>
      <c r="J1371" s="103" t="s">
        <v>1686</v>
      </c>
      <c r="K1371" s="103" t="s">
        <v>1512</v>
      </c>
      <c r="L1371" s="103" t="s">
        <v>1523</v>
      </c>
      <c r="M1371" s="105">
        <v>2265401</v>
      </c>
      <c r="N1371" s="147">
        <v>0</v>
      </c>
      <c r="O1371" s="147">
        <v>0</v>
      </c>
      <c r="P1371" s="148">
        <v>0</v>
      </c>
      <c r="Q1371" s="147">
        <v>0</v>
      </c>
      <c r="R1371" s="149">
        <v>2265401</v>
      </c>
      <c r="S13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1" s="150">
        <f ca="1">+IF(PROVEEDORES[[#This Row],[FECHA DE PAGO]]=0,TODAY()-PROVEEDORES[[#This Row],[FECHA DE FACTURACIÓN]]-PROVEEDORES[[#This Row],[PLAZO Días]],0)</f>
        <v>0</v>
      </c>
      <c r="U1371" s="150">
        <f>+VLOOKUP(PROVEEDORES[[#This Row],[PROVEEDOR]],Terceros!$A:$E,4,FALSE)</f>
        <v>0</v>
      </c>
      <c r="V1371" s="150">
        <f>+YEAR(PROVEEDORES[[#This Row],[FECHA DE FACTURACIÓN]])</f>
        <v>2024</v>
      </c>
      <c r="W1371" s="150">
        <f>+MATCH(PROVEEDORES[[#This Row],[año facturado]],Retenciones!$1:$1,0)</f>
        <v>7</v>
      </c>
      <c r="X1371" s="151">
        <f>+VLOOKUP(PROVEEDORES[[#This Row],[ID RETENCION]],Retenciones!$A$1:$O$25,PROVEEDORES[[#This Row],[indicador de columna]],FALSE)</f>
        <v>0</v>
      </c>
      <c r="Y1371" s="152">
        <f>+VLOOKUP(PROVEEDORES[[#This Row],[ID RETENCION]],Retenciones!$A$1:$O$25,2,FALSE)</f>
        <v>0</v>
      </c>
      <c r="Z1371" s="153" t="b">
        <f>+OR(COUNTIF(PROVEEDORES[[#This Row],[PROVEEDOR]],"*"&amp;'Palabra que no opera y Listas d'!$A$2&amp;"*"))</f>
        <v>0</v>
      </c>
    </row>
    <row r="1372" spans="1:26" ht="27.75" customHeight="1" x14ac:dyDescent="0.3">
      <c r="A1372" s="144" t="str">
        <f>+IF(PROVEEDORES[[#This Row],[FECHA DE PAGO]]=PROVEEDORES[[#This Row],[FECHA DE FACTURACIÓN]],"DE CONTADO","CRÉDITO")</f>
        <v>CRÉDITO</v>
      </c>
      <c r="B1372" s="144" t="str">
        <f>+IF((PROVEEDORES[[#This Row],[FECHA DE PAGO]]-PROVEEDORES[[#This Row],[FECHA DE FACTURACIÓN]])&gt;PROVEEDORES[[#This Row],[PLAZO Días]],"PAGO VENCIDO")</f>
        <v>PAGO VENCIDO</v>
      </c>
      <c r="C1372" s="144">
        <f>+VLOOKUP(PROVEEDORES[[#This Row],[PROVEEDOR]],TERCEROS_INFO[#All],2,FALSE)</f>
        <v>0</v>
      </c>
      <c r="D1372" s="145">
        <f>+SUMIFS(PROVEEDORES[Total],PROVEEDORES[PROVEEDOR],PROVEEDORES[[#This Row],[PROVEEDOR]],PROVEEDORES[FECHA DE PAGO],"")</f>
        <v>224000</v>
      </c>
      <c r="E1372" s="146"/>
      <c r="F1372" s="144">
        <f>+VLOOKUP(PROVEEDORES[[#This Row],[PROVEEDOR]],
                       Terceros!$A:$G,
                       5,
                       FALSE)</f>
        <v>0</v>
      </c>
      <c r="G1372" s="122">
        <v>45370</v>
      </c>
      <c r="H1372" s="102" t="s">
        <v>539</v>
      </c>
      <c r="I1372" s="122">
        <v>45278</v>
      </c>
      <c r="J1372" s="103" t="s">
        <v>1482</v>
      </c>
      <c r="K1372" s="103" t="s">
        <v>1512</v>
      </c>
      <c r="L1372" s="103" t="s">
        <v>1390</v>
      </c>
      <c r="M1372" s="105">
        <v>269500</v>
      </c>
      <c r="N1372" s="147">
        <v>0</v>
      </c>
      <c r="O1372" s="147">
        <v>0</v>
      </c>
      <c r="P1372" s="148">
        <v>0</v>
      </c>
      <c r="Q1372" s="147">
        <v>0</v>
      </c>
      <c r="R1372" s="149">
        <v>269500</v>
      </c>
      <c r="S13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2" s="150">
        <f ca="1">+IF(PROVEEDORES[[#This Row],[FECHA DE PAGO]]=0,TODAY()-PROVEEDORES[[#This Row],[FECHA DE FACTURACIÓN]]-PROVEEDORES[[#This Row],[PLAZO Días]],0)</f>
        <v>0</v>
      </c>
      <c r="U1372" s="150">
        <f>+VLOOKUP(PROVEEDORES[[#This Row],[PROVEEDOR]],Terceros!$A:$E,4,FALSE)</f>
        <v>0</v>
      </c>
      <c r="V1372" s="150">
        <f>+YEAR(PROVEEDORES[[#This Row],[FECHA DE FACTURACIÓN]])</f>
        <v>2023</v>
      </c>
      <c r="W1372" s="150">
        <f>+MATCH(PROVEEDORES[[#This Row],[año facturado]],Retenciones!$1:$1,0)</f>
        <v>6</v>
      </c>
      <c r="X1372" s="151">
        <f>+VLOOKUP(PROVEEDORES[[#This Row],[ID RETENCION]],Retenciones!$A$1:$O$25,PROVEEDORES[[#This Row],[indicador de columna]],FALSE)</f>
        <v>0</v>
      </c>
      <c r="Y1372" s="152">
        <f>+VLOOKUP(PROVEEDORES[[#This Row],[ID RETENCION]],Retenciones!$A$1:$O$25,2,FALSE)</f>
        <v>0</v>
      </c>
      <c r="Z1372" s="153" t="b">
        <f>+OR(COUNTIF(PROVEEDORES[[#This Row],[PROVEEDOR]],"*"&amp;'Palabra que no opera y Listas d'!$A$2&amp;"*"))</f>
        <v>0</v>
      </c>
    </row>
    <row r="1373" spans="1:26" ht="27.75" customHeight="1" x14ac:dyDescent="0.3">
      <c r="A1373" s="144" t="str">
        <f>+IF(PROVEEDORES[[#This Row],[FECHA DE PAGO]]=PROVEEDORES[[#This Row],[FECHA DE FACTURACIÓN]],"DE CONTADO","CRÉDITO")</f>
        <v>CRÉDITO</v>
      </c>
      <c r="B1373" s="144" t="str">
        <f>+IF((PROVEEDORES[[#This Row],[FECHA DE PAGO]]-PROVEEDORES[[#This Row],[FECHA DE FACTURACIÓN]])&gt;PROVEEDORES[[#This Row],[PLAZO Días]],"PAGO VENCIDO")</f>
        <v>PAGO VENCIDO</v>
      </c>
      <c r="C1373" s="144">
        <f>+VLOOKUP(PROVEEDORES[[#This Row],[PROVEEDOR]],TERCEROS_INFO[#All],2,FALSE)</f>
        <v>0</v>
      </c>
      <c r="D1373" s="145">
        <f>+SUMIFS(PROVEEDORES[Total],PROVEEDORES[PROVEEDOR],PROVEEDORES[[#This Row],[PROVEEDOR]],PROVEEDORES[FECHA DE PAGO],"")</f>
        <v>0</v>
      </c>
      <c r="E1373" s="146"/>
      <c r="F1373" s="144">
        <f>+VLOOKUP(PROVEEDORES[[#This Row],[PROVEEDOR]],
                       Terceros!$A:$G,
                       5,
                       FALSE)</f>
        <v>0</v>
      </c>
      <c r="G1373" s="122">
        <v>45370</v>
      </c>
      <c r="H1373" s="102" t="s">
        <v>1789</v>
      </c>
      <c r="I1373" s="122">
        <v>45324</v>
      </c>
      <c r="J1373" s="103" t="s">
        <v>1525</v>
      </c>
      <c r="K1373" s="103" t="s">
        <v>1512</v>
      </c>
      <c r="L1373" s="103" t="s">
        <v>1390</v>
      </c>
      <c r="M1373" s="105">
        <v>780000</v>
      </c>
      <c r="N1373" s="147">
        <v>0</v>
      </c>
      <c r="O1373" s="147">
        <v>0</v>
      </c>
      <c r="P1373" s="148">
        <v>0</v>
      </c>
      <c r="Q1373" s="147">
        <v>0</v>
      </c>
      <c r="R1373" s="149">
        <v>780000</v>
      </c>
      <c r="S13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3" s="150">
        <f ca="1">+IF(PROVEEDORES[[#This Row],[FECHA DE PAGO]]=0,TODAY()-PROVEEDORES[[#This Row],[FECHA DE FACTURACIÓN]]-PROVEEDORES[[#This Row],[PLAZO Días]],0)</f>
        <v>0</v>
      </c>
      <c r="U1373" s="150">
        <f>+VLOOKUP(PROVEEDORES[[#This Row],[PROVEEDOR]],Terceros!$A:$E,4,FALSE)</f>
        <v>0</v>
      </c>
      <c r="V1373" s="150">
        <f>+YEAR(PROVEEDORES[[#This Row],[FECHA DE FACTURACIÓN]])</f>
        <v>2024</v>
      </c>
      <c r="W1373" s="150">
        <f>+MATCH(PROVEEDORES[[#This Row],[año facturado]],Retenciones!$1:$1,0)</f>
        <v>7</v>
      </c>
      <c r="X1373" s="151">
        <f>+VLOOKUP(PROVEEDORES[[#This Row],[ID RETENCION]],Retenciones!$A$1:$O$25,PROVEEDORES[[#This Row],[indicador de columna]],FALSE)</f>
        <v>0</v>
      </c>
      <c r="Y1373" s="152">
        <f>+VLOOKUP(PROVEEDORES[[#This Row],[ID RETENCION]],Retenciones!$A$1:$O$25,2,FALSE)</f>
        <v>0</v>
      </c>
      <c r="Z1373" s="153" t="b">
        <f>+OR(COUNTIF(PROVEEDORES[[#This Row],[PROVEEDOR]],"*"&amp;'Palabra que no opera y Listas d'!$A$2&amp;"*"))</f>
        <v>0</v>
      </c>
    </row>
    <row r="1374" spans="1:26" ht="27.75" customHeight="1" x14ac:dyDescent="0.3">
      <c r="A1374" s="144" t="str">
        <f>+IF(PROVEEDORES[[#This Row],[FECHA DE PAGO]]=PROVEEDORES[[#This Row],[FECHA DE FACTURACIÓN]],"DE CONTADO","CRÉDITO")</f>
        <v>CRÉDITO</v>
      </c>
      <c r="B1374" s="144" t="str">
        <f>+IF((PROVEEDORES[[#This Row],[FECHA DE PAGO]]-PROVEEDORES[[#This Row],[FECHA DE FACTURACIÓN]])&gt;PROVEEDORES[[#This Row],[PLAZO Días]],"PAGO VENCIDO")</f>
        <v>PAGO VENCIDO</v>
      </c>
      <c r="C1374" s="144">
        <f>+VLOOKUP(PROVEEDORES[[#This Row],[PROVEEDOR]],TERCEROS_INFO[#All],2,FALSE)</f>
        <v>0</v>
      </c>
      <c r="D1374" s="145">
        <f>+SUMIFS(PROVEEDORES[Total],PROVEEDORES[PROVEEDOR],PROVEEDORES[[#This Row],[PROVEEDOR]],PROVEEDORES[FECHA DE PAGO],"")</f>
        <v>1794100</v>
      </c>
      <c r="E1374" s="146"/>
      <c r="F1374" s="144" t="str">
        <f>+VLOOKUP(PROVEEDORES[[#This Row],[PROVEEDOR]],
                       Terceros!$A:$G,
                       5,
                       FALSE)</f>
        <v>2,5% con base</v>
      </c>
      <c r="G1374" s="122">
        <v>45370</v>
      </c>
      <c r="H1374" s="102" t="s">
        <v>426</v>
      </c>
      <c r="I1374" s="122">
        <v>45334</v>
      </c>
      <c r="J1374" s="103" t="s">
        <v>1554</v>
      </c>
      <c r="K1374" s="103" t="s">
        <v>516</v>
      </c>
      <c r="L1374" s="103" t="s">
        <v>1515</v>
      </c>
      <c r="M1374" s="105">
        <v>1230000</v>
      </c>
      <c r="N1374" s="147">
        <v>233700</v>
      </c>
      <c r="O1374" s="147">
        <v>0</v>
      </c>
      <c r="P1374" s="148">
        <v>0</v>
      </c>
      <c r="Q1374" s="147">
        <v>0</v>
      </c>
      <c r="R1374" s="149">
        <v>1463700</v>
      </c>
      <c r="S13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4" s="150">
        <f ca="1">+IF(PROVEEDORES[[#This Row],[FECHA DE PAGO]]=0,TODAY()-PROVEEDORES[[#This Row],[FECHA DE FACTURACIÓN]]-PROVEEDORES[[#This Row],[PLAZO Días]],0)</f>
        <v>0</v>
      </c>
      <c r="U1374" s="150">
        <f>+VLOOKUP(PROVEEDORES[[#This Row],[PROVEEDOR]],Terceros!$A:$E,4,FALSE)</f>
        <v>0.19</v>
      </c>
      <c r="V1374" s="150">
        <f>+YEAR(PROVEEDORES[[#This Row],[FECHA DE FACTURACIÓN]])</f>
        <v>2024</v>
      </c>
      <c r="W1374" s="150">
        <f>+MATCH(PROVEEDORES[[#This Row],[año facturado]],Retenciones!$1:$1,0)</f>
        <v>7</v>
      </c>
      <c r="X1374" s="151" t="e">
        <f>+VLOOKUP(PROVEEDORES[[#This Row],[ID RETENCION]],Retenciones!$A$1:$O$25,PROVEEDORES[[#This Row],[indicador de columna]],FALSE)</f>
        <v>#N/A</v>
      </c>
      <c r="Y1374" s="152" t="e">
        <f>+VLOOKUP(PROVEEDORES[[#This Row],[ID RETENCION]],Retenciones!$A$1:$O$25,2,FALSE)</f>
        <v>#N/A</v>
      </c>
      <c r="Z1374" s="153" t="b">
        <f>+OR(COUNTIF(PROVEEDORES[[#This Row],[PROVEEDOR]],"*"&amp;'Palabra que no opera y Listas d'!$A$2&amp;"*"))</f>
        <v>0</v>
      </c>
    </row>
    <row r="1375" spans="1:26" ht="27.75" customHeight="1" x14ac:dyDescent="0.3">
      <c r="A1375" s="144" t="str">
        <f>+IF(PROVEEDORES[[#This Row],[FECHA DE PAGO]]=PROVEEDORES[[#This Row],[FECHA DE FACTURACIÓN]],"DE CONTADO","CRÉDITO")</f>
        <v>CRÉDITO</v>
      </c>
      <c r="B1375" s="144" t="str">
        <f>+IF((PROVEEDORES[[#This Row],[FECHA DE PAGO]]-PROVEEDORES[[#This Row],[FECHA DE FACTURACIÓN]])&gt;PROVEEDORES[[#This Row],[PLAZO Días]],"PAGO VENCIDO")</f>
        <v>PAGO VENCIDO</v>
      </c>
      <c r="C1375" s="144">
        <f>+VLOOKUP(PROVEEDORES[[#This Row],[PROVEEDOR]],TERCEROS_INFO[#All],2,FALSE)</f>
        <v>0</v>
      </c>
      <c r="D1375" s="145">
        <f>+SUMIFS(PROVEEDORES[Total],PROVEEDORES[PROVEEDOR],PROVEEDORES[[#This Row],[PROVEEDOR]],PROVEEDORES[FECHA DE PAGO],"")</f>
        <v>0</v>
      </c>
      <c r="E1375" s="146"/>
      <c r="F1375" s="144" t="str">
        <f>+VLOOKUP(PROVEEDORES[[#This Row],[PROVEEDOR]],
                       Terceros!$A:$G,
                       5,
                       FALSE)</f>
        <v>2,5% con base</v>
      </c>
      <c r="G1375" s="122">
        <v>45370</v>
      </c>
      <c r="H1375" s="102" t="s">
        <v>19</v>
      </c>
      <c r="I1375" s="122">
        <v>45337</v>
      </c>
      <c r="J1375" s="103" t="s">
        <v>1563</v>
      </c>
      <c r="K1375" s="103" t="s">
        <v>516</v>
      </c>
      <c r="L1375" s="103" t="s">
        <v>1516</v>
      </c>
      <c r="M1375" s="105">
        <v>2520500</v>
      </c>
      <c r="N1375" s="147">
        <v>464528</v>
      </c>
      <c r="O1375" s="147">
        <v>75615</v>
      </c>
      <c r="P1375" s="148">
        <v>2.5000000000000001E-2</v>
      </c>
      <c r="Q1375" s="147">
        <v>61122</v>
      </c>
      <c r="R1375" s="149">
        <v>2848291</v>
      </c>
      <c r="S13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5" s="150">
        <f ca="1">+IF(PROVEEDORES[[#This Row],[FECHA DE PAGO]]=0,TODAY()-PROVEEDORES[[#This Row],[FECHA DE FACTURACIÓN]]-PROVEEDORES[[#This Row],[PLAZO Días]],0)</f>
        <v>0</v>
      </c>
      <c r="U1375" s="150">
        <f>+VLOOKUP(PROVEEDORES[[#This Row],[PROVEEDOR]],Terceros!$A:$E,4,FALSE)</f>
        <v>0.19</v>
      </c>
      <c r="V1375" s="150">
        <f>+YEAR(PROVEEDORES[[#This Row],[FECHA DE FACTURACIÓN]])</f>
        <v>2024</v>
      </c>
      <c r="W1375" s="150">
        <f>+MATCH(PROVEEDORES[[#This Row],[año facturado]],Retenciones!$1:$1,0)</f>
        <v>7</v>
      </c>
      <c r="X1375" s="151" t="e">
        <f>+VLOOKUP(PROVEEDORES[[#This Row],[ID RETENCION]],Retenciones!$A$1:$O$25,PROVEEDORES[[#This Row],[indicador de columna]],FALSE)</f>
        <v>#N/A</v>
      </c>
      <c r="Y1375" s="152" t="e">
        <f>+VLOOKUP(PROVEEDORES[[#This Row],[ID RETENCION]],Retenciones!$A$1:$O$25,2,FALSE)</f>
        <v>#N/A</v>
      </c>
      <c r="Z1375" s="153" t="b">
        <f>+OR(COUNTIF(PROVEEDORES[[#This Row],[PROVEEDOR]],"*"&amp;'Palabra que no opera y Listas d'!$A$2&amp;"*"))</f>
        <v>0</v>
      </c>
    </row>
    <row r="1376" spans="1:26" ht="27.75" customHeight="1" x14ac:dyDescent="0.3">
      <c r="A1376" s="144" t="str">
        <f>+IF(PROVEEDORES[[#This Row],[FECHA DE PAGO]]=PROVEEDORES[[#This Row],[FECHA DE FACTURACIÓN]],"DE CONTADO","CRÉDITO")</f>
        <v>CRÉDITO</v>
      </c>
      <c r="B1376" s="144" t="str">
        <f>+IF((PROVEEDORES[[#This Row],[FECHA DE PAGO]]-PROVEEDORES[[#This Row],[FECHA DE FACTURACIÓN]])&gt;PROVEEDORES[[#This Row],[PLAZO Días]],"PAGO VENCIDO")</f>
        <v>PAGO VENCIDO</v>
      </c>
      <c r="C1376" s="144">
        <f>+VLOOKUP(PROVEEDORES[[#This Row],[PROVEEDOR]],TERCEROS_INFO[#All],2,FALSE)</f>
        <v>0</v>
      </c>
      <c r="D1376" s="145">
        <f>+SUMIFS(PROVEEDORES[Total],PROVEEDORES[PROVEEDOR],PROVEEDORES[[#This Row],[PROVEEDOR]],PROVEEDORES[FECHA DE PAGO],"")</f>
        <v>0</v>
      </c>
      <c r="E1376" s="146"/>
      <c r="F1376" s="144">
        <f>+VLOOKUP(PROVEEDORES[[#This Row],[PROVEEDOR]],
                       Terceros!$A:$G,
                       5,
                       FALSE)</f>
        <v>0</v>
      </c>
      <c r="G1376" s="122">
        <v>45370</v>
      </c>
      <c r="H1376" s="102" t="s">
        <v>496</v>
      </c>
      <c r="I1376" s="122">
        <v>45369</v>
      </c>
      <c r="J1376" s="103" t="s">
        <v>1642</v>
      </c>
      <c r="K1376" s="103" t="s">
        <v>516</v>
      </c>
      <c r="L1376" s="103" t="s">
        <v>1523</v>
      </c>
      <c r="M1376" s="105">
        <v>1726000</v>
      </c>
      <c r="N1376" s="147">
        <v>0</v>
      </c>
      <c r="O1376" s="147">
        <v>0</v>
      </c>
      <c r="P1376" s="148">
        <v>0</v>
      </c>
      <c r="Q1376" s="147">
        <v>0</v>
      </c>
      <c r="R1376" s="149">
        <v>1726000</v>
      </c>
      <c r="S13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6" s="150">
        <f ca="1">+IF(PROVEEDORES[[#This Row],[FECHA DE PAGO]]=0,TODAY()-PROVEEDORES[[#This Row],[FECHA DE FACTURACIÓN]]-PROVEEDORES[[#This Row],[PLAZO Días]],0)</f>
        <v>0</v>
      </c>
      <c r="U1376" s="150">
        <f>+VLOOKUP(PROVEEDORES[[#This Row],[PROVEEDOR]],Terceros!$A:$E,4,FALSE)</f>
        <v>0</v>
      </c>
      <c r="V1376" s="150">
        <f>+YEAR(PROVEEDORES[[#This Row],[FECHA DE FACTURACIÓN]])</f>
        <v>2024</v>
      </c>
      <c r="W1376" s="150">
        <f>+MATCH(PROVEEDORES[[#This Row],[año facturado]],Retenciones!$1:$1,0)</f>
        <v>7</v>
      </c>
      <c r="X1376" s="151">
        <f>+VLOOKUP(PROVEEDORES[[#This Row],[ID RETENCION]],Retenciones!$A$1:$O$25,PROVEEDORES[[#This Row],[indicador de columna]],FALSE)</f>
        <v>0</v>
      </c>
      <c r="Y1376" s="152">
        <f>+VLOOKUP(PROVEEDORES[[#This Row],[ID RETENCION]],Retenciones!$A$1:$O$25,2,FALSE)</f>
        <v>0</v>
      </c>
      <c r="Z1376" s="153" t="b">
        <f>+OR(COUNTIF(PROVEEDORES[[#This Row],[PROVEEDOR]],"*"&amp;'Palabra que no opera y Listas d'!$A$2&amp;"*"))</f>
        <v>0</v>
      </c>
    </row>
    <row r="1377" spans="1:26" ht="27.75" customHeight="1" x14ac:dyDescent="0.3">
      <c r="A1377" s="144" t="str">
        <f>+IF(PROVEEDORES[[#This Row],[FECHA DE PAGO]]=PROVEEDORES[[#This Row],[FECHA DE FACTURACIÓN]],"DE CONTADO","CRÉDITO")</f>
        <v>CRÉDITO</v>
      </c>
      <c r="B1377" s="144" t="str">
        <f>+IF((PROVEEDORES[[#This Row],[FECHA DE PAGO]]-PROVEEDORES[[#This Row],[FECHA DE FACTURACIÓN]])&gt;PROVEEDORES[[#This Row],[PLAZO Días]],"PAGO VENCIDO")</f>
        <v>PAGO VENCIDO</v>
      </c>
      <c r="C1377" s="144">
        <f>+VLOOKUP(PROVEEDORES[[#This Row],[PROVEEDOR]],TERCEROS_INFO[#All],2,FALSE)</f>
        <v>0</v>
      </c>
      <c r="D1377" s="145">
        <f>+SUMIFS(PROVEEDORES[Total],PROVEEDORES[PROVEEDOR],PROVEEDORES[[#This Row],[PROVEEDOR]],PROVEEDORES[FECHA DE PAGO],"")</f>
        <v>0</v>
      </c>
      <c r="E1377" s="146"/>
      <c r="F1377" s="144">
        <f>+VLOOKUP(PROVEEDORES[[#This Row],[PROVEEDOR]],
                       Terceros!$A:$G,
                       5,
                       FALSE)</f>
        <v>0</v>
      </c>
      <c r="G1377" s="122">
        <v>45371</v>
      </c>
      <c r="H1377" s="102" t="s">
        <v>507</v>
      </c>
      <c r="I1377" s="122">
        <v>45317</v>
      </c>
      <c r="J1377" s="103">
        <v>617</v>
      </c>
      <c r="K1377" s="103" t="s">
        <v>1512</v>
      </c>
      <c r="L1377" s="103" t="s">
        <v>1390</v>
      </c>
      <c r="M1377" s="105">
        <v>351000</v>
      </c>
      <c r="N1377" s="147">
        <v>0</v>
      </c>
      <c r="O1377" s="147">
        <v>0</v>
      </c>
      <c r="P1377" s="148">
        <v>0</v>
      </c>
      <c r="Q1377" s="147">
        <v>0</v>
      </c>
      <c r="R1377" s="149">
        <v>351000</v>
      </c>
      <c r="S13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7" s="150">
        <f ca="1">+IF(PROVEEDORES[[#This Row],[FECHA DE PAGO]]=0,TODAY()-PROVEEDORES[[#This Row],[FECHA DE FACTURACIÓN]]-PROVEEDORES[[#This Row],[PLAZO Días]],0)</f>
        <v>0</v>
      </c>
      <c r="U1377" s="150">
        <f>+VLOOKUP(PROVEEDORES[[#This Row],[PROVEEDOR]],Terceros!$A:$E,4,FALSE)</f>
        <v>0</v>
      </c>
      <c r="V1377" s="150">
        <f>+YEAR(PROVEEDORES[[#This Row],[FECHA DE FACTURACIÓN]])</f>
        <v>2024</v>
      </c>
      <c r="W1377" s="150">
        <f>+MATCH(PROVEEDORES[[#This Row],[año facturado]],Retenciones!$1:$1,0)</f>
        <v>7</v>
      </c>
      <c r="X1377" s="151">
        <f>+VLOOKUP(PROVEEDORES[[#This Row],[ID RETENCION]],Retenciones!$A$1:$O$25,PROVEEDORES[[#This Row],[indicador de columna]],FALSE)</f>
        <v>0</v>
      </c>
      <c r="Y1377" s="152">
        <f>+VLOOKUP(PROVEEDORES[[#This Row],[ID RETENCION]],Retenciones!$A$1:$O$25,2,FALSE)</f>
        <v>0</v>
      </c>
      <c r="Z1377" s="153" t="b">
        <f>+OR(COUNTIF(PROVEEDORES[[#This Row],[PROVEEDOR]],"*"&amp;'Palabra que no opera y Listas d'!$A$2&amp;"*"))</f>
        <v>0</v>
      </c>
    </row>
    <row r="1378" spans="1:26" ht="27.75" customHeight="1" x14ac:dyDescent="0.3">
      <c r="A1378" s="144" t="str">
        <f>+IF(PROVEEDORES[[#This Row],[FECHA DE PAGO]]=PROVEEDORES[[#This Row],[FECHA DE FACTURACIÓN]],"DE CONTADO","CRÉDITO")</f>
        <v>CRÉDITO</v>
      </c>
      <c r="B1378" s="144" t="str">
        <f>+IF((PROVEEDORES[[#This Row],[FECHA DE PAGO]]-PROVEEDORES[[#This Row],[FECHA DE FACTURACIÓN]])&gt;PROVEEDORES[[#This Row],[PLAZO Días]],"PAGO VENCIDO")</f>
        <v>PAGO VENCIDO</v>
      </c>
      <c r="C1378" s="144">
        <f>+VLOOKUP(PROVEEDORES[[#This Row],[PROVEEDOR]],TERCEROS_INFO[#All],2,FALSE)</f>
        <v>0</v>
      </c>
      <c r="D1378" s="145">
        <f>+SUMIFS(PROVEEDORES[Total],PROVEEDORES[PROVEEDOR],PROVEEDORES[[#This Row],[PROVEEDOR]],PROVEEDORES[FECHA DE PAGO],"")</f>
        <v>0</v>
      </c>
      <c r="E1378" s="146"/>
      <c r="F1378" s="144">
        <f>+VLOOKUP(PROVEEDORES[[#This Row],[PROVEEDOR]],
                       Terceros!$A:$G,
                       5,
                       FALSE)</f>
        <v>0</v>
      </c>
      <c r="G1378" s="122">
        <v>45372</v>
      </c>
      <c r="H1378" s="102" t="s">
        <v>1794</v>
      </c>
      <c r="I1378" s="122">
        <v>45317</v>
      </c>
      <c r="J1378" s="103" t="s">
        <v>1486</v>
      </c>
      <c r="K1378" s="103" t="s">
        <v>1512</v>
      </c>
      <c r="L1378" s="103" t="s">
        <v>1390</v>
      </c>
      <c r="M1378" s="105">
        <v>1154000</v>
      </c>
      <c r="N1378" s="147">
        <v>0</v>
      </c>
      <c r="O1378" s="147">
        <v>0</v>
      </c>
      <c r="P1378" s="148">
        <v>0</v>
      </c>
      <c r="Q1378" s="147">
        <v>0</v>
      </c>
      <c r="R1378" s="149">
        <v>1154000</v>
      </c>
      <c r="S13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8" s="150">
        <f ca="1">+IF(PROVEEDORES[[#This Row],[FECHA DE PAGO]]=0,TODAY()-PROVEEDORES[[#This Row],[FECHA DE FACTURACIÓN]]-PROVEEDORES[[#This Row],[PLAZO Días]],0)</f>
        <v>0</v>
      </c>
      <c r="U1378" s="150">
        <f>+VLOOKUP(PROVEEDORES[[#This Row],[PROVEEDOR]],Terceros!$A:$E,4,FALSE)</f>
        <v>0</v>
      </c>
      <c r="V1378" s="150">
        <f>+YEAR(PROVEEDORES[[#This Row],[FECHA DE FACTURACIÓN]])</f>
        <v>2024</v>
      </c>
      <c r="W1378" s="150">
        <f>+MATCH(PROVEEDORES[[#This Row],[año facturado]],Retenciones!$1:$1,0)</f>
        <v>7</v>
      </c>
      <c r="X1378" s="151">
        <f>+VLOOKUP(PROVEEDORES[[#This Row],[ID RETENCION]],Retenciones!$A$1:$O$25,PROVEEDORES[[#This Row],[indicador de columna]],FALSE)</f>
        <v>0</v>
      </c>
      <c r="Y1378" s="152">
        <f>+VLOOKUP(PROVEEDORES[[#This Row],[ID RETENCION]],Retenciones!$A$1:$O$25,2,FALSE)</f>
        <v>0</v>
      </c>
      <c r="Z1378" s="153" t="b">
        <f>+OR(COUNTIF(PROVEEDORES[[#This Row],[PROVEEDOR]],"*"&amp;'Palabra que no opera y Listas d'!$A$2&amp;"*"))</f>
        <v>0</v>
      </c>
    </row>
    <row r="1379" spans="1:26" ht="27.75" customHeight="1" x14ac:dyDescent="0.3">
      <c r="A1379" s="144" t="str">
        <f>+IF(PROVEEDORES[[#This Row],[FECHA DE PAGO]]=PROVEEDORES[[#This Row],[FECHA DE FACTURACIÓN]],"DE CONTADO","CRÉDITO")</f>
        <v>CRÉDITO</v>
      </c>
      <c r="B1379" s="144" t="str">
        <f>+IF((PROVEEDORES[[#This Row],[FECHA DE PAGO]]-PROVEEDORES[[#This Row],[FECHA DE FACTURACIÓN]])&gt;PROVEEDORES[[#This Row],[PLAZO Días]],"PAGO VENCIDO")</f>
        <v>PAGO VENCIDO</v>
      </c>
      <c r="C1379" s="144">
        <f>+VLOOKUP(PROVEEDORES[[#This Row],[PROVEEDOR]],TERCEROS_INFO[#All],2,FALSE)</f>
        <v>0</v>
      </c>
      <c r="D1379" s="145">
        <f>+SUMIFS(PROVEEDORES[Total],PROVEEDORES[PROVEEDOR],PROVEEDORES[[#This Row],[PROVEEDOR]],PROVEEDORES[FECHA DE PAGO],"")</f>
        <v>7281829.8799999999</v>
      </c>
      <c r="E1379" s="146"/>
      <c r="F1379" s="144" t="str">
        <f>+VLOOKUP(PROVEEDORES[[#This Row],[PROVEEDOR]],
                       Terceros!$A:$G,
                       5,
                       FALSE)</f>
        <v>2,5% con base</v>
      </c>
      <c r="G1379" s="122">
        <v>45373</v>
      </c>
      <c r="H1379" s="102" t="s">
        <v>1445</v>
      </c>
      <c r="I1379" s="122">
        <v>45328</v>
      </c>
      <c r="J1379" s="103" t="s">
        <v>1527</v>
      </c>
      <c r="K1379" s="103" t="s">
        <v>1512</v>
      </c>
      <c r="L1379" s="103" t="s">
        <v>1515</v>
      </c>
      <c r="M1379" s="105">
        <v>1909800</v>
      </c>
      <c r="N1379" s="147">
        <v>362862</v>
      </c>
      <c r="O1379" s="147">
        <v>0</v>
      </c>
      <c r="P1379" s="148">
        <v>2.5000000000000001E-2</v>
      </c>
      <c r="Q1379" s="147">
        <v>47745</v>
      </c>
      <c r="R1379" s="149">
        <v>2224917</v>
      </c>
      <c r="S13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9" s="150">
        <f ca="1">+IF(PROVEEDORES[[#This Row],[FECHA DE PAGO]]=0,TODAY()-PROVEEDORES[[#This Row],[FECHA DE FACTURACIÓN]]-PROVEEDORES[[#This Row],[PLAZO Días]],0)</f>
        <v>0</v>
      </c>
      <c r="U1379" s="150">
        <f>+VLOOKUP(PROVEEDORES[[#This Row],[PROVEEDOR]],Terceros!$A:$E,4,FALSE)</f>
        <v>0.19</v>
      </c>
      <c r="V1379" s="150">
        <f>+YEAR(PROVEEDORES[[#This Row],[FECHA DE FACTURACIÓN]])</f>
        <v>2024</v>
      </c>
      <c r="W1379" s="150">
        <f>+MATCH(PROVEEDORES[[#This Row],[año facturado]],Retenciones!$1:$1,0)</f>
        <v>7</v>
      </c>
      <c r="X1379" s="151" t="e">
        <f>+VLOOKUP(PROVEEDORES[[#This Row],[ID RETENCION]],Retenciones!$A$1:$O$25,PROVEEDORES[[#This Row],[indicador de columna]],FALSE)</f>
        <v>#N/A</v>
      </c>
      <c r="Y1379" s="152" t="e">
        <f>+VLOOKUP(PROVEEDORES[[#This Row],[ID RETENCION]],Retenciones!$A$1:$O$25,2,FALSE)</f>
        <v>#N/A</v>
      </c>
      <c r="Z1379" s="153" t="b">
        <f>+OR(COUNTIF(PROVEEDORES[[#This Row],[PROVEEDOR]],"*"&amp;'Palabra que no opera y Listas d'!$A$2&amp;"*"))</f>
        <v>0</v>
      </c>
    </row>
    <row r="1380" spans="1:26" ht="27.75" customHeight="1" x14ac:dyDescent="0.3">
      <c r="A1380" s="144" t="str">
        <f>+IF(PROVEEDORES[[#This Row],[FECHA DE PAGO]]=PROVEEDORES[[#This Row],[FECHA DE FACTURACIÓN]],"DE CONTADO","CRÉDITO")</f>
        <v>CRÉDITO</v>
      </c>
      <c r="B1380" s="144" t="str">
        <f>+IF((PROVEEDORES[[#This Row],[FECHA DE PAGO]]-PROVEEDORES[[#This Row],[FECHA DE FACTURACIÓN]])&gt;PROVEEDORES[[#This Row],[PLAZO Días]],"PAGO VENCIDO")</f>
        <v>PAGO VENCIDO</v>
      </c>
      <c r="C1380" s="144">
        <f>+VLOOKUP(PROVEEDORES[[#This Row],[PROVEEDOR]],TERCEROS_INFO[#All],2,FALSE)</f>
        <v>0</v>
      </c>
      <c r="D1380" s="145">
        <f>+SUMIFS(PROVEEDORES[Total],PROVEEDORES[PROVEEDOR],PROVEEDORES[[#This Row],[PROVEEDOR]],PROVEEDORES[FECHA DE PAGO],"")</f>
        <v>5813868.5099999998</v>
      </c>
      <c r="E1380" s="146"/>
      <c r="F1380" s="144" t="str">
        <f>+VLOOKUP(PROVEEDORES[[#This Row],[PROVEEDOR]],
                       Terceros!$A:$G,
                       5,
                       FALSE)</f>
        <v>2,5% con base</v>
      </c>
      <c r="G1380" s="122">
        <v>45373</v>
      </c>
      <c r="H1380" s="102" t="s">
        <v>23</v>
      </c>
      <c r="I1380" s="122">
        <v>45334</v>
      </c>
      <c r="J1380" s="103">
        <v>5042295</v>
      </c>
      <c r="K1380" s="103" t="s">
        <v>516</v>
      </c>
      <c r="L1380" s="103" t="s">
        <v>1516</v>
      </c>
      <c r="M1380" s="105">
        <v>4744501</v>
      </c>
      <c r="N1380" s="147">
        <v>901455.19000000006</v>
      </c>
      <c r="O1380" s="147">
        <v>0</v>
      </c>
      <c r="P1380" s="148">
        <v>2.5000000000000001E-2</v>
      </c>
      <c r="Q1380" s="147">
        <v>118612.52500000001</v>
      </c>
      <c r="R1380" s="149">
        <v>5527343.665</v>
      </c>
      <c r="S13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0" s="150">
        <f ca="1">+IF(PROVEEDORES[[#This Row],[FECHA DE PAGO]]=0,TODAY()-PROVEEDORES[[#This Row],[FECHA DE FACTURACIÓN]]-PROVEEDORES[[#This Row],[PLAZO Días]],0)</f>
        <v>0</v>
      </c>
      <c r="U1380" s="150">
        <f>+VLOOKUP(PROVEEDORES[[#This Row],[PROVEEDOR]],Terceros!$A:$E,4,FALSE)</f>
        <v>0.19</v>
      </c>
      <c r="V1380" s="150">
        <f>+YEAR(PROVEEDORES[[#This Row],[FECHA DE FACTURACIÓN]])</f>
        <v>2024</v>
      </c>
      <c r="W1380" s="150">
        <f>+MATCH(PROVEEDORES[[#This Row],[año facturado]],Retenciones!$1:$1,0)</f>
        <v>7</v>
      </c>
      <c r="X1380" s="151" t="e">
        <f>+VLOOKUP(PROVEEDORES[[#This Row],[ID RETENCION]],Retenciones!$A$1:$O$25,PROVEEDORES[[#This Row],[indicador de columna]],FALSE)</f>
        <v>#N/A</v>
      </c>
      <c r="Y1380" s="152" t="e">
        <f>+VLOOKUP(PROVEEDORES[[#This Row],[ID RETENCION]],Retenciones!$A$1:$O$25,2,FALSE)</f>
        <v>#N/A</v>
      </c>
      <c r="Z1380" s="153" t="b">
        <f>+OR(COUNTIF(PROVEEDORES[[#This Row],[PROVEEDOR]],"*"&amp;'Palabra que no opera y Listas d'!$A$2&amp;"*"))</f>
        <v>0</v>
      </c>
    </row>
    <row r="1381" spans="1:26" ht="27.75" customHeight="1" x14ac:dyDescent="0.3">
      <c r="A1381" s="144" t="str">
        <f>+IF(PROVEEDORES[[#This Row],[FECHA DE PAGO]]=PROVEEDORES[[#This Row],[FECHA DE FACTURACIÓN]],"DE CONTADO","CRÉDITO")</f>
        <v>CRÉDITO</v>
      </c>
      <c r="B1381" s="144" t="str">
        <f>+IF((PROVEEDORES[[#This Row],[FECHA DE PAGO]]-PROVEEDORES[[#This Row],[FECHA DE FACTURACIÓN]])&gt;PROVEEDORES[[#This Row],[PLAZO Días]],"PAGO VENCIDO")</f>
        <v>PAGO VENCIDO</v>
      </c>
      <c r="C1381" s="144">
        <f>+VLOOKUP(PROVEEDORES[[#This Row],[PROVEEDOR]],TERCEROS_INFO[#All],2,FALSE)</f>
        <v>0</v>
      </c>
      <c r="D1381" s="145">
        <f>+SUMIFS(PROVEEDORES[Total],PROVEEDORES[PROVEEDOR],PROVEEDORES[[#This Row],[PROVEEDOR]],PROVEEDORES[FECHA DE PAGO],"")</f>
        <v>7281829.8799999999</v>
      </c>
      <c r="E1381" s="146"/>
      <c r="F1381" s="144" t="str">
        <f>+VLOOKUP(PROVEEDORES[[#This Row],[PROVEEDOR]],
                       Terceros!$A:$G,
                       5,
                       FALSE)</f>
        <v>2,5% con base</v>
      </c>
      <c r="G1381" s="122">
        <v>45373</v>
      </c>
      <c r="H1381" s="102" t="s">
        <v>1445</v>
      </c>
      <c r="I1381" s="122">
        <v>45335</v>
      </c>
      <c r="J1381" s="103" t="s">
        <v>1638</v>
      </c>
      <c r="K1381" s="103" t="s">
        <v>1512</v>
      </c>
      <c r="L1381" s="103" t="s">
        <v>1515</v>
      </c>
      <c r="M1381" s="105">
        <v>87981</v>
      </c>
      <c r="N1381" s="147">
        <v>16716.39</v>
      </c>
      <c r="O1381" s="147">
        <v>0</v>
      </c>
      <c r="P1381" s="148">
        <v>0</v>
      </c>
      <c r="Q1381" s="147">
        <v>0</v>
      </c>
      <c r="R1381" s="149">
        <v>104697.39</v>
      </c>
      <c r="S13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1" s="150">
        <f ca="1">+IF(PROVEEDORES[[#This Row],[FECHA DE PAGO]]=0,TODAY()-PROVEEDORES[[#This Row],[FECHA DE FACTURACIÓN]]-PROVEEDORES[[#This Row],[PLAZO Días]],0)</f>
        <v>0</v>
      </c>
      <c r="U1381" s="150">
        <f>+VLOOKUP(PROVEEDORES[[#This Row],[PROVEEDOR]],Terceros!$A:$E,4,FALSE)</f>
        <v>0.19</v>
      </c>
      <c r="V1381" s="150">
        <f>+YEAR(PROVEEDORES[[#This Row],[FECHA DE FACTURACIÓN]])</f>
        <v>2024</v>
      </c>
      <c r="W1381" s="150">
        <f>+MATCH(PROVEEDORES[[#This Row],[año facturado]],Retenciones!$1:$1,0)</f>
        <v>7</v>
      </c>
      <c r="X1381" s="151" t="e">
        <f>+VLOOKUP(PROVEEDORES[[#This Row],[ID RETENCION]],Retenciones!$A$1:$O$25,PROVEEDORES[[#This Row],[indicador de columna]],FALSE)</f>
        <v>#N/A</v>
      </c>
      <c r="Y1381" s="152" t="e">
        <f>+VLOOKUP(PROVEEDORES[[#This Row],[ID RETENCION]],Retenciones!$A$1:$O$25,2,FALSE)</f>
        <v>#N/A</v>
      </c>
      <c r="Z1381" s="153" t="b">
        <f>+OR(COUNTIF(PROVEEDORES[[#This Row],[PROVEEDOR]],"*"&amp;'Palabra que no opera y Listas d'!$A$2&amp;"*"))</f>
        <v>0</v>
      </c>
    </row>
    <row r="1382" spans="1:26" ht="27.75" customHeight="1" x14ac:dyDescent="0.3">
      <c r="A1382" s="144" t="str">
        <f>+IF(PROVEEDORES[[#This Row],[FECHA DE PAGO]]=PROVEEDORES[[#This Row],[FECHA DE FACTURACIÓN]],"DE CONTADO","CRÉDITO")</f>
        <v>CRÉDITO</v>
      </c>
      <c r="B1382" s="144" t="str">
        <f>+IF((PROVEEDORES[[#This Row],[FECHA DE PAGO]]-PROVEEDORES[[#This Row],[FECHA DE FACTURACIÓN]])&gt;PROVEEDORES[[#This Row],[PLAZO Días]],"PAGO VENCIDO")</f>
        <v>PAGO VENCIDO</v>
      </c>
      <c r="C1382" s="144">
        <f>+VLOOKUP(PROVEEDORES[[#This Row],[PROVEEDOR]],TERCEROS_INFO[#All],2,FALSE)</f>
        <v>0</v>
      </c>
      <c r="D1382" s="145">
        <f>+SUMIFS(PROVEEDORES[Total],PROVEEDORES[PROVEEDOR],PROVEEDORES[[#This Row],[PROVEEDOR]],PROVEEDORES[FECHA DE PAGO],"")</f>
        <v>31839627.134999998</v>
      </c>
      <c r="E1382" s="146"/>
      <c r="F1382" s="144" t="str">
        <f>+VLOOKUP(PROVEEDORES[[#This Row],[PROVEEDOR]],
                       Terceros!$A:$G,
                       5,
                       FALSE)</f>
        <v>2,5% con base</v>
      </c>
      <c r="G1382" s="122">
        <v>45373</v>
      </c>
      <c r="H1382" s="102" t="s">
        <v>17</v>
      </c>
      <c r="I1382" s="122">
        <v>45337</v>
      </c>
      <c r="J1382" s="103">
        <v>1083080</v>
      </c>
      <c r="K1382" s="103" t="s">
        <v>516</v>
      </c>
      <c r="L1382" s="103" t="s">
        <v>1516</v>
      </c>
      <c r="M1382" s="105">
        <v>2010570.24</v>
      </c>
      <c r="N1382" s="147">
        <v>382008.3456</v>
      </c>
      <c r="O1382" s="147">
        <v>0</v>
      </c>
      <c r="P1382" s="148">
        <v>2.5000000000000001E-2</v>
      </c>
      <c r="Q1382" s="147">
        <v>50264.256000000001</v>
      </c>
      <c r="R1382" s="149">
        <v>2342314.3295999998</v>
      </c>
      <c r="S13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2" s="150">
        <f ca="1">+IF(PROVEEDORES[[#This Row],[FECHA DE PAGO]]=0,TODAY()-PROVEEDORES[[#This Row],[FECHA DE FACTURACIÓN]]-PROVEEDORES[[#This Row],[PLAZO Días]],0)</f>
        <v>0</v>
      </c>
      <c r="U1382" s="150">
        <f>+VLOOKUP(PROVEEDORES[[#This Row],[PROVEEDOR]],Terceros!$A:$E,4,FALSE)</f>
        <v>0.19</v>
      </c>
      <c r="V1382" s="150">
        <f>+YEAR(PROVEEDORES[[#This Row],[FECHA DE FACTURACIÓN]])</f>
        <v>2024</v>
      </c>
      <c r="W1382" s="150">
        <f>+MATCH(PROVEEDORES[[#This Row],[año facturado]],Retenciones!$1:$1,0)</f>
        <v>7</v>
      </c>
      <c r="X1382" s="151" t="e">
        <f>+VLOOKUP(PROVEEDORES[[#This Row],[ID RETENCION]],Retenciones!$A$1:$O$25,PROVEEDORES[[#This Row],[indicador de columna]],FALSE)</f>
        <v>#N/A</v>
      </c>
      <c r="Y1382" s="152" t="e">
        <f>+VLOOKUP(PROVEEDORES[[#This Row],[ID RETENCION]],Retenciones!$A$1:$O$25,2,FALSE)</f>
        <v>#N/A</v>
      </c>
      <c r="Z1382" s="153" t="b">
        <f>+OR(COUNTIF(PROVEEDORES[[#This Row],[PROVEEDOR]],"*"&amp;'Palabra que no opera y Listas d'!$A$2&amp;"*"))</f>
        <v>0</v>
      </c>
    </row>
    <row r="1383" spans="1:26" ht="27.75" customHeight="1" x14ac:dyDescent="0.3">
      <c r="A1383" s="144" t="str">
        <f>+IF(PROVEEDORES[[#This Row],[FECHA DE PAGO]]=PROVEEDORES[[#This Row],[FECHA DE FACTURACIÓN]],"DE CONTADO","CRÉDITO")</f>
        <v>CRÉDITO</v>
      </c>
      <c r="B1383" s="144" t="str">
        <f>+IF((PROVEEDORES[[#This Row],[FECHA DE PAGO]]-PROVEEDORES[[#This Row],[FECHA DE FACTURACIÓN]])&gt;PROVEEDORES[[#This Row],[PLAZO Días]],"PAGO VENCIDO")</f>
        <v>PAGO VENCIDO</v>
      </c>
      <c r="C1383" s="144">
        <f>+VLOOKUP(PROVEEDORES[[#This Row],[PROVEEDOR]],TERCEROS_INFO[#All],2,FALSE)</f>
        <v>0</v>
      </c>
      <c r="D1383" s="145">
        <f>+SUMIFS(PROVEEDORES[Total],PROVEEDORES[PROVEEDOR],PROVEEDORES[[#This Row],[PROVEEDOR]],PROVEEDORES[FECHA DE PAGO],"")</f>
        <v>5820290</v>
      </c>
      <c r="E1383" s="146"/>
      <c r="F1383" s="144">
        <f>+VLOOKUP(PROVEEDORES[[#This Row],[PROVEEDOR]],
                       Terceros!$A:$G,
                       5,
                       FALSE)</f>
        <v>0</v>
      </c>
      <c r="G1383" s="122">
        <v>45373</v>
      </c>
      <c r="H1383" s="102" t="s">
        <v>461</v>
      </c>
      <c r="I1383" s="122">
        <v>45338</v>
      </c>
      <c r="J1383" s="103" t="s">
        <v>1558</v>
      </c>
      <c r="K1383" s="103" t="s">
        <v>516</v>
      </c>
      <c r="L1383" s="103" t="s">
        <v>1516</v>
      </c>
      <c r="M1383" s="105">
        <v>1118600</v>
      </c>
      <c r="N1383" s="147">
        <v>212534</v>
      </c>
      <c r="O1383" s="147">
        <v>0</v>
      </c>
      <c r="P1383" s="148">
        <v>0</v>
      </c>
      <c r="Q1383" s="147">
        <v>0</v>
      </c>
      <c r="R1383" s="149">
        <v>1331134</v>
      </c>
      <c r="S13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3" s="150">
        <f ca="1">+IF(PROVEEDORES[[#This Row],[FECHA DE PAGO]]=0,TODAY()-PROVEEDORES[[#This Row],[FECHA DE FACTURACIÓN]]-PROVEEDORES[[#This Row],[PLAZO Días]],0)</f>
        <v>0</v>
      </c>
      <c r="U1383" s="150">
        <f>+VLOOKUP(PROVEEDORES[[#This Row],[PROVEEDOR]],Terceros!$A:$E,4,FALSE)</f>
        <v>0.19</v>
      </c>
      <c r="V1383" s="150">
        <f>+YEAR(PROVEEDORES[[#This Row],[FECHA DE FACTURACIÓN]])</f>
        <v>2024</v>
      </c>
      <c r="W1383" s="150">
        <f>+MATCH(PROVEEDORES[[#This Row],[año facturado]],Retenciones!$1:$1,0)</f>
        <v>7</v>
      </c>
      <c r="X1383" s="151" t="e">
        <f>+VLOOKUP(PROVEEDORES[[#This Row],[ID RETENCION]],Retenciones!$A$1:$O$25,PROVEEDORES[[#This Row],[indicador de columna]],FALSE)</f>
        <v>#N/A</v>
      </c>
      <c r="Y1383" s="152" t="e">
        <f>+VLOOKUP(PROVEEDORES[[#This Row],[ID RETENCION]],Retenciones!$A$1:$O$25,2,FALSE)</f>
        <v>#N/A</v>
      </c>
      <c r="Z1383" s="153" t="b">
        <f>+OR(COUNTIF(PROVEEDORES[[#This Row],[PROVEEDOR]],"*"&amp;'Palabra que no opera y Listas d'!$A$2&amp;"*"))</f>
        <v>0</v>
      </c>
    </row>
    <row r="1384" spans="1:26" ht="27.75" customHeight="1" x14ac:dyDescent="0.3">
      <c r="A1384" s="144" t="str">
        <f>+IF(PROVEEDORES[[#This Row],[FECHA DE PAGO]]=PROVEEDORES[[#This Row],[FECHA DE FACTURACIÓN]],"DE CONTADO","CRÉDITO")</f>
        <v>CRÉDITO</v>
      </c>
      <c r="B1384" s="144" t="b">
        <f>+IF((PROVEEDORES[[#This Row],[FECHA DE PAGO]]-PROVEEDORES[[#This Row],[FECHA DE FACTURACIÓN]])&gt;PROVEEDORES[[#This Row],[PLAZO Días]],"PAGO VENCIDO")</f>
        <v>0</v>
      </c>
      <c r="C1384" s="144">
        <f>+VLOOKUP(PROVEEDORES[[#This Row],[PROVEEDOR]],TERCEROS_INFO[#All],2,FALSE)</f>
        <v>0</v>
      </c>
      <c r="D1384" s="145">
        <f>+SUMIFS(PROVEEDORES[Total],PROVEEDORES[PROVEEDOR],PROVEEDORES[[#This Row],[PROVEEDOR]],PROVEEDORES[FECHA DE PAGO],"")</f>
        <v>0</v>
      </c>
      <c r="E1384" s="146"/>
      <c r="F1384" s="144">
        <f>+VLOOKUP(PROVEEDORES[[#This Row],[PROVEEDOR]],
                       Terceros!$A:$G,
                       5,
                       FALSE)</f>
        <v>0</v>
      </c>
      <c r="G1384" s="122">
        <v>45373</v>
      </c>
      <c r="H1384" s="102" t="s">
        <v>1601</v>
      </c>
      <c r="I1384" s="122">
        <v>45377</v>
      </c>
      <c r="J1384" s="103" t="s">
        <v>1771</v>
      </c>
      <c r="K1384" s="103" t="s">
        <v>1512</v>
      </c>
      <c r="L1384" s="103" t="s">
        <v>1523</v>
      </c>
      <c r="M1384" s="105">
        <v>13200000</v>
      </c>
      <c r="N1384" s="147">
        <v>0</v>
      </c>
      <c r="O1384" s="147">
        <v>0</v>
      </c>
      <c r="P1384" s="148">
        <v>0</v>
      </c>
      <c r="Q1384" s="147">
        <v>0</v>
      </c>
      <c r="R1384" s="149">
        <v>13200000</v>
      </c>
      <c r="S13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4" s="150">
        <f ca="1">+IF(PROVEEDORES[[#This Row],[FECHA DE PAGO]]=0,TODAY()-PROVEEDORES[[#This Row],[FECHA DE FACTURACIÓN]]-PROVEEDORES[[#This Row],[PLAZO Días]],0)</f>
        <v>0</v>
      </c>
      <c r="U1384" s="150">
        <f>+VLOOKUP(PROVEEDORES[[#This Row],[PROVEEDOR]],Terceros!$A:$E,4,FALSE)</f>
        <v>0</v>
      </c>
      <c r="V1384" s="150">
        <f>+YEAR(PROVEEDORES[[#This Row],[FECHA DE FACTURACIÓN]])</f>
        <v>2024</v>
      </c>
      <c r="W1384" s="150">
        <f>+MATCH(PROVEEDORES[[#This Row],[año facturado]],Retenciones!$1:$1,0)</f>
        <v>7</v>
      </c>
      <c r="X1384" s="151">
        <f>+VLOOKUP(PROVEEDORES[[#This Row],[ID RETENCION]],Retenciones!$A$1:$O$25,PROVEEDORES[[#This Row],[indicador de columna]],FALSE)</f>
        <v>0</v>
      </c>
      <c r="Y1384" s="152">
        <f>+VLOOKUP(PROVEEDORES[[#This Row],[ID RETENCION]],Retenciones!$A$1:$O$25,2,FALSE)</f>
        <v>0</v>
      </c>
      <c r="Z1384" s="153" t="b">
        <f>+OR(COUNTIF(PROVEEDORES[[#This Row],[PROVEEDOR]],"*"&amp;'Palabra que no opera y Listas d'!$A$2&amp;"*"))</f>
        <v>0</v>
      </c>
    </row>
    <row r="1385" spans="1:26" ht="27.75" customHeight="1" x14ac:dyDescent="0.3">
      <c r="A1385" s="144" t="str">
        <f>+IF(PROVEEDORES[[#This Row],[FECHA DE PAGO]]=PROVEEDORES[[#This Row],[FECHA DE FACTURACIÓN]],"DE CONTADO","CRÉDITO")</f>
        <v>CRÉDITO</v>
      </c>
      <c r="B1385" s="144" t="b">
        <f>+IF((PROVEEDORES[[#This Row],[FECHA DE PAGO]]-PROVEEDORES[[#This Row],[FECHA DE FACTURACIÓN]])&gt;PROVEEDORES[[#This Row],[PLAZO Días]],"PAGO VENCIDO")</f>
        <v>0</v>
      </c>
      <c r="C1385" s="144">
        <f>+VLOOKUP(PROVEEDORES[[#This Row],[PROVEEDOR]],TERCEROS_INFO[#All],2,FALSE)</f>
        <v>0</v>
      </c>
      <c r="D1385" s="145">
        <f>+SUMIFS(PROVEEDORES[Total],PROVEEDORES[PROVEEDOR],PROVEEDORES[[#This Row],[PROVEEDOR]],PROVEEDORES[FECHA DE PAGO],"")</f>
        <v>0</v>
      </c>
      <c r="E1385" s="146"/>
      <c r="F1385" s="144">
        <f>+VLOOKUP(PROVEEDORES[[#This Row],[PROVEEDOR]],
                       Terceros!$A:$G,
                       5,
                       FALSE)</f>
        <v>0</v>
      </c>
      <c r="G1385" s="122">
        <v>45373</v>
      </c>
      <c r="H1385" s="102" t="s">
        <v>1601</v>
      </c>
      <c r="I1385" s="122">
        <v>45377</v>
      </c>
      <c r="J1385" s="103" t="s">
        <v>1772</v>
      </c>
      <c r="K1385" s="103" t="s">
        <v>1512</v>
      </c>
      <c r="L1385" s="103" t="s">
        <v>1523</v>
      </c>
      <c r="M1385" s="105">
        <v>4676000</v>
      </c>
      <c r="N1385" s="147">
        <v>0</v>
      </c>
      <c r="O1385" s="147">
        <v>0</v>
      </c>
      <c r="P1385" s="148">
        <v>0</v>
      </c>
      <c r="Q1385" s="147">
        <v>0</v>
      </c>
      <c r="R1385" s="149">
        <v>4676000</v>
      </c>
      <c r="S13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5" s="150">
        <f ca="1">+IF(PROVEEDORES[[#This Row],[FECHA DE PAGO]]=0,TODAY()-PROVEEDORES[[#This Row],[FECHA DE FACTURACIÓN]]-PROVEEDORES[[#This Row],[PLAZO Días]],0)</f>
        <v>0</v>
      </c>
      <c r="U1385" s="150">
        <f>+VLOOKUP(PROVEEDORES[[#This Row],[PROVEEDOR]],Terceros!$A:$E,4,FALSE)</f>
        <v>0</v>
      </c>
      <c r="V1385" s="150">
        <f>+YEAR(PROVEEDORES[[#This Row],[FECHA DE FACTURACIÓN]])</f>
        <v>2024</v>
      </c>
      <c r="W1385" s="150">
        <f>+MATCH(PROVEEDORES[[#This Row],[año facturado]],Retenciones!$1:$1,0)</f>
        <v>7</v>
      </c>
      <c r="X1385" s="151">
        <f>+VLOOKUP(PROVEEDORES[[#This Row],[ID RETENCION]],Retenciones!$A$1:$O$25,PROVEEDORES[[#This Row],[indicador de columna]],FALSE)</f>
        <v>0</v>
      </c>
      <c r="Y1385" s="152">
        <f>+VLOOKUP(PROVEEDORES[[#This Row],[ID RETENCION]],Retenciones!$A$1:$O$25,2,FALSE)</f>
        <v>0</v>
      </c>
      <c r="Z1385" s="153" t="b">
        <f>+OR(COUNTIF(PROVEEDORES[[#This Row],[PROVEEDOR]],"*"&amp;'Palabra que no opera y Listas d'!$A$2&amp;"*"))</f>
        <v>0</v>
      </c>
    </row>
    <row r="1386" spans="1:26" ht="27.75" customHeight="1" x14ac:dyDescent="0.3">
      <c r="A1386" s="144" t="str">
        <f>+IF(PROVEEDORES[[#This Row],[FECHA DE PAGO]]=PROVEEDORES[[#This Row],[FECHA DE FACTURACIÓN]],"DE CONTADO","CRÉDITO")</f>
        <v>CRÉDITO</v>
      </c>
      <c r="B1386" s="144" t="str">
        <f>+IF((PROVEEDORES[[#This Row],[FECHA DE PAGO]]-PROVEEDORES[[#This Row],[FECHA DE FACTURACIÓN]])&gt;PROVEEDORES[[#This Row],[PLAZO Días]],"PAGO VENCIDO")</f>
        <v>PAGO VENCIDO</v>
      </c>
      <c r="C1386" s="144">
        <f>+VLOOKUP(PROVEEDORES[[#This Row],[PROVEEDOR]],TERCEROS_INFO[#All],2,FALSE)</f>
        <v>0</v>
      </c>
      <c r="D1386" s="145">
        <f>+SUMIFS(PROVEEDORES[Total],PROVEEDORES[PROVEEDOR],PROVEEDORES[[#This Row],[PROVEEDOR]],PROVEEDORES[FECHA DE PAGO],"")</f>
        <v>0</v>
      </c>
      <c r="E1386" s="146"/>
      <c r="F1386" s="144">
        <f>+VLOOKUP(PROVEEDORES[[#This Row],[PROVEEDOR]],
                       Terceros!$A:$G,
                       5,
                       FALSE)</f>
        <v>0</v>
      </c>
      <c r="G1386" s="122">
        <v>45377</v>
      </c>
      <c r="H1386" s="102" t="s">
        <v>404</v>
      </c>
      <c r="I1386" s="122">
        <v>45352</v>
      </c>
      <c r="J1386" s="103"/>
      <c r="K1386" s="103" t="s">
        <v>1512</v>
      </c>
      <c r="L1386" s="103" t="s">
        <v>1515</v>
      </c>
      <c r="M1386" s="105">
        <v>851999</v>
      </c>
      <c r="N1386" s="147">
        <v>0</v>
      </c>
      <c r="O1386" s="147">
        <v>0</v>
      </c>
      <c r="P1386" s="148">
        <v>0</v>
      </c>
      <c r="Q1386" s="147">
        <v>0</v>
      </c>
      <c r="R1386" s="149">
        <v>851999</v>
      </c>
      <c r="S13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6" s="150">
        <f ca="1">+IF(PROVEEDORES[[#This Row],[FECHA DE PAGO]]=0,TODAY()-PROVEEDORES[[#This Row],[FECHA DE FACTURACIÓN]]-PROVEEDORES[[#This Row],[PLAZO Días]],0)</f>
        <v>0</v>
      </c>
      <c r="U1386" s="150">
        <f>+VLOOKUP(PROVEEDORES[[#This Row],[PROVEEDOR]],Terceros!$A:$E,4,FALSE)</f>
        <v>0</v>
      </c>
      <c r="V1386" s="150">
        <f>+YEAR(PROVEEDORES[[#This Row],[FECHA DE FACTURACIÓN]])</f>
        <v>2024</v>
      </c>
      <c r="W1386" s="150">
        <f>+MATCH(PROVEEDORES[[#This Row],[año facturado]],Retenciones!$1:$1,0)</f>
        <v>7</v>
      </c>
      <c r="X1386" s="151">
        <f>+VLOOKUP(PROVEEDORES[[#This Row],[ID RETENCION]],Retenciones!$A$1:$O$25,PROVEEDORES[[#This Row],[indicador de columna]],FALSE)</f>
        <v>0</v>
      </c>
      <c r="Y1386" s="152">
        <f>+VLOOKUP(PROVEEDORES[[#This Row],[ID RETENCION]],Retenciones!$A$1:$O$25,2,FALSE)</f>
        <v>0</v>
      </c>
      <c r="Z1386" s="153" t="b">
        <f>+OR(COUNTIF(PROVEEDORES[[#This Row],[PROVEEDOR]],"*"&amp;'Palabra que no opera y Listas d'!$A$2&amp;"*"))</f>
        <v>1</v>
      </c>
    </row>
    <row r="1387" spans="1:26" ht="27.75" customHeight="1" x14ac:dyDescent="0.3">
      <c r="A1387" s="144" t="str">
        <f>+IF(PROVEEDORES[[#This Row],[FECHA DE PAGO]]=PROVEEDORES[[#This Row],[FECHA DE FACTURACIÓN]],"DE CONTADO","CRÉDITO")</f>
        <v>DE CONTADO</v>
      </c>
      <c r="B1387" s="144" t="b">
        <f>+IF((PROVEEDORES[[#This Row],[FECHA DE PAGO]]-PROVEEDORES[[#This Row],[FECHA DE FACTURACIÓN]])&gt;PROVEEDORES[[#This Row],[PLAZO Días]],"PAGO VENCIDO")</f>
        <v>0</v>
      </c>
      <c r="C1387" s="144">
        <f>+VLOOKUP(PROVEEDORES[[#This Row],[PROVEEDOR]],TERCEROS_INFO[#All],2,FALSE)</f>
        <v>0</v>
      </c>
      <c r="D1387" s="145">
        <f>+SUMIFS(PROVEEDORES[Total],PROVEEDORES[PROVEEDOR],PROVEEDORES[[#This Row],[PROVEEDOR]],PROVEEDORES[FECHA DE PAGO],"")</f>
        <v>0</v>
      </c>
      <c r="E1387" s="146"/>
      <c r="F1387" s="144" t="str">
        <f>+VLOOKUP(PROVEEDORES[[#This Row],[PROVEEDOR]],
                       Terceros!$A:$G,
                       5,
                       FALSE)</f>
        <v>2,5% con base</v>
      </c>
      <c r="G1387" s="122">
        <v>45377</v>
      </c>
      <c r="H1387" s="102" t="s">
        <v>467</v>
      </c>
      <c r="I1387" s="122">
        <v>45377</v>
      </c>
      <c r="J1387" s="103" t="s">
        <v>1656</v>
      </c>
      <c r="K1387" s="103" t="s">
        <v>1512</v>
      </c>
      <c r="L1387" s="103" t="s">
        <v>1390</v>
      </c>
      <c r="M1387" s="105">
        <v>235296</v>
      </c>
      <c r="N1387" s="147">
        <v>44706.239999999998</v>
      </c>
      <c r="O1387" s="147">
        <v>0</v>
      </c>
      <c r="P1387" s="148">
        <v>0</v>
      </c>
      <c r="Q1387" s="147">
        <v>0</v>
      </c>
      <c r="R1387" s="149">
        <v>280002.24</v>
      </c>
      <c r="S13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7" s="150">
        <f ca="1">+IF(PROVEEDORES[[#This Row],[FECHA DE PAGO]]=0,TODAY()-PROVEEDORES[[#This Row],[FECHA DE FACTURACIÓN]]-PROVEEDORES[[#This Row],[PLAZO Días]],0)</f>
        <v>0</v>
      </c>
      <c r="U1387" s="150">
        <f>+VLOOKUP(PROVEEDORES[[#This Row],[PROVEEDOR]],Terceros!$A:$E,4,FALSE)</f>
        <v>0.19</v>
      </c>
      <c r="V1387" s="150">
        <f>+YEAR(PROVEEDORES[[#This Row],[FECHA DE FACTURACIÓN]])</f>
        <v>2024</v>
      </c>
      <c r="W1387" s="150">
        <f>+MATCH(PROVEEDORES[[#This Row],[año facturado]],Retenciones!$1:$1,0)</f>
        <v>7</v>
      </c>
      <c r="X1387" s="151" t="e">
        <f>+VLOOKUP(PROVEEDORES[[#This Row],[ID RETENCION]],Retenciones!$A$1:$O$25,PROVEEDORES[[#This Row],[indicador de columna]],FALSE)</f>
        <v>#N/A</v>
      </c>
      <c r="Y1387" s="152" t="e">
        <f>+VLOOKUP(PROVEEDORES[[#This Row],[ID RETENCION]],Retenciones!$A$1:$O$25,2,FALSE)</f>
        <v>#N/A</v>
      </c>
      <c r="Z1387" s="153" t="b">
        <f>+OR(COUNTIF(PROVEEDORES[[#This Row],[PROVEEDOR]],"*"&amp;'Palabra que no opera y Listas d'!$A$2&amp;"*"))</f>
        <v>0</v>
      </c>
    </row>
    <row r="1388" spans="1:26" ht="27.75" customHeight="1" x14ac:dyDescent="0.3">
      <c r="A1388" s="144" t="str">
        <f>+IF(PROVEEDORES[[#This Row],[FECHA DE PAGO]]=PROVEEDORES[[#This Row],[FECHA DE FACTURACIÓN]],"DE CONTADO","CRÉDITO")</f>
        <v>DE CONTADO</v>
      </c>
      <c r="B1388" s="144" t="b">
        <f>+IF((PROVEEDORES[[#This Row],[FECHA DE PAGO]]-PROVEEDORES[[#This Row],[FECHA DE FACTURACIÓN]])&gt;PROVEEDORES[[#This Row],[PLAZO Días]],"PAGO VENCIDO")</f>
        <v>0</v>
      </c>
      <c r="C1388" s="144">
        <f>+VLOOKUP(PROVEEDORES[[#This Row],[PROVEEDOR]],TERCEROS_INFO[#All],2,FALSE)</f>
        <v>0</v>
      </c>
      <c r="D1388" s="145">
        <f>+SUMIFS(PROVEEDORES[Total],PROVEEDORES[PROVEEDOR],PROVEEDORES[[#This Row],[PROVEEDOR]],PROVEEDORES[FECHA DE PAGO],"")</f>
        <v>0</v>
      </c>
      <c r="E1388" s="146"/>
      <c r="F1388" s="144">
        <f>+VLOOKUP(PROVEEDORES[[#This Row],[PROVEEDOR]],
                       Terceros!$A:$G,
                       5,
                       FALSE)</f>
        <v>0</v>
      </c>
      <c r="G1388" s="122">
        <v>45378</v>
      </c>
      <c r="H1388" s="102" t="s">
        <v>1785</v>
      </c>
      <c r="I1388" s="122">
        <v>45378</v>
      </c>
      <c r="J1388" s="103" t="s">
        <v>1716</v>
      </c>
      <c r="K1388" s="103" t="s">
        <v>1512</v>
      </c>
      <c r="L1388" s="103"/>
      <c r="M1388" s="105">
        <v>33000</v>
      </c>
      <c r="N1388" s="147">
        <v>0</v>
      </c>
      <c r="O1388" s="147">
        <v>0</v>
      </c>
      <c r="P1388" s="148">
        <v>0</v>
      </c>
      <c r="Q1388" s="147">
        <v>0</v>
      </c>
      <c r="R1388" s="149">
        <v>33000</v>
      </c>
      <c r="S13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8" s="150">
        <f ca="1">+IF(PROVEEDORES[[#This Row],[FECHA DE PAGO]]=0,TODAY()-PROVEEDORES[[#This Row],[FECHA DE FACTURACIÓN]]-PROVEEDORES[[#This Row],[PLAZO Días]],0)</f>
        <v>0</v>
      </c>
      <c r="U1388" s="150">
        <f>+VLOOKUP(PROVEEDORES[[#This Row],[PROVEEDOR]],Terceros!$A:$E,4,FALSE)</f>
        <v>0</v>
      </c>
      <c r="V1388" s="150">
        <f>+YEAR(PROVEEDORES[[#This Row],[FECHA DE FACTURACIÓN]])</f>
        <v>2024</v>
      </c>
      <c r="W1388" s="150">
        <f>+MATCH(PROVEEDORES[[#This Row],[año facturado]],Retenciones!$1:$1,0)</f>
        <v>7</v>
      </c>
      <c r="X1388" s="151">
        <f>+VLOOKUP(PROVEEDORES[[#This Row],[ID RETENCION]],Retenciones!$A$1:$O$25,PROVEEDORES[[#This Row],[indicador de columna]],FALSE)</f>
        <v>0</v>
      </c>
      <c r="Y1388" s="152">
        <f>+VLOOKUP(PROVEEDORES[[#This Row],[ID RETENCION]],Retenciones!$A$1:$O$25,2,FALSE)</f>
        <v>0</v>
      </c>
      <c r="Z1388" s="153" t="b">
        <f>+OR(COUNTIF(PROVEEDORES[[#This Row],[PROVEEDOR]],"*"&amp;'Palabra que no opera y Listas d'!$A$2&amp;"*"))</f>
        <v>0</v>
      </c>
    </row>
    <row r="1389" spans="1:26" ht="27.75" customHeight="1" x14ac:dyDescent="0.3">
      <c r="A1389" s="144" t="str">
        <f>+IF(PROVEEDORES[[#This Row],[FECHA DE PAGO]]=PROVEEDORES[[#This Row],[FECHA DE FACTURACIÓN]],"DE CONTADO","CRÉDITO")</f>
        <v>CRÉDITO</v>
      </c>
      <c r="B1389" s="144" t="str">
        <f>+IF((PROVEEDORES[[#This Row],[FECHA DE PAGO]]-PROVEEDORES[[#This Row],[FECHA DE FACTURACIÓN]])&gt;PROVEEDORES[[#This Row],[PLAZO Días]],"PAGO VENCIDO")</f>
        <v>PAGO VENCIDO</v>
      </c>
      <c r="C1389" s="144">
        <f>+VLOOKUP(PROVEEDORES[[#This Row],[PROVEEDOR]],TERCEROS_INFO[#All],2,FALSE)</f>
        <v>0</v>
      </c>
      <c r="D1389" s="145">
        <f>+SUMIFS(PROVEEDORES[Total],PROVEEDORES[PROVEEDOR],PROVEEDORES[[#This Row],[PROVEEDOR]],PROVEEDORES[FECHA DE PAGO],"")</f>
        <v>7281829.8799999999</v>
      </c>
      <c r="E1389" s="146"/>
      <c r="F1389" s="144" t="str">
        <f>+VLOOKUP(PROVEEDORES[[#This Row],[PROVEEDOR]],
                       Terceros!$A:$G,
                       5,
                       FALSE)</f>
        <v>2,5% con base</v>
      </c>
      <c r="G1389" s="122">
        <v>45378</v>
      </c>
      <c r="H1389" s="102" t="s">
        <v>1445</v>
      </c>
      <c r="I1389" s="122">
        <v>45345</v>
      </c>
      <c r="J1389" s="103" t="s">
        <v>1571</v>
      </c>
      <c r="K1389" s="103" t="s">
        <v>1512</v>
      </c>
      <c r="L1389" s="103" t="s">
        <v>1515</v>
      </c>
      <c r="M1389" s="105">
        <v>2164643</v>
      </c>
      <c r="N1389" s="147">
        <v>411282.17</v>
      </c>
      <c r="O1389" s="147">
        <v>0</v>
      </c>
      <c r="P1389" s="148">
        <v>2.5000000000000001E-2</v>
      </c>
      <c r="Q1389" s="147">
        <v>54116.075000000004</v>
      </c>
      <c r="R1389" s="149">
        <v>2521809.0949999997</v>
      </c>
      <c r="S13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9" s="150">
        <f ca="1">+IF(PROVEEDORES[[#This Row],[FECHA DE PAGO]]=0,TODAY()-PROVEEDORES[[#This Row],[FECHA DE FACTURACIÓN]]-PROVEEDORES[[#This Row],[PLAZO Días]],0)</f>
        <v>0</v>
      </c>
      <c r="U1389" s="150">
        <f>+VLOOKUP(PROVEEDORES[[#This Row],[PROVEEDOR]],Terceros!$A:$E,4,FALSE)</f>
        <v>0.19</v>
      </c>
      <c r="V1389" s="150">
        <f>+YEAR(PROVEEDORES[[#This Row],[FECHA DE FACTURACIÓN]])</f>
        <v>2024</v>
      </c>
      <c r="W1389" s="150">
        <f>+MATCH(PROVEEDORES[[#This Row],[año facturado]],Retenciones!$1:$1,0)</f>
        <v>7</v>
      </c>
      <c r="X1389" s="151" t="e">
        <f>+VLOOKUP(PROVEEDORES[[#This Row],[ID RETENCION]],Retenciones!$A$1:$O$25,PROVEEDORES[[#This Row],[indicador de columna]],FALSE)</f>
        <v>#N/A</v>
      </c>
      <c r="Y1389" s="152" t="e">
        <f>+VLOOKUP(PROVEEDORES[[#This Row],[ID RETENCION]],Retenciones!$A$1:$O$25,2,FALSE)</f>
        <v>#N/A</v>
      </c>
      <c r="Z1389" s="153" t="b">
        <f>+OR(COUNTIF(PROVEEDORES[[#This Row],[PROVEEDOR]],"*"&amp;'Palabra que no opera y Listas d'!$A$2&amp;"*"))</f>
        <v>0</v>
      </c>
    </row>
    <row r="1390" spans="1:26" ht="27.75" customHeight="1" x14ac:dyDescent="0.3">
      <c r="A1390" s="144" t="str">
        <f>+IF(PROVEEDORES[[#This Row],[FECHA DE PAGO]]=PROVEEDORES[[#This Row],[FECHA DE FACTURACIÓN]],"DE CONTADO","CRÉDITO")</f>
        <v>CRÉDITO</v>
      </c>
      <c r="B1390" s="144" t="str">
        <f>+IF((PROVEEDORES[[#This Row],[FECHA DE PAGO]]-PROVEEDORES[[#This Row],[FECHA DE FACTURACIÓN]])&gt;PROVEEDORES[[#This Row],[PLAZO Días]],"PAGO VENCIDO")</f>
        <v>PAGO VENCIDO</v>
      </c>
      <c r="C1390" s="144">
        <f>+VLOOKUP(PROVEEDORES[[#This Row],[PROVEEDOR]],TERCEROS_INFO[#All],2,FALSE)</f>
        <v>0</v>
      </c>
      <c r="D1390" s="145">
        <f>+SUMIFS(PROVEEDORES[Total],PROVEEDORES[PROVEEDOR],PROVEEDORES[[#This Row],[PROVEEDOR]],PROVEEDORES[FECHA DE PAGO],"")</f>
        <v>7281829.8799999999</v>
      </c>
      <c r="E1390" s="146"/>
      <c r="F1390" s="144" t="str">
        <f>+VLOOKUP(PROVEEDORES[[#This Row],[PROVEEDOR]],
                       Terceros!$A:$G,
                       5,
                       FALSE)</f>
        <v>2,5% con base</v>
      </c>
      <c r="G1390" s="122">
        <v>45378</v>
      </c>
      <c r="H1390" s="102" t="s">
        <v>1445</v>
      </c>
      <c r="I1390" s="122">
        <v>45348</v>
      </c>
      <c r="J1390" s="103" t="s">
        <v>1572</v>
      </c>
      <c r="K1390" s="103" t="s">
        <v>1512</v>
      </c>
      <c r="L1390" s="103" t="s">
        <v>1515</v>
      </c>
      <c r="M1390" s="105">
        <v>200739</v>
      </c>
      <c r="N1390" s="147">
        <v>38140.410000000003</v>
      </c>
      <c r="O1390" s="147">
        <v>0</v>
      </c>
      <c r="P1390" s="148">
        <v>0</v>
      </c>
      <c r="Q1390" s="147">
        <v>0</v>
      </c>
      <c r="R1390" s="149">
        <v>238879.41</v>
      </c>
      <c r="S13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0" s="150">
        <f ca="1">+IF(PROVEEDORES[[#This Row],[FECHA DE PAGO]]=0,TODAY()-PROVEEDORES[[#This Row],[FECHA DE FACTURACIÓN]]-PROVEEDORES[[#This Row],[PLAZO Días]],0)</f>
        <v>0</v>
      </c>
      <c r="U1390" s="150">
        <f>+VLOOKUP(PROVEEDORES[[#This Row],[PROVEEDOR]],Terceros!$A:$E,4,FALSE)</f>
        <v>0.19</v>
      </c>
      <c r="V1390" s="150">
        <f>+YEAR(PROVEEDORES[[#This Row],[FECHA DE FACTURACIÓN]])</f>
        <v>2024</v>
      </c>
      <c r="W1390" s="150">
        <f>+MATCH(PROVEEDORES[[#This Row],[año facturado]],Retenciones!$1:$1,0)</f>
        <v>7</v>
      </c>
      <c r="X1390" s="151" t="e">
        <f>+VLOOKUP(PROVEEDORES[[#This Row],[ID RETENCION]],Retenciones!$A$1:$O$25,PROVEEDORES[[#This Row],[indicador de columna]],FALSE)</f>
        <v>#N/A</v>
      </c>
      <c r="Y1390" s="152" t="e">
        <f>+VLOOKUP(PROVEEDORES[[#This Row],[ID RETENCION]],Retenciones!$A$1:$O$25,2,FALSE)</f>
        <v>#N/A</v>
      </c>
      <c r="Z1390" s="153" t="b">
        <f>+OR(COUNTIF(PROVEEDORES[[#This Row],[PROVEEDOR]],"*"&amp;'Palabra que no opera y Listas d'!$A$2&amp;"*"))</f>
        <v>0</v>
      </c>
    </row>
    <row r="1391" spans="1:26" ht="27.75" customHeight="1" x14ac:dyDescent="0.3">
      <c r="A1391" s="144" t="str">
        <f>+IF(PROVEEDORES[[#This Row],[FECHA DE PAGO]]=PROVEEDORES[[#This Row],[FECHA DE FACTURACIÓN]],"DE CONTADO","CRÉDITO")</f>
        <v>CRÉDITO</v>
      </c>
      <c r="B1391" s="144" t="str">
        <f>+IF((PROVEEDORES[[#This Row],[FECHA DE PAGO]]-PROVEEDORES[[#This Row],[FECHA DE FACTURACIÓN]])&gt;PROVEEDORES[[#This Row],[PLAZO Días]],"PAGO VENCIDO")</f>
        <v>PAGO VENCIDO</v>
      </c>
      <c r="C1391" s="144">
        <f>+VLOOKUP(PROVEEDORES[[#This Row],[PROVEEDOR]],TERCEROS_INFO[#All],2,FALSE)</f>
        <v>0</v>
      </c>
      <c r="D1391" s="145">
        <f>+SUMIFS(PROVEEDORES[Total],PROVEEDORES[PROVEEDOR],PROVEEDORES[[#This Row],[PROVEEDOR]],PROVEEDORES[FECHA DE PAGO],"")</f>
        <v>0</v>
      </c>
      <c r="E1391" s="146"/>
      <c r="F1391" s="144" t="str">
        <f>+VLOOKUP(PROVEEDORES[[#This Row],[PROVEEDOR]],
                       Terceros!$A:$G,
                       5,
                       FALSE)</f>
        <v>1% sin base</v>
      </c>
      <c r="G1391" s="122">
        <v>45378</v>
      </c>
      <c r="H1391" s="102" t="s">
        <v>1699</v>
      </c>
      <c r="I1391" s="122">
        <v>45366</v>
      </c>
      <c r="J1391" s="103" t="s">
        <v>1660</v>
      </c>
      <c r="K1391" s="103" t="s">
        <v>516</v>
      </c>
      <c r="L1391" s="103" t="s">
        <v>1516</v>
      </c>
      <c r="M1391" s="105">
        <v>7850000</v>
      </c>
      <c r="N1391" s="147">
        <v>1491500</v>
      </c>
      <c r="O1391" s="147">
        <v>0</v>
      </c>
      <c r="P1391" s="148">
        <v>0.01</v>
      </c>
      <c r="Q1391" s="147">
        <v>78500</v>
      </c>
      <c r="R1391" s="149">
        <v>9263000</v>
      </c>
      <c r="S13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1" s="150">
        <f ca="1">+IF(PROVEEDORES[[#This Row],[FECHA DE PAGO]]=0,TODAY()-PROVEEDORES[[#This Row],[FECHA DE FACTURACIÓN]]-PROVEEDORES[[#This Row],[PLAZO Días]],0)</f>
        <v>0</v>
      </c>
      <c r="U1391" s="150">
        <f>+VLOOKUP(PROVEEDORES[[#This Row],[PROVEEDOR]],Terceros!$A:$E,4,FALSE)</f>
        <v>0.19</v>
      </c>
      <c r="V1391" s="150">
        <f>+YEAR(PROVEEDORES[[#This Row],[FECHA DE FACTURACIÓN]])</f>
        <v>2024</v>
      </c>
      <c r="W1391" s="150">
        <f>+MATCH(PROVEEDORES[[#This Row],[año facturado]],Retenciones!$1:$1,0)</f>
        <v>7</v>
      </c>
      <c r="X1391" s="151" t="e">
        <f>+VLOOKUP(PROVEEDORES[[#This Row],[ID RETENCION]],Retenciones!$A$1:$O$25,PROVEEDORES[[#This Row],[indicador de columna]],FALSE)</f>
        <v>#N/A</v>
      </c>
      <c r="Y1391" s="152" t="e">
        <f>+VLOOKUP(PROVEEDORES[[#This Row],[ID RETENCION]],Retenciones!$A$1:$O$25,2,FALSE)</f>
        <v>#N/A</v>
      </c>
      <c r="Z1391" s="153" t="b">
        <f>+OR(COUNTIF(PROVEEDORES[[#This Row],[PROVEEDOR]],"*"&amp;'Palabra que no opera y Listas d'!$A$2&amp;"*"))</f>
        <v>0</v>
      </c>
    </row>
    <row r="1392" spans="1:26" ht="27.75" customHeight="1" x14ac:dyDescent="0.3">
      <c r="A1392" s="144" t="str">
        <f>+IF(PROVEEDORES[[#This Row],[FECHA DE PAGO]]=PROVEEDORES[[#This Row],[FECHA DE FACTURACIÓN]],"DE CONTADO","CRÉDITO")</f>
        <v>DE CONTADO</v>
      </c>
      <c r="B1392" s="144" t="b">
        <f>+IF((PROVEEDORES[[#This Row],[FECHA DE PAGO]]-PROVEEDORES[[#This Row],[FECHA DE FACTURACIÓN]])&gt;PROVEEDORES[[#This Row],[PLAZO Días]],"PAGO VENCIDO")</f>
        <v>0</v>
      </c>
      <c r="C1392" s="144">
        <f>+VLOOKUP(PROVEEDORES[[#This Row],[PROVEEDOR]],TERCEROS_INFO[#All],2,FALSE)</f>
        <v>0</v>
      </c>
      <c r="D1392" s="145">
        <f>+SUMIFS(PROVEEDORES[Total],PROVEEDORES[PROVEEDOR],PROVEEDORES[[#This Row],[PROVEEDOR]],PROVEEDORES[FECHA DE PAGO],"")</f>
        <v>0</v>
      </c>
      <c r="E1392" s="146"/>
      <c r="F1392" s="144">
        <f>+VLOOKUP(PROVEEDORES[[#This Row],[PROVEEDOR]],
                       Terceros!$A:$G,
                       5,
                       FALSE)</f>
        <v>0</v>
      </c>
      <c r="G1392" s="122">
        <v>45378</v>
      </c>
      <c r="H1392" s="102" t="s">
        <v>1801</v>
      </c>
      <c r="I1392" s="122">
        <v>45378</v>
      </c>
      <c r="J1392" s="103"/>
      <c r="K1392" s="103" t="s">
        <v>1512</v>
      </c>
      <c r="L1392" s="103" t="s">
        <v>1390</v>
      </c>
      <c r="M1392" s="105">
        <v>442000</v>
      </c>
      <c r="N1392" s="147">
        <v>0</v>
      </c>
      <c r="O1392" s="147">
        <v>0</v>
      </c>
      <c r="P1392" s="148">
        <v>0</v>
      </c>
      <c r="Q1392" s="147">
        <v>0</v>
      </c>
      <c r="R1392" s="149">
        <v>442000</v>
      </c>
      <c r="S13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2" s="150">
        <f ca="1">+IF(PROVEEDORES[[#This Row],[FECHA DE PAGO]]=0,TODAY()-PROVEEDORES[[#This Row],[FECHA DE FACTURACIÓN]]-PROVEEDORES[[#This Row],[PLAZO Días]],0)</f>
        <v>0</v>
      </c>
      <c r="U1392" s="150">
        <f>+VLOOKUP(PROVEEDORES[[#This Row],[PROVEEDOR]],Terceros!$A:$E,4,FALSE)</f>
        <v>0</v>
      </c>
      <c r="V1392" s="150">
        <f>+YEAR(PROVEEDORES[[#This Row],[FECHA DE FACTURACIÓN]])</f>
        <v>2024</v>
      </c>
      <c r="W1392" s="150">
        <f>+MATCH(PROVEEDORES[[#This Row],[año facturado]],Retenciones!$1:$1,0)</f>
        <v>7</v>
      </c>
      <c r="X1392" s="151">
        <f>+VLOOKUP(PROVEEDORES[[#This Row],[ID RETENCION]],Retenciones!$A$1:$O$25,PROVEEDORES[[#This Row],[indicador de columna]],FALSE)</f>
        <v>0</v>
      </c>
      <c r="Y1392" s="152">
        <f>+VLOOKUP(PROVEEDORES[[#This Row],[ID RETENCION]],Retenciones!$A$1:$O$25,2,FALSE)</f>
        <v>0</v>
      </c>
      <c r="Z1392" s="153" t="b">
        <f>+OR(COUNTIF(PROVEEDORES[[#This Row],[PROVEEDOR]],"*"&amp;'Palabra que no opera y Listas d'!$A$2&amp;"*"))</f>
        <v>0</v>
      </c>
    </row>
    <row r="1393" spans="1:26" ht="27.75" customHeight="1" x14ac:dyDescent="0.3">
      <c r="A1393" s="144" t="str">
        <f>+IF(PROVEEDORES[[#This Row],[FECHA DE PAGO]]=PROVEEDORES[[#This Row],[FECHA DE FACTURACIÓN]],"DE CONTADO","CRÉDITO")</f>
        <v>DE CONTADO</v>
      </c>
      <c r="B1393" s="144" t="b">
        <f>+IF((PROVEEDORES[[#This Row],[FECHA DE PAGO]]-PROVEEDORES[[#This Row],[FECHA DE FACTURACIÓN]])&gt;PROVEEDORES[[#This Row],[PLAZO Días]],"PAGO VENCIDO")</f>
        <v>0</v>
      </c>
      <c r="C1393" s="144">
        <f>+VLOOKUP(PROVEEDORES[[#This Row],[PROVEEDOR]],TERCEROS_INFO[#All],2,FALSE)</f>
        <v>0</v>
      </c>
      <c r="D1393" s="145">
        <f>+SUMIFS(PROVEEDORES[Total],PROVEEDORES[PROVEEDOR],PROVEEDORES[[#This Row],[PROVEEDOR]],PROVEEDORES[FECHA DE PAGO],"")</f>
        <v>0</v>
      </c>
      <c r="E1393" s="146"/>
      <c r="F1393" s="144">
        <f>+VLOOKUP(PROVEEDORES[[#This Row],[PROVEEDOR]],
                       Terceros!$A:$G,
                       5,
                       FALSE)</f>
        <v>0</v>
      </c>
      <c r="G1393" s="122">
        <v>45378</v>
      </c>
      <c r="H1393" s="102" t="s">
        <v>1801</v>
      </c>
      <c r="I1393" s="122">
        <v>45378</v>
      </c>
      <c r="J1393" s="103"/>
      <c r="K1393" s="103" t="s">
        <v>1512</v>
      </c>
      <c r="L1393" s="103" t="s">
        <v>1390</v>
      </c>
      <c r="M1393" s="105">
        <v>983554</v>
      </c>
      <c r="N1393" s="147">
        <v>0</v>
      </c>
      <c r="O1393" s="147">
        <v>0</v>
      </c>
      <c r="P1393" s="148">
        <v>0</v>
      </c>
      <c r="Q1393" s="147">
        <v>0</v>
      </c>
      <c r="R1393" s="149">
        <v>983554</v>
      </c>
      <c r="S13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3" s="150">
        <f ca="1">+IF(PROVEEDORES[[#This Row],[FECHA DE PAGO]]=0,TODAY()-PROVEEDORES[[#This Row],[FECHA DE FACTURACIÓN]]-PROVEEDORES[[#This Row],[PLAZO Días]],0)</f>
        <v>0</v>
      </c>
      <c r="U1393" s="150">
        <f>+VLOOKUP(PROVEEDORES[[#This Row],[PROVEEDOR]],Terceros!$A:$E,4,FALSE)</f>
        <v>0</v>
      </c>
      <c r="V1393" s="150">
        <f>+YEAR(PROVEEDORES[[#This Row],[FECHA DE FACTURACIÓN]])</f>
        <v>2024</v>
      </c>
      <c r="W1393" s="150">
        <f>+MATCH(PROVEEDORES[[#This Row],[año facturado]],Retenciones!$1:$1,0)</f>
        <v>7</v>
      </c>
      <c r="X1393" s="151">
        <f>+VLOOKUP(PROVEEDORES[[#This Row],[ID RETENCION]],Retenciones!$A$1:$O$25,PROVEEDORES[[#This Row],[indicador de columna]],FALSE)</f>
        <v>0</v>
      </c>
      <c r="Y1393" s="152">
        <f>+VLOOKUP(PROVEEDORES[[#This Row],[ID RETENCION]],Retenciones!$A$1:$O$25,2,FALSE)</f>
        <v>0</v>
      </c>
      <c r="Z1393" s="153" t="b">
        <f>+OR(COUNTIF(PROVEEDORES[[#This Row],[PROVEEDOR]],"*"&amp;'Palabra que no opera y Listas d'!$A$2&amp;"*"))</f>
        <v>0</v>
      </c>
    </row>
    <row r="1394" spans="1:26" ht="27.75" customHeight="1" x14ac:dyDescent="0.3">
      <c r="A1394" s="144" t="str">
        <f>+IF(PROVEEDORES[[#This Row],[FECHA DE PAGO]]=PROVEEDORES[[#This Row],[FECHA DE FACTURACIÓN]],"DE CONTADO","CRÉDITO")</f>
        <v>CRÉDITO</v>
      </c>
      <c r="B1394" s="144" t="str">
        <f>+IF((PROVEEDORES[[#This Row],[FECHA DE PAGO]]-PROVEEDORES[[#This Row],[FECHA DE FACTURACIÓN]])&gt;PROVEEDORES[[#This Row],[PLAZO Días]],"PAGO VENCIDO")</f>
        <v>PAGO VENCIDO</v>
      </c>
      <c r="C1394" s="144">
        <f>+VLOOKUP(PROVEEDORES[[#This Row],[PROVEEDOR]],TERCEROS_INFO[#All],2,FALSE)</f>
        <v>0</v>
      </c>
      <c r="D1394" s="145">
        <f>+SUMIFS(PROVEEDORES[Total],PROVEEDORES[PROVEEDOR],PROVEEDORES[[#This Row],[PROVEEDOR]],PROVEEDORES[FECHA DE PAGO],"")</f>
        <v>0</v>
      </c>
      <c r="E1394" s="146"/>
      <c r="F1394" s="144">
        <f>+VLOOKUP(PROVEEDORES[[#This Row],[PROVEEDOR]],
                       Terceros!$A:$G,
                       5,
                       FALSE)</f>
        <v>0</v>
      </c>
      <c r="G1394" s="122">
        <v>45383</v>
      </c>
      <c r="H1394" s="102" t="s">
        <v>1789</v>
      </c>
      <c r="I1394" s="122">
        <v>45341</v>
      </c>
      <c r="J1394" s="103" t="s">
        <v>1594</v>
      </c>
      <c r="K1394" s="103" t="s">
        <v>1512</v>
      </c>
      <c r="L1394" s="103" t="s">
        <v>1390</v>
      </c>
      <c r="M1394" s="105">
        <v>1249000</v>
      </c>
      <c r="N1394" s="147">
        <v>0</v>
      </c>
      <c r="O1394" s="147">
        <v>0</v>
      </c>
      <c r="P1394" s="148">
        <v>0</v>
      </c>
      <c r="Q1394" s="147">
        <v>0</v>
      </c>
      <c r="R1394" s="149">
        <v>1249000</v>
      </c>
      <c r="S13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4" s="150">
        <f ca="1">+IF(PROVEEDORES[[#This Row],[FECHA DE PAGO]]=0,TODAY()-PROVEEDORES[[#This Row],[FECHA DE FACTURACIÓN]]-PROVEEDORES[[#This Row],[PLAZO Días]],0)</f>
        <v>0</v>
      </c>
      <c r="U1394" s="150">
        <f>+VLOOKUP(PROVEEDORES[[#This Row],[PROVEEDOR]],Terceros!$A:$E,4,FALSE)</f>
        <v>0</v>
      </c>
      <c r="V1394" s="150">
        <f>+YEAR(PROVEEDORES[[#This Row],[FECHA DE FACTURACIÓN]])</f>
        <v>2024</v>
      </c>
      <c r="W1394" s="150">
        <f>+MATCH(PROVEEDORES[[#This Row],[año facturado]],Retenciones!$1:$1,0)</f>
        <v>7</v>
      </c>
      <c r="X1394" s="151">
        <f>+VLOOKUP(PROVEEDORES[[#This Row],[ID RETENCION]],Retenciones!$A$1:$O$25,PROVEEDORES[[#This Row],[indicador de columna]],FALSE)</f>
        <v>0</v>
      </c>
      <c r="Y1394" s="152">
        <f>+VLOOKUP(PROVEEDORES[[#This Row],[ID RETENCION]],Retenciones!$A$1:$O$25,2,FALSE)</f>
        <v>0</v>
      </c>
      <c r="Z1394" s="153" t="b">
        <f>+OR(COUNTIF(PROVEEDORES[[#This Row],[PROVEEDOR]],"*"&amp;'Palabra que no opera y Listas d'!$A$2&amp;"*"))</f>
        <v>0</v>
      </c>
    </row>
    <row r="1395" spans="1:26" ht="27.75" customHeight="1" x14ac:dyDescent="0.3">
      <c r="A1395" s="144" t="str">
        <f>+IF(PROVEEDORES[[#This Row],[FECHA DE PAGO]]=PROVEEDORES[[#This Row],[FECHA DE FACTURACIÓN]],"DE CONTADO","CRÉDITO")</f>
        <v>CRÉDITO</v>
      </c>
      <c r="B1395" s="144" t="str">
        <f>+IF((PROVEEDORES[[#This Row],[FECHA DE PAGO]]-PROVEEDORES[[#This Row],[FECHA DE FACTURACIÓN]])&gt;PROVEEDORES[[#This Row],[PLAZO Días]],"PAGO VENCIDO")</f>
        <v>PAGO VENCIDO</v>
      </c>
      <c r="C1395" s="144">
        <f>+VLOOKUP(PROVEEDORES[[#This Row],[PROVEEDOR]],TERCEROS_INFO[#All],2,FALSE)</f>
        <v>0</v>
      </c>
      <c r="D1395" s="145">
        <f>+SUMIFS(PROVEEDORES[Total],PROVEEDORES[PROVEEDOR],PROVEEDORES[[#This Row],[PROVEEDOR]],PROVEEDORES[FECHA DE PAGO],"")</f>
        <v>0</v>
      </c>
      <c r="E1395" s="146"/>
      <c r="F1395" s="144">
        <f>+VLOOKUP(PROVEEDORES[[#This Row],[PROVEEDOR]],
                       Terceros!$A:$G,
                       5,
                       FALSE)</f>
        <v>0</v>
      </c>
      <c r="G1395" s="122">
        <v>45383</v>
      </c>
      <c r="H1395" s="102" t="s">
        <v>1806</v>
      </c>
      <c r="I1395" s="122">
        <v>45344</v>
      </c>
      <c r="J1395" s="103" t="s">
        <v>1580</v>
      </c>
      <c r="K1395" s="103" t="s">
        <v>1512</v>
      </c>
      <c r="L1395" s="103" t="s">
        <v>1390</v>
      </c>
      <c r="M1395" s="105">
        <v>8330500</v>
      </c>
      <c r="N1395" s="147">
        <v>0</v>
      </c>
      <c r="O1395" s="147">
        <v>249915</v>
      </c>
      <c r="P1395" s="148">
        <v>0</v>
      </c>
      <c r="Q1395" s="147">
        <v>0</v>
      </c>
      <c r="R1395" s="149">
        <v>8080585</v>
      </c>
      <c r="S13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5" s="150">
        <f ca="1">+IF(PROVEEDORES[[#This Row],[FECHA DE PAGO]]=0,TODAY()-PROVEEDORES[[#This Row],[FECHA DE FACTURACIÓN]]-PROVEEDORES[[#This Row],[PLAZO Días]],0)</f>
        <v>0</v>
      </c>
      <c r="U1395" s="150">
        <f>+VLOOKUP(PROVEEDORES[[#This Row],[PROVEEDOR]],Terceros!$A:$E,4,FALSE)</f>
        <v>0</v>
      </c>
      <c r="V1395" s="150">
        <f>+YEAR(PROVEEDORES[[#This Row],[FECHA DE FACTURACIÓN]])</f>
        <v>2024</v>
      </c>
      <c r="W1395" s="150">
        <f>+MATCH(PROVEEDORES[[#This Row],[año facturado]],Retenciones!$1:$1,0)</f>
        <v>7</v>
      </c>
      <c r="X1395" s="151">
        <f>+VLOOKUP(PROVEEDORES[[#This Row],[ID RETENCION]],Retenciones!$A$1:$O$25,PROVEEDORES[[#This Row],[indicador de columna]],FALSE)</f>
        <v>0</v>
      </c>
      <c r="Y1395" s="152">
        <f>+VLOOKUP(PROVEEDORES[[#This Row],[ID RETENCION]],Retenciones!$A$1:$O$25,2,FALSE)</f>
        <v>0</v>
      </c>
      <c r="Z1395" s="153" t="b">
        <f>+OR(COUNTIF(PROVEEDORES[[#This Row],[PROVEEDOR]],"*"&amp;'Palabra que no opera y Listas d'!$A$2&amp;"*"))</f>
        <v>0</v>
      </c>
    </row>
    <row r="1396" spans="1:26" ht="27.75" customHeight="1" x14ac:dyDescent="0.3">
      <c r="A1396" s="144" t="str">
        <f>+IF(PROVEEDORES[[#This Row],[FECHA DE PAGO]]=PROVEEDORES[[#This Row],[FECHA DE FACTURACIÓN]],"DE CONTADO","CRÉDITO")</f>
        <v>CRÉDITO</v>
      </c>
      <c r="B1396" s="144" t="str">
        <f>+IF((PROVEEDORES[[#This Row],[FECHA DE PAGO]]-PROVEEDORES[[#This Row],[FECHA DE FACTURACIÓN]])&gt;PROVEEDORES[[#This Row],[PLAZO Días]],"PAGO VENCIDO")</f>
        <v>PAGO VENCIDO</v>
      </c>
      <c r="C1396" s="144">
        <f>+VLOOKUP(PROVEEDORES[[#This Row],[PROVEEDOR]],TERCEROS_INFO[#All],2,FALSE)</f>
        <v>0</v>
      </c>
      <c r="D1396" s="145">
        <f>+SUMIFS(PROVEEDORES[Total],PROVEEDORES[PROVEEDOR],PROVEEDORES[[#This Row],[PROVEEDOR]],PROVEEDORES[FECHA DE PAGO],"")</f>
        <v>26134091.5</v>
      </c>
      <c r="E1396" s="146"/>
      <c r="F1396" s="144">
        <f>+VLOOKUP(PROVEEDORES[[#This Row],[PROVEEDOR]],
                       Terceros!$A:$G,
                       5,
                       FALSE)</f>
        <v>0</v>
      </c>
      <c r="G1396" s="122">
        <v>45383</v>
      </c>
      <c r="H1396" s="102" t="s">
        <v>238</v>
      </c>
      <c r="I1396" s="122">
        <v>45344</v>
      </c>
      <c r="J1396" s="103">
        <v>1924</v>
      </c>
      <c r="K1396" s="103" t="s">
        <v>516</v>
      </c>
      <c r="L1396" s="103" t="s">
        <v>1515</v>
      </c>
      <c r="M1396" s="105">
        <v>168454</v>
      </c>
      <c r="N1396" s="147">
        <v>0</v>
      </c>
      <c r="O1396" s="147">
        <v>0</v>
      </c>
      <c r="P1396" s="148">
        <v>0</v>
      </c>
      <c r="Q1396" s="147">
        <v>0</v>
      </c>
      <c r="R1396" s="149">
        <v>168454</v>
      </c>
      <c r="S13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6" s="150">
        <f ca="1">+IF(PROVEEDORES[[#This Row],[FECHA DE PAGO]]=0,TODAY()-PROVEEDORES[[#This Row],[FECHA DE FACTURACIÓN]]-PROVEEDORES[[#This Row],[PLAZO Días]],0)</f>
        <v>0</v>
      </c>
      <c r="U1396" s="150">
        <f>+VLOOKUP(PROVEEDORES[[#This Row],[PROVEEDOR]],Terceros!$A:$E,4,FALSE)</f>
        <v>0</v>
      </c>
      <c r="V1396" s="150">
        <f>+YEAR(PROVEEDORES[[#This Row],[FECHA DE FACTURACIÓN]])</f>
        <v>2024</v>
      </c>
      <c r="W1396" s="150">
        <f>+MATCH(PROVEEDORES[[#This Row],[año facturado]],Retenciones!$1:$1,0)</f>
        <v>7</v>
      </c>
      <c r="X1396" s="151">
        <f>+VLOOKUP(PROVEEDORES[[#This Row],[ID RETENCION]],Retenciones!$A$1:$O$25,PROVEEDORES[[#This Row],[indicador de columna]],FALSE)</f>
        <v>0</v>
      </c>
      <c r="Y1396" s="152">
        <f>+VLOOKUP(PROVEEDORES[[#This Row],[ID RETENCION]],Retenciones!$A$1:$O$25,2,FALSE)</f>
        <v>0</v>
      </c>
      <c r="Z1396" s="153" t="b">
        <f>+OR(COUNTIF(PROVEEDORES[[#This Row],[PROVEEDOR]],"*"&amp;'Palabra que no opera y Listas d'!$A$2&amp;"*"))</f>
        <v>0</v>
      </c>
    </row>
    <row r="1397" spans="1:26" ht="27.75" customHeight="1" x14ac:dyDescent="0.3">
      <c r="A1397" s="144" t="str">
        <f>+IF(PROVEEDORES[[#This Row],[FECHA DE PAGO]]=PROVEEDORES[[#This Row],[FECHA DE FACTURACIÓN]],"DE CONTADO","CRÉDITO")</f>
        <v>CRÉDITO</v>
      </c>
      <c r="B1397" s="144" t="str">
        <f>+IF((PROVEEDORES[[#This Row],[FECHA DE PAGO]]-PROVEEDORES[[#This Row],[FECHA DE FACTURACIÓN]])&gt;PROVEEDORES[[#This Row],[PLAZO Días]],"PAGO VENCIDO")</f>
        <v>PAGO VENCIDO</v>
      </c>
      <c r="C1397" s="144">
        <f>+VLOOKUP(PROVEEDORES[[#This Row],[PROVEEDOR]],TERCEROS_INFO[#All],2,FALSE)</f>
        <v>0</v>
      </c>
      <c r="D1397" s="145">
        <f>+SUMIFS(PROVEEDORES[Total],PROVEEDORES[PROVEEDOR],PROVEEDORES[[#This Row],[PROVEEDOR]],PROVEEDORES[FECHA DE PAGO],"")</f>
        <v>26134091.5</v>
      </c>
      <c r="E1397" s="146"/>
      <c r="F1397" s="144">
        <f>+VLOOKUP(PROVEEDORES[[#This Row],[PROVEEDOR]],
                       Terceros!$A:$G,
                       5,
                       FALSE)</f>
        <v>0</v>
      </c>
      <c r="G1397" s="122">
        <v>45383</v>
      </c>
      <c r="H1397" s="102" t="s">
        <v>238</v>
      </c>
      <c r="I1397" s="122">
        <v>45349</v>
      </c>
      <c r="J1397" s="103">
        <v>1929</v>
      </c>
      <c r="K1397" s="103" t="s">
        <v>516</v>
      </c>
      <c r="L1397" s="103" t="s">
        <v>1515</v>
      </c>
      <c r="M1397" s="105">
        <v>459420</v>
      </c>
      <c r="N1397" s="147">
        <v>0</v>
      </c>
      <c r="O1397" s="147">
        <v>0</v>
      </c>
      <c r="P1397" s="148">
        <v>0</v>
      </c>
      <c r="Q1397" s="147">
        <v>0</v>
      </c>
      <c r="R1397" s="149">
        <v>459420</v>
      </c>
      <c r="S13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7" s="150">
        <f ca="1">+IF(PROVEEDORES[[#This Row],[FECHA DE PAGO]]=0,TODAY()-PROVEEDORES[[#This Row],[FECHA DE FACTURACIÓN]]-PROVEEDORES[[#This Row],[PLAZO Días]],0)</f>
        <v>0</v>
      </c>
      <c r="U1397" s="150">
        <f>+VLOOKUP(PROVEEDORES[[#This Row],[PROVEEDOR]],Terceros!$A:$E,4,FALSE)</f>
        <v>0</v>
      </c>
      <c r="V1397" s="150">
        <f>+YEAR(PROVEEDORES[[#This Row],[FECHA DE FACTURACIÓN]])</f>
        <v>2024</v>
      </c>
      <c r="W1397" s="150">
        <f>+MATCH(PROVEEDORES[[#This Row],[año facturado]],Retenciones!$1:$1,0)</f>
        <v>7</v>
      </c>
      <c r="X1397" s="151">
        <f>+VLOOKUP(PROVEEDORES[[#This Row],[ID RETENCION]],Retenciones!$A$1:$O$25,PROVEEDORES[[#This Row],[indicador de columna]],FALSE)</f>
        <v>0</v>
      </c>
      <c r="Y1397" s="152">
        <f>+VLOOKUP(PROVEEDORES[[#This Row],[ID RETENCION]],Retenciones!$A$1:$O$25,2,FALSE)</f>
        <v>0</v>
      </c>
      <c r="Z1397" s="153" t="b">
        <f>+OR(COUNTIF(PROVEEDORES[[#This Row],[PROVEEDOR]],"*"&amp;'Palabra que no opera y Listas d'!$A$2&amp;"*"))</f>
        <v>0</v>
      </c>
    </row>
    <row r="1398" spans="1:26" ht="27.75" customHeight="1" x14ac:dyDescent="0.3">
      <c r="A1398" s="144" t="str">
        <f>+IF(PROVEEDORES[[#This Row],[FECHA DE PAGO]]=PROVEEDORES[[#This Row],[FECHA DE FACTURACIÓN]],"DE CONTADO","CRÉDITO")</f>
        <v>CRÉDITO</v>
      </c>
      <c r="B1398" s="144" t="str">
        <f>+IF((PROVEEDORES[[#This Row],[FECHA DE PAGO]]-PROVEEDORES[[#This Row],[FECHA DE FACTURACIÓN]])&gt;PROVEEDORES[[#This Row],[PLAZO Días]],"PAGO VENCIDO")</f>
        <v>PAGO VENCIDO</v>
      </c>
      <c r="C1398" s="144">
        <f>+VLOOKUP(PROVEEDORES[[#This Row],[PROVEEDOR]],TERCEROS_INFO[#All],2,FALSE)</f>
        <v>0</v>
      </c>
      <c r="D1398" s="145">
        <f>+SUMIFS(PROVEEDORES[Total],PROVEEDORES[PROVEEDOR],PROVEEDORES[[#This Row],[PROVEEDOR]],PROVEEDORES[FECHA DE PAGO],"")</f>
        <v>26134091.5</v>
      </c>
      <c r="E1398" s="146"/>
      <c r="F1398" s="144">
        <f>+VLOOKUP(PROVEEDORES[[#This Row],[PROVEEDOR]],
                       Terceros!$A:$G,
                       5,
                       FALSE)</f>
        <v>0</v>
      </c>
      <c r="G1398" s="122">
        <v>45383</v>
      </c>
      <c r="H1398" s="102" t="s">
        <v>238</v>
      </c>
      <c r="I1398" s="122">
        <v>45351</v>
      </c>
      <c r="J1398" s="103">
        <v>1939</v>
      </c>
      <c r="K1398" s="103" t="s">
        <v>516</v>
      </c>
      <c r="L1398" s="103" t="s">
        <v>1515</v>
      </c>
      <c r="M1398" s="105">
        <v>490048</v>
      </c>
      <c r="N1398" s="147">
        <v>0</v>
      </c>
      <c r="O1398" s="147">
        <v>0</v>
      </c>
      <c r="P1398" s="148">
        <v>0</v>
      </c>
      <c r="Q1398" s="147">
        <v>0</v>
      </c>
      <c r="R1398" s="149">
        <v>490048</v>
      </c>
      <c r="S13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8" s="150">
        <f ca="1">+IF(PROVEEDORES[[#This Row],[FECHA DE PAGO]]=0,TODAY()-PROVEEDORES[[#This Row],[FECHA DE FACTURACIÓN]]-PROVEEDORES[[#This Row],[PLAZO Días]],0)</f>
        <v>0</v>
      </c>
      <c r="U1398" s="150">
        <f>+VLOOKUP(PROVEEDORES[[#This Row],[PROVEEDOR]],Terceros!$A:$E,4,FALSE)</f>
        <v>0</v>
      </c>
      <c r="V1398" s="150">
        <f>+YEAR(PROVEEDORES[[#This Row],[FECHA DE FACTURACIÓN]])</f>
        <v>2024</v>
      </c>
      <c r="W1398" s="150">
        <f>+MATCH(PROVEEDORES[[#This Row],[año facturado]],Retenciones!$1:$1,0)</f>
        <v>7</v>
      </c>
      <c r="X1398" s="151">
        <f>+VLOOKUP(PROVEEDORES[[#This Row],[ID RETENCION]],Retenciones!$A$1:$O$25,PROVEEDORES[[#This Row],[indicador de columna]],FALSE)</f>
        <v>0</v>
      </c>
      <c r="Y1398" s="152">
        <f>+VLOOKUP(PROVEEDORES[[#This Row],[ID RETENCION]],Retenciones!$A$1:$O$25,2,FALSE)</f>
        <v>0</v>
      </c>
      <c r="Z1398" s="153" t="b">
        <f>+OR(COUNTIF(PROVEEDORES[[#This Row],[PROVEEDOR]],"*"&amp;'Palabra que no opera y Listas d'!$A$2&amp;"*"))</f>
        <v>0</v>
      </c>
    </row>
    <row r="1399" spans="1:26" ht="27.75" customHeight="1" x14ac:dyDescent="0.3">
      <c r="A1399" s="144" t="str">
        <f>+IF(PROVEEDORES[[#This Row],[FECHA DE PAGO]]=PROVEEDORES[[#This Row],[FECHA DE FACTURACIÓN]],"DE CONTADO","CRÉDITO")</f>
        <v>CRÉDITO</v>
      </c>
      <c r="B1399" s="144" t="str">
        <f>+IF((PROVEEDORES[[#This Row],[FECHA DE PAGO]]-PROVEEDORES[[#This Row],[FECHA DE FACTURACIÓN]])&gt;PROVEEDORES[[#This Row],[PLAZO Días]],"PAGO VENCIDO")</f>
        <v>PAGO VENCIDO</v>
      </c>
      <c r="C1399" s="144">
        <f>+VLOOKUP(PROVEEDORES[[#This Row],[PROVEEDOR]],TERCEROS_INFO[#All],2,FALSE)</f>
        <v>0</v>
      </c>
      <c r="D1399" s="145">
        <f>+SUMIFS(PROVEEDORES[Total],PROVEEDORES[PROVEEDOR],PROVEEDORES[[#This Row],[PROVEEDOR]],PROVEEDORES[FECHA DE PAGO],"")</f>
        <v>26134091.5</v>
      </c>
      <c r="E1399" s="146"/>
      <c r="F1399" s="144">
        <f>+VLOOKUP(PROVEEDORES[[#This Row],[PROVEEDOR]],
                       Terceros!$A:$G,
                       5,
                       FALSE)</f>
        <v>0</v>
      </c>
      <c r="G1399" s="122">
        <v>45383</v>
      </c>
      <c r="H1399" s="102" t="s">
        <v>238</v>
      </c>
      <c r="I1399" s="122">
        <v>45352</v>
      </c>
      <c r="J1399" s="103">
        <v>1941</v>
      </c>
      <c r="K1399" s="103" t="s">
        <v>516</v>
      </c>
      <c r="L1399" s="103" t="s">
        <v>1515</v>
      </c>
      <c r="M1399" s="105">
        <v>658502</v>
      </c>
      <c r="N1399" s="147">
        <v>0</v>
      </c>
      <c r="O1399" s="147">
        <v>0</v>
      </c>
      <c r="P1399" s="148">
        <v>0</v>
      </c>
      <c r="Q1399" s="147">
        <v>0</v>
      </c>
      <c r="R1399" s="149">
        <v>658502</v>
      </c>
      <c r="S13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9" s="150">
        <f ca="1">+IF(PROVEEDORES[[#This Row],[FECHA DE PAGO]]=0,TODAY()-PROVEEDORES[[#This Row],[FECHA DE FACTURACIÓN]]-PROVEEDORES[[#This Row],[PLAZO Días]],0)</f>
        <v>0</v>
      </c>
      <c r="U1399" s="150">
        <f>+VLOOKUP(PROVEEDORES[[#This Row],[PROVEEDOR]],Terceros!$A:$E,4,FALSE)</f>
        <v>0</v>
      </c>
      <c r="V1399" s="150">
        <f>+YEAR(PROVEEDORES[[#This Row],[FECHA DE FACTURACIÓN]])</f>
        <v>2024</v>
      </c>
      <c r="W1399" s="150">
        <f>+MATCH(PROVEEDORES[[#This Row],[año facturado]],Retenciones!$1:$1,0)</f>
        <v>7</v>
      </c>
      <c r="X1399" s="151">
        <f>+VLOOKUP(PROVEEDORES[[#This Row],[ID RETENCION]],Retenciones!$A$1:$O$25,PROVEEDORES[[#This Row],[indicador de columna]],FALSE)</f>
        <v>0</v>
      </c>
      <c r="Y1399" s="152">
        <f>+VLOOKUP(PROVEEDORES[[#This Row],[ID RETENCION]],Retenciones!$A$1:$O$25,2,FALSE)</f>
        <v>0</v>
      </c>
      <c r="Z1399" s="153" t="b">
        <f>+OR(COUNTIF(PROVEEDORES[[#This Row],[PROVEEDOR]],"*"&amp;'Palabra que no opera y Listas d'!$A$2&amp;"*"))</f>
        <v>0</v>
      </c>
    </row>
    <row r="1400" spans="1:26" ht="27.75" customHeight="1" x14ac:dyDescent="0.3">
      <c r="A1400" s="144" t="str">
        <f>+IF(PROVEEDORES[[#This Row],[FECHA DE PAGO]]=PROVEEDORES[[#This Row],[FECHA DE FACTURACIÓN]],"DE CONTADO","CRÉDITO")</f>
        <v>CRÉDITO</v>
      </c>
      <c r="B1400" s="144" t="str">
        <f>+IF((PROVEEDORES[[#This Row],[FECHA DE PAGO]]-PROVEEDORES[[#This Row],[FECHA DE FACTURACIÓN]])&gt;PROVEEDORES[[#This Row],[PLAZO Días]],"PAGO VENCIDO")</f>
        <v>PAGO VENCIDO</v>
      </c>
      <c r="C1400" s="144">
        <f>+VLOOKUP(PROVEEDORES[[#This Row],[PROVEEDOR]],TERCEROS_INFO[#All],2,FALSE)</f>
        <v>0</v>
      </c>
      <c r="D1400" s="145">
        <f>+SUMIFS(PROVEEDORES[Total],PROVEEDORES[PROVEEDOR],PROVEEDORES[[#This Row],[PROVEEDOR]],PROVEEDORES[FECHA DE PAGO],"")</f>
        <v>26134091.5</v>
      </c>
      <c r="E1400" s="146"/>
      <c r="F1400" s="144">
        <f>+VLOOKUP(PROVEEDORES[[#This Row],[PROVEEDOR]],
                       Terceros!$A:$G,
                       5,
                       FALSE)</f>
        <v>0</v>
      </c>
      <c r="G1400" s="122">
        <v>45383</v>
      </c>
      <c r="H1400" s="102" t="s">
        <v>238</v>
      </c>
      <c r="I1400" s="122">
        <v>45352</v>
      </c>
      <c r="J1400" s="103">
        <v>1951</v>
      </c>
      <c r="K1400" s="103" t="s">
        <v>516</v>
      </c>
      <c r="L1400" s="103" t="s">
        <v>1515</v>
      </c>
      <c r="M1400" s="105">
        <v>245024</v>
      </c>
      <c r="N1400" s="147">
        <v>0</v>
      </c>
      <c r="O1400" s="147">
        <v>0</v>
      </c>
      <c r="P1400" s="148">
        <v>0</v>
      </c>
      <c r="Q1400" s="147">
        <v>0</v>
      </c>
      <c r="R1400" s="149">
        <v>245024</v>
      </c>
      <c r="S14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0" s="150">
        <f ca="1">+IF(PROVEEDORES[[#This Row],[FECHA DE PAGO]]=0,TODAY()-PROVEEDORES[[#This Row],[FECHA DE FACTURACIÓN]]-PROVEEDORES[[#This Row],[PLAZO Días]],0)</f>
        <v>0</v>
      </c>
      <c r="U1400" s="150">
        <f>+VLOOKUP(PROVEEDORES[[#This Row],[PROVEEDOR]],Terceros!$A:$E,4,FALSE)</f>
        <v>0</v>
      </c>
      <c r="V1400" s="150">
        <f>+YEAR(PROVEEDORES[[#This Row],[FECHA DE FACTURACIÓN]])</f>
        <v>2024</v>
      </c>
      <c r="W1400" s="150">
        <f>+MATCH(PROVEEDORES[[#This Row],[año facturado]],Retenciones!$1:$1,0)</f>
        <v>7</v>
      </c>
      <c r="X1400" s="151">
        <f>+VLOOKUP(PROVEEDORES[[#This Row],[ID RETENCION]],Retenciones!$A$1:$O$25,PROVEEDORES[[#This Row],[indicador de columna]],FALSE)</f>
        <v>0</v>
      </c>
      <c r="Y1400" s="152">
        <f>+VLOOKUP(PROVEEDORES[[#This Row],[ID RETENCION]],Retenciones!$A$1:$O$25,2,FALSE)</f>
        <v>0</v>
      </c>
      <c r="Z1400" s="153" t="b">
        <f>+OR(COUNTIF(PROVEEDORES[[#This Row],[PROVEEDOR]],"*"&amp;'Palabra que no opera y Listas d'!$A$2&amp;"*"))</f>
        <v>0</v>
      </c>
    </row>
    <row r="1401" spans="1:26" ht="27.75" customHeight="1" x14ac:dyDescent="0.3">
      <c r="A1401" s="144" t="str">
        <f>+IF(PROVEEDORES[[#This Row],[FECHA DE PAGO]]=PROVEEDORES[[#This Row],[FECHA DE FACTURACIÓN]],"DE CONTADO","CRÉDITO")</f>
        <v>CRÉDITO</v>
      </c>
      <c r="B1401" s="144" t="str">
        <f>+IF((PROVEEDORES[[#This Row],[FECHA DE PAGO]]-PROVEEDORES[[#This Row],[FECHA DE FACTURACIÓN]])&gt;PROVEEDORES[[#This Row],[PLAZO Días]],"PAGO VENCIDO")</f>
        <v>PAGO VENCIDO</v>
      </c>
      <c r="C1401" s="144">
        <f>+VLOOKUP(PROVEEDORES[[#This Row],[PROVEEDOR]],TERCEROS_INFO[#All],2,FALSE)</f>
        <v>0</v>
      </c>
      <c r="D1401" s="145">
        <f>+SUMIFS(PROVEEDORES[Total],PROVEEDORES[PROVEEDOR],PROVEEDORES[[#This Row],[PROVEEDOR]],PROVEEDORES[FECHA DE PAGO],"")</f>
        <v>0</v>
      </c>
      <c r="E1401" s="146"/>
      <c r="F1401" s="144">
        <f>+VLOOKUP(PROVEEDORES[[#This Row],[PROVEEDOR]],
                       Terceros!$A:$G,
                       5,
                       FALSE)</f>
        <v>0</v>
      </c>
      <c r="G1401" s="122">
        <v>45383</v>
      </c>
      <c r="H1401" s="102" t="s">
        <v>1785</v>
      </c>
      <c r="I1401" s="122">
        <v>45330</v>
      </c>
      <c r="J1401" s="103" t="s">
        <v>1588</v>
      </c>
      <c r="K1401" s="103" t="s">
        <v>1512</v>
      </c>
      <c r="L1401" s="103" t="s">
        <v>1518</v>
      </c>
      <c r="M1401" s="105">
        <v>245000</v>
      </c>
      <c r="N1401" s="147">
        <v>0</v>
      </c>
      <c r="O1401" s="147">
        <v>0</v>
      </c>
      <c r="P1401" s="148">
        <v>0</v>
      </c>
      <c r="Q1401" s="147">
        <v>0</v>
      </c>
      <c r="R1401" s="149">
        <v>245000</v>
      </c>
      <c r="S14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1" s="150">
        <f ca="1">+IF(PROVEEDORES[[#This Row],[FECHA DE PAGO]]=0,TODAY()-PROVEEDORES[[#This Row],[FECHA DE FACTURACIÓN]]-PROVEEDORES[[#This Row],[PLAZO Días]],0)</f>
        <v>0</v>
      </c>
      <c r="U1401" s="150">
        <f>+VLOOKUP(PROVEEDORES[[#This Row],[PROVEEDOR]],Terceros!$A:$E,4,FALSE)</f>
        <v>0</v>
      </c>
      <c r="V1401" s="150">
        <f>+YEAR(PROVEEDORES[[#This Row],[FECHA DE FACTURACIÓN]])</f>
        <v>2024</v>
      </c>
      <c r="W1401" s="150">
        <f>+MATCH(PROVEEDORES[[#This Row],[año facturado]],Retenciones!$1:$1,0)</f>
        <v>7</v>
      </c>
      <c r="X1401" s="151">
        <f>+VLOOKUP(PROVEEDORES[[#This Row],[ID RETENCION]],Retenciones!$A$1:$O$25,PROVEEDORES[[#This Row],[indicador de columna]],FALSE)</f>
        <v>0</v>
      </c>
      <c r="Y1401" s="152">
        <f>+VLOOKUP(PROVEEDORES[[#This Row],[ID RETENCION]],Retenciones!$A$1:$O$25,2,FALSE)</f>
        <v>0</v>
      </c>
      <c r="Z1401" s="153" t="b">
        <f>+OR(COUNTIF(PROVEEDORES[[#This Row],[PROVEEDOR]],"*"&amp;'Palabra que no opera y Listas d'!$A$2&amp;"*"))</f>
        <v>0</v>
      </c>
    </row>
    <row r="1402" spans="1:26" ht="27.75" customHeight="1" x14ac:dyDescent="0.3">
      <c r="A1402" s="144" t="str">
        <f>+IF(PROVEEDORES[[#This Row],[FECHA DE PAGO]]=PROVEEDORES[[#This Row],[FECHA DE FACTURACIÓN]],"DE CONTADO","CRÉDITO")</f>
        <v>CRÉDITO</v>
      </c>
      <c r="B1402" s="144" t="str">
        <f>+IF((PROVEEDORES[[#This Row],[FECHA DE PAGO]]-PROVEEDORES[[#This Row],[FECHA DE FACTURACIÓN]])&gt;PROVEEDORES[[#This Row],[PLAZO Días]],"PAGO VENCIDO")</f>
        <v>PAGO VENCIDO</v>
      </c>
      <c r="C1402" s="144">
        <f>+VLOOKUP(PROVEEDORES[[#This Row],[PROVEEDOR]],TERCEROS_INFO[#All],2,FALSE)</f>
        <v>0</v>
      </c>
      <c r="D1402" s="145">
        <f>+SUMIFS(PROVEEDORES[Total],PROVEEDORES[PROVEEDOR],PROVEEDORES[[#This Row],[PROVEEDOR]],PROVEEDORES[FECHA DE PAGO],"")</f>
        <v>26134091.5</v>
      </c>
      <c r="E1402" s="146"/>
      <c r="F1402" s="144">
        <f>+VLOOKUP(PROVEEDORES[[#This Row],[PROVEEDOR]],
                       Terceros!$A:$G,
                       5,
                       FALSE)</f>
        <v>0</v>
      </c>
      <c r="G1402" s="122">
        <v>45383</v>
      </c>
      <c r="H1402" s="102" t="s">
        <v>238</v>
      </c>
      <c r="I1402" s="122">
        <v>45369</v>
      </c>
      <c r="J1402" s="103">
        <v>1961</v>
      </c>
      <c r="K1402" s="103" t="s">
        <v>516</v>
      </c>
      <c r="L1402" s="103" t="s">
        <v>1515</v>
      </c>
      <c r="M1402" s="105">
        <v>2469382.5</v>
      </c>
      <c r="N1402" s="147">
        <v>0</v>
      </c>
      <c r="O1402" s="147">
        <v>0</v>
      </c>
      <c r="P1402" s="148">
        <v>0</v>
      </c>
      <c r="Q1402" s="147">
        <v>0</v>
      </c>
      <c r="R1402" s="149">
        <v>2469382.5</v>
      </c>
      <c r="S14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2" s="150">
        <f ca="1">+IF(PROVEEDORES[[#This Row],[FECHA DE PAGO]]=0,TODAY()-PROVEEDORES[[#This Row],[FECHA DE FACTURACIÓN]]-PROVEEDORES[[#This Row],[PLAZO Días]],0)</f>
        <v>0</v>
      </c>
      <c r="U1402" s="150">
        <f>+VLOOKUP(PROVEEDORES[[#This Row],[PROVEEDOR]],Terceros!$A:$E,4,FALSE)</f>
        <v>0</v>
      </c>
      <c r="V1402" s="150">
        <f>+YEAR(PROVEEDORES[[#This Row],[FECHA DE FACTURACIÓN]])</f>
        <v>2024</v>
      </c>
      <c r="W1402" s="150">
        <f>+MATCH(PROVEEDORES[[#This Row],[año facturado]],Retenciones!$1:$1,0)</f>
        <v>7</v>
      </c>
      <c r="X1402" s="151">
        <f>+VLOOKUP(PROVEEDORES[[#This Row],[ID RETENCION]],Retenciones!$A$1:$O$25,PROVEEDORES[[#This Row],[indicador de columna]],FALSE)</f>
        <v>0</v>
      </c>
      <c r="Y1402" s="152">
        <f>+VLOOKUP(PROVEEDORES[[#This Row],[ID RETENCION]],Retenciones!$A$1:$O$25,2,FALSE)</f>
        <v>0</v>
      </c>
      <c r="Z1402" s="153" t="b">
        <f>+OR(COUNTIF(PROVEEDORES[[#This Row],[PROVEEDOR]],"*"&amp;'Palabra que no opera y Listas d'!$A$2&amp;"*"))</f>
        <v>0</v>
      </c>
    </row>
    <row r="1403" spans="1:26" ht="27.75" customHeight="1" x14ac:dyDescent="0.3">
      <c r="A1403" s="144" t="str">
        <f>+IF(PROVEEDORES[[#This Row],[FECHA DE PAGO]]=PROVEEDORES[[#This Row],[FECHA DE FACTURACIÓN]],"DE CONTADO","CRÉDITO")</f>
        <v>CRÉDITO</v>
      </c>
      <c r="B1403" s="144" t="str">
        <f>+IF((PROVEEDORES[[#This Row],[FECHA DE PAGO]]-PROVEEDORES[[#This Row],[FECHA DE FACTURACIÓN]])&gt;PROVEEDORES[[#This Row],[PLAZO Días]],"PAGO VENCIDO")</f>
        <v>PAGO VENCIDO</v>
      </c>
      <c r="C1403" s="144">
        <f>+VLOOKUP(PROVEEDORES[[#This Row],[PROVEEDOR]],TERCEROS_INFO[#All],2,FALSE)</f>
        <v>0</v>
      </c>
      <c r="D1403" s="145">
        <f>+SUMIFS(PROVEEDORES[Total],PROVEEDORES[PROVEEDOR],PROVEEDORES[[#This Row],[PROVEEDOR]],PROVEEDORES[FECHA DE PAGO],"")</f>
        <v>26134091.5</v>
      </c>
      <c r="E1403" s="146"/>
      <c r="F1403" s="144">
        <f>+VLOOKUP(PROVEEDORES[[#This Row],[PROVEEDOR]],
                       Terceros!$A:$G,
                       5,
                       FALSE)</f>
        <v>0</v>
      </c>
      <c r="G1403" s="122">
        <v>45383</v>
      </c>
      <c r="H1403" s="102" t="s">
        <v>238</v>
      </c>
      <c r="I1403" s="122">
        <v>45369</v>
      </c>
      <c r="J1403" s="103">
        <v>1962</v>
      </c>
      <c r="K1403" s="103" t="s">
        <v>516</v>
      </c>
      <c r="L1403" s="103" t="s">
        <v>1515</v>
      </c>
      <c r="M1403" s="105">
        <v>306280</v>
      </c>
      <c r="N1403" s="147">
        <v>0</v>
      </c>
      <c r="O1403" s="147">
        <v>0</v>
      </c>
      <c r="P1403" s="148">
        <v>0</v>
      </c>
      <c r="Q1403" s="147">
        <v>0</v>
      </c>
      <c r="R1403" s="149">
        <v>306280</v>
      </c>
      <c r="S14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3" s="150">
        <f ca="1">+IF(PROVEEDORES[[#This Row],[FECHA DE PAGO]]=0,TODAY()-PROVEEDORES[[#This Row],[FECHA DE FACTURACIÓN]]-PROVEEDORES[[#This Row],[PLAZO Días]],0)</f>
        <v>0</v>
      </c>
      <c r="U1403" s="150">
        <f>+VLOOKUP(PROVEEDORES[[#This Row],[PROVEEDOR]],Terceros!$A:$E,4,FALSE)</f>
        <v>0</v>
      </c>
      <c r="V1403" s="150">
        <f>+YEAR(PROVEEDORES[[#This Row],[FECHA DE FACTURACIÓN]])</f>
        <v>2024</v>
      </c>
      <c r="W1403" s="150">
        <f>+MATCH(PROVEEDORES[[#This Row],[año facturado]],Retenciones!$1:$1,0)</f>
        <v>7</v>
      </c>
      <c r="X1403" s="151">
        <f>+VLOOKUP(PROVEEDORES[[#This Row],[ID RETENCION]],Retenciones!$A$1:$O$25,PROVEEDORES[[#This Row],[indicador de columna]],FALSE)</f>
        <v>0</v>
      </c>
      <c r="Y1403" s="152">
        <f>+VLOOKUP(PROVEEDORES[[#This Row],[ID RETENCION]],Retenciones!$A$1:$O$25,2,FALSE)</f>
        <v>0</v>
      </c>
      <c r="Z1403" s="153" t="b">
        <f>+OR(COUNTIF(PROVEEDORES[[#This Row],[PROVEEDOR]],"*"&amp;'Palabra que no opera y Listas d'!$A$2&amp;"*"))</f>
        <v>0</v>
      </c>
    </row>
    <row r="1404" spans="1:26" ht="27.75" customHeight="1" x14ac:dyDescent="0.3">
      <c r="A1404" s="144" t="str">
        <f>+IF(PROVEEDORES[[#This Row],[FECHA DE PAGO]]=PROVEEDORES[[#This Row],[FECHA DE FACTURACIÓN]],"DE CONTADO","CRÉDITO")</f>
        <v>CRÉDITO</v>
      </c>
      <c r="B1404" s="144" t="str">
        <f>+IF((PROVEEDORES[[#This Row],[FECHA DE PAGO]]-PROVEEDORES[[#This Row],[FECHA DE FACTURACIÓN]])&gt;PROVEEDORES[[#This Row],[PLAZO Días]],"PAGO VENCIDO")</f>
        <v>PAGO VENCIDO</v>
      </c>
      <c r="C1404" s="144">
        <f>+VLOOKUP(PROVEEDORES[[#This Row],[PROVEEDOR]],TERCEROS_INFO[#All],2,FALSE)</f>
        <v>0</v>
      </c>
      <c r="D1404" s="145">
        <f>+SUMIFS(PROVEEDORES[Total],PROVEEDORES[PROVEEDOR],PROVEEDORES[[#This Row],[PROVEEDOR]],PROVEEDORES[FECHA DE PAGO],"")</f>
        <v>26134091.5</v>
      </c>
      <c r="E1404" s="146"/>
      <c r="F1404" s="144">
        <f>+VLOOKUP(PROVEEDORES[[#This Row],[PROVEEDOR]],
                       Terceros!$A:$G,
                       5,
                       FALSE)</f>
        <v>0</v>
      </c>
      <c r="G1404" s="122">
        <v>45383</v>
      </c>
      <c r="H1404" s="102" t="s">
        <v>238</v>
      </c>
      <c r="I1404" s="122">
        <v>45369</v>
      </c>
      <c r="J1404" s="103">
        <v>1963</v>
      </c>
      <c r="K1404" s="103" t="s">
        <v>516</v>
      </c>
      <c r="L1404" s="103" t="s">
        <v>1515</v>
      </c>
      <c r="M1404" s="105">
        <v>306280</v>
      </c>
      <c r="N1404" s="147">
        <v>0</v>
      </c>
      <c r="O1404" s="147">
        <v>0</v>
      </c>
      <c r="P1404" s="148">
        <v>0</v>
      </c>
      <c r="Q1404" s="147">
        <v>0</v>
      </c>
      <c r="R1404" s="149">
        <v>306280</v>
      </c>
      <c r="S14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4" s="150">
        <f ca="1">+IF(PROVEEDORES[[#This Row],[FECHA DE PAGO]]=0,TODAY()-PROVEEDORES[[#This Row],[FECHA DE FACTURACIÓN]]-PROVEEDORES[[#This Row],[PLAZO Días]],0)</f>
        <v>0</v>
      </c>
      <c r="U1404" s="150">
        <f>+VLOOKUP(PROVEEDORES[[#This Row],[PROVEEDOR]],Terceros!$A:$E,4,FALSE)</f>
        <v>0</v>
      </c>
      <c r="V1404" s="150">
        <f>+YEAR(PROVEEDORES[[#This Row],[FECHA DE FACTURACIÓN]])</f>
        <v>2024</v>
      </c>
      <c r="W1404" s="150">
        <f>+MATCH(PROVEEDORES[[#This Row],[año facturado]],Retenciones!$1:$1,0)</f>
        <v>7</v>
      </c>
      <c r="X1404" s="151">
        <f>+VLOOKUP(PROVEEDORES[[#This Row],[ID RETENCION]],Retenciones!$A$1:$O$25,PROVEEDORES[[#This Row],[indicador de columna]],FALSE)</f>
        <v>0</v>
      </c>
      <c r="Y1404" s="152">
        <f>+VLOOKUP(PROVEEDORES[[#This Row],[ID RETENCION]],Retenciones!$A$1:$O$25,2,FALSE)</f>
        <v>0</v>
      </c>
      <c r="Z1404" s="153" t="b">
        <f>+OR(COUNTIF(PROVEEDORES[[#This Row],[PROVEEDOR]],"*"&amp;'Palabra que no opera y Listas d'!$A$2&amp;"*"))</f>
        <v>0</v>
      </c>
    </row>
    <row r="1405" spans="1:26" ht="27.75" customHeight="1" x14ac:dyDescent="0.3">
      <c r="A1405" s="144" t="str">
        <f>+IF(PROVEEDORES[[#This Row],[FECHA DE PAGO]]=PROVEEDORES[[#This Row],[FECHA DE FACTURACIÓN]],"DE CONTADO","CRÉDITO")</f>
        <v>CRÉDITO</v>
      </c>
      <c r="B1405" s="144" t="str">
        <f>+IF((PROVEEDORES[[#This Row],[FECHA DE PAGO]]-PROVEEDORES[[#This Row],[FECHA DE FACTURACIÓN]])&gt;PROVEEDORES[[#This Row],[PLAZO Días]],"PAGO VENCIDO")</f>
        <v>PAGO VENCIDO</v>
      </c>
      <c r="C1405" s="144">
        <f>+VLOOKUP(PROVEEDORES[[#This Row],[PROVEEDOR]],TERCEROS_INFO[#All],2,FALSE)</f>
        <v>0</v>
      </c>
      <c r="D1405" s="145">
        <f>+SUMIFS(PROVEEDORES[Total],PROVEEDORES[PROVEEDOR],PROVEEDORES[[#This Row],[PROVEEDOR]],PROVEEDORES[FECHA DE PAGO],"")</f>
        <v>26134091.5</v>
      </c>
      <c r="E1405" s="146"/>
      <c r="F1405" s="144">
        <f>+VLOOKUP(PROVEEDORES[[#This Row],[PROVEEDOR]],
                       Terceros!$A:$G,
                       5,
                       FALSE)</f>
        <v>0</v>
      </c>
      <c r="G1405" s="122">
        <v>45383</v>
      </c>
      <c r="H1405" s="102" t="s">
        <v>238</v>
      </c>
      <c r="I1405" s="122">
        <v>45369</v>
      </c>
      <c r="J1405" s="103">
        <v>1964</v>
      </c>
      <c r="K1405" s="103" t="s">
        <v>516</v>
      </c>
      <c r="L1405" s="103" t="s">
        <v>1515</v>
      </c>
      <c r="M1405" s="105">
        <v>412770</v>
      </c>
      <c r="N1405" s="147">
        <v>0</v>
      </c>
      <c r="O1405" s="147">
        <v>0</v>
      </c>
      <c r="P1405" s="148">
        <v>0</v>
      </c>
      <c r="Q1405" s="147">
        <v>0</v>
      </c>
      <c r="R1405" s="149">
        <v>412770</v>
      </c>
      <c r="S14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5" s="150">
        <f ca="1">+IF(PROVEEDORES[[#This Row],[FECHA DE PAGO]]=0,TODAY()-PROVEEDORES[[#This Row],[FECHA DE FACTURACIÓN]]-PROVEEDORES[[#This Row],[PLAZO Días]],0)</f>
        <v>0</v>
      </c>
      <c r="U1405" s="150">
        <f>+VLOOKUP(PROVEEDORES[[#This Row],[PROVEEDOR]],Terceros!$A:$E,4,FALSE)</f>
        <v>0</v>
      </c>
      <c r="V1405" s="150">
        <f>+YEAR(PROVEEDORES[[#This Row],[FECHA DE FACTURACIÓN]])</f>
        <v>2024</v>
      </c>
      <c r="W1405" s="150">
        <f>+MATCH(PROVEEDORES[[#This Row],[año facturado]],Retenciones!$1:$1,0)</f>
        <v>7</v>
      </c>
      <c r="X1405" s="151">
        <f>+VLOOKUP(PROVEEDORES[[#This Row],[ID RETENCION]],Retenciones!$A$1:$O$25,PROVEEDORES[[#This Row],[indicador de columna]],FALSE)</f>
        <v>0</v>
      </c>
      <c r="Y1405" s="152">
        <f>+VLOOKUP(PROVEEDORES[[#This Row],[ID RETENCION]],Retenciones!$A$1:$O$25,2,FALSE)</f>
        <v>0</v>
      </c>
      <c r="Z1405" s="153" t="b">
        <f>+OR(COUNTIF(PROVEEDORES[[#This Row],[PROVEEDOR]],"*"&amp;'Palabra que no opera y Listas d'!$A$2&amp;"*"))</f>
        <v>0</v>
      </c>
    </row>
    <row r="1406" spans="1:26" ht="27.75" customHeight="1" x14ac:dyDescent="0.3">
      <c r="A1406" s="144" t="str">
        <f>+IF(PROVEEDORES[[#This Row],[FECHA DE PAGO]]=PROVEEDORES[[#This Row],[FECHA DE FACTURACIÓN]],"DE CONTADO","CRÉDITO")</f>
        <v>CRÉDITO</v>
      </c>
      <c r="B1406" s="144" t="str">
        <f>+IF((PROVEEDORES[[#This Row],[FECHA DE PAGO]]-PROVEEDORES[[#This Row],[FECHA DE FACTURACIÓN]])&gt;PROVEEDORES[[#This Row],[PLAZO Días]],"PAGO VENCIDO")</f>
        <v>PAGO VENCIDO</v>
      </c>
      <c r="C1406" s="144">
        <f>+VLOOKUP(PROVEEDORES[[#This Row],[PROVEEDOR]],TERCEROS_INFO[#All],2,FALSE)</f>
        <v>0</v>
      </c>
      <c r="D1406" s="145">
        <f>+SUMIFS(PROVEEDORES[Total],PROVEEDORES[PROVEEDOR],PROVEEDORES[[#This Row],[PROVEEDOR]],PROVEEDORES[FECHA DE PAGO],"")</f>
        <v>0</v>
      </c>
      <c r="E1406" s="146"/>
      <c r="F1406" s="144" t="str">
        <f>+VLOOKUP(PROVEEDORES[[#This Row],[PROVEEDOR]],
                       Terceros!$A:$G,
                       5,
                       FALSE)</f>
        <v>2,5% con base</v>
      </c>
      <c r="G1406" s="122">
        <v>45383</v>
      </c>
      <c r="H1406" s="102" t="s">
        <v>467</v>
      </c>
      <c r="I1406" s="122">
        <v>45378</v>
      </c>
      <c r="J1406" s="103" t="s">
        <v>1664</v>
      </c>
      <c r="K1406" s="103" t="s">
        <v>1512</v>
      </c>
      <c r="L1406" s="103" t="s">
        <v>1390</v>
      </c>
      <c r="M1406" s="105">
        <v>285716</v>
      </c>
      <c r="N1406" s="147">
        <v>54286.04</v>
      </c>
      <c r="O1406" s="147">
        <v>0</v>
      </c>
      <c r="P1406" s="148">
        <v>0</v>
      </c>
      <c r="Q1406" s="147">
        <v>0</v>
      </c>
      <c r="R1406" s="149">
        <v>340002.04</v>
      </c>
      <c r="S14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6" s="150">
        <f ca="1">+IF(PROVEEDORES[[#This Row],[FECHA DE PAGO]]=0,TODAY()-PROVEEDORES[[#This Row],[FECHA DE FACTURACIÓN]]-PROVEEDORES[[#This Row],[PLAZO Días]],0)</f>
        <v>0</v>
      </c>
      <c r="U1406" s="150">
        <f>+VLOOKUP(PROVEEDORES[[#This Row],[PROVEEDOR]],Terceros!$A:$E,4,FALSE)</f>
        <v>0.19</v>
      </c>
      <c r="V1406" s="150">
        <f>+YEAR(PROVEEDORES[[#This Row],[FECHA DE FACTURACIÓN]])</f>
        <v>2024</v>
      </c>
      <c r="W1406" s="150">
        <f>+MATCH(PROVEEDORES[[#This Row],[año facturado]],Retenciones!$1:$1,0)</f>
        <v>7</v>
      </c>
      <c r="X1406" s="151" t="e">
        <f>+VLOOKUP(PROVEEDORES[[#This Row],[ID RETENCION]],Retenciones!$A$1:$O$25,PROVEEDORES[[#This Row],[indicador de columna]],FALSE)</f>
        <v>#N/A</v>
      </c>
      <c r="Y1406" s="152" t="e">
        <f>+VLOOKUP(PROVEEDORES[[#This Row],[ID RETENCION]],Retenciones!$A$1:$O$25,2,FALSE)</f>
        <v>#N/A</v>
      </c>
      <c r="Z1406" s="153" t="b">
        <f>+OR(COUNTIF(PROVEEDORES[[#This Row],[PROVEEDOR]],"*"&amp;'Palabra que no opera y Listas d'!$A$2&amp;"*"))</f>
        <v>0</v>
      </c>
    </row>
    <row r="1407" spans="1:26" ht="27.75" customHeight="1" x14ac:dyDescent="0.3">
      <c r="A1407" s="144" t="str">
        <f>+IF(PROVEEDORES[[#This Row],[FECHA DE PAGO]]=PROVEEDORES[[#This Row],[FECHA DE FACTURACIÓN]],"DE CONTADO","CRÉDITO")</f>
        <v>CRÉDITO</v>
      </c>
      <c r="B1407" s="144" t="str">
        <f>+IF((PROVEEDORES[[#This Row],[FECHA DE PAGO]]-PROVEEDORES[[#This Row],[FECHA DE FACTURACIÓN]])&gt;PROVEEDORES[[#This Row],[PLAZO Días]],"PAGO VENCIDO")</f>
        <v>PAGO VENCIDO</v>
      </c>
      <c r="C1407" s="144">
        <f>+VLOOKUP(PROVEEDORES[[#This Row],[PROVEEDOR]],TERCEROS_INFO[#All],2,FALSE)</f>
        <v>0</v>
      </c>
      <c r="D1407" s="145">
        <f>+SUMIFS(PROVEEDORES[Total],PROVEEDORES[PROVEEDOR],PROVEEDORES[[#This Row],[PROVEEDOR]],PROVEEDORES[FECHA DE PAGO],"")</f>
        <v>26134091.5</v>
      </c>
      <c r="E1407" s="146"/>
      <c r="F1407" s="144">
        <f>+VLOOKUP(PROVEEDORES[[#This Row],[PROVEEDOR]],
                       Terceros!$A:$G,
                       5,
                       FALSE)</f>
        <v>0</v>
      </c>
      <c r="G1407" s="122">
        <v>45383</v>
      </c>
      <c r="H1407" s="102" t="s">
        <v>238</v>
      </c>
      <c r="I1407" s="122">
        <v>45379</v>
      </c>
      <c r="J1407" s="103">
        <v>1980</v>
      </c>
      <c r="K1407" s="103" t="s">
        <v>516</v>
      </c>
      <c r="L1407" s="103" t="s">
        <v>1515</v>
      </c>
      <c r="M1407" s="105">
        <v>1393574</v>
      </c>
      <c r="N1407" s="147">
        <v>0</v>
      </c>
      <c r="O1407" s="147">
        <v>0</v>
      </c>
      <c r="P1407" s="148">
        <v>0</v>
      </c>
      <c r="Q1407" s="147">
        <v>0</v>
      </c>
      <c r="R1407" s="149">
        <v>1393574</v>
      </c>
      <c r="S14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7" s="150">
        <f ca="1">+IF(PROVEEDORES[[#This Row],[FECHA DE PAGO]]=0,TODAY()-PROVEEDORES[[#This Row],[FECHA DE FACTURACIÓN]]-PROVEEDORES[[#This Row],[PLAZO Días]],0)</f>
        <v>0</v>
      </c>
      <c r="U1407" s="150">
        <f>+VLOOKUP(PROVEEDORES[[#This Row],[PROVEEDOR]],Terceros!$A:$E,4,FALSE)</f>
        <v>0</v>
      </c>
      <c r="V1407" s="150">
        <f>+YEAR(PROVEEDORES[[#This Row],[FECHA DE FACTURACIÓN]])</f>
        <v>2024</v>
      </c>
      <c r="W1407" s="150">
        <f>+MATCH(PROVEEDORES[[#This Row],[año facturado]],Retenciones!$1:$1,0)</f>
        <v>7</v>
      </c>
      <c r="X1407" s="151">
        <f>+VLOOKUP(PROVEEDORES[[#This Row],[ID RETENCION]],Retenciones!$A$1:$O$25,PROVEEDORES[[#This Row],[indicador de columna]],FALSE)</f>
        <v>0</v>
      </c>
      <c r="Y1407" s="152">
        <f>+VLOOKUP(PROVEEDORES[[#This Row],[ID RETENCION]],Retenciones!$A$1:$O$25,2,FALSE)</f>
        <v>0</v>
      </c>
      <c r="Z1407" s="153" t="b">
        <f>+OR(COUNTIF(PROVEEDORES[[#This Row],[PROVEEDOR]],"*"&amp;'Palabra que no opera y Listas d'!$A$2&amp;"*"))</f>
        <v>0</v>
      </c>
    </row>
    <row r="1408" spans="1:26" ht="27.75" customHeight="1" x14ac:dyDescent="0.3">
      <c r="A1408" s="144" t="str">
        <f>+IF(PROVEEDORES[[#This Row],[FECHA DE PAGO]]=PROVEEDORES[[#This Row],[FECHA DE FACTURACIÓN]],"DE CONTADO","CRÉDITO")</f>
        <v>DE CONTADO</v>
      </c>
      <c r="B1408" s="144" t="b">
        <f>+IF((PROVEEDORES[[#This Row],[FECHA DE PAGO]]-PROVEEDORES[[#This Row],[FECHA DE FACTURACIÓN]])&gt;PROVEEDORES[[#This Row],[PLAZO Días]],"PAGO VENCIDO")</f>
        <v>0</v>
      </c>
      <c r="C1408" s="144">
        <f>+VLOOKUP(PROVEEDORES[[#This Row],[PROVEEDOR]],TERCEROS_INFO[#All],2,FALSE)</f>
        <v>0</v>
      </c>
      <c r="D1408" s="145">
        <f>+SUMIFS(PROVEEDORES[Total],PROVEEDORES[PROVEEDOR],PROVEEDORES[[#This Row],[PROVEEDOR]],PROVEEDORES[FECHA DE PAGO],"")</f>
        <v>0</v>
      </c>
      <c r="E1408" s="146"/>
      <c r="F1408" s="144">
        <f>+VLOOKUP(PROVEEDORES[[#This Row],[PROVEEDOR]],
                       Terceros!$A:$G,
                       5,
                       FALSE)</f>
        <v>0</v>
      </c>
      <c r="G1408" s="122">
        <v>45383</v>
      </c>
      <c r="H1408" s="102" t="s">
        <v>405</v>
      </c>
      <c r="I1408" s="122">
        <v>45383</v>
      </c>
      <c r="J1408" s="103"/>
      <c r="K1408" s="103" t="s">
        <v>1512</v>
      </c>
      <c r="L1408" s="103" t="s">
        <v>1515</v>
      </c>
      <c r="M1408" s="105">
        <v>633500</v>
      </c>
      <c r="N1408" s="147">
        <v>0</v>
      </c>
      <c r="O1408" s="147">
        <v>0</v>
      </c>
      <c r="P1408" s="148">
        <v>0</v>
      </c>
      <c r="Q1408" s="147">
        <v>0</v>
      </c>
      <c r="R1408" s="149">
        <v>633500</v>
      </c>
      <c r="S14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8" s="150">
        <f ca="1">+IF(PROVEEDORES[[#This Row],[FECHA DE PAGO]]=0,TODAY()-PROVEEDORES[[#This Row],[FECHA DE FACTURACIÓN]]-PROVEEDORES[[#This Row],[PLAZO Días]],0)</f>
        <v>0</v>
      </c>
      <c r="U1408" s="150">
        <f>+VLOOKUP(PROVEEDORES[[#This Row],[PROVEEDOR]],Terceros!$A:$E,4,FALSE)</f>
        <v>0</v>
      </c>
      <c r="V1408" s="150">
        <f>+YEAR(PROVEEDORES[[#This Row],[FECHA DE FACTURACIÓN]])</f>
        <v>2024</v>
      </c>
      <c r="W1408" s="150">
        <f>+MATCH(PROVEEDORES[[#This Row],[año facturado]],Retenciones!$1:$1,0)</f>
        <v>7</v>
      </c>
      <c r="X1408" s="151">
        <f>+VLOOKUP(PROVEEDORES[[#This Row],[ID RETENCION]],Retenciones!$A$1:$O$25,PROVEEDORES[[#This Row],[indicador de columna]],FALSE)</f>
        <v>0</v>
      </c>
      <c r="Y1408" s="152">
        <f>+VLOOKUP(PROVEEDORES[[#This Row],[ID RETENCION]],Retenciones!$A$1:$O$25,2,FALSE)</f>
        <v>0</v>
      </c>
      <c r="Z1408" s="153" t="b">
        <f>+OR(COUNTIF(PROVEEDORES[[#This Row],[PROVEEDOR]],"*"&amp;'Palabra que no opera y Listas d'!$A$2&amp;"*"))</f>
        <v>1</v>
      </c>
    </row>
    <row r="1409" spans="1:26" ht="27.75" customHeight="1" x14ac:dyDescent="0.3">
      <c r="A1409" s="144" t="str">
        <f>+IF(PROVEEDORES[[#This Row],[FECHA DE PAGO]]=PROVEEDORES[[#This Row],[FECHA DE FACTURACIÓN]],"DE CONTADO","CRÉDITO")</f>
        <v>CRÉDITO</v>
      </c>
      <c r="B1409" s="144" t="b">
        <f>+IF((PROVEEDORES[[#This Row],[FECHA DE PAGO]]-PROVEEDORES[[#This Row],[FECHA DE FACTURACIÓN]])&gt;PROVEEDORES[[#This Row],[PLAZO Días]],"PAGO VENCIDO")</f>
        <v>0</v>
      </c>
      <c r="C1409" s="144">
        <f>+VLOOKUP(PROVEEDORES[[#This Row],[PROVEEDOR]],TERCEROS_INFO[#All],2,FALSE)</f>
        <v>0</v>
      </c>
      <c r="D1409" s="145">
        <f>+SUMIFS(PROVEEDORES[Total],PROVEEDORES[PROVEEDOR],PROVEEDORES[[#This Row],[PROVEEDOR]],PROVEEDORES[FECHA DE PAGO],"")</f>
        <v>0</v>
      </c>
      <c r="E1409" s="146"/>
      <c r="F1409" s="144">
        <f>+VLOOKUP(PROVEEDORES[[#This Row],[PROVEEDOR]],
                       Terceros!$A:$G,
                       5,
                       FALSE)</f>
        <v>0</v>
      </c>
      <c r="G1409" s="122">
        <v>45383</v>
      </c>
      <c r="H1409" s="102" t="s">
        <v>1601</v>
      </c>
      <c r="I1409" s="122">
        <v>45393</v>
      </c>
      <c r="J1409" s="103" t="s">
        <v>1773</v>
      </c>
      <c r="K1409" s="103" t="s">
        <v>1512</v>
      </c>
      <c r="L1409" s="103" t="s">
        <v>1523</v>
      </c>
      <c r="M1409" s="105">
        <v>14244000</v>
      </c>
      <c r="N1409" s="147">
        <v>0</v>
      </c>
      <c r="O1409" s="147">
        <v>0</v>
      </c>
      <c r="P1409" s="148">
        <v>0</v>
      </c>
      <c r="Q1409" s="147">
        <v>0</v>
      </c>
      <c r="R1409" s="149">
        <v>14244000</v>
      </c>
      <c r="S14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9" s="150">
        <f ca="1">+IF(PROVEEDORES[[#This Row],[FECHA DE PAGO]]=0,TODAY()-PROVEEDORES[[#This Row],[FECHA DE FACTURACIÓN]]-PROVEEDORES[[#This Row],[PLAZO Días]],0)</f>
        <v>0</v>
      </c>
      <c r="U1409" s="150">
        <f>+VLOOKUP(PROVEEDORES[[#This Row],[PROVEEDOR]],Terceros!$A:$E,4,FALSE)</f>
        <v>0</v>
      </c>
      <c r="V1409" s="150">
        <f>+YEAR(PROVEEDORES[[#This Row],[FECHA DE FACTURACIÓN]])</f>
        <v>2024</v>
      </c>
      <c r="W1409" s="150">
        <f>+MATCH(PROVEEDORES[[#This Row],[año facturado]],Retenciones!$1:$1,0)</f>
        <v>7</v>
      </c>
      <c r="X1409" s="151">
        <f>+VLOOKUP(PROVEEDORES[[#This Row],[ID RETENCION]],Retenciones!$A$1:$O$25,PROVEEDORES[[#This Row],[indicador de columna]],FALSE)</f>
        <v>0</v>
      </c>
      <c r="Y1409" s="152">
        <f>+VLOOKUP(PROVEEDORES[[#This Row],[ID RETENCION]],Retenciones!$A$1:$O$25,2,FALSE)</f>
        <v>0</v>
      </c>
      <c r="Z1409" s="153" t="b">
        <f>+OR(COUNTIF(PROVEEDORES[[#This Row],[PROVEEDOR]],"*"&amp;'Palabra que no opera y Listas d'!$A$2&amp;"*"))</f>
        <v>0</v>
      </c>
    </row>
    <row r="1410" spans="1:26" ht="27.75" customHeight="1" x14ac:dyDescent="0.3">
      <c r="A1410" s="144" t="str">
        <f>+IF(PROVEEDORES[[#This Row],[FECHA DE PAGO]]=PROVEEDORES[[#This Row],[FECHA DE FACTURACIÓN]],"DE CONTADO","CRÉDITO")</f>
        <v>CRÉDITO</v>
      </c>
      <c r="B1410" s="144" t="str">
        <f>+IF((PROVEEDORES[[#This Row],[FECHA DE PAGO]]-PROVEEDORES[[#This Row],[FECHA DE FACTURACIÓN]])&gt;PROVEEDORES[[#This Row],[PLAZO Días]],"PAGO VENCIDO")</f>
        <v>PAGO VENCIDO</v>
      </c>
      <c r="C1410" s="144">
        <f>+VLOOKUP(PROVEEDORES[[#This Row],[PROVEEDOR]],TERCEROS_INFO[#All],2,FALSE)</f>
        <v>0</v>
      </c>
      <c r="D1410" s="145">
        <f>+SUMIFS(PROVEEDORES[Total],PROVEEDORES[PROVEEDOR],PROVEEDORES[[#This Row],[PROVEEDOR]],PROVEEDORES[FECHA DE PAGO],"")</f>
        <v>0</v>
      </c>
      <c r="E1410" s="146"/>
      <c r="F1410" s="144">
        <f>+VLOOKUP(PROVEEDORES[[#This Row],[PROVEEDOR]],
                       Terceros!$A:$G,
                       5,
                       FALSE)</f>
        <v>0</v>
      </c>
      <c r="G1410" s="122">
        <v>45384</v>
      </c>
      <c r="H1410" s="102" t="s">
        <v>1176</v>
      </c>
      <c r="I1410" s="122">
        <v>45335</v>
      </c>
      <c r="J1410" s="103" t="s">
        <v>1581</v>
      </c>
      <c r="K1410" s="103" t="s">
        <v>1512</v>
      </c>
      <c r="L1410" s="103" t="s">
        <v>1390</v>
      </c>
      <c r="M1410" s="105">
        <v>974000</v>
      </c>
      <c r="N1410" s="147">
        <v>0</v>
      </c>
      <c r="O1410" s="147">
        <v>0</v>
      </c>
      <c r="P1410" s="148">
        <v>0</v>
      </c>
      <c r="Q1410" s="147">
        <v>0</v>
      </c>
      <c r="R1410" s="149">
        <v>974000</v>
      </c>
      <c r="S14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0" s="150">
        <f ca="1">+IF(PROVEEDORES[[#This Row],[FECHA DE PAGO]]=0,TODAY()-PROVEEDORES[[#This Row],[FECHA DE FACTURACIÓN]]-PROVEEDORES[[#This Row],[PLAZO Días]],0)</f>
        <v>0</v>
      </c>
      <c r="U1410" s="150">
        <f>+VLOOKUP(PROVEEDORES[[#This Row],[PROVEEDOR]],Terceros!$A:$E,4,FALSE)</f>
        <v>0</v>
      </c>
      <c r="V1410" s="150">
        <f>+YEAR(PROVEEDORES[[#This Row],[FECHA DE FACTURACIÓN]])</f>
        <v>2024</v>
      </c>
      <c r="W1410" s="150">
        <f>+MATCH(PROVEEDORES[[#This Row],[año facturado]],Retenciones!$1:$1,0)</f>
        <v>7</v>
      </c>
      <c r="X1410" s="151">
        <f>+VLOOKUP(PROVEEDORES[[#This Row],[ID RETENCION]],Retenciones!$A$1:$O$25,PROVEEDORES[[#This Row],[indicador de columna]],FALSE)</f>
        <v>0</v>
      </c>
      <c r="Y1410" s="152">
        <f>+VLOOKUP(PROVEEDORES[[#This Row],[ID RETENCION]],Retenciones!$A$1:$O$25,2,FALSE)</f>
        <v>0</v>
      </c>
      <c r="Z1410" s="153" t="b">
        <f>+OR(COUNTIF(PROVEEDORES[[#This Row],[PROVEEDOR]],"*"&amp;'Palabra que no opera y Listas d'!$A$2&amp;"*"))</f>
        <v>0</v>
      </c>
    </row>
    <row r="1411" spans="1:26" ht="27.75" customHeight="1" x14ac:dyDescent="0.3">
      <c r="A1411" s="144" t="str">
        <f>+IF(PROVEEDORES[[#This Row],[FECHA DE PAGO]]=PROVEEDORES[[#This Row],[FECHA DE FACTURACIÓN]],"DE CONTADO","CRÉDITO")</f>
        <v>CRÉDITO</v>
      </c>
      <c r="B1411" s="144" t="str">
        <f>+IF((PROVEEDORES[[#This Row],[FECHA DE PAGO]]-PROVEEDORES[[#This Row],[FECHA DE FACTURACIÓN]])&gt;PROVEEDORES[[#This Row],[PLAZO Días]],"PAGO VENCIDO")</f>
        <v>PAGO VENCIDO</v>
      </c>
      <c r="C1411" s="144">
        <f>+VLOOKUP(PROVEEDORES[[#This Row],[PROVEEDOR]],TERCEROS_INFO[#All],2,FALSE)</f>
        <v>0</v>
      </c>
      <c r="D1411" s="145">
        <f>+SUMIFS(PROVEEDORES[Total],PROVEEDORES[PROVEEDOR],PROVEEDORES[[#This Row],[PROVEEDOR]],PROVEEDORES[FECHA DE PAGO],"")</f>
        <v>0</v>
      </c>
      <c r="E1411" s="146"/>
      <c r="F1411" s="144">
        <f>+VLOOKUP(PROVEEDORES[[#This Row],[PROVEEDOR]],
                       Terceros!$A:$G,
                       5,
                       FALSE)</f>
        <v>0</v>
      </c>
      <c r="G1411" s="122">
        <v>45384</v>
      </c>
      <c r="H1411" s="102" t="s">
        <v>1176</v>
      </c>
      <c r="I1411" s="122">
        <v>45335</v>
      </c>
      <c r="J1411" s="103" t="s">
        <v>1582</v>
      </c>
      <c r="K1411" s="103" t="s">
        <v>1512</v>
      </c>
      <c r="L1411" s="103" t="s">
        <v>1390</v>
      </c>
      <c r="M1411" s="105">
        <v>861000</v>
      </c>
      <c r="N1411" s="147">
        <v>0</v>
      </c>
      <c r="O1411" s="147">
        <v>0</v>
      </c>
      <c r="P1411" s="148">
        <v>0</v>
      </c>
      <c r="Q1411" s="147">
        <v>0</v>
      </c>
      <c r="R1411" s="149">
        <v>861000</v>
      </c>
      <c r="S14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1" s="150">
        <f ca="1">+IF(PROVEEDORES[[#This Row],[FECHA DE PAGO]]=0,TODAY()-PROVEEDORES[[#This Row],[FECHA DE FACTURACIÓN]]-PROVEEDORES[[#This Row],[PLAZO Días]],0)</f>
        <v>0</v>
      </c>
      <c r="U1411" s="150">
        <f>+VLOOKUP(PROVEEDORES[[#This Row],[PROVEEDOR]],Terceros!$A:$E,4,FALSE)</f>
        <v>0</v>
      </c>
      <c r="V1411" s="150">
        <f>+YEAR(PROVEEDORES[[#This Row],[FECHA DE FACTURACIÓN]])</f>
        <v>2024</v>
      </c>
      <c r="W1411" s="150">
        <f>+MATCH(PROVEEDORES[[#This Row],[año facturado]],Retenciones!$1:$1,0)</f>
        <v>7</v>
      </c>
      <c r="X1411" s="151">
        <f>+VLOOKUP(PROVEEDORES[[#This Row],[ID RETENCION]],Retenciones!$A$1:$O$25,PROVEEDORES[[#This Row],[indicador de columna]],FALSE)</f>
        <v>0</v>
      </c>
      <c r="Y1411" s="152">
        <f>+VLOOKUP(PROVEEDORES[[#This Row],[ID RETENCION]],Retenciones!$A$1:$O$25,2,FALSE)</f>
        <v>0</v>
      </c>
      <c r="Z1411" s="153" t="b">
        <f>+OR(COUNTIF(PROVEEDORES[[#This Row],[PROVEEDOR]],"*"&amp;'Palabra que no opera y Listas d'!$A$2&amp;"*"))</f>
        <v>0</v>
      </c>
    </row>
    <row r="1412" spans="1:26" ht="27.75" customHeight="1" x14ac:dyDescent="0.3">
      <c r="A1412" s="144" t="str">
        <f>+IF(PROVEEDORES[[#This Row],[FECHA DE PAGO]]=PROVEEDORES[[#This Row],[FECHA DE FACTURACIÓN]],"DE CONTADO","CRÉDITO")</f>
        <v>CRÉDITO</v>
      </c>
      <c r="B1412" s="144" t="str">
        <f>+IF((PROVEEDORES[[#This Row],[FECHA DE PAGO]]-PROVEEDORES[[#This Row],[FECHA DE FACTURACIÓN]])&gt;PROVEEDORES[[#This Row],[PLAZO Días]],"PAGO VENCIDO")</f>
        <v>PAGO VENCIDO</v>
      </c>
      <c r="C1412" s="144">
        <f>+VLOOKUP(PROVEEDORES[[#This Row],[PROVEEDOR]],TERCEROS_INFO[#All],2,FALSE)</f>
        <v>0</v>
      </c>
      <c r="D1412" s="145">
        <f>+SUMIFS(PROVEEDORES[Total],PROVEEDORES[PROVEEDOR],PROVEEDORES[[#This Row],[PROVEEDOR]],PROVEEDORES[FECHA DE PAGO],"")</f>
        <v>0</v>
      </c>
      <c r="E1412" s="146"/>
      <c r="F1412" s="144" t="str">
        <f>+VLOOKUP(PROVEEDORES[[#This Row],[PROVEEDOR]],
                       Terceros!$A:$G,
                       5,
                       FALSE)</f>
        <v>2,5% con base</v>
      </c>
      <c r="G1412" s="122">
        <v>45384</v>
      </c>
      <c r="H1412" s="102" t="s">
        <v>1576</v>
      </c>
      <c r="I1412" s="122">
        <v>45344</v>
      </c>
      <c r="J1412" s="103" t="s">
        <v>1577</v>
      </c>
      <c r="K1412" s="103" t="s">
        <v>1512</v>
      </c>
      <c r="L1412" s="103" t="s">
        <v>1515</v>
      </c>
      <c r="M1412" s="105">
        <v>2755141</v>
      </c>
      <c r="N1412" s="147">
        <v>523476.79</v>
      </c>
      <c r="O1412" s="147">
        <v>0</v>
      </c>
      <c r="P1412" s="148">
        <v>2.5000000000000001E-2</v>
      </c>
      <c r="Q1412" s="147">
        <v>68878.525000000009</v>
      </c>
      <c r="R1412" s="149">
        <v>3209739.2650000001</v>
      </c>
      <c r="S14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2" s="150">
        <f ca="1">+IF(PROVEEDORES[[#This Row],[FECHA DE PAGO]]=0,TODAY()-PROVEEDORES[[#This Row],[FECHA DE FACTURACIÓN]]-PROVEEDORES[[#This Row],[PLAZO Días]],0)</f>
        <v>0</v>
      </c>
      <c r="U1412" s="150">
        <f>+VLOOKUP(PROVEEDORES[[#This Row],[PROVEEDOR]],Terceros!$A:$E,4,FALSE)</f>
        <v>0.19</v>
      </c>
      <c r="V1412" s="150">
        <f>+YEAR(PROVEEDORES[[#This Row],[FECHA DE FACTURACIÓN]])</f>
        <v>2024</v>
      </c>
      <c r="W1412" s="150">
        <f>+MATCH(PROVEEDORES[[#This Row],[año facturado]],Retenciones!$1:$1,0)</f>
        <v>7</v>
      </c>
      <c r="X1412" s="151" t="e">
        <f>+VLOOKUP(PROVEEDORES[[#This Row],[ID RETENCION]],Retenciones!$A$1:$O$25,PROVEEDORES[[#This Row],[indicador de columna]],FALSE)</f>
        <v>#N/A</v>
      </c>
      <c r="Y1412" s="152" t="e">
        <f>+VLOOKUP(PROVEEDORES[[#This Row],[ID RETENCION]],Retenciones!$A$1:$O$25,2,FALSE)</f>
        <v>#N/A</v>
      </c>
      <c r="Z1412" s="153" t="b">
        <f>+OR(COUNTIF(PROVEEDORES[[#This Row],[PROVEEDOR]],"*"&amp;'Palabra que no opera y Listas d'!$A$2&amp;"*"))</f>
        <v>0</v>
      </c>
    </row>
    <row r="1413" spans="1:26" ht="27.75" customHeight="1" x14ac:dyDescent="0.3">
      <c r="A1413" s="144" t="str">
        <f>+IF(PROVEEDORES[[#This Row],[FECHA DE PAGO]]=PROVEEDORES[[#This Row],[FECHA DE FACTURACIÓN]],"DE CONTADO","CRÉDITO")</f>
        <v>CRÉDITO</v>
      </c>
      <c r="B1413" s="144" t="str">
        <f>+IF((PROVEEDORES[[#This Row],[FECHA DE PAGO]]-PROVEEDORES[[#This Row],[FECHA DE FACTURACIÓN]])&gt;PROVEEDORES[[#This Row],[PLAZO Días]],"PAGO VENCIDO")</f>
        <v>PAGO VENCIDO</v>
      </c>
      <c r="C1413" s="144">
        <f>+VLOOKUP(PROVEEDORES[[#This Row],[PROVEEDOR]],TERCEROS_INFO[#All],2,FALSE)</f>
        <v>0</v>
      </c>
      <c r="D1413" s="145">
        <f>+SUMIFS(PROVEEDORES[Total],PROVEEDORES[PROVEEDOR],PROVEEDORES[[#This Row],[PROVEEDOR]],PROVEEDORES[FECHA DE PAGO],"")</f>
        <v>0</v>
      </c>
      <c r="E1413" s="146"/>
      <c r="F1413" s="144" t="str">
        <f>+VLOOKUP(PROVEEDORES[[#This Row],[PROVEEDOR]],
                       Terceros!$A:$G,
                       5,
                       FALSE)</f>
        <v>2,5% con base</v>
      </c>
      <c r="G1413" s="122">
        <v>45384</v>
      </c>
      <c r="H1413" s="102" t="s">
        <v>1576</v>
      </c>
      <c r="I1413" s="122">
        <v>45344</v>
      </c>
      <c r="J1413" s="103" t="s">
        <v>1760</v>
      </c>
      <c r="K1413" s="103" t="s">
        <v>1512</v>
      </c>
      <c r="L1413" s="103" t="s">
        <v>1515</v>
      </c>
      <c r="M1413" s="105">
        <v>-1808800</v>
      </c>
      <c r="N1413" s="147">
        <v>0</v>
      </c>
      <c r="O1413" s="147">
        <v>0</v>
      </c>
      <c r="P1413" s="148">
        <v>0</v>
      </c>
      <c r="Q1413" s="147">
        <v>0</v>
      </c>
      <c r="R1413" s="149">
        <v>-1808800</v>
      </c>
      <c r="S14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3" s="150">
        <f ca="1">+IF(PROVEEDORES[[#This Row],[FECHA DE PAGO]]=0,TODAY()-PROVEEDORES[[#This Row],[FECHA DE FACTURACIÓN]]-PROVEEDORES[[#This Row],[PLAZO Días]],0)</f>
        <v>0</v>
      </c>
      <c r="U1413" s="150">
        <f>+VLOOKUP(PROVEEDORES[[#This Row],[PROVEEDOR]],Terceros!$A:$E,4,FALSE)</f>
        <v>0.19</v>
      </c>
      <c r="V1413" s="150">
        <f>+YEAR(PROVEEDORES[[#This Row],[FECHA DE FACTURACIÓN]])</f>
        <v>2024</v>
      </c>
      <c r="W1413" s="150">
        <f>+MATCH(PROVEEDORES[[#This Row],[año facturado]],Retenciones!$1:$1,0)</f>
        <v>7</v>
      </c>
      <c r="X1413" s="151" t="e">
        <f>+VLOOKUP(PROVEEDORES[[#This Row],[ID RETENCION]],Retenciones!$A$1:$O$25,PROVEEDORES[[#This Row],[indicador de columna]],FALSE)</f>
        <v>#N/A</v>
      </c>
      <c r="Y1413" s="152" t="e">
        <f>+VLOOKUP(PROVEEDORES[[#This Row],[ID RETENCION]],Retenciones!$A$1:$O$25,2,FALSE)</f>
        <v>#N/A</v>
      </c>
      <c r="Z1413" s="153" t="b">
        <f>+OR(COUNTIF(PROVEEDORES[[#This Row],[PROVEEDOR]],"*"&amp;'Palabra que no opera y Listas d'!$A$2&amp;"*"))</f>
        <v>0</v>
      </c>
    </row>
    <row r="1414" spans="1:26" ht="27.75" customHeight="1" x14ac:dyDescent="0.3">
      <c r="A1414" s="144" t="str">
        <f>+IF(PROVEEDORES[[#This Row],[FECHA DE PAGO]]=PROVEEDORES[[#This Row],[FECHA DE FACTURACIÓN]],"DE CONTADO","CRÉDITO")</f>
        <v>CRÉDITO</v>
      </c>
      <c r="B1414" s="144" t="str">
        <f>+IF((PROVEEDORES[[#This Row],[FECHA DE PAGO]]-PROVEEDORES[[#This Row],[FECHA DE FACTURACIÓN]])&gt;PROVEEDORES[[#This Row],[PLAZO Días]],"PAGO VENCIDO")</f>
        <v>PAGO VENCIDO</v>
      </c>
      <c r="C1414" s="144">
        <f>+VLOOKUP(PROVEEDORES[[#This Row],[PROVEEDOR]],TERCEROS_INFO[#All],2,FALSE)</f>
        <v>0</v>
      </c>
      <c r="D1414" s="145">
        <f>+SUMIFS(PROVEEDORES[Total],PROVEEDORES[PROVEEDOR],PROVEEDORES[[#This Row],[PROVEEDOR]],PROVEEDORES[FECHA DE PAGO],"")</f>
        <v>31839627.134999998</v>
      </c>
      <c r="E1414" s="146"/>
      <c r="F1414" s="144" t="str">
        <f>+VLOOKUP(PROVEEDORES[[#This Row],[PROVEEDOR]],
                       Terceros!$A:$G,
                       5,
                       FALSE)</f>
        <v>2,5% con base</v>
      </c>
      <c r="G1414" s="122">
        <v>45384</v>
      </c>
      <c r="H1414" s="102" t="s">
        <v>17</v>
      </c>
      <c r="I1414" s="122">
        <v>45351</v>
      </c>
      <c r="J1414" s="103">
        <v>1083831</v>
      </c>
      <c r="K1414" s="103" t="s">
        <v>516</v>
      </c>
      <c r="L1414" s="103" t="s">
        <v>1515</v>
      </c>
      <c r="M1414" s="105">
        <v>1015749</v>
      </c>
      <c r="N1414" s="147">
        <v>192992.31</v>
      </c>
      <c r="O1414" s="147">
        <v>0</v>
      </c>
      <c r="P1414" s="148">
        <v>0</v>
      </c>
      <c r="Q1414" s="147">
        <v>0</v>
      </c>
      <c r="R1414" s="149">
        <v>1208741.31</v>
      </c>
      <c r="S14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4" s="150">
        <f ca="1">+IF(PROVEEDORES[[#This Row],[FECHA DE PAGO]]=0,TODAY()-PROVEEDORES[[#This Row],[FECHA DE FACTURACIÓN]]-PROVEEDORES[[#This Row],[PLAZO Días]],0)</f>
        <v>0</v>
      </c>
      <c r="U1414" s="150">
        <f>+VLOOKUP(PROVEEDORES[[#This Row],[PROVEEDOR]],Terceros!$A:$E,4,FALSE)</f>
        <v>0.19</v>
      </c>
      <c r="V1414" s="150">
        <f>+YEAR(PROVEEDORES[[#This Row],[FECHA DE FACTURACIÓN]])</f>
        <v>2024</v>
      </c>
      <c r="W1414" s="150">
        <f>+MATCH(PROVEEDORES[[#This Row],[año facturado]],Retenciones!$1:$1,0)</f>
        <v>7</v>
      </c>
      <c r="X1414" s="151" t="e">
        <f>+VLOOKUP(PROVEEDORES[[#This Row],[ID RETENCION]],Retenciones!$A$1:$O$25,PROVEEDORES[[#This Row],[indicador de columna]],FALSE)</f>
        <v>#N/A</v>
      </c>
      <c r="Y1414" s="152" t="e">
        <f>+VLOOKUP(PROVEEDORES[[#This Row],[ID RETENCION]],Retenciones!$A$1:$O$25,2,FALSE)</f>
        <v>#N/A</v>
      </c>
      <c r="Z1414" s="153" t="b">
        <f>+OR(COUNTIF(PROVEEDORES[[#This Row],[PROVEEDOR]],"*"&amp;'Palabra que no opera y Listas d'!$A$2&amp;"*"))</f>
        <v>0</v>
      </c>
    </row>
    <row r="1415" spans="1:26" ht="27.75" customHeight="1" x14ac:dyDescent="0.3">
      <c r="A1415" s="144" t="str">
        <f>+IF(PROVEEDORES[[#This Row],[FECHA DE PAGO]]=PROVEEDORES[[#This Row],[FECHA DE FACTURACIÓN]],"DE CONTADO","CRÉDITO")</f>
        <v>DE CONTADO</v>
      </c>
      <c r="B1415" s="144" t="b">
        <f>+IF((PROVEEDORES[[#This Row],[FECHA DE PAGO]]-PROVEEDORES[[#This Row],[FECHA DE FACTURACIÓN]])&gt;PROVEEDORES[[#This Row],[PLAZO Días]],"PAGO VENCIDO")</f>
        <v>0</v>
      </c>
      <c r="C1415" s="144">
        <f>+VLOOKUP(PROVEEDORES[[#This Row],[PROVEEDOR]],TERCEROS_INFO[#All],2,FALSE)</f>
        <v>0</v>
      </c>
      <c r="D1415" s="145">
        <f>+SUMIFS(PROVEEDORES[Total],PROVEEDORES[PROVEEDOR],PROVEEDORES[[#This Row],[PROVEEDOR]],PROVEEDORES[FECHA DE PAGO],"")</f>
        <v>0</v>
      </c>
      <c r="E1415" s="146"/>
      <c r="F1415" s="144">
        <f>+VLOOKUP(PROVEEDORES[[#This Row],[PROVEEDOR]],
                       Terceros!$A:$G,
                       5,
                       FALSE)</f>
        <v>0</v>
      </c>
      <c r="G1415" s="122">
        <v>45384</v>
      </c>
      <c r="H1415" s="102" t="s">
        <v>1785</v>
      </c>
      <c r="I1415" s="122">
        <v>45384</v>
      </c>
      <c r="J1415" s="103" t="s">
        <v>1719</v>
      </c>
      <c r="K1415" s="103" t="s">
        <v>1512</v>
      </c>
      <c r="L1415" s="103"/>
      <c r="M1415" s="105">
        <v>39000</v>
      </c>
      <c r="N1415" s="147">
        <v>0</v>
      </c>
      <c r="O1415" s="147">
        <v>0</v>
      </c>
      <c r="P1415" s="148">
        <v>0</v>
      </c>
      <c r="Q1415" s="147">
        <v>0</v>
      </c>
      <c r="R1415" s="149">
        <v>39000</v>
      </c>
      <c r="S14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5" s="150">
        <f ca="1">+IF(PROVEEDORES[[#This Row],[FECHA DE PAGO]]=0,TODAY()-PROVEEDORES[[#This Row],[FECHA DE FACTURACIÓN]]-PROVEEDORES[[#This Row],[PLAZO Días]],0)</f>
        <v>0</v>
      </c>
      <c r="U1415" s="150">
        <f>+VLOOKUP(PROVEEDORES[[#This Row],[PROVEEDOR]],Terceros!$A:$E,4,FALSE)</f>
        <v>0</v>
      </c>
      <c r="V1415" s="150">
        <f>+YEAR(PROVEEDORES[[#This Row],[FECHA DE FACTURACIÓN]])</f>
        <v>2024</v>
      </c>
      <c r="W1415" s="150">
        <f>+MATCH(PROVEEDORES[[#This Row],[año facturado]],Retenciones!$1:$1,0)</f>
        <v>7</v>
      </c>
      <c r="X1415" s="151">
        <f>+VLOOKUP(PROVEEDORES[[#This Row],[ID RETENCION]],Retenciones!$A$1:$O$25,PROVEEDORES[[#This Row],[indicador de columna]],FALSE)</f>
        <v>0</v>
      </c>
      <c r="Y1415" s="152">
        <f>+VLOOKUP(PROVEEDORES[[#This Row],[ID RETENCION]],Retenciones!$A$1:$O$25,2,FALSE)</f>
        <v>0</v>
      </c>
      <c r="Z1415" s="153" t="b">
        <f>+OR(COUNTIF(PROVEEDORES[[#This Row],[PROVEEDOR]],"*"&amp;'Palabra que no opera y Listas d'!$A$2&amp;"*"))</f>
        <v>0</v>
      </c>
    </row>
    <row r="1416" spans="1:26" ht="27.75" customHeight="1" x14ac:dyDescent="0.3">
      <c r="A1416" s="144" t="str">
        <f>+IF(PROVEEDORES[[#This Row],[FECHA DE PAGO]]=PROVEEDORES[[#This Row],[FECHA DE FACTURACIÓN]],"DE CONTADO","CRÉDITO")</f>
        <v>CRÉDITO</v>
      </c>
      <c r="B1416" s="144" t="str">
        <f>+IF((PROVEEDORES[[#This Row],[FECHA DE PAGO]]-PROVEEDORES[[#This Row],[FECHA DE FACTURACIÓN]])&gt;PROVEEDORES[[#This Row],[PLAZO Días]],"PAGO VENCIDO")</f>
        <v>PAGO VENCIDO</v>
      </c>
      <c r="C1416" s="144">
        <f>+VLOOKUP(PROVEEDORES[[#This Row],[PROVEEDOR]],TERCEROS_INFO[#All],2,FALSE)</f>
        <v>0</v>
      </c>
      <c r="D1416" s="145">
        <f>+SUMIFS(PROVEEDORES[Total],PROVEEDORES[PROVEEDOR],PROVEEDORES[[#This Row],[PROVEEDOR]],PROVEEDORES[FECHA DE PAGO],"")</f>
        <v>0</v>
      </c>
      <c r="E1416" s="146"/>
      <c r="F1416" s="144">
        <f>+VLOOKUP(PROVEEDORES[[#This Row],[PROVEEDOR]],
                       Terceros!$A:$G,
                       5,
                       FALSE)</f>
        <v>0</v>
      </c>
      <c r="G1416" s="122">
        <v>45384</v>
      </c>
      <c r="H1416" s="102" t="s">
        <v>845</v>
      </c>
      <c r="I1416" s="122">
        <v>45378</v>
      </c>
      <c r="J1416" s="103" t="s">
        <v>1665</v>
      </c>
      <c r="K1416" s="103" t="s">
        <v>516</v>
      </c>
      <c r="L1416" s="103" t="s">
        <v>1390</v>
      </c>
      <c r="M1416" s="105">
        <v>236000</v>
      </c>
      <c r="N1416" s="147">
        <v>0</v>
      </c>
      <c r="O1416" s="147">
        <v>0</v>
      </c>
      <c r="P1416" s="148">
        <v>0</v>
      </c>
      <c r="Q1416" s="147">
        <v>0</v>
      </c>
      <c r="R1416" s="149">
        <v>236000</v>
      </c>
      <c r="S14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6" s="150">
        <f ca="1">+IF(PROVEEDORES[[#This Row],[FECHA DE PAGO]]=0,TODAY()-PROVEEDORES[[#This Row],[FECHA DE FACTURACIÓN]]-PROVEEDORES[[#This Row],[PLAZO Días]],0)</f>
        <v>0</v>
      </c>
      <c r="U1416" s="150">
        <f>+VLOOKUP(PROVEEDORES[[#This Row],[PROVEEDOR]],Terceros!$A:$E,4,FALSE)</f>
        <v>0</v>
      </c>
      <c r="V1416" s="150">
        <f>+YEAR(PROVEEDORES[[#This Row],[FECHA DE FACTURACIÓN]])</f>
        <v>2024</v>
      </c>
      <c r="W1416" s="150">
        <f>+MATCH(PROVEEDORES[[#This Row],[año facturado]],Retenciones!$1:$1,0)</f>
        <v>7</v>
      </c>
      <c r="X1416" s="151">
        <f>+VLOOKUP(PROVEEDORES[[#This Row],[ID RETENCION]],Retenciones!$A$1:$O$25,PROVEEDORES[[#This Row],[indicador de columna]],FALSE)</f>
        <v>0</v>
      </c>
      <c r="Y1416" s="152">
        <f>+VLOOKUP(PROVEEDORES[[#This Row],[ID RETENCION]],Retenciones!$A$1:$O$25,2,FALSE)</f>
        <v>0</v>
      </c>
      <c r="Z1416" s="153" t="b">
        <f>+OR(COUNTIF(PROVEEDORES[[#This Row],[PROVEEDOR]],"*"&amp;'Palabra que no opera y Listas d'!$A$2&amp;"*"))</f>
        <v>0</v>
      </c>
    </row>
    <row r="1417" spans="1:26" ht="27.75" customHeight="1" x14ac:dyDescent="0.3">
      <c r="A1417" s="144" t="str">
        <f>+IF(PROVEEDORES[[#This Row],[FECHA DE PAGO]]=PROVEEDORES[[#This Row],[FECHA DE FACTURACIÓN]],"DE CONTADO","CRÉDITO")</f>
        <v>CRÉDITO</v>
      </c>
      <c r="B1417" s="144" t="str">
        <f>+IF((PROVEEDORES[[#This Row],[FECHA DE PAGO]]-PROVEEDORES[[#This Row],[FECHA DE FACTURACIÓN]])&gt;PROVEEDORES[[#This Row],[PLAZO Días]],"PAGO VENCIDO")</f>
        <v>PAGO VENCIDO</v>
      </c>
      <c r="C1417" s="144">
        <f>+VLOOKUP(PROVEEDORES[[#This Row],[PROVEEDOR]],TERCEROS_INFO[#All],2,FALSE)</f>
        <v>0</v>
      </c>
      <c r="D1417" s="145">
        <f>+SUMIFS(PROVEEDORES[Total],PROVEEDORES[PROVEEDOR],PROVEEDORES[[#This Row],[PROVEEDOR]],PROVEEDORES[FECHA DE PAGO],"")</f>
        <v>3130000</v>
      </c>
      <c r="E1417" s="146"/>
      <c r="F1417" s="144">
        <f>+VLOOKUP(PROVEEDORES[[#This Row],[PROVEEDOR]],
                       Terceros!$A:$G,
                       5,
                       FALSE)</f>
        <v>0</v>
      </c>
      <c r="G1417" s="122">
        <v>45385</v>
      </c>
      <c r="H1417" s="102" t="s">
        <v>487</v>
      </c>
      <c r="I1417" s="122">
        <v>45335</v>
      </c>
      <c r="J1417" s="103" t="s">
        <v>1666</v>
      </c>
      <c r="K1417" s="103" t="s">
        <v>1512</v>
      </c>
      <c r="L1417" s="103" t="s">
        <v>1390</v>
      </c>
      <c r="M1417" s="105">
        <v>1450000</v>
      </c>
      <c r="N1417" s="147">
        <v>0</v>
      </c>
      <c r="O1417" s="147">
        <v>0</v>
      </c>
      <c r="P1417" s="148">
        <v>0</v>
      </c>
      <c r="Q1417" s="147">
        <v>0</v>
      </c>
      <c r="R1417" s="149">
        <v>1450000</v>
      </c>
      <c r="S14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7" s="150">
        <f ca="1">+IF(PROVEEDORES[[#This Row],[FECHA DE PAGO]]=0,TODAY()-PROVEEDORES[[#This Row],[FECHA DE FACTURACIÓN]]-PROVEEDORES[[#This Row],[PLAZO Días]],0)</f>
        <v>0</v>
      </c>
      <c r="U1417" s="150">
        <f>+VLOOKUP(PROVEEDORES[[#This Row],[PROVEEDOR]],Terceros!$A:$E,4,FALSE)</f>
        <v>0</v>
      </c>
      <c r="V1417" s="150">
        <f>+YEAR(PROVEEDORES[[#This Row],[FECHA DE FACTURACIÓN]])</f>
        <v>2024</v>
      </c>
      <c r="W1417" s="150">
        <f>+MATCH(PROVEEDORES[[#This Row],[año facturado]],Retenciones!$1:$1,0)</f>
        <v>7</v>
      </c>
      <c r="X1417" s="151">
        <f>+VLOOKUP(PROVEEDORES[[#This Row],[ID RETENCION]],Retenciones!$A$1:$O$25,PROVEEDORES[[#This Row],[indicador de columna]],FALSE)</f>
        <v>0</v>
      </c>
      <c r="Y1417" s="152">
        <f>+VLOOKUP(PROVEEDORES[[#This Row],[ID RETENCION]],Retenciones!$A$1:$O$25,2,FALSE)</f>
        <v>0</v>
      </c>
      <c r="Z1417" s="153" t="b">
        <f>+OR(COUNTIF(PROVEEDORES[[#This Row],[PROVEEDOR]],"*"&amp;'Palabra que no opera y Listas d'!$A$2&amp;"*"))</f>
        <v>0</v>
      </c>
    </row>
    <row r="1418" spans="1:26" ht="27.75" customHeight="1" x14ac:dyDescent="0.3">
      <c r="A1418" s="144" t="str">
        <f>+IF(PROVEEDORES[[#This Row],[FECHA DE PAGO]]=PROVEEDORES[[#This Row],[FECHA DE FACTURACIÓN]],"DE CONTADO","CRÉDITO")</f>
        <v>CRÉDITO</v>
      </c>
      <c r="B1418" s="144" t="str">
        <f>+IF((PROVEEDORES[[#This Row],[FECHA DE PAGO]]-PROVEEDORES[[#This Row],[FECHA DE FACTURACIÓN]])&gt;PROVEEDORES[[#This Row],[PLAZO Días]],"PAGO VENCIDO")</f>
        <v>PAGO VENCIDO</v>
      </c>
      <c r="C1418" s="144">
        <f>+VLOOKUP(PROVEEDORES[[#This Row],[PROVEEDOR]],TERCEROS_INFO[#All],2,FALSE)</f>
        <v>0</v>
      </c>
      <c r="D1418" s="145">
        <f>+SUMIFS(PROVEEDORES[Total],PROVEEDORES[PROVEEDOR],PROVEEDORES[[#This Row],[PROVEEDOR]],PROVEEDORES[FECHA DE PAGO],"")</f>
        <v>0</v>
      </c>
      <c r="E1418" s="146"/>
      <c r="F1418" s="144" t="str">
        <f>+VLOOKUP(PROVEEDORES[[#This Row],[PROVEEDOR]],
                       Terceros!$A:$G,
                       5,
                       FALSE)</f>
        <v>2,5% con base</v>
      </c>
      <c r="G1418" s="122">
        <v>45385</v>
      </c>
      <c r="H1418" s="102" t="s">
        <v>30</v>
      </c>
      <c r="I1418" s="122">
        <v>45350</v>
      </c>
      <c r="J1418" s="103" t="s">
        <v>1579</v>
      </c>
      <c r="K1418" s="103" t="s">
        <v>1512</v>
      </c>
      <c r="L1418" s="103" t="s">
        <v>1515</v>
      </c>
      <c r="M1418" s="105">
        <v>617647</v>
      </c>
      <c r="N1418" s="147">
        <v>117352.93000000001</v>
      </c>
      <c r="O1418" s="147">
        <v>0</v>
      </c>
      <c r="P1418" s="148">
        <v>0</v>
      </c>
      <c r="Q1418" s="147">
        <v>0</v>
      </c>
      <c r="R1418" s="149">
        <v>734999.93</v>
      </c>
      <c r="S14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8" s="150">
        <f ca="1">+IF(PROVEEDORES[[#This Row],[FECHA DE PAGO]]=0,TODAY()-PROVEEDORES[[#This Row],[FECHA DE FACTURACIÓN]]-PROVEEDORES[[#This Row],[PLAZO Días]],0)</f>
        <v>0</v>
      </c>
      <c r="U1418" s="150">
        <f>+VLOOKUP(PROVEEDORES[[#This Row],[PROVEEDOR]],Terceros!$A:$E,4,FALSE)</f>
        <v>0.19</v>
      </c>
      <c r="V1418" s="150">
        <f>+YEAR(PROVEEDORES[[#This Row],[FECHA DE FACTURACIÓN]])</f>
        <v>2024</v>
      </c>
      <c r="W1418" s="150">
        <f>+MATCH(PROVEEDORES[[#This Row],[año facturado]],Retenciones!$1:$1,0)</f>
        <v>7</v>
      </c>
      <c r="X1418" s="151" t="e">
        <f>+VLOOKUP(PROVEEDORES[[#This Row],[ID RETENCION]],Retenciones!$A$1:$O$25,PROVEEDORES[[#This Row],[indicador de columna]],FALSE)</f>
        <v>#N/A</v>
      </c>
      <c r="Y1418" s="152" t="e">
        <f>+VLOOKUP(PROVEEDORES[[#This Row],[ID RETENCION]],Retenciones!$A$1:$O$25,2,FALSE)</f>
        <v>#N/A</v>
      </c>
      <c r="Z1418" s="153" t="b">
        <f>+OR(COUNTIF(PROVEEDORES[[#This Row],[PROVEEDOR]],"*"&amp;'Palabra que no opera y Listas d'!$A$2&amp;"*"))</f>
        <v>0</v>
      </c>
    </row>
    <row r="1419" spans="1:26" ht="27.75" customHeight="1" x14ac:dyDescent="0.3">
      <c r="A1419" s="144" t="str">
        <f>+IF(PROVEEDORES[[#This Row],[FECHA DE PAGO]]=PROVEEDORES[[#This Row],[FECHA DE FACTURACIÓN]],"DE CONTADO","CRÉDITO")</f>
        <v>DE CONTADO</v>
      </c>
      <c r="B1419" s="144" t="b">
        <f>+IF((PROVEEDORES[[#This Row],[FECHA DE PAGO]]-PROVEEDORES[[#This Row],[FECHA DE FACTURACIÓN]])&gt;PROVEEDORES[[#This Row],[PLAZO Días]],"PAGO VENCIDO")</f>
        <v>0</v>
      </c>
      <c r="C1419" s="144">
        <f>+VLOOKUP(PROVEEDORES[[#This Row],[PROVEEDOR]],TERCEROS_INFO[#All],2,FALSE)</f>
        <v>0</v>
      </c>
      <c r="D1419" s="145">
        <f>+SUMIFS(PROVEEDORES[Total],PROVEEDORES[PROVEEDOR],PROVEEDORES[[#This Row],[PROVEEDOR]],PROVEEDORES[FECHA DE PAGO],"")</f>
        <v>0</v>
      </c>
      <c r="E1419" s="146"/>
      <c r="F1419" s="144">
        <f>+VLOOKUP(PROVEEDORES[[#This Row],[PROVEEDOR]],
                       Terceros!$A:$G,
                       5,
                       FALSE)</f>
        <v>0</v>
      </c>
      <c r="G1419" s="122">
        <v>45385</v>
      </c>
      <c r="H1419" s="102" t="s">
        <v>1785</v>
      </c>
      <c r="I1419" s="122">
        <v>45385</v>
      </c>
      <c r="J1419" s="103" t="s">
        <v>1718</v>
      </c>
      <c r="K1419" s="103" t="s">
        <v>1512</v>
      </c>
      <c r="L1419" s="103"/>
      <c r="M1419" s="105">
        <v>33000</v>
      </c>
      <c r="N1419" s="147">
        <v>0</v>
      </c>
      <c r="O1419" s="147">
        <v>0</v>
      </c>
      <c r="P1419" s="148">
        <v>0</v>
      </c>
      <c r="Q1419" s="147">
        <v>0</v>
      </c>
      <c r="R1419" s="149">
        <v>33000</v>
      </c>
      <c r="S14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9" s="150">
        <f ca="1">+IF(PROVEEDORES[[#This Row],[FECHA DE PAGO]]=0,TODAY()-PROVEEDORES[[#This Row],[FECHA DE FACTURACIÓN]]-PROVEEDORES[[#This Row],[PLAZO Días]],0)</f>
        <v>0</v>
      </c>
      <c r="U1419" s="150">
        <f>+VLOOKUP(PROVEEDORES[[#This Row],[PROVEEDOR]],Terceros!$A:$E,4,FALSE)</f>
        <v>0</v>
      </c>
      <c r="V1419" s="150">
        <f>+YEAR(PROVEEDORES[[#This Row],[FECHA DE FACTURACIÓN]])</f>
        <v>2024</v>
      </c>
      <c r="W1419" s="150">
        <f>+MATCH(PROVEEDORES[[#This Row],[año facturado]],Retenciones!$1:$1,0)</f>
        <v>7</v>
      </c>
      <c r="X1419" s="151">
        <f>+VLOOKUP(PROVEEDORES[[#This Row],[ID RETENCION]],Retenciones!$A$1:$O$25,PROVEEDORES[[#This Row],[indicador de columna]],FALSE)</f>
        <v>0</v>
      </c>
      <c r="Y1419" s="152">
        <f>+VLOOKUP(PROVEEDORES[[#This Row],[ID RETENCION]],Retenciones!$A$1:$O$25,2,FALSE)</f>
        <v>0</v>
      </c>
      <c r="Z1419" s="153" t="b">
        <f>+OR(COUNTIF(PROVEEDORES[[#This Row],[PROVEEDOR]],"*"&amp;'Palabra que no opera y Listas d'!$A$2&amp;"*"))</f>
        <v>0</v>
      </c>
    </row>
    <row r="1420" spans="1:26" ht="27.75" customHeight="1" x14ac:dyDescent="0.3">
      <c r="A1420" s="144" t="str">
        <f>+IF(PROVEEDORES[[#This Row],[FECHA DE PAGO]]=PROVEEDORES[[#This Row],[FECHA DE FACTURACIÓN]],"DE CONTADO","CRÉDITO")</f>
        <v>CRÉDITO</v>
      </c>
      <c r="B1420" s="144" t="str">
        <f>+IF((PROVEEDORES[[#This Row],[FECHA DE PAGO]]-PROVEEDORES[[#This Row],[FECHA DE FACTURACIÓN]])&gt;PROVEEDORES[[#This Row],[PLAZO Días]],"PAGO VENCIDO")</f>
        <v>PAGO VENCIDO</v>
      </c>
      <c r="C1420" s="144">
        <f>+VLOOKUP(PROVEEDORES[[#This Row],[PROVEEDOR]],TERCEROS_INFO[#All],2,FALSE)</f>
        <v>0</v>
      </c>
      <c r="D1420" s="145">
        <f>+SUMIFS(PROVEEDORES[Total],PROVEEDORES[PROVEEDOR],PROVEEDORES[[#This Row],[PROVEEDOR]],PROVEEDORES[FECHA DE PAGO],"")</f>
        <v>0</v>
      </c>
      <c r="E1420" s="146"/>
      <c r="F1420" s="144">
        <f>+VLOOKUP(PROVEEDORES[[#This Row],[PROVEEDOR]],
                       Terceros!$A:$G,
                       5,
                       FALSE)</f>
        <v>0</v>
      </c>
      <c r="G1420" s="122">
        <v>45386</v>
      </c>
      <c r="H1420" s="102" t="s">
        <v>397</v>
      </c>
      <c r="I1420" s="122">
        <v>45383</v>
      </c>
      <c r="J1420" s="103" t="s">
        <v>1669</v>
      </c>
      <c r="K1420" s="103" t="s">
        <v>1512</v>
      </c>
      <c r="L1420" s="103" t="s">
        <v>1518</v>
      </c>
      <c r="M1420" s="105">
        <v>1030415</v>
      </c>
      <c r="N1420" s="147">
        <v>0</v>
      </c>
      <c r="O1420" s="147">
        <v>0</v>
      </c>
      <c r="P1420" s="148">
        <v>0</v>
      </c>
      <c r="Q1420" s="147">
        <v>0</v>
      </c>
      <c r="R1420" s="149">
        <v>1030415</v>
      </c>
      <c r="S142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0" s="150">
        <f ca="1">+IF(PROVEEDORES[[#This Row],[FECHA DE PAGO]]=0,TODAY()-PROVEEDORES[[#This Row],[FECHA DE FACTURACIÓN]]-PROVEEDORES[[#This Row],[PLAZO Días]],0)</f>
        <v>0</v>
      </c>
      <c r="U1420" s="150">
        <f>+VLOOKUP(PROVEEDORES[[#This Row],[PROVEEDOR]],Terceros!$A:$E,4,FALSE)</f>
        <v>0</v>
      </c>
      <c r="V1420" s="150">
        <f>+YEAR(PROVEEDORES[[#This Row],[FECHA DE FACTURACIÓN]])</f>
        <v>2024</v>
      </c>
      <c r="W1420" s="150">
        <f>+MATCH(PROVEEDORES[[#This Row],[año facturado]],Retenciones!$1:$1,0)</f>
        <v>7</v>
      </c>
      <c r="X1420" s="151">
        <f>+VLOOKUP(PROVEEDORES[[#This Row],[ID RETENCION]],Retenciones!$A$1:$O$25,PROVEEDORES[[#This Row],[indicador de columna]],FALSE)</f>
        <v>0</v>
      </c>
      <c r="Y1420" s="152">
        <f>+VLOOKUP(PROVEEDORES[[#This Row],[ID RETENCION]],Retenciones!$A$1:$O$25,2,FALSE)</f>
        <v>0</v>
      </c>
      <c r="Z1420" s="153" t="b">
        <f>+OR(COUNTIF(PROVEEDORES[[#This Row],[PROVEEDOR]],"*"&amp;'Palabra que no opera y Listas d'!$A$2&amp;"*"))</f>
        <v>1</v>
      </c>
    </row>
    <row r="1421" spans="1:26" ht="27.75" customHeight="1" x14ac:dyDescent="0.3">
      <c r="A1421" s="144" t="str">
        <f>+IF(PROVEEDORES[[#This Row],[FECHA DE PAGO]]=PROVEEDORES[[#This Row],[FECHA DE FACTURACIÓN]],"DE CONTADO","CRÉDITO")</f>
        <v>DE CONTADO</v>
      </c>
      <c r="B1421" s="144" t="b">
        <f>+IF((PROVEEDORES[[#This Row],[FECHA DE PAGO]]-PROVEEDORES[[#This Row],[FECHA DE FACTURACIÓN]])&gt;PROVEEDORES[[#This Row],[PLAZO Días]],"PAGO VENCIDO")</f>
        <v>0</v>
      </c>
      <c r="C1421" s="144">
        <f>+VLOOKUP(PROVEEDORES[[#This Row],[PROVEEDOR]],TERCEROS_INFO[#All],2,FALSE)</f>
        <v>0</v>
      </c>
      <c r="D1421" s="145">
        <f>+SUMIFS(PROVEEDORES[Total],PROVEEDORES[PROVEEDOR],PROVEEDORES[[#This Row],[PROVEEDOR]],PROVEEDORES[FECHA DE PAGO],"")</f>
        <v>0</v>
      </c>
      <c r="E1421" s="146"/>
      <c r="F1421" s="144">
        <f>+VLOOKUP(PROVEEDORES[[#This Row],[PROVEEDOR]],
                       Terceros!$A:$G,
                       5,
                       FALSE)</f>
        <v>0</v>
      </c>
      <c r="G1421" s="122">
        <v>45386</v>
      </c>
      <c r="H1421" s="102" t="s">
        <v>1668</v>
      </c>
      <c r="I1421" s="122">
        <v>45386</v>
      </c>
      <c r="J1421" s="103">
        <v>556</v>
      </c>
      <c r="K1421" s="103" t="s">
        <v>516</v>
      </c>
      <c r="L1421" s="103" t="s">
        <v>1390</v>
      </c>
      <c r="M1421" s="105">
        <v>520335</v>
      </c>
      <c r="N1421" s="147">
        <v>0</v>
      </c>
      <c r="O1421" s="147">
        <v>0</v>
      </c>
      <c r="P1421" s="148">
        <v>0</v>
      </c>
      <c r="Q1421" s="147">
        <v>0</v>
      </c>
      <c r="R1421" s="149">
        <v>520335</v>
      </c>
      <c r="S142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1" s="150">
        <f ca="1">+IF(PROVEEDORES[[#This Row],[FECHA DE PAGO]]=0,TODAY()-PROVEEDORES[[#This Row],[FECHA DE FACTURACIÓN]]-PROVEEDORES[[#This Row],[PLAZO Días]],0)</f>
        <v>0</v>
      </c>
      <c r="U1421" s="150">
        <f>+VLOOKUP(PROVEEDORES[[#This Row],[PROVEEDOR]],Terceros!$A:$E,4,FALSE)</f>
        <v>0</v>
      </c>
      <c r="V1421" s="150">
        <f>+YEAR(PROVEEDORES[[#This Row],[FECHA DE FACTURACIÓN]])</f>
        <v>2024</v>
      </c>
      <c r="W1421" s="150">
        <f>+MATCH(PROVEEDORES[[#This Row],[año facturado]],Retenciones!$1:$1,0)</f>
        <v>7</v>
      </c>
      <c r="X1421" s="151">
        <f>+VLOOKUP(PROVEEDORES[[#This Row],[ID RETENCION]],Retenciones!$A$1:$O$25,PROVEEDORES[[#This Row],[indicador de columna]],FALSE)</f>
        <v>0</v>
      </c>
      <c r="Y1421" s="152">
        <f>+VLOOKUP(PROVEEDORES[[#This Row],[ID RETENCION]],Retenciones!$A$1:$O$25,2,FALSE)</f>
        <v>0</v>
      </c>
      <c r="Z1421" s="153" t="b">
        <f>+OR(COUNTIF(PROVEEDORES[[#This Row],[PROVEEDOR]],"*"&amp;'Palabra que no opera y Listas d'!$A$2&amp;"*"))</f>
        <v>0</v>
      </c>
    </row>
    <row r="1422" spans="1:26" ht="27.75" customHeight="1" x14ac:dyDescent="0.3">
      <c r="A1422" s="144" t="str">
        <f>+IF(PROVEEDORES[[#This Row],[FECHA DE PAGO]]=PROVEEDORES[[#This Row],[FECHA DE FACTURACIÓN]],"DE CONTADO","CRÉDITO")</f>
        <v>DE CONTADO</v>
      </c>
      <c r="B1422" s="144" t="b">
        <f>+IF((PROVEEDORES[[#This Row],[FECHA DE PAGO]]-PROVEEDORES[[#This Row],[FECHA DE FACTURACIÓN]])&gt;PROVEEDORES[[#This Row],[PLAZO Días]],"PAGO VENCIDO")</f>
        <v>0</v>
      </c>
      <c r="C1422" s="144">
        <f>+VLOOKUP(PROVEEDORES[[#This Row],[PROVEEDOR]],TERCEROS_INFO[#All],2,FALSE)</f>
        <v>0</v>
      </c>
      <c r="D1422" s="145">
        <f>+SUMIFS(PROVEEDORES[Total],PROVEEDORES[PROVEEDOR],PROVEEDORES[[#This Row],[PROVEEDOR]],PROVEEDORES[FECHA DE PAGO],"")</f>
        <v>0</v>
      </c>
      <c r="E1422" s="146"/>
      <c r="F1422" s="144">
        <f>+VLOOKUP(PROVEEDORES[[#This Row],[PROVEEDOR]],
                       Terceros!$A:$G,
                       5,
                       FALSE)</f>
        <v>0</v>
      </c>
      <c r="G1422" s="122">
        <v>45386</v>
      </c>
      <c r="H1422" s="102" t="s">
        <v>870</v>
      </c>
      <c r="I1422" s="122">
        <v>45386</v>
      </c>
      <c r="J1422" s="103" t="s">
        <v>1685</v>
      </c>
      <c r="K1422" s="103" t="s">
        <v>1512</v>
      </c>
      <c r="L1422" s="103" t="s">
        <v>1390</v>
      </c>
      <c r="M1422" s="105">
        <v>440000</v>
      </c>
      <c r="N1422" s="147">
        <v>0</v>
      </c>
      <c r="O1422" s="147">
        <v>0</v>
      </c>
      <c r="P1422" s="148">
        <v>0</v>
      </c>
      <c r="Q1422" s="147">
        <v>0</v>
      </c>
      <c r="R1422" s="149">
        <v>440000</v>
      </c>
      <c r="S142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2" s="150">
        <f ca="1">+IF(PROVEEDORES[[#This Row],[FECHA DE PAGO]]=0,TODAY()-PROVEEDORES[[#This Row],[FECHA DE FACTURACIÓN]]-PROVEEDORES[[#This Row],[PLAZO Días]],0)</f>
        <v>0</v>
      </c>
      <c r="U1422" s="150">
        <f>+VLOOKUP(PROVEEDORES[[#This Row],[PROVEEDOR]],Terceros!$A:$E,4,FALSE)</f>
        <v>0</v>
      </c>
      <c r="V1422" s="150">
        <f>+YEAR(PROVEEDORES[[#This Row],[FECHA DE FACTURACIÓN]])</f>
        <v>2024</v>
      </c>
      <c r="W1422" s="150">
        <f>+MATCH(PROVEEDORES[[#This Row],[año facturado]],Retenciones!$1:$1,0)</f>
        <v>7</v>
      </c>
      <c r="X1422" s="151">
        <f>+VLOOKUP(PROVEEDORES[[#This Row],[ID RETENCION]],Retenciones!$A$1:$O$25,PROVEEDORES[[#This Row],[indicador de columna]],FALSE)</f>
        <v>0</v>
      </c>
      <c r="Y1422" s="152">
        <f>+VLOOKUP(PROVEEDORES[[#This Row],[ID RETENCION]],Retenciones!$A$1:$O$25,2,FALSE)</f>
        <v>0</v>
      </c>
      <c r="Z1422" s="153" t="b">
        <f>+OR(COUNTIF(PROVEEDORES[[#This Row],[PROVEEDOR]],"*"&amp;'Palabra que no opera y Listas d'!$A$2&amp;"*"))</f>
        <v>0</v>
      </c>
    </row>
    <row r="1423" spans="1:26" ht="27.75" customHeight="1" x14ac:dyDescent="0.3">
      <c r="A1423" s="144" t="str">
        <f>+IF(PROVEEDORES[[#This Row],[FECHA DE PAGO]]=PROVEEDORES[[#This Row],[FECHA DE FACTURACIÓN]],"DE CONTADO","CRÉDITO")</f>
        <v>CRÉDITO</v>
      </c>
      <c r="B1423" s="144" t="str">
        <f>+IF((PROVEEDORES[[#This Row],[FECHA DE PAGO]]-PROVEEDORES[[#This Row],[FECHA DE FACTURACIÓN]])&gt;PROVEEDORES[[#This Row],[PLAZO Días]],"PAGO VENCIDO")</f>
        <v>PAGO VENCIDO</v>
      </c>
      <c r="C1423" s="144">
        <f>+VLOOKUP(PROVEEDORES[[#This Row],[PROVEEDOR]],TERCEROS_INFO[#All],2,FALSE)</f>
        <v>0</v>
      </c>
      <c r="D1423" s="145">
        <f>+SUMIFS(PROVEEDORES[Total],PROVEEDORES[PROVEEDOR],PROVEEDORES[[#This Row],[PROVEEDOR]],PROVEEDORES[FECHA DE PAGO],"")</f>
        <v>0</v>
      </c>
      <c r="E1423" s="146"/>
      <c r="F1423" s="144">
        <f>+VLOOKUP(PROVEEDORES[[#This Row],[PROVEEDOR]],
                       Terceros!$A:$G,
                       5,
                       FALSE)</f>
        <v>0</v>
      </c>
      <c r="G1423" s="122">
        <v>45387</v>
      </c>
      <c r="H1423" s="102" t="s">
        <v>1534</v>
      </c>
      <c r="I1423" s="122">
        <v>45331</v>
      </c>
      <c r="J1423" s="103" t="s">
        <v>27</v>
      </c>
      <c r="K1423" s="103"/>
      <c r="L1423" s="103" t="s">
        <v>1390</v>
      </c>
      <c r="M1423" s="105">
        <v>51411</v>
      </c>
      <c r="N1423" s="147">
        <v>0</v>
      </c>
      <c r="O1423" s="147">
        <v>0</v>
      </c>
      <c r="P1423" s="148">
        <v>0</v>
      </c>
      <c r="Q1423" s="147">
        <v>0</v>
      </c>
      <c r="R1423" s="149">
        <v>51411</v>
      </c>
      <c r="S142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3" s="150">
        <f ca="1">+IF(PROVEEDORES[[#This Row],[FECHA DE PAGO]]=0,TODAY()-PROVEEDORES[[#This Row],[FECHA DE FACTURACIÓN]]-PROVEEDORES[[#This Row],[PLAZO Días]],0)</f>
        <v>0</v>
      </c>
      <c r="U1423" s="150">
        <f>+VLOOKUP(PROVEEDORES[[#This Row],[PROVEEDOR]],Terceros!$A:$E,4,FALSE)</f>
        <v>0</v>
      </c>
      <c r="V1423" s="150">
        <f>+YEAR(PROVEEDORES[[#This Row],[FECHA DE FACTURACIÓN]])</f>
        <v>2024</v>
      </c>
      <c r="W1423" s="150">
        <f>+MATCH(PROVEEDORES[[#This Row],[año facturado]],Retenciones!$1:$1,0)</f>
        <v>7</v>
      </c>
      <c r="X1423" s="151">
        <f>+VLOOKUP(PROVEEDORES[[#This Row],[ID RETENCION]],Retenciones!$A$1:$O$25,PROVEEDORES[[#This Row],[indicador de columna]],FALSE)</f>
        <v>0</v>
      </c>
      <c r="Y1423" s="152">
        <f>+VLOOKUP(PROVEEDORES[[#This Row],[ID RETENCION]],Retenciones!$A$1:$O$25,2,FALSE)</f>
        <v>0</v>
      </c>
      <c r="Z1423" s="153" t="b">
        <f>+OR(COUNTIF(PROVEEDORES[[#This Row],[PROVEEDOR]],"*"&amp;'Palabra que no opera y Listas d'!$A$2&amp;"*"))</f>
        <v>0</v>
      </c>
    </row>
    <row r="1424" spans="1:26" ht="27.75" customHeight="1" x14ac:dyDescent="0.3">
      <c r="A1424" s="144" t="str">
        <f>+IF(PROVEEDORES[[#This Row],[FECHA DE PAGO]]=PROVEEDORES[[#This Row],[FECHA DE FACTURACIÓN]],"DE CONTADO","CRÉDITO")</f>
        <v>CRÉDITO</v>
      </c>
      <c r="B1424" s="144" t="str">
        <f>+IF((PROVEEDORES[[#This Row],[FECHA DE PAGO]]-PROVEEDORES[[#This Row],[FECHA DE FACTURACIÓN]])&gt;PROVEEDORES[[#This Row],[PLAZO Días]],"PAGO VENCIDO")</f>
        <v>PAGO VENCIDO</v>
      </c>
      <c r="C1424" s="144">
        <f>+VLOOKUP(PROVEEDORES[[#This Row],[PROVEEDOR]],TERCEROS_INFO[#All],2,FALSE)</f>
        <v>0</v>
      </c>
      <c r="D1424" s="145" t="e">
        <f>+SUMIFS(PROVEEDORES[Total],PROVEEDORES[PROVEEDOR],PROVEEDORES[[#This Row],[PROVEEDOR]],PROVEEDORES[FECHA DE PAGO],"")</f>
        <v>#N/A</v>
      </c>
      <c r="E1424" s="146"/>
      <c r="F1424" s="144">
        <f>+VLOOKUP(PROVEEDORES[[#This Row],[PROVEEDOR]],
                       Terceros!$A:$G,
                       5,
                       FALSE)</f>
        <v>0</v>
      </c>
      <c r="G1424" s="122">
        <v>45387</v>
      </c>
      <c r="H1424" s="102" t="s">
        <v>16</v>
      </c>
      <c r="I1424" s="122">
        <v>45357</v>
      </c>
      <c r="J1424" s="103" t="s">
        <v>1624</v>
      </c>
      <c r="K1424" s="103" t="s">
        <v>1512</v>
      </c>
      <c r="L1424" s="103" t="s">
        <v>1515</v>
      </c>
      <c r="M1424" s="105">
        <v>941536.6</v>
      </c>
      <c r="N1424" s="147">
        <v>178891.954</v>
      </c>
      <c r="O1424" s="147">
        <v>0</v>
      </c>
      <c r="P1424" s="148">
        <v>0</v>
      </c>
      <c r="Q1424" s="147">
        <v>0</v>
      </c>
      <c r="R1424" s="149">
        <v>1120428.554</v>
      </c>
      <c r="S142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4" s="150">
        <f ca="1">+IF(PROVEEDORES[[#This Row],[FECHA DE PAGO]]=0,TODAY()-PROVEEDORES[[#This Row],[FECHA DE FACTURACIÓN]]-PROVEEDORES[[#This Row],[PLAZO Días]],0)</f>
        <v>0</v>
      </c>
      <c r="U1424" s="150">
        <f>+VLOOKUP(PROVEEDORES[[#This Row],[PROVEEDOR]],Terceros!$A:$E,4,FALSE)</f>
        <v>0.19</v>
      </c>
      <c r="V1424" s="150">
        <f>+YEAR(PROVEEDORES[[#This Row],[FECHA DE FACTURACIÓN]])</f>
        <v>2024</v>
      </c>
      <c r="W1424" s="150">
        <f>+MATCH(PROVEEDORES[[#This Row],[año facturado]],Retenciones!$1:$1,0)</f>
        <v>7</v>
      </c>
      <c r="X1424" s="151" t="e">
        <f>+VLOOKUP(PROVEEDORES[[#This Row],[ID RETENCION]],Retenciones!$A$1:$O$25,PROVEEDORES[[#This Row],[indicador de columna]],FALSE)</f>
        <v>#N/A</v>
      </c>
      <c r="Y1424" s="152" t="e">
        <f>+VLOOKUP(PROVEEDORES[[#This Row],[ID RETENCION]],Retenciones!$A$1:$O$25,2,FALSE)</f>
        <v>#N/A</v>
      </c>
      <c r="Z1424" s="153" t="b">
        <f>+OR(COUNTIF(PROVEEDORES[[#This Row],[PROVEEDOR]],"*"&amp;'Palabra que no opera y Listas d'!$A$2&amp;"*"))</f>
        <v>0</v>
      </c>
    </row>
    <row r="1425" spans="1:26" ht="27.75" customHeight="1" x14ac:dyDescent="0.3">
      <c r="A1425" s="144" t="str">
        <f>+IF(PROVEEDORES[[#This Row],[FECHA DE PAGO]]=PROVEEDORES[[#This Row],[FECHA DE FACTURACIÓN]],"DE CONTADO","CRÉDITO")</f>
        <v>CRÉDITO</v>
      </c>
      <c r="B1425" s="144" t="str">
        <f>+IF((PROVEEDORES[[#This Row],[FECHA DE PAGO]]-PROVEEDORES[[#This Row],[FECHA DE FACTURACIÓN]])&gt;PROVEEDORES[[#This Row],[PLAZO Días]],"PAGO VENCIDO")</f>
        <v>PAGO VENCIDO</v>
      </c>
      <c r="C1425" s="144">
        <f>+VLOOKUP(PROVEEDORES[[#This Row],[PROVEEDOR]],TERCEROS_INFO[#All],2,FALSE)</f>
        <v>0</v>
      </c>
      <c r="D1425" s="145" t="e">
        <f>+SUMIFS(PROVEEDORES[Total],PROVEEDORES[PROVEEDOR],PROVEEDORES[[#This Row],[PROVEEDOR]],PROVEEDORES[FECHA DE PAGO],"")</f>
        <v>#N/A</v>
      </c>
      <c r="E1425" s="146"/>
      <c r="F1425" s="144">
        <f>+VLOOKUP(PROVEEDORES[[#This Row],[PROVEEDOR]],
                       Terceros!$A:$G,
                       5,
                       FALSE)</f>
        <v>0</v>
      </c>
      <c r="G1425" s="122">
        <v>45387</v>
      </c>
      <c r="H1425" s="102" t="s">
        <v>16</v>
      </c>
      <c r="I1425" s="122">
        <v>45359</v>
      </c>
      <c r="J1425" s="103" t="s">
        <v>1630</v>
      </c>
      <c r="K1425" s="103" t="s">
        <v>1512</v>
      </c>
      <c r="L1425" s="103" t="s">
        <v>1515</v>
      </c>
      <c r="M1425" s="105">
        <v>1182109</v>
      </c>
      <c r="N1425" s="147">
        <v>224600.71</v>
      </c>
      <c r="O1425" s="147">
        <v>0</v>
      </c>
      <c r="P1425" s="148">
        <v>0</v>
      </c>
      <c r="Q1425" s="147">
        <v>0</v>
      </c>
      <c r="R1425" s="149">
        <v>1406709.71</v>
      </c>
      <c r="S142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5" s="150">
        <f ca="1">+IF(PROVEEDORES[[#This Row],[FECHA DE PAGO]]=0,TODAY()-PROVEEDORES[[#This Row],[FECHA DE FACTURACIÓN]]-PROVEEDORES[[#This Row],[PLAZO Días]],0)</f>
        <v>0</v>
      </c>
      <c r="U1425" s="150">
        <f>+VLOOKUP(PROVEEDORES[[#This Row],[PROVEEDOR]],Terceros!$A:$E,4,FALSE)</f>
        <v>0.19</v>
      </c>
      <c r="V1425" s="150">
        <f>+YEAR(PROVEEDORES[[#This Row],[FECHA DE FACTURACIÓN]])</f>
        <v>2024</v>
      </c>
      <c r="W1425" s="150">
        <f>+MATCH(PROVEEDORES[[#This Row],[año facturado]],Retenciones!$1:$1,0)</f>
        <v>7</v>
      </c>
      <c r="X1425" s="151" t="e">
        <f>+VLOOKUP(PROVEEDORES[[#This Row],[ID RETENCION]],Retenciones!$A$1:$O$25,PROVEEDORES[[#This Row],[indicador de columna]],FALSE)</f>
        <v>#N/A</v>
      </c>
      <c r="Y1425" s="152" t="e">
        <f>+VLOOKUP(PROVEEDORES[[#This Row],[ID RETENCION]],Retenciones!$A$1:$O$25,2,FALSE)</f>
        <v>#N/A</v>
      </c>
      <c r="Z1425" s="153" t="b">
        <f>+OR(COUNTIF(PROVEEDORES[[#This Row],[PROVEEDOR]],"*"&amp;'Palabra que no opera y Listas d'!$A$2&amp;"*"))</f>
        <v>0</v>
      </c>
    </row>
    <row r="1426" spans="1:26" ht="27.75" customHeight="1" x14ac:dyDescent="0.3">
      <c r="A1426" s="144" t="str">
        <f>+IF(PROVEEDORES[[#This Row],[FECHA DE PAGO]]=PROVEEDORES[[#This Row],[FECHA DE FACTURACIÓN]],"DE CONTADO","CRÉDITO")</f>
        <v>DE CONTADO</v>
      </c>
      <c r="B1426" s="144" t="b">
        <f>+IF((PROVEEDORES[[#This Row],[FECHA DE PAGO]]-PROVEEDORES[[#This Row],[FECHA DE FACTURACIÓN]])&gt;PROVEEDORES[[#This Row],[PLAZO Días]],"PAGO VENCIDO")</f>
        <v>0</v>
      </c>
      <c r="C1426" s="144">
        <f>+VLOOKUP(PROVEEDORES[[#This Row],[PROVEEDOR]],TERCEROS_INFO[#All],2,FALSE)</f>
        <v>0</v>
      </c>
      <c r="D1426" s="145">
        <f>+SUMIFS(PROVEEDORES[Total],PROVEEDORES[PROVEEDOR],PROVEEDORES[[#This Row],[PROVEEDOR]],PROVEEDORES[FECHA DE PAGO],"")</f>
        <v>0</v>
      </c>
      <c r="E1426" s="146"/>
      <c r="F1426" s="144">
        <f>+VLOOKUP(PROVEEDORES[[#This Row],[PROVEEDOR]],
                       Terceros!$A:$G,
                       5,
                       FALSE)</f>
        <v>0</v>
      </c>
      <c r="G1426" s="122">
        <v>45387</v>
      </c>
      <c r="H1426" s="102" t="s">
        <v>1801</v>
      </c>
      <c r="I1426" s="122">
        <v>45387</v>
      </c>
      <c r="J1426" s="103"/>
      <c r="K1426" s="103" t="s">
        <v>1512</v>
      </c>
      <c r="L1426" s="103" t="s">
        <v>1390</v>
      </c>
      <c r="M1426" s="105">
        <v>1115000</v>
      </c>
      <c r="N1426" s="147">
        <v>0</v>
      </c>
      <c r="O1426" s="147">
        <v>0</v>
      </c>
      <c r="P1426" s="148">
        <v>0</v>
      </c>
      <c r="Q1426" s="147">
        <v>0</v>
      </c>
      <c r="R1426" s="149">
        <v>1115000</v>
      </c>
      <c r="S142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6" s="150">
        <f ca="1">+IF(PROVEEDORES[[#This Row],[FECHA DE PAGO]]=0,TODAY()-PROVEEDORES[[#This Row],[FECHA DE FACTURACIÓN]]-PROVEEDORES[[#This Row],[PLAZO Días]],0)</f>
        <v>0</v>
      </c>
      <c r="U1426" s="150">
        <f>+VLOOKUP(PROVEEDORES[[#This Row],[PROVEEDOR]],Terceros!$A:$E,4,FALSE)</f>
        <v>0</v>
      </c>
      <c r="V1426" s="150">
        <f>+YEAR(PROVEEDORES[[#This Row],[FECHA DE FACTURACIÓN]])</f>
        <v>2024</v>
      </c>
      <c r="W1426" s="150">
        <f>+MATCH(PROVEEDORES[[#This Row],[año facturado]],Retenciones!$1:$1,0)</f>
        <v>7</v>
      </c>
      <c r="X1426" s="151">
        <f>+VLOOKUP(PROVEEDORES[[#This Row],[ID RETENCION]],Retenciones!$A$1:$O$25,PROVEEDORES[[#This Row],[indicador de columna]],FALSE)</f>
        <v>0</v>
      </c>
      <c r="Y1426" s="152">
        <f>+VLOOKUP(PROVEEDORES[[#This Row],[ID RETENCION]],Retenciones!$A$1:$O$25,2,FALSE)</f>
        <v>0</v>
      </c>
      <c r="Z1426" s="153" t="b">
        <f>+OR(COUNTIF(PROVEEDORES[[#This Row],[PROVEEDOR]],"*"&amp;'Palabra que no opera y Listas d'!$A$2&amp;"*"))</f>
        <v>0</v>
      </c>
    </row>
    <row r="1427" spans="1:26" ht="27.75" customHeight="1" x14ac:dyDescent="0.3">
      <c r="A1427" s="144" t="str">
        <f>+IF(PROVEEDORES[[#This Row],[FECHA DE PAGO]]=PROVEEDORES[[#This Row],[FECHA DE FACTURACIÓN]],"DE CONTADO","CRÉDITO")</f>
        <v>DE CONTADO</v>
      </c>
      <c r="B1427" s="144" t="b">
        <f>+IF((PROVEEDORES[[#This Row],[FECHA DE PAGO]]-PROVEEDORES[[#This Row],[FECHA DE FACTURACIÓN]])&gt;PROVEEDORES[[#This Row],[PLAZO Días]],"PAGO VENCIDO")</f>
        <v>0</v>
      </c>
      <c r="C1427" s="144">
        <f>+VLOOKUP(PROVEEDORES[[#This Row],[PROVEEDOR]],TERCEROS_INFO[#All],2,FALSE)</f>
        <v>0</v>
      </c>
      <c r="D1427" s="145">
        <f>+SUMIFS(PROVEEDORES[Total],PROVEEDORES[PROVEEDOR],PROVEEDORES[[#This Row],[PROVEEDOR]],PROVEEDORES[FECHA DE PAGO],"")</f>
        <v>26134091.5</v>
      </c>
      <c r="E1427" s="146"/>
      <c r="F1427" s="144">
        <f>+VLOOKUP(PROVEEDORES[[#This Row],[PROVEEDOR]],
                       Terceros!$A:$G,
                       5,
                       FALSE)</f>
        <v>0</v>
      </c>
      <c r="G1427" s="122">
        <v>45387</v>
      </c>
      <c r="H1427" s="102" t="s">
        <v>238</v>
      </c>
      <c r="I1427" s="122">
        <v>45387</v>
      </c>
      <c r="J1427" s="103">
        <v>1992</v>
      </c>
      <c r="K1427" s="103" t="s">
        <v>516</v>
      </c>
      <c r="L1427" s="103" t="s">
        <v>1516</v>
      </c>
      <c r="M1427" s="105">
        <v>12086264</v>
      </c>
      <c r="N1427" s="147">
        <v>0</v>
      </c>
      <c r="O1427" s="147">
        <v>0</v>
      </c>
      <c r="P1427" s="148">
        <v>0</v>
      </c>
      <c r="Q1427" s="147">
        <v>0</v>
      </c>
      <c r="R1427" s="149">
        <v>12086264</v>
      </c>
      <c r="S142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7" s="150">
        <f ca="1">+IF(PROVEEDORES[[#This Row],[FECHA DE PAGO]]=0,TODAY()-PROVEEDORES[[#This Row],[FECHA DE FACTURACIÓN]]-PROVEEDORES[[#This Row],[PLAZO Días]],0)</f>
        <v>0</v>
      </c>
      <c r="U1427" s="150">
        <f>+VLOOKUP(PROVEEDORES[[#This Row],[PROVEEDOR]],Terceros!$A:$E,4,FALSE)</f>
        <v>0</v>
      </c>
      <c r="V1427" s="150">
        <f>+YEAR(PROVEEDORES[[#This Row],[FECHA DE FACTURACIÓN]])</f>
        <v>2024</v>
      </c>
      <c r="W1427" s="150">
        <f>+MATCH(PROVEEDORES[[#This Row],[año facturado]],Retenciones!$1:$1,0)</f>
        <v>7</v>
      </c>
      <c r="X1427" s="151">
        <f>+VLOOKUP(PROVEEDORES[[#This Row],[ID RETENCION]],Retenciones!$A$1:$O$25,PROVEEDORES[[#This Row],[indicador de columna]],FALSE)</f>
        <v>0</v>
      </c>
      <c r="Y1427" s="152">
        <f>+VLOOKUP(PROVEEDORES[[#This Row],[ID RETENCION]],Retenciones!$A$1:$O$25,2,FALSE)</f>
        <v>0</v>
      </c>
      <c r="Z1427" s="153" t="b">
        <f>+OR(COUNTIF(PROVEEDORES[[#This Row],[PROVEEDOR]],"*"&amp;'Palabra que no opera y Listas d'!$A$2&amp;"*"))</f>
        <v>0</v>
      </c>
    </row>
    <row r="1428" spans="1:26" ht="27.75" customHeight="1" x14ac:dyDescent="0.3">
      <c r="A1428" s="144" t="str">
        <f>+IF(PROVEEDORES[[#This Row],[FECHA DE PAGO]]=PROVEEDORES[[#This Row],[FECHA DE FACTURACIÓN]],"DE CONTADO","CRÉDITO")</f>
        <v>DE CONTADO</v>
      </c>
      <c r="B1428" s="144" t="b">
        <f>+IF((PROVEEDORES[[#This Row],[FECHA DE PAGO]]-PROVEEDORES[[#This Row],[FECHA DE FACTURACIÓN]])&gt;PROVEEDORES[[#This Row],[PLAZO Días]],"PAGO VENCIDO")</f>
        <v>0</v>
      </c>
      <c r="C1428" s="144">
        <f>+VLOOKUP(PROVEEDORES[[#This Row],[PROVEEDOR]],TERCEROS_INFO[#All],2,FALSE)</f>
        <v>0</v>
      </c>
      <c r="D1428" s="145">
        <f>+SUMIFS(PROVEEDORES[Total],PROVEEDORES[PROVEEDOR],PROVEEDORES[[#This Row],[PROVEEDOR]],PROVEEDORES[FECHA DE PAGO],"")</f>
        <v>26134091.5</v>
      </c>
      <c r="E1428" s="146"/>
      <c r="F1428" s="144">
        <f>+VLOOKUP(PROVEEDORES[[#This Row],[PROVEEDOR]],
                       Terceros!$A:$G,
                       5,
                       FALSE)</f>
        <v>0</v>
      </c>
      <c r="G1428" s="122">
        <v>45388</v>
      </c>
      <c r="H1428" s="102" t="s">
        <v>238</v>
      </c>
      <c r="I1428" s="122">
        <v>45388</v>
      </c>
      <c r="J1428" s="103">
        <v>1985</v>
      </c>
      <c r="K1428" s="103" t="s">
        <v>1512</v>
      </c>
      <c r="L1428" s="103" t="s">
        <v>1390</v>
      </c>
      <c r="M1428" s="105">
        <v>550000</v>
      </c>
      <c r="N1428" s="147">
        <v>0</v>
      </c>
      <c r="O1428" s="147">
        <v>0</v>
      </c>
      <c r="P1428" s="148">
        <v>0</v>
      </c>
      <c r="Q1428" s="147">
        <v>0</v>
      </c>
      <c r="R1428" s="149">
        <v>550000</v>
      </c>
      <c r="S142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8" s="150">
        <f ca="1">+IF(PROVEEDORES[[#This Row],[FECHA DE PAGO]]=0,TODAY()-PROVEEDORES[[#This Row],[FECHA DE FACTURACIÓN]]-PROVEEDORES[[#This Row],[PLAZO Días]],0)</f>
        <v>0</v>
      </c>
      <c r="U1428" s="150">
        <f>+VLOOKUP(PROVEEDORES[[#This Row],[PROVEEDOR]],Terceros!$A:$E,4,FALSE)</f>
        <v>0</v>
      </c>
      <c r="V1428" s="150">
        <f>+YEAR(PROVEEDORES[[#This Row],[FECHA DE FACTURACIÓN]])</f>
        <v>2024</v>
      </c>
      <c r="W1428" s="150">
        <f>+MATCH(PROVEEDORES[[#This Row],[año facturado]],Retenciones!$1:$1,0)</f>
        <v>7</v>
      </c>
      <c r="X1428" s="151">
        <f>+VLOOKUP(PROVEEDORES[[#This Row],[ID RETENCION]],Retenciones!$A$1:$O$25,PROVEEDORES[[#This Row],[indicador de columna]],FALSE)</f>
        <v>0</v>
      </c>
      <c r="Y1428" s="152">
        <f>+VLOOKUP(PROVEEDORES[[#This Row],[ID RETENCION]],Retenciones!$A$1:$O$25,2,FALSE)</f>
        <v>0</v>
      </c>
      <c r="Z1428" s="153" t="b">
        <f>+OR(COUNTIF(PROVEEDORES[[#This Row],[PROVEEDOR]],"*"&amp;'Palabra que no opera y Listas d'!$A$2&amp;"*"))</f>
        <v>0</v>
      </c>
    </row>
    <row r="1429" spans="1:26" ht="27.75" customHeight="1" x14ac:dyDescent="0.3">
      <c r="A1429" s="144" t="str">
        <f>+IF(PROVEEDORES[[#This Row],[FECHA DE PAGO]]=PROVEEDORES[[#This Row],[FECHA DE FACTURACIÓN]],"DE CONTADO","CRÉDITO")</f>
        <v>CRÉDITO</v>
      </c>
      <c r="B1429" s="144" t="str">
        <f>+IF((PROVEEDORES[[#This Row],[FECHA DE PAGO]]-PROVEEDORES[[#This Row],[FECHA DE FACTURACIÓN]])&gt;PROVEEDORES[[#This Row],[PLAZO Días]],"PAGO VENCIDO")</f>
        <v>PAGO VENCIDO</v>
      </c>
      <c r="C1429" s="144">
        <f>+VLOOKUP(PROVEEDORES[[#This Row],[PROVEEDOR]],TERCEROS_INFO[#All],2,FALSE)</f>
        <v>0</v>
      </c>
      <c r="D1429" s="145">
        <f>+SUMIFS(PROVEEDORES[Total],PROVEEDORES[PROVEEDOR],PROVEEDORES[[#This Row],[PROVEEDOR]],PROVEEDORES[FECHA DE PAGO],"")</f>
        <v>856185.96</v>
      </c>
      <c r="E1429" s="146"/>
      <c r="F1429" s="144">
        <f>+VLOOKUP(PROVEEDORES[[#This Row],[PROVEEDOR]],
                       Terceros!$A:$G,
                       5,
                       FALSE)</f>
        <v>0</v>
      </c>
      <c r="G1429" s="122">
        <v>45390</v>
      </c>
      <c r="H1429" s="102" t="s">
        <v>209</v>
      </c>
      <c r="I1429" s="122">
        <v>45355</v>
      </c>
      <c r="J1429" s="103" t="s">
        <v>1620</v>
      </c>
      <c r="K1429" s="103" t="s">
        <v>1512</v>
      </c>
      <c r="L1429" s="103" t="s">
        <v>1515</v>
      </c>
      <c r="M1429" s="105">
        <v>2093151</v>
      </c>
      <c r="N1429" s="147">
        <v>397698.69</v>
      </c>
      <c r="O1429" s="147">
        <v>0</v>
      </c>
      <c r="P1429" s="148">
        <v>0</v>
      </c>
      <c r="Q1429" s="147">
        <v>0</v>
      </c>
      <c r="R1429" s="149">
        <v>2490849.69</v>
      </c>
      <c r="S142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9" s="150">
        <f ca="1">+IF(PROVEEDORES[[#This Row],[FECHA DE PAGO]]=0,TODAY()-PROVEEDORES[[#This Row],[FECHA DE FACTURACIÓN]]-PROVEEDORES[[#This Row],[PLAZO Días]],0)</f>
        <v>0</v>
      </c>
      <c r="U1429" s="150">
        <f>+VLOOKUP(PROVEEDORES[[#This Row],[PROVEEDOR]],Terceros!$A:$E,4,FALSE)</f>
        <v>0.19</v>
      </c>
      <c r="V1429" s="150">
        <f>+YEAR(PROVEEDORES[[#This Row],[FECHA DE FACTURACIÓN]])</f>
        <v>2024</v>
      </c>
      <c r="W1429" s="150">
        <f>+MATCH(PROVEEDORES[[#This Row],[año facturado]],Retenciones!$1:$1,0)</f>
        <v>7</v>
      </c>
      <c r="X1429" s="151" t="e">
        <f>+VLOOKUP(PROVEEDORES[[#This Row],[ID RETENCION]],Retenciones!$A$1:$O$25,PROVEEDORES[[#This Row],[indicador de columna]],FALSE)</f>
        <v>#N/A</v>
      </c>
      <c r="Y1429" s="152" t="e">
        <f>+VLOOKUP(PROVEEDORES[[#This Row],[ID RETENCION]],Retenciones!$A$1:$O$25,2,FALSE)</f>
        <v>#N/A</v>
      </c>
      <c r="Z1429" s="153" t="b">
        <f>+OR(COUNTIF(PROVEEDORES[[#This Row],[PROVEEDOR]],"*"&amp;'Palabra que no opera y Listas d'!$A$2&amp;"*"))</f>
        <v>0</v>
      </c>
    </row>
    <row r="1430" spans="1:26" ht="27.75" customHeight="1" x14ac:dyDescent="0.3">
      <c r="A1430" s="144" t="str">
        <f>+IF(PROVEEDORES[[#This Row],[FECHA DE PAGO]]=PROVEEDORES[[#This Row],[FECHA DE FACTURACIÓN]],"DE CONTADO","CRÉDITO")</f>
        <v>DE CONTADO</v>
      </c>
      <c r="B1430" s="144" t="b">
        <f>+IF((PROVEEDORES[[#This Row],[FECHA DE PAGO]]-PROVEEDORES[[#This Row],[FECHA DE FACTURACIÓN]])&gt;PROVEEDORES[[#This Row],[PLAZO Días]],"PAGO VENCIDO")</f>
        <v>0</v>
      </c>
      <c r="C1430" s="144">
        <f>+VLOOKUP(PROVEEDORES[[#This Row],[PROVEEDOR]],TERCEROS_INFO[#All],2,FALSE)</f>
        <v>0</v>
      </c>
      <c r="D1430" s="145">
        <f>+SUMIFS(PROVEEDORES[Total],PROVEEDORES[PROVEEDOR],PROVEEDORES[[#This Row],[PROVEEDOR]],PROVEEDORES[FECHA DE PAGO],"")</f>
        <v>0</v>
      </c>
      <c r="E1430" s="146"/>
      <c r="F1430" s="144">
        <f>+VLOOKUP(PROVEEDORES[[#This Row],[PROVEEDOR]],
                       Terceros!$A:$G,
                       5,
                       FALSE)</f>
        <v>0</v>
      </c>
      <c r="G1430" s="122">
        <v>45390</v>
      </c>
      <c r="H1430" s="102" t="s">
        <v>1785</v>
      </c>
      <c r="I1430" s="122">
        <v>45390</v>
      </c>
      <c r="J1430" s="103" t="s">
        <v>1720</v>
      </c>
      <c r="K1430" s="103" t="s">
        <v>1512</v>
      </c>
      <c r="L1430" s="103"/>
      <c r="M1430" s="105">
        <v>33000</v>
      </c>
      <c r="N1430" s="147">
        <v>0</v>
      </c>
      <c r="O1430" s="147">
        <v>0</v>
      </c>
      <c r="P1430" s="148">
        <v>0</v>
      </c>
      <c r="Q1430" s="147">
        <v>0</v>
      </c>
      <c r="R1430" s="149">
        <v>33000</v>
      </c>
      <c r="S143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0" s="150">
        <f ca="1">+IF(PROVEEDORES[[#This Row],[FECHA DE PAGO]]=0,TODAY()-PROVEEDORES[[#This Row],[FECHA DE FACTURACIÓN]]-PROVEEDORES[[#This Row],[PLAZO Días]],0)</f>
        <v>0</v>
      </c>
      <c r="U1430" s="150">
        <f>+VLOOKUP(PROVEEDORES[[#This Row],[PROVEEDOR]],Terceros!$A:$E,4,FALSE)</f>
        <v>0</v>
      </c>
      <c r="V1430" s="150">
        <f>+YEAR(PROVEEDORES[[#This Row],[FECHA DE FACTURACIÓN]])</f>
        <v>2024</v>
      </c>
      <c r="W1430" s="150">
        <f>+MATCH(PROVEEDORES[[#This Row],[año facturado]],Retenciones!$1:$1,0)</f>
        <v>7</v>
      </c>
      <c r="X1430" s="151">
        <f>+VLOOKUP(PROVEEDORES[[#This Row],[ID RETENCION]],Retenciones!$A$1:$O$25,PROVEEDORES[[#This Row],[indicador de columna]],FALSE)</f>
        <v>0</v>
      </c>
      <c r="Y1430" s="152">
        <f>+VLOOKUP(PROVEEDORES[[#This Row],[ID RETENCION]],Retenciones!$A$1:$O$25,2,FALSE)</f>
        <v>0</v>
      </c>
      <c r="Z1430" s="153" t="b">
        <f>+OR(COUNTIF(PROVEEDORES[[#This Row],[PROVEEDOR]],"*"&amp;'Palabra que no opera y Listas d'!$A$2&amp;"*"))</f>
        <v>0</v>
      </c>
    </row>
    <row r="1431" spans="1:26" ht="27.75" customHeight="1" x14ac:dyDescent="0.3">
      <c r="A1431" s="144" t="str">
        <f>+IF(PROVEEDORES[[#This Row],[FECHA DE PAGO]]=PROVEEDORES[[#This Row],[FECHA DE FACTURACIÓN]],"DE CONTADO","CRÉDITO")</f>
        <v>DE CONTADO</v>
      </c>
      <c r="B1431" s="144" t="b">
        <f>+IF((PROVEEDORES[[#This Row],[FECHA DE PAGO]]-PROVEEDORES[[#This Row],[FECHA DE FACTURACIÓN]])&gt;PROVEEDORES[[#This Row],[PLAZO Días]],"PAGO VENCIDO")</f>
        <v>0</v>
      </c>
      <c r="C1431" s="144">
        <f>+VLOOKUP(PROVEEDORES[[#This Row],[PROVEEDOR]],TERCEROS_INFO[#All],2,FALSE)</f>
        <v>0</v>
      </c>
      <c r="D1431" s="145">
        <f>+SUMIFS(PROVEEDORES[Total],PROVEEDORES[PROVEEDOR],PROVEEDORES[[#This Row],[PROVEEDOR]],PROVEEDORES[FECHA DE PAGO],"")</f>
        <v>0</v>
      </c>
      <c r="E1431" s="146"/>
      <c r="F1431" s="144">
        <f>+VLOOKUP(PROVEEDORES[[#This Row],[PROVEEDOR]],
                       Terceros!$A:$G,
                       5,
                       FALSE)</f>
        <v>0</v>
      </c>
      <c r="G1431" s="122">
        <v>45390</v>
      </c>
      <c r="H1431" s="102" t="s">
        <v>85</v>
      </c>
      <c r="I1431" s="122">
        <v>45390</v>
      </c>
      <c r="J1431" s="103" t="s">
        <v>1769</v>
      </c>
      <c r="K1431" s="103" t="s">
        <v>1512</v>
      </c>
      <c r="L1431" s="103" t="s">
        <v>1516</v>
      </c>
      <c r="M1431" s="105">
        <v>6488288</v>
      </c>
      <c r="N1431" s="147">
        <v>0</v>
      </c>
      <c r="O1431" s="147">
        <v>0</v>
      </c>
      <c r="P1431" s="148">
        <v>0</v>
      </c>
      <c r="Q1431" s="147">
        <v>0</v>
      </c>
      <c r="R1431" s="149">
        <v>6488288</v>
      </c>
      <c r="S143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1" s="150">
        <f ca="1">+IF(PROVEEDORES[[#This Row],[FECHA DE PAGO]]=0,TODAY()-PROVEEDORES[[#This Row],[FECHA DE FACTURACIÓN]]-PROVEEDORES[[#This Row],[PLAZO Días]],0)</f>
        <v>0</v>
      </c>
      <c r="U1431" s="150">
        <f>+VLOOKUP(PROVEEDORES[[#This Row],[PROVEEDOR]],Terceros!$A:$E,4,FALSE)</f>
        <v>0</v>
      </c>
      <c r="V1431" s="150">
        <f>+YEAR(PROVEEDORES[[#This Row],[FECHA DE FACTURACIÓN]])</f>
        <v>2024</v>
      </c>
      <c r="W1431" s="150">
        <f>+MATCH(PROVEEDORES[[#This Row],[año facturado]],Retenciones!$1:$1,0)</f>
        <v>7</v>
      </c>
      <c r="X1431" s="151">
        <f>+VLOOKUP(PROVEEDORES[[#This Row],[ID RETENCION]],Retenciones!$A$1:$O$25,PROVEEDORES[[#This Row],[indicador de columna]],FALSE)</f>
        <v>0</v>
      </c>
      <c r="Y1431" s="152">
        <f>+VLOOKUP(PROVEEDORES[[#This Row],[ID RETENCION]],Retenciones!$A$1:$O$25,2,FALSE)</f>
        <v>0</v>
      </c>
      <c r="Z1431" s="153" t="b">
        <f>+OR(COUNTIF(PROVEEDORES[[#This Row],[PROVEEDOR]],"*"&amp;'Palabra que no opera y Listas d'!$A$2&amp;"*"))</f>
        <v>0</v>
      </c>
    </row>
    <row r="1432" spans="1:26" ht="27.75" customHeight="1" x14ac:dyDescent="0.3">
      <c r="A1432" s="144" t="str">
        <f>+IF(PROVEEDORES[[#This Row],[FECHA DE PAGO]]=PROVEEDORES[[#This Row],[FECHA DE FACTURACIÓN]],"DE CONTADO","CRÉDITO")</f>
        <v>CRÉDITO</v>
      </c>
      <c r="B1432" s="144" t="str">
        <f>+IF((PROVEEDORES[[#This Row],[FECHA DE PAGO]]-PROVEEDORES[[#This Row],[FECHA DE FACTURACIÓN]])&gt;PROVEEDORES[[#This Row],[PLAZO Días]],"PAGO VENCIDO")</f>
        <v>PAGO VENCIDO</v>
      </c>
      <c r="C1432" s="144">
        <f>+VLOOKUP(PROVEEDORES[[#This Row],[PROVEEDOR]],TERCEROS_INFO[#All],2,FALSE)</f>
        <v>0</v>
      </c>
      <c r="D1432" s="145">
        <f>+SUMIFS(PROVEEDORES[Total],PROVEEDORES[PROVEEDOR],PROVEEDORES[[#This Row],[PROVEEDOR]],PROVEEDORES[FECHA DE PAGO],"")</f>
        <v>28179645.060000002</v>
      </c>
      <c r="E1432" s="146"/>
      <c r="F1432" s="144">
        <f>+VLOOKUP(PROVEEDORES[[#This Row],[PROVEEDOR]],
                       Terceros!$A:$G,
                       5,
                       FALSE)</f>
        <v>0</v>
      </c>
      <c r="G1432" s="122">
        <v>45391</v>
      </c>
      <c r="H1432" s="102" t="s">
        <v>18</v>
      </c>
      <c r="I1432" s="122">
        <v>45336</v>
      </c>
      <c r="J1432" s="103" t="s">
        <v>1556</v>
      </c>
      <c r="K1432" s="103" t="s">
        <v>516</v>
      </c>
      <c r="L1432" s="103" t="s">
        <v>1516</v>
      </c>
      <c r="M1432" s="105">
        <v>5480265</v>
      </c>
      <c r="N1432" s="147">
        <v>1041250.35</v>
      </c>
      <c r="O1432" s="147">
        <v>0</v>
      </c>
      <c r="P1432" s="148">
        <v>0</v>
      </c>
      <c r="Q1432" s="147">
        <v>0</v>
      </c>
      <c r="R1432" s="149">
        <v>6521515.3499999996</v>
      </c>
      <c r="S143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2" s="150">
        <f ca="1">+IF(PROVEEDORES[[#This Row],[FECHA DE PAGO]]=0,TODAY()-PROVEEDORES[[#This Row],[FECHA DE FACTURACIÓN]]-PROVEEDORES[[#This Row],[PLAZO Días]],0)</f>
        <v>0</v>
      </c>
      <c r="U1432" s="150">
        <f>+VLOOKUP(PROVEEDORES[[#This Row],[PROVEEDOR]],Terceros!$A:$E,4,FALSE)</f>
        <v>0.19</v>
      </c>
      <c r="V1432" s="150">
        <f>+YEAR(PROVEEDORES[[#This Row],[FECHA DE FACTURACIÓN]])</f>
        <v>2024</v>
      </c>
      <c r="W1432" s="150">
        <f>+MATCH(PROVEEDORES[[#This Row],[año facturado]],Retenciones!$1:$1,0)</f>
        <v>7</v>
      </c>
      <c r="X1432" s="151" t="e">
        <f>+VLOOKUP(PROVEEDORES[[#This Row],[ID RETENCION]],Retenciones!$A$1:$O$25,PROVEEDORES[[#This Row],[indicador de columna]],FALSE)</f>
        <v>#N/A</v>
      </c>
      <c r="Y1432" s="152" t="e">
        <f>+VLOOKUP(PROVEEDORES[[#This Row],[ID RETENCION]],Retenciones!$A$1:$O$25,2,FALSE)</f>
        <v>#N/A</v>
      </c>
      <c r="Z1432" s="153" t="b">
        <f>+OR(COUNTIF(PROVEEDORES[[#This Row],[PROVEEDOR]],"*"&amp;'Palabra que no opera y Listas d'!$A$2&amp;"*"))</f>
        <v>0</v>
      </c>
    </row>
    <row r="1433" spans="1:26" ht="27.75" customHeight="1" x14ac:dyDescent="0.3">
      <c r="A1433" s="144" t="str">
        <f>+IF(PROVEEDORES[[#This Row],[FECHA DE PAGO]]=PROVEEDORES[[#This Row],[FECHA DE FACTURACIÓN]],"DE CONTADO","CRÉDITO")</f>
        <v>CRÉDITO</v>
      </c>
      <c r="B1433" s="144" t="str">
        <f>+IF((PROVEEDORES[[#This Row],[FECHA DE PAGO]]-PROVEEDORES[[#This Row],[FECHA DE FACTURACIÓN]])&gt;PROVEEDORES[[#This Row],[PLAZO Días]],"PAGO VENCIDO")</f>
        <v>PAGO VENCIDO</v>
      </c>
      <c r="C1433" s="144">
        <f>+VLOOKUP(PROVEEDORES[[#This Row],[PROVEEDOR]],TERCEROS_INFO[#All],2,FALSE)</f>
        <v>0</v>
      </c>
      <c r="D1433" s="145">
        <f>+SUMIFS(PROVEEDORES[Total],PROVEEDORES[PROVEEDOR],PROVEEDORES[[#This Row],[PROVEEDOR]],PROVEEDORES[FECHA DE PAGO],"")</f>
        <v>28179645.060000002</v>
      </c>
      <c r="E1433" s="146"/>
      <c r="F1433" s="144">
        <f>+VLOOKUP(PROVEEDORES[[#This Row],[PROVEEDOR]],
                       Terceros!$A:$G,
                       5,
                       FALSE)</f>
        <v>0</v>
      </c>
      <c r="G1433" s="122">
        <v>45391</v>
      </c>
      <c r="H1433" s="102" t="s">
        <v>18</v>
      </c>
      <c r="I1433" s="122">
        <v>45337</v>
      </c>
      <c r="J1433" s="103" t="s">
        <v>1557</v>
      </c>
      <c r="K1433" s="103" t="s">
        <v>516</v>
      </c>
      <c r="L1433" s="103" t="s">
        <v>1516</v>
      </c>
      <c r="M1433" s="105">
        <v>678845</v>
      </c>
      <c r="N1433" s="147">
        <v>128980.55</v>
      </c>
      <c r="O1433" s="147">
        <v>0</v>
      </c>
      <c r="P1433" s="148">
        <v>0</v>
      </c>
      <c r="Q1433" s="147">
        <v>0</v>
      </c>
      <c r="R1433" s="149">
        <v>807825.55</v>
      </c>
      <c r="S143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3" s="150">
        <f ca="1">+IF(PROVEEDORES[[#This Row],[FECHA DE PAGO]]=0,TODAY()-PROVEEDORES[[#This Row],[FECHA DE FACTURACIÓN]]-PROVEEDORES[[#This Row],[PLAZO Días]],0)</f>
        <v>0</v>
      </c>
      <c r="U1433" s="150">
        <f>+VLOOKUP(PROVEEDORES[[#This Row],[PROVEEDOR]],Terceros!$A:$E,4,FALSE)</f>
        <v>0.19</v>
      </c>
      <c r="V1433" s="150">
        <f>+YEAR(PROVEEDORES[[#This Row],[FECHA DE FACTURACIÓN]])</f>
        <v>2024</v>
      </c>
      <c r="W1433" s="150">
        <f>+MATCH(PROVEEDORES[[#This Row],[año facturado]],Retenciones!$1:$1,0)</f>
        <v>7</v>
      </c>
      <c r="X1433" s="151" t="e">
        <f>+VLOOKUP(PROVEEDORES[[#This Row],[ID RETENCION]],Retenciones!$A$1:$O$25,PROVEEDORES[[#This Row],[indicador de columna]],FALSE)</f>
        <v>#N/A</v>
      </c>
      <c r="Y1433" s="152" t="e">
        <f>+VLOOKUP(PROVEEDORES[[#This Row],[ID RETENCION]],Retenciones!$A$1:$O$25,2,FALSE)</f>
        <v>#N/A</v>
      </c>
      <c r="Z1433" s="153" t="b">
        <f>+OR(COUNTIF(PROVEEDORES[[#This Row],[PROVEEDOR]],"*"&amp;'Palabra que no opera y Listas d'!$A$2&amp;"*"))</f>
        <v>0</v>
      </c>
    </row>
    <row r="1434" spans="1:26" ht="27.75" customHeight="1" x14ac:dyDescent="0.3">
      <c r="A1434" s="144" t="str">
        <f>+IF(PROVEEDORES[[#This Row],[FECHA DE PAGO]]=PROVEEDORES[[#This Row],[FECHA DE FACTURACIÓN]],"DE CONTADO","CRÉDITO")</f>
        <v>CRÉDITO</v>
      </c>
      <c r="B1434" s="144" t="str">
        <f>+IF((PROVEEDORES[[#This Row],[FECHA DE PAGO]]-PROVEEDORES[[#This Row],[FECHA DE FACTURACIÓN]])&gt;PROVEEDORES[[#This Row],[PLAZO Días]],"PAGO VENCIDO")</f>
        <v>PAGO VENCIDO</v>
      </c>
      <c r="C1434" s="144">
        <f>+VLOOKUP(PROVEEDORES[[#This Row],[PROVEEDOR]],TERCEROS_INFO[#All],2,FALSE)</f>
        <v>0</v>
      </c>
      <c r="D1434" s="145">
        <f>+SUMIFS(PROVEEDORES[Total],PROVEEDORES[PROVEEDOR],PROVEEDORES[[#This Row],[PROVEEDOR]],PROVEEDORES[FECHA DE PAGO],"")</f>
        <v>3461120</v>
      </c>
      <c r="E1434" s="146"/>
      <c r="F1434" s="144" t="str">
        <f>+VLOOKUP(PROVEEDORES[[#This Row],[PROVEEDOR]],
                       Terceros!$A:$G,
                       5,
                       FALSE)</f>
        <v>2,5% con base</v>
      </c>
      <c r="G1434" s="122">
        <v>45391</v>
      </c>
      <c r="H1434" s="102" t="s">
        <v>9</v>
      </c>
      <c r="I1434" s="122">
        <v>45337</v>
      </c>
      <c r="J1434" s="103" t="s">
        <v>1555</v>
      </c>
      <c r="K1434" s="103" t="s">
        <v>516</v>
      </c>
      <c r="L1434" s="103" t="s">
        <v>1516</v>
      </c>
      <c r="M1434" s="105">
        <v>1160000</v>
      </c>
      <c r="N1434" s="147">
        <v>220400</v>
      </c>
      <c r="O1434" s="147">
        <v>0</v>
      </c>
      <c r="P1434" s="148">
        <v>0</v>
      </c>
      <c r="Q1434" s="147">
        <v>0</v>
      </c>
      <c r="R1434" s="149">
        <v>1380400</v>
      </c>
      <c r="S143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4" s="150">
        <f ca="1">+IF(PROVEEDORES[[#This Row],[FECHA DE PAGO]]=0,TODAY()-PROVEEDORES[[#This Row],[FECHA DE FACTURACIÓN]]-PROVEEDORES[[#This Row],[PLAZO Días]],0)</f>
        <v>0</v>
      </c>
      <c r="U1434" s="150">
        <f>+VLOOKUP(PROVEEDORES[[#This Row],[PROVEEDOR]],Terceros!$A:$E,4,FALSE)</f>
        <v>0.19</v>
      </c>
      <c r="V1434" s="150">
        <f>+YEAR(PROVEEDORES[[#This Row],[FECHA DE FACTURACIÓN]])</f>
        <v>2024</v>
      </c>
      <c r="W1434" s="150">
        <f>+MATCH(PROVEEDORES[[#This Row],[año facturado]],Retenciones!$1:$1,0)</f>
        <v>7</v>
      </c>
      <c r="X1434" s="151" t="e">
        <f>+VLOOKUP(PROVEEDORES[[#This Row],[ID RETENCION]],Retenciones!$A$1:$O$25,PROVEEDORES[[#This Row],[indicador de columna]],FALSE)</f>
        <v>#N/A</v>
      </c>
      <c r="Y1434" s="152" t="e">
        <f>+VLOOKUP(PROVEEDORES[[#This Row],[ID RETENCION]],Retenciones!$A$1:$O$25,2,FALSE)</f>
        <v>#N/A</v>
      </c>
      <c r="Z1434" s="153" t="b">
        <f>+OR(COUNTIF(PROVEEDORES[[#This Row],[PROVEEDOR]],"*"&amp;'Palabra que no opera y Listas d'!$A$2&amp;"*"))</f>
        <v>0</v>
      </c>
    </row>
    <row r="1435" spans="1:26" ht="27.75" customHeight="1" x14ac:dyDescent="0.3">
      <c r="A1435" s="144" t="str">
        <f>+IF(PROVEEDORES[[#This Row],[FECHA DE PAGO]]=PROVEEDORES[[#This Row],[FECHA DE FACTURACIÓN]],"DE CONTADO","CRÉDITO")</f>
        <v>CRÉDITO</v>
      </c>
      <c r="B1435" s="144" t="str">
        <f>+IF((PROVEEDORES[[#This Row],[FECHA DE PAGO]]-PROVEEDORES[[#This Row],[FECHA DE FACTURACIÓN]])&gt;PROVEEDORES[[#This Row],[PLAZO Días]],"PAGO VENCIDO")</f>
        <v>PAGO VENCIDO</v>
      </c>
      <c r="C1435" s="144">
        <f>+VLOOKUP(PROVEEDORES[[#This Row],[PROVEEDOR]],TERCEROS_INFO[#All],2,FALSE)</f>
        <v>0</v>
      </c>
      <c r="D1435" s="145">
        <f>+SUMIFS(PROVEEDORES[Total],PROVEEDORES[PROVEEDOR],PROVEEDORES[[#This Row],[PROVEEDOR]],PROVEEDORES[FECHA DE PAGO],"")</f>
        <v>3461120</v>
      </c>
      <c r="E1435" s="146"/>
      <c r="F1435" s="144" t="str">
        <f>+VLOOKUP(PROVEEDORES[[#This Row],[PROVEEDOR]],
                       Terceros!$A:$G,
                       5,
                       FALSE)</f>
        <v>2,5% con base</v>
      </c>
      <c r="G1435" s="122">
        <v>45391</v>
      </c>
      <c r="H1435" s="102" t="s">
        <v>9</v>
      </c>
      <c r="I1435" s="122">
        <v>45343</v>
      </c>
      <c r="J1435" s="103" t="s">
        <v>1573</v>
      </c>
      <c r="K1435" s="103" t="s">
        <v>516</v>
      </c>
      <c r="L1435" s="103" t="s">
        <v>1516</v>
      </c>
      <c r="M1435" s="105">
        <v>1272000</v>
      </c>
      <c r="N1435" s="147">
        <v>241680</v>
      </c>
      <c r="O1435" s="147">
        <v>0</v>
      </c>
      <c r="P1435" s="148">
        <v>2.5000000000000001E-2</v>
      </c>
      <c r="Q1435" s="147">
        <v>31800</v>
      </c>
      <c r="R1435" s="149">
        <v>1481880</v>
      </c>
      <c r="S143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5" s="150">
        <f ca="1">+IF(PROVEEDORES[[#This Row],[FECHA DE PAGO]]=0,TODAY()-PROVEEDORES[[#This Row],[FECHA DE FACTURACIÓN]]-PROVEEDORES[[#This Row],[PLAZO Días]],0)</f>
        <v>0</v>
      </c>
      <c r="U1435" s="150">
        <f>+VLOOKUP(PROVEEDORES[[#This Row],[PROVEEDOR]],Terceros!$A:$E,4,FALSE)</f>
        <v>0.19</v>
      </c>
      <c r="V1435" s="150">
        <f>+YEAR(PROVEEDORES[[#This Row],[FECHA DE FACTURACIÓN]])</f>
        <v>2024</v>
      </c>
      <c r="W1435" s="150">
        <f>+MATCH(PROVEEDORES[[#This Row],[año facturado]],Retenciones!$1:$1,0)</f>
        <v>7</v>
      </c>
      <c r="X1435" s="151" t="e">
        <f>+VLOOKUP(PROVEEDORES[[#This Row],[ID RETENCION]],Retenciones!$A$1:$O$25,PROVEEDORES[[#This Row],[indicador de columna]],FALSE)</f>
        <v>#N/A</v>
      </c>
      <c r="Y1435" s="152" t="e">
        <f>+VLOOKUP(PROVEEDORES[[#This Row],[ID RETENCION]],Retenciones!$A$1:$O$25,2,FALSE)</f>
        <v>#N/A</v>
      </c>
      <c r="Z1435" s="153" t="b">
        <f>+OR(COUNTIF(PROVEEDORES[[#This Row],[PROVEEDOR]],"*"&amp;'Palabra que no opera y Listas d'!$A$2&amp;"*"))</f>
        <v>0</v>
      </c>
    </row>
    <row r="1436" spans="1:26" ht="27.75" customHeight="1" x14ac:dyDescent="0.3">
      <c r="A1436" s="144" t="str">
        <f>+IF(PROVEEDORES[[#This Row],[FECHA DE PAGO]]=PROVEEDORES[[#This Row],[FECHA DE FACTURACIÓN]],"DE CONTADO","CRÉDITO")</f>
        <v>CRÉDITO</v>
      </c>
      <c r="B1436" s="144" t="str">
        <f>+IF((PROVEEDORES[[#This Row],[FECHA DE PAGO]]-PROVEEDORES[[#This Row],[FECHA DE FACTURACIÓN]])&gt;PROVEEDORES[[#This Row],[PLAZO Días]],"PAGO VENCIDO")</f>
        <v>PAGO VENCIDO</v>
      </c>
      <c r="C1436" s="144">
        <f>+VLOOKUP(PROVEEDORES[[#This Row],[PROVEEDOR]],TERCEROS_INFO[#All],2,FALSE)</f>
        <v>0</v>
      </c>
      <c r="D1436" s="145">
        <f>+SUMIFS(PROVEEDORES[Total],PROVEEDORES[PROVEEDOR],PROVEEDORES[[#This Row],[PROVEEDOR]],PROVEEDORES[FECHA DE PAGO],"")</f>
        <v>455608</v>
      </c>
      <c r="E1436" s="146"/>
      <c r="F1436" s="144">
        <f>+VLOOKUP(PROVEEDORES[[#This Row],[PROVEEDOR]],
                       Terceros!$A:$G,
                       5,
                       FALSE)</f>
        <v>0</v>
      </c>
      <c r="G1436" s="122">
        <v>45391</v>
      </c>
      <c r="H1436" s="102" t="s">
        <v>1802</v>
      </c>
      <c r="I1436" s="122">
        <v>45370</v>
      </c>
      <c r="J1436" s="103" t="s">
        <v>899</v>
      </c>
      <c r="K1436" s="103" t="s">
        <v>516</v>
      </c>
      <c r="L1436" s="103" t="s">
        <v>1390</v>
      </c>
      <c r="M1436" s="105">
        <v>10367150</v>
      </c>
      <c r="N1436" s="147">
        <v>0</v>
      </c>
      <c r="O1436" s="147">
        <v>0</v>
      </c>
      <c r="P1436" s="148">
        <v>0</v>
      </c>
      <c r="Q1436" s="147">
        <v>0</v>
      </c>
      <c r="R1436" s="149">
        <v>10367150</v>
      </c>
      <c r="S143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6" s="150">
        <f ca="1">+IF(PROVEEDORES[[#This Row],[FECHA DE PAGO]]=0,TODAY()-PROVEEDORES[[#This Row],[FECHA DE FACTURACIÓN]]-PROVEEDORES[[#This Row],[PLAZO Días]],0)</f>
        <v>0</v>
      </c>
      <c r="U1436" s="150">
        <f>+VLOOKUP(PROVEEDORES[[#This Row],[PROVEEDOR]],Terceros!$A:$E,4,FALSE)</f>
        <v>0</v>
      </c>
      <c r="V1436" s="150">
        <f>+YEAR(PROVEEDORES[[#This Row],[FECHA DE FACTURACIÓN]])</f>
        <v>2024</v>
      </c>
      <c r="W1436" s="150">
        <f>+MATCH(PROVEEDORES[[#This Row],[año facturado]],Retenciones!$1:$1,0)</f>
        <v>7</v>
      </c>
      <c r="X1436" s="151">
        <f>+VLOOKUP(PROVEEDORES[[#This Row],[ID RETENCION]],Retenciones!$A$1:$O$25,PROVEEDORES[[#This Row],[indicador de columna]],FALSE)</f>
        <v>0</v>
      </c>
      <c r="Y1436" s="152">
        <f>+VLOOKUP(PROVEEDORES[[#This Row],[ID RETENCION]],Retenciones!$A$1:$O$25,2,FALSE)</f>
        <v>0</v>
      </c>
      <c r="Z1436" s="153" t="b">
        <f>+OR(COUNTIF(PROVEEDORES[[#This Row],[PROVEEDOR]],"*"&amp;'Palabra que no opera y Listas d'!$A$2&amp;"*"))</f>
        <v>0</v>
      </c>
    </row>
    <row r="1437" spans="1:26" ht="27.75" customHeight="1" x14ac:dyDescent="0.3">
      <c r="A1437" s="144" t="str">
        <f>+IF(PROVEEDORES[[#This Row],[FECHA DE PAGO]]=PROVEEDORES[[#This Row],[FECHA DE FACTURACIÓN]],"DE CONTADO","CRÉDITO")</f>
        <v>CRÉDITO</v>
      </c>
      <c r="B1437" s="144" t="str">
        <f>+IF((PROVEEDORES[[#This Row],[FECHA DE PAGO]]-PROVEEDORES[[#This Row],[FECHA DE FACTURACIÓN]])&gt;PROVEEDORES[[#This Row],[PLAZO Días]],"PAGO VENCIDO")</f>
        <v>PAGO VENCIDO</v>
      </c>
      <c r="C1437" s="144">
        <f>+VLOOKUP(PROVEEDORES[[#This Row],[PROVEEDOR]],TERCEROS_INFO[#All],2,FALSE)</f>
        <v>0</v>
      </c>
      <c r="D1437" s="145">
        <f>+SUMIFS(PROVEEDORES[Total],PROVEEDORES[PROVEEDOR],PROVEEDORES[[#This Row],[PROVEEDOR]],PROVEEDORES[FECHA DE PAGO],"")</f>
        <v>560900</v>
      </c>
      <c r="E1437" s="146"/>
      <c r="F1437" s="144" t="str">
        <f>+VLOOKUP(PROVEEDORES[[#This Row],[PROVEEDOR]],
                       Terceros!$A:$G,
                       5,
                       FALSE)</f>
        <v>2,5% con base</v>
      </c>
      <c r="G1437" s="122">
        <v>45391</v>
      </c>
      <c r="H1437" s="102" t="s">
        <v>1464</v>
      </c>
      <c r="I1437" s="122">
        <v>45371</v>
      </c>
      <c r="J1437" s="103" t="s">
        <v>1650</v>
      </c>
      <c r="K1437" s="103" t="s">
        <v>1512</v>
      </c>
      <c r="L1437" s="103" t="s">
        <v>1390</v>
      </c>
      <c r="M1437" s="105">
        <v>178500</v>
      </c>
      <c r="N1437" s="147">
        <v>33915</v>
      </c>
      <c r="O1437" s="147">
        <v>0</v>
      </c>
      <c r="P1437" s="148">
        <v>0</v>
      </c>
      <c r="Q1437" s="147">
        <v>0</v>
      </c>
      <c r="R1437" s="149">
        <v>212415</v>
      </c>
      <c r="S143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7" s="150">
        <f ca="1">+IF(PROVEEDORES[[#This Row],[FECHA DE PAGO]]=0,TODAY()-PROVEEDORES[[#This Row],[FECHA DE FACTURACIÓN]]-PROVEEDORES[[#This Row],[PLAZO Días]],0)</f>
        <v>0</v>
      </c>
      <c r="U1437" s="150">
        <f>+VLOOKUP(PROVEEDORES[[#This Row],[PROVEEDOR]],Terceros!$A:$E,4,FALSE)</f>
        <v>0.19</v>
      </c>
      <c r="V1437" s="150">
        <f>+YEAR(PROVEEDORES[[#This Row],[FECHA DE FACTURACIÓN]])</f>
        <v>2024</v>
      </c>
      <c r="W1437" s="150">
        <f>+MATCH(PROVEEDORES[[#This Row],[año facturado]],Retenciones!$1:$1,0)</f>
        <v>7</v>
      </c>
      <c r="X1437" s="151" t="e">
        <f>+VLOOKUP(PROVEEDORES[[#This Row],[ID RETENCION]],Retenciones!$A$1:$O$25,PROVEEDORES[[#This Row],[indicador de columna]],FALSE)</f>
        <v>#N/A</v>
      </c>
      <c r="Y1437" s="152" t="e">
        <f>+VLOOKUP(PROVEEDORES[[#This Row],[ID RETENCION]],Retenciones!$A$1:$O$25,2,FALSE)</f>
        <v>#N/A</v>
      </c>
      <c r="Z1437" s="153" t="b">
        <f>+OR(COUNTIF(PROVEEDORES[[#This Row],[PROVEEDOR]],"*"&amp;'Palabra que no opera y Listas d'!$A$2&amp;"*"))</f>
        <v>0</v>
      </c>
    </row>
    <row r="1438" spans="1:26" ht="27.75" customHeight="1" x14ac:dyDescent="0.3">
      <c r="A1438" s="144" t="str">
        <f>+IF(PROVEEDORES[[#This Row],[FECHA DE PAGO]]=PROVEEDORES[[#This Row],[FECHA DE FACTURACIÓN]],"DE CONTADO","CRÉDITO")</f>
        <v>CRÉDITO</v>
      </c>
      <c r="B1438" s="144" t="str">
        <f>+IF((PROVEEDORES[[#This Row],[FECHA DE PAGO]]-PROVEEDORES[[#This Row],[FECHA DE FACTURACIÓN]])&gt;PROVEEDORES[[#This Row],[PLAZO Días]],"PAGO VENCIDO")</f>
        <v>PAGO VENCIDO</v>
      </c>
      <c r="C1438" s="144">
        <f>+VLOOKUP(PROVEEDORES[[#This Row],[PROVEEDOR]],TERCEROS_INFO[#All],2,FALSE)</f>
        <v>0</v>
      </c>
      <c r="D1438" s="145">
        <f>+SUMIFS(PROVEEDORES[Total],PROVEEDORES[PROVEEDOR],PROVEEDORES[[#This Row],[PROVEEDOR]],PROVEEDORES[FECHA DE PAGO],"")</f>
        <v>-12893</v>
      </c>
      <c r="E1438" s="146"/>
      <c r="F1438" s="144" t="str">
        <f>+VLOOKUP(PROVEEDORES[[#This Row],[PROVEEDOR]],
                       Terceros!$A:$G,
                       5,
                       FALSE)</f>
        <v>3,5% sin base</v>
      </c>
      <c r="G1438" s="122">
        <v>45391</v>
      </c>
      <c r="H1438" s="102" t="s">
        <v>1433</v>
      </c>
      <c r="I1438" s="122">
        <v>45383</v>
      </c>
      <c r="J1438" s="103" t="s">
        <v>1672</v>
      </c>
      <c r="K1438" s="103" t="s">
        <v>1512</v>
      </c>
      <c r="L1438" s="103" t="s">
        <v>1517</v>
      </c>
      <c r="M1438" s="105">
        <v>4435417</v>
      </c>
      <c r="N1438" s="147">
        <v>752248</v>
      </c>
      <c r="O1438" s="147">
        <v>0</v>
      </c>
      <c r="P1438" s="148">
        <v>3.5000000000000003E-2</v>
      </c>
      <c r="Q1438" s="147">
        <v>138572</v>
      </c>
      <c r="R1438" s="149">
        <v>5049093</v>
      </c>
      <c r="S143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8" s="150">
        <f ca="1">+IF(PROVEEDORES[[#This Row],[FECHA DE PAGO]]=0,TODAY()-PROVEEDORES[[#This Row],[FECHA DE FACTURACIÓN]]-PROVEEDORES[[#This Row],[PLAZO Días]],0)</f>
        <v>0</v>
      </c>
      <c r="U1438" s="150">
        <f>+VLOOKUP(PROVEEDORES[[#This Row],[PROVEEDOR]],Terceros!$A:$E,4,FALSE)</f>
        <v>0.19</v>
      </c>
      <c r="V1438" s="150">
        <f>+YEAR(PROVEEDORES[[#This Row],[FECHA DE FACTURACIÓN]])</f>
        <v>2024</v>
      </c>
      <c r="W1438" s="150">
        <f>+MATCH(PROVEEDORES[[#This Row],[año facturado]],Retenciones!$1:$1,0)</f>
        <v>7</v>
      </c>
      <c r="X1438" s="151" t="e">
        <f>+VLOOKUP(PROVEEDORES[[#This Row],[ID RETENCION]],Retenciones!$A$1:$O$25,PROVEEDORES[[#This Row],[indicador de columna]],FALSE)</f>
        <v>#N/A</v>
      </c>
      <c r="Y1438" s="152" t="e">
        <f>+VLOOKUP(PROVEEDORES[[#This Row],[ID RETENCION]],Retenciones!$A$1:$O$25,2,FALSE)</f>
        <v>#N/A</v>
      </c>
      <c r="Z1438" s="153" t="b">
        <f>+OR(COUNTIF(PROVEEDORES[[#This Row],[PROVEEDOR]],"*"&amp;'Palabra que no opera y Listas d'!$A$2&amp;"*"))</f>
        <v>1</v>
      </c>
    </row>
    <row r="1439" spans="1:26" ht="27.75" customHeight="1" x14ac:dyDescent="0.3">
      <c r="A1439" s="144" t="str">
        <f>+IF(PROVEEDORES[[#This Row],[FECHA DE PAGO]]=PROVEEDORES[[#This Row],[FECHA DE FACTURACIÓN]],"DE CONTADO","CRÉDITO")</f>
        <v>CRÉDITO</v>
      </c>
      <c r="B1439" s="144" t="str">
        <f>+IF((PROVEEDORES[[#This Row],[FECHA DE PAGO]]-PROVEEDORES[[#This Row],[FECHA DE FACTURACIÓN]])&gt;PROVEEDORES[[#This Row],[PLAZO Días]],"PAGO VENCIDO")</f>
        <v>PAGO VENCIDO</v>
      </c>
      <c r="C1439" s="144">
        <f>+VLOOKUP(PROVEEDORES[[#This Row],[PROVEEDOR]],TERCEROS_INFO[#All],2,FALSE)</f>
        <v>0</v>
      </c>
      <c r="D1439" s="145">
        <f>+SUMIFS(PROVEEDORES[Total],PROVEEDORES[PROVEEDOR],PROVEEDORES[[#This Row],[PROVEEDOR]],PROVEEDORES[FECHA DE PAGO],"")</f>
        <v>8493745.8849999998</v>
      </c>
      <c r="E1439" s="146"/>
      <c r="F1439" s="144" t="str">
        <f>+VLOOKUP(PROVEEDORES[[#This Row],[PROVEEDOR]],
                       Terceros!$A:$G,
                       5,
                       FALSE)</f>
        <v>2,5% con base</v>
      </c>
      <c r="G1439" s="122">
        <v>45392</v>
      </c>
      <c r="H1439" s="102" t="s">
        <v>10</v>
      </c>
      <c r="I1439" s="122">
        <v>45320</v>
      </c>
      <c r="J1439" s="103" t="s">
        <v>1480</v>
      </c>
      <c r="K1439" s="103" t="s">
        <v>1512</v>
      </c>
      <c r="L1439" s="103" t="s">
        <v>1516</v>
      </c>
      <c r="M1439" s="105">
        <v>2329416</v>
      </c>
      <c r="N1439" s="147">
        <v>442589.04</v>
      </c>
      <c r="O1439" s="147">
        <v>0</v>
      </c>
      <c r="P1439" s="148">
        <v>2.5000000000000001E-2</v>
      </c>
      <c r="Q1439" s="147">
        <v>58235.4</v>
      </c>
      <c r="R1439" s="149">
        <v>2713769.64</v>
      </c>
      <c r="S143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9" s="150">
        <f ca="1">+IF(PROVEEDORES[[#This Row],[FECHA DE PAGO]]=0,TODAY()-PROVEEDORES[[#This Row],[FECHA DE FACTURACIÓN]]-PROVEEDORES[[#This Row],[PLAZO Días]],0)</f>
        <v>0</v>
      </c>
      <c r="U1439" s="150">
        <f>+VLOOKUP(PROVEEDORES[[#This Row],[PROVEEDOR]],Terceros!$A:$E,4,FALSE)</f>
        <v>0.19</v>
      </c>
      <c r="V1439" s="150">
        <f>+YEAR(PROVEEDORES[[#This Row],[FECHA DE FACTURACIÓN]])</f>
        <v>2024</v>
      </c>
      <c r="W1439" s="150">
        <f>+MATCH(PROVEEDORES[[#This Row],[año facturado]],Retenciones!$1:$1,0)</f>
        <v>7</v>
      </c>
      <c r="X1439" s="151" t="e">
        <f>+VLOOKUP(PROVEEDORES[[#This Row],[ID RETENCION]],Retenciones!$A$1:$O$25,PROVEEDORES[[#This Row],[indicador de columna]],FALSE)</f>
        <v>#N/A</v>
      </c>
      <c r="Y1439" s="152" t="e">
        <f>+VLOOKUP(PROVEEDORES[[#This Row],[ID RETENCION]],Retenciones!$A$1:$O$25,2,FALSE)</f>
        <v>#N/A</v>
      </c>
      <c r="Z1439" s="153" t="b">
        <f>+OR(COUNTIF(PROVEEDORES[[#This Row],[PROVEEDOR]],"*"&amp;'Palabra que no opera y Listas d'!$A$2&amp;"*"))</f>
        <v>0</v>
      </c>
    </row>
    <row r="1440" spans="1:26" ht="27.75" customHeight="1" x14ac:dyDescent="0.3">
      <c r="A1440" s="144" t="str">
        <f>+IF(PROVEEDORES[[#This Row],[FECHA DE PAGO]]=PROVEEDORES[[#This Row],[FECHA DE FACTURACIÓN]],"DE CONTADO","CRÉDITO")</f>
        <v>CRÉDITO</v>
      </c>
      <c r="B1440" s="144" t="str">
        <f>+IF((PROVEEDORES[[#This Row],[FECHA DE PAGO]]-PROVEEDORES[[#This Row],[FECHA DE FACTURACIÓN]])&gt;PROVEEDORES[[#This Row],[PLAZO Días]],"PAGO VENCIDO")</f>
        <v>PAGO VENCIDO</v>
      </c>
      <c r="C1440" s="144">
        <f>+VLOOKUP(PROVEEDORES[[#This Row],[PROVEEDOR]],TERCEROS_INFO[#All],2,FALSE)</f>
        <v>0</v>
      </c>
      <c r="D1440" s="145">
        <f>+SUMIFS(PROVEEDORES[Total],PROVEEDORES[PROVEEDOR],PROVEEDORES[[#This Row],[PROVEEDOR]],PROVEEDORES[FECHA DE PAGO],"")</f>
        <v>0</v>
      </c>
      <c r="E1440" s="146"/>
      <c r="F1440" s="144" t="str">
        <f>+VLOOKUP(PROVEEDORES[[#This Row],[PROVEEDOR]],
                       Terceros!$A:$G,
                       5,
                       FALSE)</f>
        <v>2,5% con base</v>
      </c>
      <c r="G1440" s="122">
        <v>45392</v>
      </c>
      <c r="H1440" s="102" t="s">
        <v>42</v>
      </c>
      <c r="I1440" s="122">
        <v>45330</v>
      </c>
      <c r="J1440" s="103" t="s">
        <v>1537</v>
      </c>
      <c r="K1440" s="103" t="s">
        <v>1512</v>
      </c>
      <c r="L1440" s="103" t="s">
        <v>1516</v>
      </c>
      <c r="M1440" s="105">
        <v>2049000</v>
      </c>
      <c r="N1440" s="147">
        <v>389310</v>
      </c>
      <c r="O1440" s="147">
        <v>0</v>
      </c>
      <c r="P1440" s="148">
        <v>2.5000000000000001E-2</v>
      </c>
      <c r="Q1440" s="147">
        <v>51225</v>
      </c>
      <c r="R1440" s="149">
        <v>2387085</v>
      </c>
      <c r="S144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0" s="150">
        <f ca="1">+IF(PROVEEDORES[[#This Row],[FECHA DE PAGO]]=0,TODAY()-PROVEEDORES[[#This Row],[FECHA DE FACTURACIÓN]]-PROVEEDORES[[#This Row],[PLAZO Días]],0)</f>
        <v>0</v>
      </c>
      <c r="U1440" s="150">
        <f>+VLOOKUP(PROVEEDORES[[#This Row],[PROVEEDOR]],Terceros!$A:$E,4,FALSE)</f>
        <v>0.19</v>
      </c>
      <c r="V1440" s="150">
        <f>+YEAR(PROVEEDORES[[#This Row],[FECHA DE FACTURACIÓN]])</f>
        <v>2024</v>
      </c>
      <c r="W1440" s="150">
        <f>+MATCH(PROVEEDORES[[#This Row],[año facturado]],Retenciones!$1:$1,0)</f>
        <v>7</v>
      </c>
      <c r="X1440" s="151" t="e">
        <f>+VLOOKUP(PROVEEDORES[[#This Row],[ID RETENCION]],Retenciones!$A$1:$O$25,PROVEEDORES[[#This Row],[indicador de columna]],FALSE)</f>
        <v>#N/A</v>
      </c>
      <c r="Y1440" s="152" t="e">
        <f>+VLOOKUP(PROVEEDORES[[#This Row],[ID RETENCION]],Retenciones!$A$1:$O$25,2,FALSE)</f>
        <v>#N/A</v>
      </c>
      <c r="Z1440" s="153" t="b">
        <f>+OR(COUNTIF(PROVEEDORES[[#This Row],[PROVEEDOR]],"*"&amp;'Palabra que no opera y Listas d'!$A$2&amp;"*"))</f>
        <v>0</v>
      </c>
    </row>
    <row r="1441" spans="1:26" ht="27.75" customHeight="1" x14ac:dyDescent="0.3">
      <c r="A1441" s="144" t="str">
        <f>+IF(PROVEEDORES[[#This Row],[FECHA DE PAGO]]=PROVEEDORES[[#This Row],[FECHA DE FACTURACIÓN]],"DE CONTADO","CRÉDITO")</f>
        <v>CRÉDITO</v>
      </c>
      <c r="B1441" s="144" t="str">
        <f>+IF((PROVEEDORES[[#This Row],[FECHA DE PAGO]]-PROVEEDORES[[#This Row],[FECHA DE FACTURACIÓN]])&gt;PROVEEDORES[[#This Row],[PLAZO Días]],"PAGO VENCIDO")</f>
        <v>PAGO VENCIDO</v>
      </c>
      <c r="C1441" s="144">
        <f>+VLOOKUP(PROVEEDORES[[#This Row],[PROVEEDOR]],TERCEROS_INFO[#All],2,FALSE)</f>
        <v>0</v>
      </c>
      <c r="D1441" s="145">
        <f>+SUMIFS(PROVEEDORES[Total],PROVEEDORES[PROVEEDOR],PROVEEDORES[[#This Row],[PROVEEDOR]],PROVEEDORES[FECHA DE PAGO],"")</f>
        <v>8493745.8849999998</v>
      </c>
      <c r="E1441" s="146"/>
      <c r="F1441" s="144" t="str">
        <f>+VLOOKUP(PROVEEDORES[[#This Row],[PROVEEDOR]],
                       Terceros!$A:$G,
                       5,
                       FALSE)</f>
        <v>2,5% con base</v>
      </c>
      <c r="G1441" s="122">
        <v>45392</v>
      </c>
      <c r="H1441" s="102" t="s">
        <v>10</v>
      </c>
      <c r="I1441" s="122">
        <v>45342</v>
      </c>
      <c r="J1441" s="103" t="s">
        <v>1578</v>
      </c>
      <c r="K1441" s="103" t="s">
        <v>1512</v>
      </c>
      <c r="L1441" s="103" t="s">
        <v>1516</v>
      </c>
      <c r="M1441" s="105">
        <v>3105888</v>
      </c>
      <c r="N1441" s="147">
        <v>590118.72</v>
      </c>
      <c r="O1441" s="147">
        <v>0</v>
      </c>
      <c r="P1441" s="148">
        <v>2.5000000000000001E-2</v>
      </c>
      <c r="Q1441" s="147">
        <v>77647.199999999997</v>
      </c>
      <c r="R1441" s="149">
        <v>3618359.5199999996</v>
      </c>
      <c r="S144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1" s="150">
        <f ca="1">+IF(PROVEEDORES[[#This Row],[FECHA DE PAGO]]=0,TODAY()-PROVEEDORES[[#This Row],[FECHA DE FACTURACIÓN]]-PROVEEDORES[[#This Row],[PLAZO Días]],0)</f>
        <v>0</v>
      </c>
      <c r="U1441" s="150">
        <f>+VLOOKUP(PROVEEDORES[[#This Row],[PROVEEDOR]],Terceros!$A:$E,4,FALSE)</f>
        <v>0.19</v>
      </c>
      <c r="V1441" s="150">
        <f>+YEAR(PROVEEDORES[[#This Row],[FECHA DE FACTURACIÓN]])</f>
        <v>2024</v>
      </c>
      <c r="W1441" s="150">
        <f>+MATCH(PROVEEDORES[[#This Row],[año facturado]],Retenciones!$1:$1,0)</f>
        <v>7</v>
      </c>
      <c r="X1441" s="151" t="e">
        <f>+VLOOKUP(PROVEEDORES[[#This Row],[ID RETENCION]],Retenciones!$A$1:$O$25,PROVEEDORES[[#This Row],[indicador de columna]],FALSE)</f>
        <v>#N/A</v>
      </c>
      <c r="Y1441" s="152" t="e">
        <f>+VLOOKUP(PROVEEDORES[[#This Row],[ID RETENCION]],Retenciones!$A$1:$O$25,2,FALSE)</f>
        <v>#N/A</v>
      </c>
      <c r="Z1441" s="153" t="b">
        <f>+OR(COUNTIF(PROVEEDORES[[#This Row],[PROVEEDOR]],"*"&amp;'Palabra que no opera y Listas d'!$A$2&amp;"*"))</f>
        <v>0</v>
      </c>
    </row>
    <row r="1442" spans="1:26" ht="27.75" customHeight="1" x14ac:dyDescent="0.3">
      <c r="A1442" s="144" t="str">
        <f>+IF(PROVEEDORES[[#This Row],[FECHA DE PAGO]]=PROVEEDORES[[#This Row],[FECHA DE FACTURACIÓN]],"DE CONTADO","CRÉDITO")</f>
        <v>CRÉDITO</v>
      </c>
      <c r="B1442" s="144" t="str">
        <f>+IF((PROVEEDORES[[#This Row],[FECHA DE PAGO]]-PROVEEDORES[[#This Row],[FECHA DE FACTURACIÓN]])&gt;PROVEEDORES[[#This Row],[PLAZO Días]],"PAGO VENCIDO")</f>
        <v>PAGO VENCIDO</v>
      </c>
      <c r="C1442" s="144">
        <f>+VLOOKUP(PROVEEDORES[[#This Row],[PROVEEDOR]],TERCEROS_INFO[#All],2,FALSE)</f>
        <v>0</v>
      </c>
      <c r="D1442" s="145">
        <f>+SUMIFS(PROVEEDORES[Total],PROVEEDORES[PROVEEDOR],PROVEEDORES[[#This Row],[PROVEEDOR]],PROVEEDORES[FECHA DE PAGO],"")</f>
        <v>0</v>
      </c>
      <c r="E1442" s="146"/>
      <c r="F1442" s="144" t="str">
        <f>+VLOOKUP(PROVEEDORES[[#This Row],[PROVEEDOR]],
                       Terceros!$A:$G,
                       5,
                       FALSE)</f>
        <v>2,5% con base</v>
      </c>
      <c r="G1442" s="122">
        <v>45392</v>
      </c>
      <c r="H1442" s="102" t="s">
        <v>1574</v>
      </c>
      <c r="I1442" s="122">
        <v>45344</v>
      </c>
      <c r="J1442" s="103" t="s">
        <v>1575</v>
      </c>
      <c r="K1442" s="103" t="s">
        <v>1512</v>
      </c>
      <c r="L1442" s="103" t="s">
        <v>1515</v>
      </c>
      <c r="M1442" s="105">
        <v>3246000</v>
      </c>
      <c r="N1442" s="147">
        <v>616740</v>
      </c>
      <c r="O1442" s="147">
        <v>0</v>
      </c>
      <c r="P1442" s="148">
        <v>2.5000000000000001E-2</v>
      </c>
      <c r="Q1442" s="147">
        <v>81150</v>
      </c>
      <c r="R1442" s="149">
        <v>3781590</v>
      </c>
      <c r="S144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2" s="150">
        <f ca="1">+IF(PROVEEDORES[[#This Row],[FECHA DE PAGO]]=0,TODAY()-PROVEEDORES[[#This Row],[FECHA DE FACTURACIÓN]]-PROVEEDORES[[#This Row],[PLAZO Días]],0)</f>
        <v>0</v>
      </c>
      <c r="U1442" s="150">
        <f>+VLOOKUP(PROVEEDORES[[#This Row],[PROVEEDOR]],Terceros!$A:$E,4,FALSE)</f>
        <v>0.19</v>
      </c>
      <c r="V1442" s="150">
        <f>+YEAR(PROVEEDORES[[#This Row],[FECHA DE FACTURACIÓN]])</f>
        <v>2024</v>
      </c>
      <c r="W1442" s="150">
        <f>+MATCH(PROVEEDORES[[#This Row],[año facturado]],Retenciones!$1:$1,0)</f>
        <v>7</v>
      </c>
      <c r="X1442" s="151" t="e">
        <f>+VLOOKUP(PROVEEDORES[[#This Row],[ID RETENCION]],Retenciones!$A$1:$O$25,PROVEEDORES[[#This Row],[indicador de columna]],FALSE)</f>
        <v>#N/A</v>
      </c>
      <c r="Y1442" s="152" t="e">
        <f>+VLOOKUP(PROVEEDORES[[#This Row],[ID RETENCION]],Retenciones!$A$1:$O$25,2,FALSE)</f>
        <v>#N/A</v>
      </c>
      <c r="Z1442" s="153" t="b">
        <f>+OR(COUNTIF(PROVEEDORES[[#This Row],[PROVEEDOR]],"*"&amp;'Palabra que no opera y Listas d'!$A$2&amp;"*"))</f>
        <v>0</v>
      </c>
    </row>
    <row r="1443" spans="1:26" ht="27.75" customHeight="1" x14ac:dyDescent="0.3">
      <c r="A1443" s="144" t="str">
        <f>+IF(PROVEEDORES[[#This Row],[FECHA DE PAGO]]=PROVEEDORES[[#This Row],[FECHA DE FACTURACIÓN]],"DE CONTADO","CRÉDITO")</f>
        <v>CRÉDITO</v>
      </c>
      <c r="B1443" s="144" t="str">
        <f>+IF((PROVEEDORES[[#This Row],[FECHA DE PAGO]]-PROVEEDORES[[#This Row],[FECHA DE FACTURACIÓN]])&gt;PROVEEDORES[[#This Row],[PLAZO Días]],"PAGO VENCIDO")</f>
        <v>PAGO VENCIDO</v>
      </c>
      <c r="C1443" s="144">
        <f>+VLOOKUP(PROVEEDORES[[#This Row],[PROVEEDOR]],TERCEROS_INFO[#All],2,FALSE)</f>
        <v>0</v>
      </c>
      <c r="D1443" s="145">
        <f>+SUMIFS(PROVEEDORES[Total],PROVEEDORES[PROVEEDOR],PROVEEDORES[[#This Row],[PROVEEDOR]],PROVEEDORES[FECHA DE PAGO],"")</f>
        <v>181631</v>
      </c>
      <c r="E1443" s="146"/>
      <c r="F1443" s="144">
        <f>+VLOOKUP(PROVEEDORES[[#This Row],[PROVEEDOR]],
                       Terceros!$A:$G,
                       5,
                       FALSE)</f>
        <v>0</v>
      </c>
      <c r="G1443" s="122">
        <v>45392</v>
      </c>
      <c r="H1443" s="102" t="s">
        <v>383</v>
      </c>
      <c r="I1443" s="122">
        <v>45383</v>
      </c>
      <c r="J1443" s="103" t="s">
        <v>1679</v>
      </c>
      <c r="K1443" s="103" t="s">
        <v>1512</v>
      </c>
      <c r="L1443" s="103" t="s">
        <v>1517</v>
      </c>
      <c r="M1443" s="105">
        <v>970836</v>
      </c>
      <c r="N1443" s="147">
        <v>184458.84</v>
      </c>
      <c r="O1443" s="147">
        <v>0</v>
      </c>
      <c r="P1443" s="148">
        <v>0</v>
      </c>
      <c r="Q1443" s="147">
        <v>38833</v>
      </c>
      <c r="R1443" s="149">
        <v>1116461.8400000001</v>
      </c>
      <c r="S144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3" s="150">
        <f ca="1">+IF(PROVEEDORES[[#This Row],[FECHA DE PAGO]]=0,TODAY()-PROVEEDORES[[#This Row],[FECHA DE FACTURACIÓN]]-PROVEEDORES[[#This Row],[PLAZO Días]],0)</f>
        <v>0</v>
      </c>
      <c r="U1443" s="150">
        <f>+VLOOKUP(PROVEEDORES[[#This Row],[PROVEEDOR]],Terceros!$A:$E,4,FALSE)</f>
        <v>0.19</v>
      </c>
      <c r="V1443" s="150">
        <f>+YEAR(PROVEEDORES[[#This Row],[FECHA DE FACTURACIÓN]])</f>
        <v>2024</v>
      </c>
      <c r="W1443" s="150">
        <f>+MATCH(PROVEEDORES[[#This Row],[año facturado]],Retenciones!$1:$1,0)</f>
        <v>7</v>
      </c>
      <c r="X1443" s="151" t="e">
        <f>+VLOOKUP(PROVEEDORES[[#This Row],[ID RETENCION]],Retenciones!$A$1:$O$25,PROVEEDORES[[#This Row],[indicador de columna]],FALSE)</f>
        <v>#N/A</v>
      </c>
      <c r="Y1443" s="152" t="e">
        <f>+VLOOKUP(PROVEEDORES[[#This Row],[ID RETENCION]],Retenciones!$A$1:$O$25,2,FALSE)</f>
        <v>#N/A</v>
      </c>
      <c r="Z1443" s="153" t="b">
        <f>+OR(COUNTIF(PROVEEDORES[[#This Row],[PROVEEDOR]],"*"&amp;'Palabra que no opera y Listas d'!$A$2&amp;"*"))</f>
        <v>1</v>
      </c>
    </row>
    <row r="1444" spans="1:26" ht="27.75" customHeight="1" x14ac:dyDescent="0.3">
      <c r="A1444" s="144" t="str">
        <f>+IF(PROVEEDORES[[#This Row],[FECHA DE PAGO]]=PROVEEDORES[[#This Row],[FECHA DE FACTURACIÓN]],"DE CONTADO","CRÉDITO")</f>
        <v>CRÉDITO</v>
      </c>
      <c r="B1444" s="144" t="str">
        <f>+IF((PROVEEDORES[[#This Row],[FECHA DE PAGO]]-PROVEEDORES[[#This Row],[FECHA DE FACTURACIÓN]])&gt;PROVEEDORES[[#This Row],[PLAZO Días]],"PAGO VENCIDO")</f>
        <v>PAGO VENCIDO</v>
      </c>
      <c r="C1444" s="144">
        <f>+VLOOKUP(PROVEEDORES[[#This Row],[PROVEEDOR]],TERCEROS_INFO[#All],2,FALSE)</f>
        <v>0</v>
      </c>
      <c r="D1444" s="145">
        <f>+SUMIFS(PROVEEDORES[Total],PROVEEDORES[PROVEEDOR],PROVEEDORES[[#This Row],[PROVEEDOR]],PROVEEDORES[FECHA DE PAGO],"")</f>
        <v>0</v>
      </c>
      <c r="E1444" s="146"/>
      <c r="F1444" s="144" t="str">
        <f>+VLOOKUP(PROVEEDORES[[#This Row],[PROVEEDOR]],
                       Terceros!$A:$G,
                       5,
                       FALSE)</f>
        <v>3,5% sin base</v>
      </c>
      <c r="G1444" s="122">
        <v>45392</v>
      </c>
      <c r="H1444" s="102" t="s">
        <v>409</v>
      </c>
      <c r="I1444" s="122">
        <v>45383</v>
      </c>
      <c r="J1444" s="103" t="s">
        <v>1682</v>
      </c>
      <c r="K1444" s="103" t="s">
        <v>1512</v>
      </c>
      <c r="L1444" s="103" t="s">
        <v>1515</v>
      </c>
      <c r="M1444" s="105">
        <v>266218</v>
      </c>
      <c r="N1444" s="147">
        <v>50581.42</v>
      </c>
      <c r="O1444" s="147">
        <v>0</v>
      </c>
      <c r="P1444" s="148">
        <v>3.5000000000000003E-2</v>
      </c>
      <c r="Q1444" s="147">
        <v>9317.630000000001</v>
      </c>
      <c r="R1444" s="149">
        <v>307481.78999999998</v>
      </c>
      <c r="S144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4" s="150">
        <f ca="1">+IF(PROVEEDORES[[#This Row],[FECHA DE PAGO]]=0,TODAY()-PROVEEDORES[[#This Row],[FECHA DE FACTURACIÓN]]-PROVEEDORES[[#This Row],[PLAZO Días]],0)</f>
        <v>0</v>
      </c>
      <c r="U1444" s="150">
        <f>+VLOOKUP(PROVEEDORES[[#This Row],[PROVEEDOR]],Terceros!$A:$E,4,FALSE)</f>
        <v>0.19</v>
      </c>
      <c r="V1444" s="150">
        <f>+YEAR(PROVEEDORES[[#This Row],[FECHA DE FACTURACIÓN]])</f>
        <v>2024</v>
      </c>
      <c r="W1444" s="150">
        <f>+MATCH(PROVEEDORES[[#This Row],[año facturado]],Retenciones!$1:$1,0)</f>
        <v>7</v>
      </c>
      <c r="X1444" s="151" t="e">
        <f>+VLOOKUP(PROVEEDORES[[#This Row],[ID RETENCION]],Retenciones!$A$1:$O$25,PROVEEDORES[[#This Row],[indicador de columna]],FALSE)</f>
        <v>#N/A</v>
      </c>
      <c r="Y1444" s="152" t="e">
        <f>+VLOOKUP(PROVEEDORES[[#This Row],[ID RETENCION]],Retenciones!$A$1:$O$25,2,FALSE)</f>
        <v>#N/A</v>
      </c>
      <c r="Z1444" s="153" t="b">
        <f>+OR(COUNTIF(PROVEEDORES[[#This Row],[PROVEEDOR]],"*"&amp;'Palabra que no opera y Listas d'!$A$2&amp;"*"))</f>
        <v>1</v>
      </c>
    </row>
    <row r="1445" spans="1:26" ht="27.75" customHeight="1" x14ac:dyDescent="0.3">
      <c r="A1445" s="144" t="str">
        <f>+IF(PROVEEDORES[[#This Row],[FECHA DE PAGO]]=PROVEEDORES[[#This Row],[FECHA DE FACTURACIÓN]],"DE CONTADO","CRÉDITO")</f>
        <v>CRÉDITO</v>
      </c>
      <c r="B1445" s="144" t="str">
        <f>+IF((PROVEEDORES[[#This Row],[FECHA DE PAGO]]-PROVEEDORES[[#This Row],[FECHA DE FACTURACIÓN]])&gt;PROVEEDORES[[#This Row],[PLAZO Días]],"PAGO VENCIDO")</f>
        <v>PAGO VENCIDO</v>
      </c>
      <c r="C1445" s="144">
        <f>+VLOOKUP(PROVEEDORES[[#This Row],[PROVEEDOR]],TERCEROS_INFO[#All],2,FALSE)</f>
        <v>0</v>
      </c>
      <c r="D1445" s="145">
        <f>+SUMIFS(PROVEEDORES[Total],PROVEEDORES[PROVEEDOR],PROVEEDORES[[#This Row],[PROVEEDOR]],PROVEEDORES[FECHA DE PAGO],"")</f>
        <v>0</v>
      </c>
      <c r="E1445" s="146"/>
      <c r="F1445" s="144">
        <f>+VLOOKUP(PROVEEDORES[[#This Row],[PROVEEDOR]],
                       Terceros!$A:$G,
                       5,
                       FALSE)</f>
        <v>0</v>
      </c>
      <c r="G1445" s="122">
        <v>45392</v>
      </c>
      <c r="H1445" s="102" t="s">
        <v>391</v>
      </c>
      <c r="I1445" s="122">
        <v>45383</v>
      </c>
      <c r="J1445" s="103" t="s">
        <v>1677</v>
      </c>
      <c r="K1445" s="103" t="s">
        <v>1512</v>
      </c>
      <c r="L1445" s="103" t="s">
        <v>1516</v>
      </c>
      <c r="M1445" s="105">
        <v>358115</v>
      </c>
      <c r="N1445" s="147">
        <v>0</v>
      </c>
      <c r="O1445" s="147">
        <v>66304</v>
      </c>
      <c r="P1445" s="148">
        <v>0</v>
      </c>
      <c r="Q1445" s="147">
        <v>0</v>
      </c>
      <c r="R1445" s="149">
        <v>291811</v>
      </c>
      <c r="S144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5" s="150">
        <f ca="1">+IF(PROVEEDORES[[#This Row],[FECHA DE PAGO]]=0,TODAY()-PROVEEDORES[[#This Row],[FECHA DE FACTURACIÓN]]-PROVEEDORES[[#This Row],[PLAZO Días]],0)</f>
        <v>0</v>
      </c>
      <c r="U1445" s="150">
        <f>+VLOOKUP(PROVEEDORES[[#This Row],[PROVEEDOR]],Terceros!$A:$E,4,FALSE)</f>
        <v>0</v>
      </c>
      <c r="V1445" s="150">
        <f>+YEAR(PROVEEDORES[[#This Row],[FECHA DE FACTURACIÓN]])</f>
        <v>2024</v>
      </c>
      <c r="W1445" s="150">
        <f>+MATCH(PROVEEDORES[[#This Row],[año facturado]],Retenciones!$1:$1,0)</f>
        <v>7</v>
      </c>
      <c r="X1445" s="151">
        <f>+VLOOKUP(PROVEEDORES[[#This Row],[ID RETENCION]],Retenciones!$A$1:$O$25,PROVEEDORES[[#This Row],[indicador de columna]],FALSE)</f>
        <v>0</v>
      </c>
      <c r="Y1445" s="152">
        <f>+VLOOKUP(PROVEEDORES[[#This Row],[ID RETENCION]],Retenciones!$A$1:$O$25,2,FALSE)</f>
        <v>0</v>
      </c>
      <c r="Z1445" s="153" t="b">
        <f>+OR(COUNTIF(PROVEEDORES[[#This Row],[PROVEEDOR]],"*"&amp;'Palabra que no opera y Listas d'!$A$2&amp;"*"))</f>
        <v>1</v>
      </c>
    </row>
    <row r="1446" spans="1:26" ht="27.75" customHeight="1" x14ac:dyDescent="0.3">
      <c r="A1446" s="144" t="str">
        <f>+IF(PROVEEDORES[[#This Row],[FECHA DE PAGO]]=PROVEEDORES[[#This Row],[FECHA DE FACTURACIÓN]],"DE CONTADO","CRÉDITO")</f>
        <v>CRÉDITO</v>
      </c>
      <c r="B1446" s="144" t="str">
        <f>+IF((PROVEEDORES[[#This Row],[FECHA DE PAGO]]-PROVEEDORES[[#This Row],[FECHA DE FACTURACIÓN]])&gt;PROVEEDORES[[#This Row],[PLAZO Días]],"PAGO VENCIDO")</f>
        <v>PAGO VENCIDO</v>
      </c>
      <c r="C1446" s="144">
        <f>+VLOOKUP(PROVEEDORES[[#This Row],[PROVEEDOR]],TERCEROS_INFO[#All],2,FALSE)</f>
        <v>0</v>
      </c>
      <c r="D1446" s="145">
        <f>+SUMIFS(PROVEEDORES[Total],PROVEEDORES[PROVEEDOR],PROVEEDORES[[#This Row],[PROVEEDOR]],PROVEEDORES[FECHA DE PAGO],"")</f>
        <v>0</v>
      </c>
      <c r="E1446" s="146"/>
      <c r="F1446" s="144">
        <f>+VLOOKUP(PROVEEDORES[[#This Row],[PROVEEDOR]],
                       Terceros!$A:$G,
                       5,
                       FALSE)</f>
        <v>0</v>
      </c>
      <c r="G1446" s="122">
        <v>45392</v>
      </c>
      <c r="H1446" s="102" t="s">
        <v>397</v>
      </c>
      <c r="I1446" s="122">
        <v>45383</v>
      </c>
      <c r="J1446" s="103" t="s">
        <v>1676</v>
      </c>
      <c r="K1446" s="103" t="s">
        <v>1512</v>
      </c>
      <c r="L1446" s="103" t="s">
        <v>1515</v>
      </c>
      <c r="M1446" s="105">
        <v>1007984</v>
      </c>
      <c r="N1446" s="147">
        <v>0</v>
      </c>
      <c r="O1446" s="147">
        <v>0</v>
      </c>
      <c r="P1446" s="148">
        <v>0</v>
      </c>
      <c r="Q1446" s="147">
        <v>0</v>
      </c>
      <c r="R1446" s="149">
        <v>1007984</v>
      </c>
      <c r="S144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6" s="150">
        <f ca="1">+IF(PROVEEDORES[[#This Row],[FECHA DE PAGO]]=0,TODAY()-PROVEEDORES[[#This Row],[FECHA DE FACTURACIÓN]]-PROVEEDORES[[#This Row],[PLAZO Días]],0)</f>
        <v>0</v>
      </c>
      <c r="U1446" s="150">
        <f>+VLOOKUP(PROVEEDORES[[#This Row],[PROVEEDOR]],Terceros!$A:$E,4,FALSE)</f>
        <v>0</v>
      </c>
      <c r="V1446" s="150">
        <f>+YEAR(PROVEEDORES[[#This Row],[FECHA DE FACTURACIÓN]])</f>
        <v>2024</v>
      </c>
      <c r="W1446" s="150">
        <f>+MATCH(PROVEEDORES[[#This Row],[año facturado]],Retenciones!$1:$1,0)</f>
        <v>7</v>
      </c>
      <c r="X1446" s="151">
        <f>+VLOOKUP(PROVEEDORES[[#This Row],[ID RETENCION]],Retenciones!$A$1:$O$25,PROVEEDORES[[#This Row],[indicador de columna]],FALSE)</f>
        <v>0</v>
      </c>
      <c r="Y1446" s="152">
        <f>+VLOOKUP(PROVEEDORES[[#This Row],[ID RETENCION]],Retenciones!$A$1:$O$25,2,FALSE)</f>
        <v>0</v>
      </c>
      <c r="Z1446" s="153" t="b">
        <f>+OR(COUNTIF(PROVEEDORES[[#This Row],[PROVEEDOR]],"*"&amp;'Palabra que no opera y Listas d'!$A$2&amp;"*"))</f>
        <v>1</v>
      </c>
    </row>
    <row r="1447" spans="1:26" ht="27.75" customHeight="1" x14ac:dyDescent="0.3">
      <c r="A1447" s="144" t="str">
        <f>+IF(PROVEEDORES[[#This Row],[FECHA DE PAGO]]=PROVEEDORES[[#This Row],[FECHA DE FACTURACIÓN]],"DE CONTADO","CRÉDITO")</f>
        <v>CRÉDITO</v>
      </c>
      <c r="B1447" s="144" t="str">
        <f>+IF((PROVEEDORES[[#This Row],[FECHA DE PAGO]]-PROVEEDORES[[#This Row],[FECHA DE FACTURACIÓN]])&gt;PROVEEDORES[[#This Row],[PLAZO Días]],"PAGO VENCIDO")</f>
        <v>PAGO VENCIDO</v>
      </c>
      <c r="C1447" s="144">
        <f>+VLOOKUP(PROVEEDORES[[#This Row],[PROVEEDOR]],TERCEROS_INFO[#All],2,FALSE)</f>
        <v>0</v>
      </c>
      <c r="D1447" s="145">
        <f>+SUMIFS(PROVEEDORES[Total],PROVEEDORES[PROVEEDOR],PROVEEDORES[[#This Row],[PROVEEDOR]],PROVEEDORES[FECHA DE PAGO],"")</f>
        <v>181631</v>
      </c>
      <c r="E1447" s="146"/>
      <c r="F1447" s="144">
        <f>+VLOOKUP(PROVEEDORES[[#This Row],[PROVEEDOR]],
                       Terceros!$A:$G,
                       5,
                       FALSE)</f>
        <v>0</v>
      </c>
      <c r="G1447" s="122">
        <v>45392</v>
      </c>
      <c r="H1447" s="102" t="s">
        <v>383</v>
      </c>
      <c r="I1447" s="122">
        <v>45383</v>
      </c>
      <c r="J1447" s="103" t="s">
        <v>1680</v>
      </c>
      <c r="K1447" s="103" t="s">
        <v>1512</v>
      </c>
      <c r="L1447" s="103" t="s">
        <v>1517</v>
      </c>
      <c r="M1447" s="105">
        <v>4220343</v>
      </c>
      <c r="N1447" s="147">
        <v>801865.17</v>
      </c>
      <c r="O1447" s="147">
        <v>0</v>
      </c>
      <c r="P1447" s="148">
        <v>0</v>
      </c>
      <c r="Q1447" s="147">
        <v>0</v>
      </c>
      <c r="R1447" s="149">
        <v>5022208.17</v>
      </c>
      <c r="S144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7" s="150">
        <f ca="1">+IF(PROVEEDORES[[#This Row],[FECHA DE PAGO]]=0,TODAY()-PROVEEDORES[[#This Row],[FECHA DE FACTURACIÓN]]-PROVEEDORES[[#This Row],[PLAZO Días]],0)</f>
        <v>0</v>
      </c>
      <c r="U1447" s="150">
        <f>+VLOOKUP(PROVEEDORES[[#This Row],[PROVEEDOR]],Terceros!$A:$E,4,FALSE)</f>
        <v>0.19</v>
      </c>
      <c r="V1447" s="150">
        <f>+YEAR(PROVEEDORES[[#This Row],[FECHA DE FACTURACIÓN]])</f>
        <v>2024</v>
      </c>
      <c r="W1447" s="150">
        <f>+MATCH(PROVEEDORES[[#This Row],[año facturado]],Retenciones!$1:$1,0)</f>
        <v>7</v>
      </c>
      <c r="X1447" s="151" t="e">
        <f>+VLOOKUP(PROVEEDORES[[#This Row],[ID RETENCION]],Retenciones!$A$1:$O$25,PROVEEDORES[[#This Row],[indicador de columna]],FALSE)</f>
        <v>#N/A</v>
      </c>
      <c r="Y1447" s="152" t="e">
        <f>+VLOOKUP(PROVEEDORES[[#This Row],[ID RETENCION]],Retenciones!$A$1:$O$25,2,FALSE)</f>
        <v>#N/A</v>
      </c>
      <c r="Z1447" s="153" t="b">
        <f>+OR(COUNTIF(PROVEEDORES[[#This Row],[PROVEEDOR]],"*"&amp;'Palabra que no opera y Listas d'!$A$2&amp;"*"))</f>
        <v>1</v>
      </c>
    </row>
    <row r="1448" spans="1:26" ht="27.75" customHeight="1" x14ac:dyDescent="0.3">
      <c r="A1448" s="144" t="str">
        <f>+IF(PROVEEDORES[[#This Row],[FECHA DE PAGO]]=PROVEEDORES[[#This Row],[FECHA DE FACTURACIÓN]],"DE CONTADO","CRÉDITO")</f>
        <v>CRÉDITO</v>
      </c>
      <c r="B1448" s="144" t="str">
        <f>+IF((PROVEEDORES[[#This Row],[FECHA DE PAGO]]-PROVEEDORES[[#This Row],[FECHA DE FACTURACIÓN]])&gt;PROVEEDORES[[#This Row],[PLAZO Días]],"PAGO VENCIDO")</f>
        <v>PAGO VENCIDO</v>
      </c>
      <c r="C1448" s="144">
        <f>+VLOOKUP(PROVEEDORES[[#This Row],[PROVEEDOR]],TERCEROS_INFO[#All],2,FALSE)</f>
        <v>0</v>
      </c>
      <c r="D1448" s="145">
        <f>+SUMIFS(PROVEEDORES[Total],PROVEEDORES[PROVEEDOR],PROVEEDORES[[#This Row],[PROVEEDOR]],PROVEEDORES[FECHA DE PAGO],"")</f>
        <v>0</v>
      </c>
      <c r="E1448" s="146"/>
      <c r="F1448" s="144">
        <f>+VLOOKUP(PROVEEDORES[[#This Row],[PROVEEDOR]],
                       Terceros!$A:$G,
                       5,
                       FALSE)</f>
        <v>0</v>
      </c>
      <c r="G1448" s="122">
        <v>45392</v>
      </c>
      <c r="H1448" s="102" t="s">
        <v>497</v>
      </c>
      <c r="I1448" s="122">
        <v>45383</v>
      </c>
      <c r="J1448" s="103" t="s">
        <v>1678</v>
      </c>
      <c r="K1448" s="103" t="s">
        <v>1512</v>
      </c>
      <c r="L1448" s="103" t="s">
        <v>1516</v>
      </c>
      <c r="M1448" s="105">
        <v>5350576</v>
      </c>
      <c r="N1448" s="147">
        <v>1016609.4400000001</v>
      </c>
      <c r="O1448" s="147">
        <v>0</v>
      </c>
      <c r="P1448" s="148">
        <v>0</v>
      </c>
      <c r="Q1448" s="147">
        <v>0</v>
      </c>
      <c r="R1448" s="149">
        <v>6367185.4400000004</v>
      </c>
      <c r="S144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8" s="150">
        <f ca="1">+IF(PROVEEDORES[[#This Row],[FECHA DE PAGO]]=0,TODAY()-PROVEEDORES[[#This Row],[FECHA DE FACTURACIÓN]]-PROVEEDORES[[#This Row],[PLAZO Días]],0)</f>
        <v>0</v>
      </c>
      <c r="U1448" s="150">
        <f>+VLOOKUP(PROVEEDORES[[#This Row],[PROVEEDOR]],Terceros!$A:$E,4,FALSE)</f>
        <v>0.19</v>
      </c>
      <c r="V1448" s="150">
        <f>+YEAR(PROVEEDORES[[#This Row],[FECHA DE FACTURACIÓN]])</f>
        <v>2024</v>
      </c>
      <c r="W1448" s="150">
        <f>+MATCH(PROVEEDORES[[#This Row],[año facturado]],Retenciones!$1:$1,0)</f>
        <v>7</v>
      </c>
      <c r="X1448" s="151" t="e">
        <f>+VLOOKUP(PROVEEDORES[[#This Row],[ID RETENCION]],Retenciones!$A$1:$O$25,PROVEEDORES[[#This Row],[indicador de columna]],FALSE)</f>
        <v>#N/A</v>
      </c>
      <c r="Y1448" s="152" t="e">
        <f>+VLOOKUP(PROVEEDORES[[#This Row],[ID RETENCION]],Retenciones!$A$1:$O$25,2,FALSE)</f>
        <v>#N/A</v>
      </c>
      <c r="Z1448" s="153" t="b">
        <f>+OR(COUNTIF(PROVEEDORES[[#This Row],[PROVEEDOR]],"*"&amp;'Palabra que no opera y Listas d'!$A$2&amp;"*"))</f>
        <v>1</v>
      </c>
    </row>
    <row r="1449" spans="1:26" ht="27.75" customHeight="1" x14ac:dyDescent="0.3">
      <c r="A1449" s="144" t="str">
        <f>+IF(PROVEEDORES[[#This Row],[FECHA DE PAGO]]=PROVEEDORES[[#This Row],[FECHA DE FACTURACIÓN]],"DE CONTADO","CRÉDITO")</f>
        <v>CRÉDITO</v>
      </c>
      <c r="B1449" s="144" t="str">
        <f>+IF((PROVEEDORES[[#This Row],[FECHA DE PAGO]]-PROVEEDORES[[#This Row],[FECHA DE FACTURACIÓN]])&gt;PROVEEDORES[[#This Row],[PLAZO Días]],"PAGO VENCIDO")</f>
        <v>PAGO VENCIDO</v>
      </c>
      <c r="C1449" s="144">
        <f>+VLOOKUP(PROVEEDORES[[#This Row],[PROVEEDOR]],TERCEROS_INFO[#All],2,FALSE)</f>
        <v>0</v>
      </c>
      <c r="D1449" s="145">
        <f>+SUMIFS(PROVEEDORES[Total],PROVEEDORES[PROVEEDOR],PROVEEDORES[[#This Row],[PROVEEDOR]],PROVEEDORES[FECHA DE PAGO],"")</f>
        <v>0</v>
      </c>
      <c r="E1449" s="146"/>
      <c r="F1449" s="144">
        <f>+VLOOKUP(PROVEEDORES[[#This Row],[PROVEEDOR]],
                       Terceros!$A:$G,
                       5,
                       FALSE)</f>
        <v>0</v>
      </c>
      <c r="G1449" s="122">
        <v>45392</v>
      </c>
      <c r="H1449" s="102" t="s">
        <v>388</v>
      </c>
      <c r="I1449" s="122">
        <v>45390</v>
      </c>
      <c r="J1449" s="103" t="s">
        <v>1681</v>
      </c>
      <c r="K1449" s="103" t="s">
        <v>1512</v>
      </c>
      <c r="L1449" s="103" t="s">
        <v>1515</v>
      </c>
      <c r="M1449" s="105">
        <v>2020761</v>
      </c>
      <c r="N1449" s="147">
        <v>0</v>
      </c>
      <c r="O1449" s="147">
        <v>418942</v>
      </c>
      <c r="P1449" s="148">
        <v>0</v>
      </c>
      <c r="Q1449" s="147">
        <v>0</v>
      </c>
      <c r="R1449" s="149">
        <v>1601819</v>
      </c>
      <c r="S144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9" s="150">
        <f ca="1">+IF(PROVEEDORES[[#This Row],[FECHA DE PAGO]]=0,TODAY()-PROVEEDORES[[#This Row],[FECHA DE FACTURACIÓN]]-PROVEEDORES[[#This Row],[PLAZO Días]],0)</f>
        <v>0</v>
      </c>
      <c r="U1449" s="150">
        <f>+VLOOKUP(PROVEEDORES[[#This Row],[PROVEEDOR]],Terceros!$A:$E,4,FALSE)</f>
        <v>0</v>
      </c>
      <c r="V1449" s="150">
        <f>+YEAR(PROVEEDORES[[#This Row],[FECHA DE FACTURACIÓN]])</f>
        <v>2024</v>
      </c>
      <c r="W1449" s="150">
        <f>+MATCH(PROVEEDORES[[#This Row],[año facturado]],Retenciones!$1:$1,0)</f>
        <v>7</v>
      </c>
      <c r="X1449" s="151">
        <f>+VLOOKUP(PROVEEDORES[[#This Row],[ID RETENCION]],Retenciones!$A$1:$O$25,PROVEEDORES[[#This Row],[indicador de columna]],FALSE)</f>
        <v>0</v>
      </c>
      <c r="Y1449" s="152">
        <f>+VLOOKUP(PROVEEDORES[[#This Row],[ID RETENCION]],Retenciones!$A$1:$O$25,2,FALSE)</f>
        <v>0</v>
      </c>
      <c r="Z1449" s="153" t="b">
        <f>+OR(COUNTIF(PROVEEDORES[[#This Row],[PROVEEDOR]],"*"&amp;'Palabra que no opera y Listas d'!$A$2&amp;"*"))</f>
        <v>1</v>
      </c>
    </row>
    <row r="1450" spans="1:26" ht="27.75" customHeight="1" x14ac:dyDescent="0.3">
      <c r="A1450" s="144" t="str">
        <f>+IF(PROVEEDORES[[#This Row],[FECHA DE PAGO]]=PROVEEDORES[[#This Row],[FECHA DE FACTURACIÓN]],"DE CONTADO","CRÉDITO")</f>
        <v>DE CONTADO</v>
      </c>
      <c r="B1450" s="144" t="b">
        <f>+IF((PROVEEDORES[[#This Row],[FECHA DE PAGO]]-PROVEEDORES[[#This Row],[FECHA DE FACTURACIÓN]])&gt;PROVEEDORES[[#This Row],[PLAZO Días]],"PAGO VENCIDO")</f>
        <v>0</v>
      </c>
      <c r="C1450" s="144">
        <f>+VLOOKUP(PROVEEDORES[[#This Row],[PROVEEDOR]],TERCEROS_INFO[#All],2,FALSE)</f>
        <v>0</v>
      </c>
      <c r="D1450" s="145">
        <f>+SUMIFS(PROVEEDORES[Total],PROVEEDORES[PROVEEDOR],PROVEEDORES[[#This Row],[PROVEEDOR]],PROVEEDORES[FECHA DE PAGO],"")</f>
        <v>0</v>
      </c>
      <c r="E1450" s="146"/>
      <c r="F1450" s="144">
        <f>+VLOOKUP(PROVEEDORES[[#This Row],[PROVEEDOR]],
                       Terceros!$A:$G,
                       5,
                       FALSE)</f>
        <v>0</v>
      </c>
      <c r="G1450" s="122">
        <v>45392</v>
      </c>
      <c r="H1450" s="102" t="s">
        <v>1683</v>
      </c>
      <c r="I1450" s="122">
        <v>45392</v>
      </c>
      <c r="J1450" s="103" t="s">
        <v>1775</v>
      </c>
      <c r="K1450" s="103" t="s">
        <v>516</v>
      </c>
      <c r="L1450" s="103" t="s">
        <v>1516</v>
      </c>
      <c r="M1450" s="105">
        <v>4916780</v>
      </c>
      <c r="N1450" s="147">
        <v>0</v>
      </c>
      <c r="O1450" s="147">
        <v>0</v>
      </c>
      <c r="P1450" s="148">
        <v>0</v>
      </c>
      <c r="Q1450" s="147">
        <v>0</v>
      </c>
      <c r="R1450" s="149">
        <v>4916780</v>
      </c>
      <c r="S145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0" s="150">
        <f ca="1">+IF(PROVEEDORES[[#This Row],[FECHA DE PAGO]]=0,TODAY()-PROVEEDORES[[#This Row],[FECHA DE FACTURACIÓN]]-PROVEEDORES[[#This Row],[PLAZO Días]],0)</f>
        <v>0</v>
      </c>
      <c r="U1450" s="150">
        <f>+VLOOKUP(PROVEEDORES[[#This Row],[PROVEEDOR]],Terceros!$A:$E,4,FALSE)</f>
        <v>0</v>
      </c>
      <c r="V1450" s="150">
        <f>+YEAR(PROVEEDORES[[#This Row],[FECHA DE FACTURACIÓN]])</f>
        <v>2024</v>
      </c>
      <c r="W1450" s="150">
        <f>+MATCH(PROVEEDORES[[#This Row],[año facturado]],Retenciones!$1:$1,0)</f>
        <v>7</v>
      </c>
      <c r="X1450" s="151">
        <f>+VLOOKUP(PROVEEDORES[[#This Row],[ID RETENCION]],Retenciones!$A$1:$O$25,PROVEEDORES[[#This Row],[indicador de columna]],FALSE)</f>
        <v>0</v>
      </c>
      <c r="Y1450" s="152">
        <f>+VLOOKUP(PROVEEDORES[[#This Row],[ID RETENCION]],Retenciones!$A$1:$O$25,2,FALSE)</f>
        <v>0</v>
      </c>
      <c r="Z1450" s="153" t="b">
        <f>+OR(COUNTIF(PROVEEDORES[[#This Row],[PROVEEDOR]],"*"&amp;'Palabra que no opera y Listas d'!$A$2&amp;"*"))</f>
        <v>0</v>
      </c>
    </row>
    <row r="1451" spans="1:26" ht="27.75" customHeight="1" x14ac:dyDescent="0.3">
      <c r="A1451" s="144" t="str">
        <f>+IF(PROVEEDORES[[#This Row],[FECHA DE PAGO]]=PROVEEDORES[[#This Row],[FECHA DE FACTURACIÓN]],"DE CONTADO","CRÉDITO")</f>
        <v>CRÉDITO</v>
      </c>
      <c r="B1451" s="144" t="str">
        <f>+IF((PROVEEDORES[[#This Row],[FECHA DE PAGO]]-PROVEEDORES[[#This Row],[FECHA DE FACTURACIÓN]])&gt;PROVEEDORES[[#This Row],[PLAZO Días]],"PAGO VENCIDO")</f>
        <v>PAGO VENCIDO</v>
      </c>
      <c r="C1451" s="144">
        <f>+VLOOKUP(PROVEEDORES[[#This Row],[PROVEEDOR]],TERCEROS_INFO[#All],2,FALSE)</f>
        <v>0</v>
      </c>
      <c r="D1451" s="145">
        <f>+SUMIFS(PROVEEDORES[Total],PROVEEDORES[PROVEEDOR],PROVEEDORES[[#This Row],[PROVEEDOR]],PROVEEDORES[FECHA DE PAGO],"")</f>
        <v>0</v>
      </c>
      <c r="E1451" s="146"/>
      <c r="F1451" s="144">
        <f>+VLOOKUP(PROVEEDORES[[#This Row],[PROVEEDOR]],
                       Terceros!$A:$G,
                       5,
                       FALSE)</f>
        <v>0</v>
      </c>
      <c r="G1451" s="122">
        <v>45393</v>
      </c>
      <c r="H1451" s="102" t="s">
        <v>1786</v>
      </c>
      <c r="I1451" s="122">
        <v>45342</v>
      </c>
      <c r="J1451" s="103">
        <v>8115</v>
      </c>
      <c r="K1451" s="103" t="s">
        <v>1512</v>
      </c>
      <c r="L1451" s="103"/>
      <c r="M1451" s="105">
        <v>527000</v>
      </c>
      <c r="N1451" s="147">
        <v>0</v>
      </c>
      <c r="O1451" s="147">
        <v>0</v>
      </c>
      <c r="P1451" s="148">
        <v>0</v>
      </c>
      <c r="Q1451" s="147">
        <v>0</v>
      </c>
      <c r="R1451" s="149">
        <v>527000</v>
      </c>
      <c r="S145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1" s="150">
        <f ca="1">+IF(PROVEEDORES[[#This Row],[FECHA DE PAGO]]=0,TODAY()-PROVEEDORES[[#This Row],[FECHA DE FACTURACIÓN]]-PROVEEDORES[[#This Row],[PLAZO Días]],0)</f>
        <v>0</v>
      </c>
      <c r="U1451" s="150">
        <f>+VLOOKUP(PROVEEDORES[[#This Row],[PROVEEDOR]],Terceros!$A:$E,4,FALSE)</f>
        <v>0</v>
      </c>
      <c r="V1451" s="150">
        <f>+YEAR(PROVEEDORES[[#This Row],[FECHA DE FACTURACIÓN]])</f>
        <v>2024</v>
      </c>
      <c r="W1451" s="150">
        <f>+MATCH(PROVEEDORES[[#This Row],[año facturado]],Retenciones!$1:$1,0)</f>
        <v>7</v>
      </c>
      <c r="X1451" s="151">
        <f>+VLOOKUP(PROVEEDORES[[#This Row],[ID RETENCION]],Retenciones!$A$1:$O$25,PROVEEDORES[[#This Row],[indicador de columna]],FALSE)</f>
        <v>0</v>
      </c>
      <c r="Y1451" s="152">
        <f>+VLOOKUP(PROVEEDORES[[#This Row],[ID RETENCION]],Retenciones!$A$1:$O$25,2,FALSE)</f>
        <v>0</v>
      </c>
      <c r="Z1451" s="153" t="b">
        <f>+OR(COUNTIF(PROVEEDORES[[#This Row],[PROVEEDOR]],"*"&amp;'Palabra que no opera y Listas d'!$A$2&amp;"*"))</f>
        <v>0</v>
      </c>
    </row>
    <row r="1452" spans="1:26" ht="27.75" customHeight="1" x14ac:dyDescent="0.3">
      <c r="A1452" s="144" t="str">
        <f>+IF(PROVEEDORES[[#This Row],[FECHA DE PAGO]]=PROVEEDORES[[#This Row],[FECHA DE FACTURACIÓN]],"DE CONTADO","CRÉDITO")</f>
        <v>CRÉDITO</v>
      </c>
      <c r="B1452" s="144" t="str">
        <f>+IF((PROVEEDORES[[#This Row],[FECHA DE PAGO]]-PROVEEDORES[[#This Row],[FECHA DE FACTURACIÓN]])&gt;PROVEEDORES[[#This Row],[PLAZO Días]],"PAGO VENCIDO")</f>
        <v>PAGO VENCIDO</v>
      </c>
      <c r="C1452" s="144">
        <f>+VLOOKUP(PROVEEDORES[[#This Row],[PROVEEDOR]],TERCEROS_INFO[#All],2,FALSE)</f>
        <v>0</v>
      </c>
      <c r="D1452" s="145">
        <f>+SUMIFS(PROVEEDORES[Total],PROVEEDORES[PROVEEDOR],PROVEEDORES[[#This Row],[PROVEEDOR]],PROVEEDORES[FECHA DE PAGO],"")</f>
        <v>0</v>
      </c>
      <c r="E1452" s="146"/>
      <c r="F1452" s="144">
        <f>+VLOOKUP(PROVEEDORES[[#This Row],[PROVEEDOR]],
                       Terceros!$A:$G,
                       5,
                       FALSE)</f>
        <v>0</v>
      </c>
      <c r="G1452" s="122">
        <v>45393</v>
      </c>
      <c r="H1452" s="102" t="s">
        <v>1786</v>
      </c>
      <c r="I1452" s="122">
        <v>45391</v>
      </c>
      <c r="J1452" s="103">
        <v>7621</v>
      </c>
      <c r="K1452" s="103" t="s">
        <v>1512</v>
      </c>
      <c r="L1452" s="103"/>
      <c r="M1452" s="105">
        <v>75000</v>
      </c>
      <c r="N1452" s="147">
        <v>0</v>
      </c>
      <c r="O1452" s="147">
        <v>0</v>
      </c>
      <c r="P1452" s="148">
        <v>0</v>
      </c>
      <c r="Q1452" s="147">
        <v>0</v>
      </c>
      <c r="R1452" s="149">
        <v>75000</v>
      </c>
      <c r="S145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2" s="150">
        <f ca="1">+IF(PROVEEDORES[[#This Row],[FECHA DE PAGO]]=0,TODAY()-PROVEEDORES[[#This Row],[FECHA DE FACTURACIÓN]]-PROVEEDORES[[#This Row],[PLAZO Días]],0)</f>
        <v>0</v>
      </c>
      <c r="U1452" s="150">
        <f>+VLOOKUP(PROVEEDORES[[#This Row],[PROVEEDOR]],Terceros!$A:$E,4,FALSE)</f>
        <v>0</v>
      </c>
      <c r="V1452" s="150">
        <f>+YEAR(PROVEEDORES[[#This Row],[FECHA DE FACTURACIÓN]])</f>
        <v>2024</v>
      </c>
      <c r="W1452" s="150">
        <f>+MATCH(PROVEEDORES[[#This Row],[año facturado]],Retenciones!$1:$1,0)</f>
        <v>7</v>
      </c>
      <c r="X1452" s="151">
        <f>+VLOOKUP(PROVEEDORES[[#This Row],[ID RETENCION]],Retenciones!$A$1:$O$25,PROVEEDORES[[#This Row],[indicador de columna]],FALSE)</f>
        <v>0</v>
      </c>
      <c r="Y1452" s="152">
        <f>+VLOOKUP(PROVEEDORES[[#This Row],[ID RETENCION]],Retenciones!$A$1:$O$25,2,FALSE)</f>
        <v>0</v>
      </c>
      <c r="Z1452" s="153" t="b">
        <f>+OR(COUNTIF(PROVEEDORES[[#This Row],[PROVEEDOR]],"*"&amp;'Palabra que no opera y Listas d'!$A$2&amp;"*"))</f>
        <v>0</v>
      </c>
    </row>
    <row r="1453" spans="1:26" ht="27.75" customHeight="1" x14ac:dyDescent="0.3">
      <c r="A1453" s="144" t="str">
        <f>+IF(PROVEEDORES[[#This Row],[FECHA DE PAGO]]=PROVEEDORES[[#This Row],[FECHA DE FACTURACIÓN]],"DE CONTADO","CRÉDITO")</f>
        <v>DE CONTADO</v>
      </c>
      <c r="B1453" s="144" t="b">
        <f>+IF((PROVEEDORES[[#This Row],[FECHA DE PAGO]]-PROVEEDORES[[#This Row],[FECHA DE FACTURACIÓN]])&gt;PROVEEDORES[[#This Row],[PLAZO Días]],"PAGO VENCIDO")</f>
        <v>0</v>
      </c>
      <c r="C1453" s="144">
        <f>+VLOOKUP(PROVEEDORES[[#This Row],[PROVEEDOR]],TERCEROS_INFO[#All],2,FALSE)</f>
        <v>0</v>
      </c>
      <c r="D1453" s="145">
        <f>+SUMIFS(PROVEEDORES[Total],PROVEEDORES[PROVEEDOR],PROVEEDORES[[#This Row],[PROVEEDOR]],PROVEEDORES[FECHA DE PAGO],"")</f>
        <v>0</v>
      </c>
      <c r="E1453" s="146"/>
      <c r="F1453" s="144">
        <f>+VLOOKUP(PROVEEDORES[[#This Row],[PROVEEDOR]],
                       Terceros!$A:$G,
                       5,
                       FALSE)</f>
        <v>0</v>
      </c>
      <c r="G1453" s="122">
        <v>45393</v>
      </c>
      <c r="H1453" s="102" t="s">
        <v>1808</v>
      </c>
      <c r="I1453" s="122">
        <v>45393</v>
      </c>
      <c r="J1453" s="103" t="s">
        <v>1731</v>
      </c>
      <c r="K1453" s="103" t="s">
        <v>1512</v>
      </c>
      <c r="L1453" s="103"/>
      <c r="M1453" s="105">
        <v>168000</v>
      </c>
      <c r="N1453" s="147">
        <v>0</v>
      </c>
      <c r="O1453" s="147">
        <v>0</v>
      </c>
      <c r="P1453" s="148">
        <v>0</v>
      </c>
      <c r="Q1453" s="147">
        <v>0</v>
      </c>
      <c r="R1453" s="149">
        <v>168000</v>
      </c>
      <c r="S145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3" s="150">
        <f ca="1">+IF(PROVEEDORES[[#This Row],[FECHA DE PAGO]]=0,TODAY()-PROVEEDORES[[#This Row],[FECHA DE FACTURACIÓN]]-PROVEEDORES[[#This Row],[PLAZO Días]],0)</f>
        <v>0</v>
      </c>
      <c r="U1453" s="150">
        <f>+VLOOKUP(PROVEEDORES[[#This Row],[PROVEEDOR]],Terceros!$A:$E,4,FALSE)</f>
        <v>0</v>
      </c>
      <c r="V1453" s="150">
        <f>+YEAR(PROVEEDORES[[#This Row],[FECHA DE FACTURACIÓN]])</f>
        <v>2024</v>
      </c>
      <c r="W1453" s="150">
        <f>+MATCH(PROVEEDORES[[#This Row],[año facturado]],Retenciones!$1:$1,0)</f>
        <v>7</v>
      </c>
      <c r="X1453" s="151">
        <f>+VLOOKUP(PROVEEDORES[[#This Row],[ID RETENCION]],Retenciones!$A$1:$O$25,PROVEEDORES[[#This Row],[indicador de columna]],FALSE)</f>
        <v>0</v>
      </c>
      <c r="Y1453" s="152">
        <f>+VLOOKUP(PROVEEDORES[[#This Row],[ID RETENCION]],Retenciones!$A$1:$O$25,2,FALSE)</f>
        <v>0</v>
      </c>
      <c r="Z1453" s="153" t="b">
        <f>+OR(COUNTIF(PROVEEDORES[[#This Row],[PROVEEDOR]],"*"&amp;'Palabra que no opera y Listas d'!$A$2&amp;"*"))</f>
        <v>0</v>
      </c>
    </row>
    <row r="1454" spans="1:26" ht="27.75" customHeight="1" x14ac:dyDescent="0.3">
      <c r="A1454" s="144" t="str">
        <f>+IF(PROVEEDORES[[#This Row],[FECHA DE PAGO]]=PROVEEDORES[[#This Row],[FECHA DE FACTURACIÓN]],"DE CONTADO","CRÉDITO")</f>
        <v>DE CONTADO</v>
      </c>
      <c r="B1454" s="144" t="b">
        <f>+IF((PROVEEDORES[[#This Row],[FECHA DE PAGO]]-PROVEEDORES[[#This Row],[FECHA DE FACTURACIÓN]])&gt;PROVEEDORES[[#This Row],[PLAZO Días]],"PAGO VENCIDO")</f>
        <v>0</v>
      </c>
      <c r="C1454" s="144">
        <f>+VLOOKUP(PROVEEDORES[[#This Row],[PROVEEDOR]],TERCEROS_INFO[#All],2,FALSE)</f>
        <v>0</v>
      </c>
      <c r="D1454" s="145">
        <f>+SUMIFS(PROVEEDORES[Total],PROVEEDORES[PROVEEDOR],PROVEEDORES[[#This Row],[PROVEEDOR]],PROVEEDORES[FECHA DE PAGO],"")</f>
        <v>0</v>
      </c>
      <c r="E1454" s="146"/>
      <c r="F1454" s="144" t="str">
        <f>+VLOOKUP(PROVEEDORES[[#This Row],[PROVEEDOR]],
                       Terceros!$A:$G,
                       5,
                       FALSE)</f>
        <v>2,5% con base</v>
      </c>
      <c r="G1454" s="122">
        <v>45393</v>
      </c>
      <c r="H1454" s="102" t="s">
        <v>1192</v>
      </c>
      <c r="I1454" s="122">
        <v>45393</v>
      </c>
      <c r="J1454" s="103" t="s">
        <v>1684</v>
      </c>
      <c r="K1454" s="103" t="s">
        <v>1512</v>
      </c>
      <c r="L1454" s="103" t="s">
        <v>1515</v>
      </c>
      <c r="M1454" s="105">
        <v>534453</v>
      </c>
      <c r="N1454" s="147">
        <v>101546.07</v>
      </c>
      <c r="O1454" s="147">
        <v>0</v>
      </c>
      <c r="P1454" s="148">
        <v>0</v>
      </c>
      <c r="Q1454" s="147">
        <v>0</v>
      </c>
      <c r="R1454" s="149">
        <v>635999.07000000007</v>
      </c>
      <c r="S145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4" s="150">
        <f ca="1">+IF(PROVEEDORES[[#This Row],[FECHA DE PAGO]]=0,TODAY()-PROVEEDORES[[#This Row],[FECHA DE FACTURACIÓN]]-PROVEEDORES[[#This Row],[PLAZO Días]],0)</f>
        <v>0</v>
      </c>
      <c r="U1454" s="150">
        <f>+VLOOKUP(PROVEEDORES[[#This Row],[PROVEEDOR]],Terceros!$A:$E,4,FALSE)</f>
        <v>0.19</v>
      </c>
      <c r="V1454" s="150">
        <f>+YEAR(PROVEEDORES[[#This Row],[FECHA DE FACTURACIÓN]])</f>
        <v>2024</v>
      </c>
      <c r="W1454" s="150">
        <f>+MATCH(PROVEEDORES[[#This Row],[año facturado]],Retenciones!$1:$1,0)</f>
        <v>7</v>
      </c>
      <c r="X1454" s="151" t="e">
        <f>+VLOOKUP(PROVEEDORES[[#This Row],[ID RETENCION]],Retenciones!$A$1:$O$25,PROVEEDORES[[#This Row],[indicador de columna]],FALSE)</f>
        <v>#N/A</v>
      </c>
      <c r="Y1454" s="152" t="e">
        <f>+VLOOKUP(PROVEEDORES[[#This Row],[ID RETENCION]],Retenciones!$A$1:$O$25,2,FALSE)</f>
        <v>#N/A</v>
      </c>
      <c r="Z1454" s="153" t="b">
        <f>+OR(COUNTIF(PROVEEDORES[[#This Row],[PROVEEDOR]],"*"&amp;'Palabra que no opera y Listas d'!$A$2&amp;"*"))</f>
        <v>0</v>
      </c>
    </row>
    <row r="1455" spans="1:26" ht="27.75" customHeight="1" x14ac:dyDescent="0.3">
      <c r="A1455" s="144" t="str">
        <f>+IF(PROVEEDORES[[#This Row],[FECHA DE PAGO]]=PROVEEDORES[[#This Row],[FECHA DE FACTURACIÓN]],"DE CONTADO","CRÉDITO")</f>
        <v>CRÉDITO</v>
      </c>
      <c r="B1455" s="144" t="str">
        <f>+IF((PROVEEDORES[[#This Row],[FECHA DE PAGO]]-PROVEEDORES[[#This Row],[FECHA DE FACTURACIÓN]])&gt;PROVEEDORES[[#This Row],[PLAZO Días]],"PAGO VENCIDO")</f>
        <v>PAGO VENCIDO</v>
      </c>
      <c r="C1455" s="144">
        <f>+VLOOKUP(PROVEEDORES[[#This Row],[PROVEEDOR]],TERCEROS_INFO[#All],2,FALSE)</f>
        <v>0</v>
      </c>
      <c r="D1455" s="145">
        <f>+SUMIFS(PROVEEDORES[Total],PROVEEDORES[PROVEEDOR],PROVEEDORES[[#This Row],[PROVEEDOR]],PROVEEDORES[FECHA DE PAGO],"")</f>
        <v>0</v>
      </c>
      <c r="E1455" s="146"/>
      <c r="F1455" s="144">
        <f>+VLOOKUP(PROVEEDORES[[#This Row],[PROVEEDOR]],
                       Terceros!$A:$G,
                       5,
                       FALSE)</f>
        <v>0</v>
      </c>
      <c r="G1455" s="122">
        <v>45394</v>
      </c>
      <c r="H1455" s="102" t="s">
        <v>1792</v>
      </c>
      <c r="I1455" s="122">
        <v>45342</v>
      </c>
      <c r="J1455" s="103" t="s">
        <v>1646</v>
      </c>
      <c r="K1455" s="103" t="s">
        <v>516</v>
      </c>
      <c r="L1455" s="103" t="s">
        <v>1390</v>
      </c>
      <c r="M1455" s="105">
        <v>1840000</v>
      </c>
      <c r="N1455" s="147">
        <v>0</v>
      </c>
      <c r="O1455" s="147">
        <v>0</v>
      </c>
      <c r="P1455" s="148">
        <v>0</v>
      </c>
      <c r="Q1455" s="147">
        <v>0</v>
      </c>
      <c r="R1455" s="149">
        <v>1840000</v>
      </c>
      <c r="S145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5" s="150">
        <f ca="1">+IF(PROVEEDORES[[#This Row],[FECHA DE PAGO]]=0,TODAY()-PROVEEDORES[[#This Row],[FECHA DE FACTURACIÓN]]-PROVEEDORES[[#This Row],[PLAZO Días]],0)</f>
        <v>0</v>
      </c>
      <c r="U1455" s="150">
        <f>+VLOOKUP(PROVEEDORES[[#This Row],[PROVEEDOR]],Terceros!$A:$E,4,FALSE)</f>
        <v>0</v>
      </c>
      <c r="V1455" s="150">
        <f>+YEAR(PROVEEDORES[[#This Row],[FECHA DE FACTURACIÓN]])</f>
        <v>2024</v>
      </c>
      <c r="W1455" s="150">
        <f>+MATCH(PROVEEDORES[[#This Row],[año facturado]],Retenciones!$1:$1,0)</f>
        <v>7</v>
      </c>
      <c r="X1455" s="151">
        <f>+VLOOKUP(PROVEEDORES[[#This Row],[ID RETENCION]],Retenciones!$A$1:$O$25,PROVEEDORES[[#This Row],[indicador de columna]],FALSE)</f>
        <v>0</v>
      </c>
      <c r="Y1455" s="152">
        <f>+VLOOKUP(PROVEEDORES[[#This Row],[ID RETENCION]],Retenciones!$A$1:$O$25,2,FALSE)</f>
        <v>0</v>
      </c>
      <c r="Z1455" s="153" t="b">
        <f>+OR(COUNTIF(PROVEEDORES[[#This Row],[PROVEEDOR]],"*"&amp;'Palabra que no opera y Listas d'!$A$2&amp;"*"))</f>
        <v>0</v>
      </c>
    </row>
    <row r="1456" spans="1:26" ht="27.75" customHeight="1" x14ac:dyDescent="0.3">
      <c r="A1456" s="144" t="str">
        <f>+IF(PROVEEDORES[[#This Row],[FECHA DE PAGO]]=PROVEEDORES[[#This Row],[FECHA DE FACTURACIÓN]],"DE CONTADO","CRÉDITO")</f>
        <v>CRÉDITO</v>
      </c>
      <c r="B1456" s="144" t="str">
        <f>+IF((PROVEEDORES[[#This Row],[FECHA DE PAGO]]-PROVEEDORES[[#This Row],[FECHA DE FACTURACIÓN]])&gt;PROVEEDORES[[#This Row],[PLAZO Días]],"PAGO VENCIDO")</f>
        <v>PAGO VENCIDO</v>
      </c>
      <c r="C1456" s="144">
        <f>+VLOOKUP(PROVEEDORES[[#This Row],[PROVEEDOR]],TERCEROS_INFO[#All],2,FALSE)</f>
        <v>0</v>
      </c>
      <c r="D1456" s="145">
        <f>+SUMIFS(PROVEEDORES[Total],PROVEEDORES[PROVEEDOR],PROVEEDORES[[#This Row],[PROVEEDOR]],PROVEEDORES[FECHA DE PAGO],"")</f>
        <v>0</v>
      </c>
      <c r="E1456" s="146"/>
      <c r="F1456" s="144">
        <f>+VLOOKUP(PROVEEDORES[[#This Row],[PROVEEDOR]],
                       Terceros!$A:$G,
                       5,
                       FALSE)</f>
        <v>0</v>
      </c>
      <c r="G1456" s="122">
        <v>45394</v>
      </c>
      <c r="H1456" s="102" t="s">
        <v>1706</v>
      </c>
      <c r="I1456" s="122">
        <v>45392</v>
      </c>
      <c r="J1456" s="103">
        <v>792</v>
      </c>
      <c r="K1456" s="103" t="s">
        <v>516</v>
      </c>
      <c r="L1456" s="103" t="s">
        <v>1516</v>
      </c>
      <c r="M1456" s="105">
        <v>12575441</v>
      </c>
      <c r="N1456" s="147">
        <v>281200</v>
      </c>
      <c r="O1456" s="147">
        <v>0</v>
      </c>
      <c r="P1456" s="148">
        <v>0</v>
      </c>
      <c r="Q1456" s="147">
        <v>61700</v>
      </c>
      <c r="R1456" s="149">
        <v>708664</v>
      </c>
      <c r="S145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6" s="150">
        <f ca="1">+IF(PROVEEDORES[[#This Row],[FECHA DE PAGO]]=0,TODAY()-PROVEEDORES[[#This Row],[FECHA DE FACTURACIÓN]]-PROVEEDORES[[#This Row],[PLAZO Días]],0)</f>
        <v>0</v>
      </c>
      <c r="U1456" s="150">
        <f>+VLOOKUP(PROVEEDORES[[#This Row],[PROVEEDOR]],Terceros!$A:$E,4,FALSE)</f>
        <v>0</v>
      </c>
      <c r="V1456" s="150">
        <f>+YEAR(PROVEEDORES[[#This Row],[FECHA DE FACTURACIÓN]])</f>
        <v>2024</v>
      </c>
      <c r="W1456" s="150">
        <f>+MATCH(PROVEEDORES[[#This Row],[año facturado]],Retenciones!$1:$1,0)</f>
        <v>7</v>
      </c>
      <c r="X1456" s="151">
        <f>+VLOOKUP(PROVEEDORES[[#This Row],[ID RETENCION]],Retenciones!$A$1:$O$25,PROVEEDORES[[#This Row],[indicador de columna]],FALSE)</f>
        <v>0</v>
      </c>
      <c r="Y1456" s="152">
        <f>+VLOOKUP(PROVEEDORES[[#This Row],[ID RETENCION]],Retenciones!$A$1:$O$25,2,FALSE)</f>
        <v>0</v>
      </c>
      <c r="Z1456" s="153" t="b">
        <f>+OR(COUNTIF(PROVEEDORES[[#This Row],[PROVEEDOR]],"*"&amp;'Palabra que no opera y Listas d'!$A$2&amp;"*"))</f>
        <v>0</v>
      </c>
    </row>
    <row r="1457" spans="1:26" ht="27.75" customHeight="1" x14ac:dyDescent="0.3">
      <c r="A1457" s="144" t="str">
        <f>+IF(PROVEEDORES[[#This Row],[FECHA DE PAGO]]=PROVEEDORES[[#This Row],[FECHA DE FACTURACIÓN]],"DE CONTADO","CRÉDITO")</f>
        <v>CRÉDITO</v>
      </c>
      <c r="B1457" s="144" t="str">
        <f>+IF((PROVEEDORES[[#This Row],[FECHA DE PAGO]]-PROVEEDORES[[#This Row],[FECHA DE FACTURACIÓN]])&gt;PROVEEDORES[[#This Row],[PLAZO Días]],"PAGO VENCIDO")</f>
        <v>PAGO VENCIDO</v>
      </c>
      <c r="C1457" s="144">
        <f>+VLOOKUP(PROVEEDORES[[#This Row],[PROVEEDOR]],TERCEROS_INFO[#All],2,FALSE)</f>
        <v>0</v>
      </c>
      <c r="D1457" s="145">
        <f>+SUMIFS(PROVEEDORES[Total],PROVEEDORES[PROVEEDOR],PROVEEDORES[[#This Row],[PROVEEDOR]],PROVEEDORES[FECHA DE PAGO],"")</f>
        <v>0</v>
      </c>
      <c r="E1457" s="146"/>
      <c r="F1457" s="144">
        <f>+VLOOKUP(PROVEEDORES[[#This Row],[PROVEEDOR]],
                       Terceros!$A:$G,
                       5,
                       FALSE)</f>
        <v>0</v>
      </c>
      <c r="G1457" s="122">
        <v>45394</v>
      </c>
      <c r="H1457" s="102" t="s">
        <v>85</v>
      </c>
      <c r="I1457" s="122">
        <v>45393</v>
      </c>
      <c r="J1457" s="103" t="s">
        <v>1770</v>
      </c>
      <c r="K1457" s="103" t="s">
        <v>1512</v>
      </c>
      <c r="L1457" s="103" t="s">
        <v>1516</v>
      </c>
      <c r="M1457" s="105">
        <v>6248875</v>
      </c>
      <c r="N1457" s="147">
        <v>271700</v>
      </c>
      <c r="O1457" s="147">
        <v>0</v>
      </c>
      <c r="P1457" s="148">
        <v>0</v>
      </c>
      <c r="Q1457" s="147">
        <v>59000</v>
      </c>
      <c r="R1457" s="149">
        <v>-26713</v>
      </c>
      <c r="S145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7" s="150">
        <f ca="1">+IF(PROVEEDORES[[#This Row],[FECHA DE PAGO]]=0,TODAY()-PROVEEDORES[[#This Row],[FECHA DE FACTURACIÓN]]-PROVEEDORES[[#This Row],[PLAZO Días]],0)</f>
        <v>0</v>
      </c>
      <c r="U1457" s="150">
        <f>+VLOOKUP(PROVEEDORES[[#This Row],[PROVEEDOR]],Terceros!$A:$E,4,FALSE)</f>
        <v>0</v>
      </c>
      <c r="V1457" s="150">
        <f>+YEAR(PROVEEDORES[[#This Row],[FECHA DE FACTURACIÓN]])</f>
        <v>2024</v>
      </c>
      <c r="W1457" s="150">
        <f>+MATCH(PROVEEDORES[[#This Row],[año facturado]],Retenciones!$1:$1,0)</f>
        <v>7</v>
      </c>
      <c r="X1457" s="151">
        <f>+VLOOKUP(PROVEEDORES[[#This Row],[ID RETENCION]],Retenciones!$A$1:$O$25,PROVEEDORES[[#This Row],[indicador de columna]],FALSE)</f>
        <v>0</v>
      </c>
      <c r="Y1457" s="152">
        <f>+VLOOKUP(PROVEEDORES[[#This Row],[ID RETENCION]],Retenciones!$A$1:$O$25,2,FALSE)</f>
        <v>0</v>
      </c>
      <c r="Z1457" s="153" t="b">
        <f>+OR(COUNTIF(PROVEEDORES[[#This Row],[PROVEEDOR]],"*"&amp;'Palabra que no opera y Listas d'!$A$2&amp;"*"))</f>
        <v>0</v>
      </c>
    </row>
    <row r="1458" spans="1:26" ht="27.75" customHeight="1" x14ac:dyDescent="0.3">
      <c r="A1458" s="144" t="str">
        <f>+IF(PROVEEDORES[[#This Row],[FECHA DE PAGO]]=PROVEEDORES[[#This Row],[FECHA DE FACTURACIÓN]],"DE CONTADO","CRÉDITO")</f>
        <v>CRÉDITO</v>
      </c>
      <c r="B1458" s="144" t="str">
        <f>+IF((PROVEEDORES[[#This Row],[FECHA DE PAGO]]-PROVEEDORES[[#This Row],[FECHA DE FACTURACIÓN]])&gt;PROVEEDORES[[#This Row],[PLAZO Días]],"PAGO VENCIDO")</f>
        <v>PAGO VENCIDO</v>
      </c>
      <c r="C1458" s="144">
        <f>+VLOOKUP(PROVEEDORES[[#This Row],[PROVEEDOR]],TERCEROS_INFO[#All],2,FALSE)</f>
        <v>0</v>
      </c>
      <c r="D1458" s="145">
        <f>+SUMIFS(PROVEEDORES[Total],PROVEEDORES[PROVEEDOR],PROVEEDORES[[#This Row],[PROVEEDOR]],PROVEEDORES[FECHA DE PAGO],"")</f>
        <v>0</v>
      </c>
      <c r="E1458" s="146"/>
      <c r="F1458" s="144">
        <f>+VLOOKUP(PROVEEDORES[[#This Row],[PROVEEDOR]],
                       Terceros!$A:$G,
                       5,
                       FALSE)</f>
        <v>0</v>
      </c>
      <c r="G1458" s="122">
        <v>45394</v>
      </c>
      <c r="H1458" s="102" t="s">
        <v>1683</v>
      </c>
      <c r="I1458" s="122">
        <v>45393</v>
      </c>
      <c r="J1458" s="103" t="s">
        <v>1774</v>
      </c>
      <c r="K1458" s="103" t="s">
        <v>516</v>
      </c>
      <c r="L1458" s="103" t="s">
        <v>1516</v>
      </c>
      <c r="M1458" s="105">
        <v>5891372</v>
      </c>
      <c r="N1458" s="147">
        <v>252700</v>
      </c>
      <c r="O1458" s="147">
        <v>0</v>
      </c>
      <c r="P1458" s="148">
        <v>0</v>
      </c>
      <c r="Q1458" s="147">
        <v>55000</v>
      </c>
      <c r="R1458" s="149">
        <v>1172292</v>
      </c>
      <c r="S145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8" s="150">
        <f ca="1">+IF(PROVEEDORES[[#This Row],[FECHA DE PAGO]]=0,TODAY()-PROVEEDORES[[#This Row],[FECHA DE FACTURACIÓN]]-PROVEEDORES[[#This Row],[PLAZO Días]],0)</f>
        <v>0</v>
      </c>
      <c r="U1458" s="150">
        <f>+VLOOKUP(PROVEEDORES[[#This Row],[PROVEEDOR]],Terceros!$A:$E,4,FALSE)</f>
        <v>0</v>
      </c>
      <c r="V1458" s="150">
        <f>+YEAR(PROVEEDORES[[#This Row],[FECHA DE FACTURACIÓN]])</f>
        <v>2024</v>
      </c>
      <c r="W1458" s="150">
        <f>+MATCH(PROVEEDORES[[#This Row],[año facturado]],Retenciones!$1:$1,0)</f>
        <v>7</v>
      </c>
      <c r="X1458" s="151">
        <f>+VLOOKUP(PROVEEDORES[[#This Row],[ID RETENCION]],Retenciones!$A$1:$O$25,PROVEEDORES[[#This Row],[indicador de columna]],FALSE)</f>
        <v>0</v>
      </c>
      <c r="Y1458" s="152">
        <f>+VLOOKUP(PROVEEDORES[[#This Row],[ID RETENCION]],Retenciones!$A$1:$O$25,2,FALSE)</f>
        <v>0</v>
      </c>
      <c r="Z1458" s="153" t="b">
        <f>+OR(COUNTIF(PROVEEDORES[[#This Row],[PROVEEDOR]],"*"&amp;'Palabra que no opera y Listas d'!$A$2&amp;"*"))</f>
        <v>0</v>
      </c>
    </row>
    <row r="1459" spans="1:26" ht="27.75" customHeight="1" x14ac:dyDescent="0.3">
      <c r="A1459" s="144" t="str">
        <f>+IF(PROVEEDORES[[#This Row],[FECHA DE PAGO]]=PROVEEDORES[[#This Row],[FECHA DE FACTURACIÓN]],"DE CONTADO","CRÉDITO")</f>
        <v>CRÉDITO</v>
      </c>
      <c r="B1459" s="144" t="str">
        <f>+IF((PROVEEDORES[[#This Row],[FECHA DE PAGO]]-PROVEEDORES[[#This Row],[FECHA DE FACTURACIÓN]])&gt;PROVEEDORES[[#This Row],[PLAZO Días]],"PAGO VENCIDO")</f>
        <v>PAGO VENCIDO</v>
      </c>
      <c r="C1459" s="144">
        <f>+VLOOKUP(PROVEEDORES[[#This Row],[PROVEEDOR]],TERCEROS_INFO[#All],2,FALSE)</f>
        <v>0</v>
      </c>
      <c r="D1459" s="145">
        <f>+SUMIFS(PROVEEDORES[Total],PROVEEDORES[PROVEEDOR],PROVEEDORES[[#This Row],[PROVEEDOR]],PROVEEDORES[FECHA DE PAGO],"")</f>
        <v>26134091.5</v>
      </c>
      <c r="E1459" s="146"/>
      <c r="F1459" s="144">
        <f>+VLOOKUP(PROVEEDORES[[#This Row],[PROVEEDOR]],
                       Terceros!$A:$G,
                       5,
                       FALSE)</f>
        <v>0</v>
      </c>
      <c r="G1459" s="122">
        <v>45397</v>
      </c>
      <c r="H1459" s="102" t="s">
        <v>238</v>
      </c>
      <c r="I1459" s="122">
        <v>45386</v>
      </c>
      <c r="J1459" s="103">
        <v>1985</v>
      </c>
      <c r="K1459" s="103" t="s">
        <v>516</v>
      </c>
      <c r="L1459" s="103" t="s">
        <v>1516</v>
      </c>
      <c r="M1459" s="105">
        <v>12609675</v>
      </c>
      <c r="N1459" s="147">
        <v>0</v>
      </c>
      <c r="O1459" s="147">
        <v>0</v>
      </c>
      <c r="P1459" s="148">
        <v>0</v>
      </c>
      <c r="Q1459" s="147">
        <v>0</v>
      </c>
      <c r="R1459" s="149">
        <v>12609675</v>
      </c>
      <c r="S145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9" s="150">
        <f ca="1">+IF(PROVEEDORES[[#This Row],[FECHA DE PAGO]]=0,TODAY()-PROVEEDORES[[#This Row],[FECHA DE FACTURACIÓN]]-PROVEEDORES[[#This Row],[PLAZO Días]],0)</f>
        <v>0</v>
      </c>
      <c r="U1459" s="150">
        <f>+VLOOKUP(PROVEEDORES[[#This Row],[PROVEEDOR]],Terceros!$A:$E,4,FALSE)</f>
        <v>0</v>
      </c>
      <c r="V1459" s="150">
        <f>+YEAR(PROVEEDORES[[#This Row],[FECHA DE FACTURACIÓN]])</f>
        <v>2024</v>
      </c>
      <c r="W1459" s="150">
        <f>+MATCH(PROVEEDORES[[#This Row],[año facturado]],Retenciones!$1:$1,0)</f>
        <v>7</v>
      </c>
      <c r="X1459" s="151">
        <f>+VLOOKUP(PROVEEDORES[[#This Row],[ID RETENCION]],Retenciones!$A$1:$O$25,PROVEEDORES[[#This Row],[indicador de columna]],FALSE)</f>
        <v>0</v>
      </c>
      <c r="Y1459" s="152">
        <f>+VLOOKUP(PROVEEDORES[[#This Row],[ID RETENCION]],Retenciones!$A$1:$O$25,2,FALSE)</f>
        <v>0</v>
      </c>
      <c r="Z1459" s="153" t="b">
        <f>+OR(COUNTIF(PROVEEDORES[[#This Row],[PROVEEDOR]],"*"&amp;'Palabra que no opera y Listas d'!$A$2&amp;"*"))</f>
        <v>0</v>
      </c>
    </row>
    <row r="1460" spans="1:26" ht="27.75" customHeight="1" x14ac:dyDescent="0.3">
      <c r="A1460" s="144" t="str">
        <f>+IF(PROVEEDORES[[#This Row],[FECHA DE PAGO]]=PROVEEDORES[[#This Row],[FECHA DE FACTURACIÓN]],"DE CONTADO","CRÉDITO")</f>
        <v>CRÉDITO</v>
      </c>
      <c r="B1460" s="144" t="str">
        <f>+IF((PROVEEDORES[[#This Row],[FECHA DE PAGO]]-PROVEEDORES[[#This Row],[FECHA DE FACTURACIÓN]])&gt;PROVEEDORES[[#This Row],[PLAZO Días]],"PAGO VENCIDO")</f>
        <v>PAGO VENCIDO</v>
      </c>
      <c r="C1460" s="144">
        <f>+VLOOKUP(PROVEEDORES[[#This Row],[PROVEEDOR]],TERCEROS_INFO[#All],2,FALSE)</f>
        <v>0</v>
      </c>
      <c r="D1460" s="145">
        <f>+SUMIFS(PROVEEDORES[Total],PROVEEDORES[PROVEEDOR],PROVEEDORES[[#This Row],[PROVEEDOR]],PROVEEDORES[FECHA DE PAGO],"")</f>
        <v>26134091.5</v>
      </c>
      <c r="E1460" s="146"/>
      <c r="F1460" s="144">
        <f>+VLOOKUP(PROVEEDORES[[#This Row],[PROVEEDOR]],
                       Terceros!$A:$G,
                       5,
                       FALSE)</f>
        <v>0</v>
      </c>
      <c r="G1460" s="122">
        <v>45397</v>
      </c>
      <c r="H1460" s="102" t="s">
        <v>238</v>
      </c>
      <c r="I1460" s="122">
        <v>45387</v>
      </c>
      <c r="J1460" s="103">
        <v>1990</v>
      </c>
      <c r="K1460" s="103" t="s">
        <v>516</v>
      </c>
      <c r="L1460" s="103" t="s">
        <v>1516</v>
      </c>
      <c r="M1460" s="105">
        <v>733200</v>
      </c>
      <c r="N1460" s="147">
        <v>0</v>
      </c>
      <c r="O1460" s="147">
        <v>0</v>
      </c>
      <c r="P1460" s="148">
        <v>0</v>
      </c>
      <c r="Q1460" s="147">
        <v>0</v>
      </c>
      <c r="R1460" s="149">
        <v>733200</v>
      </c>
      <c r="S146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0" s="150">
        <f ca="1">+IF(PROVEEDORES[[#This Row],[FECHA DE PAGO]]=0,TODAY()-PROVEEDORES[[#This Row],[FECHA DE FACTURACIÓN]]-PROVEEDORES[[#This Row],[PLAZO Días]],0)</f>
        <v>0</v>
      </c>
      <c r="U1460" s="150">
        <f>+VLOOKUP(PROVEEDORES[[#This Row],[PROVEEDOR]],Terceros!$A:$E,4,FALSE)</f>
        <v>0</v>
      </c>
      <c r="V1460" s="150">
        <f>+YEAR(PROVEEDORES[[#This Row],[FECHA DE FACTURACIÓN]])</f>
        <v>2024</v>
      </c>
      <c r="W1460" s="150">
        <f>+MATCH(PROVEEDORES[[#This Row],[año facturado]],Retenciones!$1:$1,0)</f>
        <v>7</v>
      </c>
      <c r="X1460" s="151">
        <f>+VLOOKUP(PROVEEDORES[[#This Row],[ID RETENCION]],Retenciones!$A$1:$O$25,PROVEEDORES[[#This Row],[indicador de columna]],FALSE)</f>
        <v>0</v>
      </c>
      <c r="Y1460" s="152">
        <f>+VLOOKUP(PROVEEDORES[[#This Row],[ID RETENCION]],Retenciones!$A$1:$O$25,2,FALSE)</f>
        <v>0</v>
      </c>
      <c r="Z1460" s="153" t="b">
        <f>+OR(COUNTIF(PROVEEDORES[[#This Row],[PROVEEDOR]],"*"&amp;'Palabra que no opera y Listas d'!$A$2&amp;"*"))</f>
        <v>0</v>
      </c>
    </row>
    <row r="1461" spans="1:26" ht="27.75" customHeight="1" x14ac:dyDescent="0.3">
      <c r="A1461" s="144" t="str">
        <f>+IF(PROVEEDORES[[#This Row],[FECHA DE PAGO]]=PROVEEDORES[[#This Row],[FECHA DE FACTURACIÓN]],"DE CONTADO","CRÉDITO")</f>
        <v>CRÉDITO</v>
      </c>
      <c r="B1461" s="144" t="str">
        <f>+IF((PROVEEDORES[[#This Row],[FECHA DE PAGO]]-PROVEEDORES[[#This Row],[FECHA DE FACTURACIÓN]])&gt;PROVEEDORES[[#This Row],[PLAZO Días]],"PAGO VENCIDO")</f>
        <v>PAGO VENCIDO</v>
      </c>
      <c r="C1461" s="144">
        <f>+VLOOKUP(PROVEEDORES[[#This Row],[PROVEEDOR]],TERCEROS_INFO[#All],2,FALSE)</f>
        <v>0</v>
      </c>
      <c r="D1461" s="145">
        <f>+SUMIFS(PROVEEDORES[Total],PROVEEDORES[PROVEEDOR],PROVEEDORES[[#This Row],[PROVEEDOR]],PROVEEDORES[FECHA DE PAGO],"")</f>
        <v>26134091.5</v>
      </c>
      <c r="E1461" s="146"/>
      <c r="F1461" s="144">
        <f>+VLOOKUP(PROVEEDORES[[#This Row],[PROVEEDOR]],
                       Terceros!$A:$G,
                       5,
                       FALSE)</f>
        <v>0</v>
      </c>
      <c r="G1461" s="122">
        <v>45397</v>
      </c>
      <c r="H1461" s="102" t="s">
        <v>238</v>
      </c>
      <c r="I1461" s="122">
        <v>45387</v>
      </c>
      <c r="J1461" s="103">
        <v>1991</v>
      </c>
      <c r="K1461" s="103" t="s">
        <v>516</v>
      </c>
      <c r="L1461" s="103" t="s">
        <v>1516</v>
      </c>
      <c r="M1461" s="105">
        <v>748800</v>
      </c>
      <c r="N1461" s="147">
        <v>0</v>
      </c>
      <c r="O1461" s="147">
        <v>0</v>
      </c>
      <c r="P1461" s="148">
        <v>0</v>
      </c>
      <c r="Q1461" s="147">
        <v>0</v>
      </c>
      <c r="R1461" s="149">
        <v>748800</v>
      </c>
      <c r="S146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1" s="150">
        <f ca="1">+IF(PROVEEDORES[[#This Row],[FECHA DE PAGO]]=0,TODAY()-PROVEEDORES[[#This Row],[FECHA DE FACTURACIÓN]]-PROVEEDORES[[#This Row],[PLAZO Días]],0)</f>
        <v>0</v>
      </c>
      <c r="U1461" s="150">
        <f>+VLOOKUP(PROVEEDORES[[#This Row],[PROVEEDOR]],Terceros!$A:$E,4,FALSE)</f>
        <v>0</v>
      </c>
      <c r="V1461" s="150">
        <f>+YEAR(PROVEEDORES[[#This Row],[FECHA DE FACTURACIÓN]])</f>
        <v>2024</v>
      </c>
      <c r="W1461" s="150">
        <f>+MATCH(PROVEEDORES[[#This Row],[año facturado]],Retenciones!$1:$1,0)</f>
        <v>7</v>
      </c>
      <c r="X1461" s="151">
        <f>+VLOOKUP(PROVEEDORES[[#This Row],[ID RETENCION]],Retenciones!$A$1:$O$25,PROVEEDORES[[#This Row],[indicador de columna]],FALSE)</f>
        <v>0</v>
      </c>
      <c r="Y1461" s="152">
        <f>+VLOOKUP(PROVEEDORES[[#This Row],[ID RETENCION]],Retenciones!$A$1:$O$25,2,FALSE)</f>
        <v>0</v>
      </c>
      <c r="Z1461" s="153" t="b">
        <f>+OR(COUNTIF(PROVEEDORES[[#This Row],[PROVEEDOR]],"*"&amp;'Palabra que no opera y Listas d'!$A$2&amp;"*"))</f>
        <v>0</v>
      </c>
    </row>
    <row r="1462" spans="1:26" ht="27.75" customHeight="1" x14ac:dyDescent="0.3">
      <c r="A1462" s="144" t="str">
        <f>+IF(PROVEEDORES[[#This Row],[FECHA DE PAGO]]=PROVEEDORES[[#This Row],[FECHA DE FACTURACIÓN]],"DE CONTADO","CRÉDITO")</f>
        <v>CRÉDITO</v>
      </c>
      <c r="B1462" s="144" t="str">
        <f>+IF((PROVEEDORES[[#This Row],[FECHA DE PAGO]]-PROVEEDORES[[#This Row],[FECHA DE FACTURACIÓN]])&gt;PROVEEDORES[[#This Row],[PLAZO Días]],"PAGO VENCIDO")</f>
        <v>PAGO VENCIDO</v>
      </c>
      <c r="C1462" s="144">
        <f>+VLOOKUP(PROVEEDORES[[#This Row],[PROVEEDOR]],TERCEROS_INFO[#All],2,FALSE)</f>
        <v>0</v>
      </c>
      <c r="D1462" s="145">
        <f>+SUMIFS(PROVEEDORES[Total],PROVEEDORES[PROVEEDOR],PROVEEDORES[[#This Row],[PROVEEDOR]],PROVEEDORES[FECHA DE PAGO],"")</f>
        <v>26134091.5</v>
      </c>
      <c r="E1462" s="146"/>
      <c r="F1462" s="144">
        <f>+VLOOKUP(PROVEEDORES[[#This Row],[PROVEEDOR]],
                       Terceros!$A:$G,
                       5,
                       FALSE)</f>
        <v>0</v>
      </c>
      <c r="G1462" s="122">
        <v>45397</v>
      </c>
      <c r="H1462" s="102" t="s">
        <v>238</v>
      </c>
      <c r="I1462" s="122">
        <v>45393</v>
      </c>
      <c r="J1462" s="103">
        <v>1992</v>
      </c>
      <c r="K1462" s="103" t="s">
        <v>516</v>
      </c>
      <c r="L1462" s="103" t="s">
        <v>1516</v>
      </c>
      <c r="M1462" s="105">
        <v>1757925</v>
      </c>
      <c r="N1462" s="147">
        <v>0</v>
      </c>
      <c r="O1462" s="147">
        <v>0</v>
      </c>
      <c r="P1462" s="148">
        <v>0</v>
      </c>
      <c r="Q1462" s="147">
        <v>0</v>
      </c>
      <c r="R1462" s="149">
        <v>1757925</v>
      </c>
      <c r="S146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2" s="150">
        <f ca="1">+IF(PROVEEDORES[[#This Row],[FECHA DE PAGO]]=0,TODAY()-PROVEEDORES[[#This Row],[FECHA DE FACTURACIÓN]]-PROVEEDORES[[#This Row],[PLAZO Días]],0)</f>
        <v>0</v>
      </c>
      <c r="U1462" s="150">
        <f>+VLOOKUP(PROVEEDORES[[#This Row],[PROVEEDOR]],Terceros!$A:$E,4,FALSE)</f>
        <v>0</v>
      </c>
      <c r="V1462" s="150">
        <f>+YEAR(PROVEEDORES[[#This Row],[FECHA DE FACTURACIÓN]])</f>
        <v>2024</v>
      </c>
      <c r="W1462" s="150">
        <f>+MATCH(PROVEEDORES[[#This Row],[año facturado]],Retenciones!$1:$1,0)</f>
        <v>7</v>
      </c>
      <c r="X1462" s="151">
        <f>+VLOOKUP(PROVEEDORES[[#This Row],[ID RETENCION]],Retenciones!$A$1:$O$25,PROVEEDORES[[#This Row],[indicador de columna]],FALSE)</f>
        <v>0</v>
      </c>
      <c r="Y1462" s="152">
        <f>+VLOOKUP(PROVEEDORES[[#This Row],[ID RETENCION]],Retenciones!$A$1:$O$25,2,FALSE)</f>
        <v>0</v>
      </c>
      <c r="Z1462" s="153" t="b">
        <f>+OR(COUNTIF(PROVEEDORES[[#This Row],[PROVEEDOR]],"*"&amp;'Palabra que no opera y Listas d'!$A$2&amp;"*"))</f>
        <v>0</v>
      </c>
    </row>
    <row r="1463" spans="1:26" ht="27.75" customHeight="1" x14ac:dyDescent="0.3">
      <c r="A1463" s="144" t="str">
        <f>+IF(PROVEEDORES[[#This Row],[FECHA DE PAGO]]=PROVEEDORES[[#This Row],[FECHA DE FACTURACIÓN]],"DE CONTADO","CRÉDITO")</f>
        <v>CRÉDITO</v>
      </c>
      <c r="B1463" s="144" t="str">
        <f>+IF((PROVEEDORES[[#This Row],[FECHA DE PAGO]]-PROVEEDORES[[#This Row],[FECHA DE FACTURACIÓN]])&gt;PROVEEDORES[[#This Row],[PLAZO Días]],"PAGO VENCIDO")</f>
        <v>PAGO VENCIDO</v>
      </c>
      <c r="C1463" s="144">
        <f>+VLOOKUP(PROVEEDORES[[#This Row],[PROVEEDOR]],TERCEROS_INFO[#All],2,FALSE)</f>
        <v>0</v>
      </c>
      <c r="D1463" s="145">
        <f>+SUMIFS(PROVEEDORES[Total],PROVEEDORES[PROVEEDOR],PROVEEDORES[[#This Row],[PROVEEDOR]],PROVEEDORES[FECHA DE PAGO],"")</f>
        <v>0</v>
      </c>
      <c r="E1463" s="146"/>
      <c r="F1463" s="144" t="str">
        <f>+VLOOKUP(PROVEEDORES[[#This Row],[PROVEEDOR]],
                       Terceros!$A:$G,
                       5,
                       FALSE)</f>
        <v>2,5% con base</v>
      </c>
      <c r="G1463" s="122">
        <v>45398</v>
      </c>
      <c r="H1463" s="102" t="s">
        <v>594</v>
      </c>
      <c r="I1463" s="122">
        <v>45334</v>
      </c>
      <c r="J1463" s="103" t="s">
        <v>1734</v>
      </c>
      <c r="K1463" s="103" t="s">
        <v>1512</v>
      </c>
      <c r="L1463" s="103" t="s">
        <v>1515</v>
      </c>
      <c r="M1463" s="105">
        <v>-1845360</v>
      </c>
      <c r="N1463" s="147">
        <v>0</v>
      </c>
      <c r="O1463" s="147">
        <v>0</v>
      </c>
      <c r="P1463" s="148">
        <v>0</v>
      </c>
      <c r="Q1463" s="147">
        <v>0</v>
      </c>
      <c r="R1463" s="149">
        <v>-1845360</v>
      </c>
      <c r="S146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3" s="150">
        <f ca="1">+IF(PROVEEDORES[[#This Row],[FECHA DE PAGO]]=0,TODAY()-PROVEEDORES[[#This Row],[FECHA DE FACTURACIÓN]]-PROVEEDORES[[#This Row],[PLAZO Días]],0)</f>
        <v>0</v>
      </c>
      <c r="U1463" s="150">
        <f>+VLOOKUP(PROVEEDORES[[#This Row],[PROVEEDOR]],Terceros!$A:$E,4,FALSE)</f>
        <v>0.19</v>
      </c>
      <c r="V1463" s="150">
        <f>+YEAR(PROVEEDORES[[#This Row],[FECHA DE FACTURACIÓN]])</f>
        <v>2024</v>
      </c>
      <c r="W1463" s="150">
        <f>+MATCH(PROVEEDORES[[#This Row],[año facturado]],Retenciones!$1:$1,0)</f>
        <v>7</v>
      </c>
      <c r="X1463" s="151" t="e">
        <f>+VLOOKUP(PROVEEDORES[[#This Row],[ID RETENCION]],Retenciones!$A$1:$O$25,PROVEEDORES[[#This Row],[indicador de columna]],FALSE)</f>
        <v>#N/A</v>
      </c>
      <c r="Y1463" s="152" t="e">
        <f>+VLOOKUP(PROVEEDORES[[#This Row],[ID RETENCION]],Retenciones!$A$1:$O$25,2,FALSE)</f>
        <v>#N/A</v>
      </c>
      <c r="Z1463" s="153" t="b">
        <f>+OR(COUNTIF(PROVEEDORES[[#This Row],[PROVEEDOR]],"*"&amp;'Palabra que no opera y Listas d'!$A$2&amp;"*"))</f>
        <v>0</v>
      </c>
    </row>
    <row r="1464" spans="1:26" ht="27.75" customHeight="1" x14ac:dyDescent="0.3">
      <c r="A1464" s="144" t="str">
        <f>+IF(PROVEEDORES[[#This Row],[FECHA DE PAGO]]=PROVEEDORES[[#This Row],[FECHA DE FACTURACIÓN]],"DE CONTADO","CRÉDITO")</f>
        <v>CRÉDITO</v>
      </c>
      <c r="B1464" s="144" t="str">
        <f>+IF((PROVEEDORES[[#This Row],[FECHA DE PAGO]]-PROVEEDORES[[#This Row],[FECHA DE FACTURACIÓN]])&gt;PROVEEDORES[[#This Row],[PLAZO Días]],"PAGO VENCIDO")</f>
        <v>PAGO VENCIDO</v>
      </c>
      <c r="C1464" s="144">
        <f>+VLOOKUP(PROVEEDORES[[#This Row],[PROVEEDOR]],TERCEROS_INFO[#All],2,FALSE)</f>
        <v>0</v>
      </c>
      <c r="D1464" s="145">
        <f>+SUMIFS(PROVEEDORES[Total],PROVEEDORES[PROVEEDOR],PROVEEDORES[[#This Row],[PROVEEDOR]],PROVEEDORES[FECHA DE PAGO],"")</f>
        <v>31839627.134999998</v>
      </c>
      <c r="E1464" s="146"/>
      <c r="F1464" s="144" t="str">
        <f>+VLOOKUP(PROVEEDORES[[#This Row],[PROVEEDOR]],
                       Terceros!$A:$G,
                       5,
                       FALSE)</f>
        <v>2,5% con base</v>
      </c>
      <c r="G1464" s="122">
        <v>45398</v>
      </c>
      <c r="H1464" s="102" t="s">
        <v>17</v>
      </c>
      <c r="I1464" s="122">
        <v>45352</v>
      </c>
      <c r="J1464" s="103">
        <v>1083930</v>
      </c>
      <c r="K1464" s="103" t="s">
        <v>516</v>
      </c>
      <c r="L1464" s="103" t="s">
        <v>1516</v>
      </c>
      <c r="M1464" s="105">
        <v>3213311.04</v>
      </c>
      <c r="N1464" s="147">
        <v>610529.09759999998</v>
      </c>
      <c r="O1464" s="147">
        <v>0</v>
      </c>
      <c r="P1464" s="148">
        <v>2.5000000000000001E-2</v>
      </c>
      <c r="Q1464" s="147">
        <v>80332.776000000013</v>
      </c>
      <c r="R1464" s="149">
        <v>3743507.3615999999</v>
      </c>
      <c r="S146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4" s="150">
        <f ca="1">+IF(PROVEEDORES[[#This Row],[FECHA DE PAGO]]=0,TODAY()-PROVEEDORES[[#This Row],[FECHA DE FACTURACIÓN]]-PROVEEDORES[[#This Row],[PLAZO Días]],0)</f>
        <v>0</v>
      </c>
      <c r="U1464" s="150">
        <f>+VLOOKUP(PROVEEDORES[[#This Row],[PROVEEDOR]],Terceros!$A:$E,4,FALSE)</f>
        <v>0.19</v>
      </c>
      <c r="V1464" s="150">
        <f>+YEAR(PROVEEDORES[[#This Row],[FECHA DE FACTURACIÓN]])</f>
        <v>2024</v>
      </c>
      <c r="W1464" s="150">
        <f>+MATCH(PROVEEDORES[[#This Row],[año facturado]],Retenciones!$1:$1,0)</f>
        <v>7</v>
      </c>
      <c r="X1464" s="151" t="e">
        <f>+VLOOKUP(PROVEEDORES[[#This Row],[ID RETENCION]],Retenciones!$A$1:$O$25,PROVEEDORES[[#This Row],[indicador de columna]],FALSE)</f>
        <v>#N/A</v>
      </c>
      <c r="Y1464" s="152" t="e">
        <f>+VLOOKUP(PROVEEDORES[[#This Row],[ID RETENCION]],Retenciones!$A$1:$O$25,2,FALSE)</f>
        <v>#N/A</v>
      </c>
      <c r="Z1464" s="153" t="b">
        <f>+OR(COUNTIF(PROVEEDORES[[#This Row],[PROVEEDOR]],"*"&amp;'Palabra que no opera y Listas d'!$A$2&amp;"*"))</f>
        <v>0</v>
      </c>
    </row>
    <row r="1465" spans="1:26" ht="27.75" customHeight="1" x14ac:dyDescent="0.3">
      <c r="A1465" s="144" t="str">
        <f>+IF(PROVEEDORES[[#This Row],[FECHA DE PAGO]]=PROVEEDORES[[#This Row],[FECHA DE FACTURACIÓN]],"DE CONTADO","CRÉDITO")</f>
        <v>CRÉDITO</v>
      </c>
      <c r="B1465" s="144" t="str">
        <f>+IF((PROVEEDORES[[#This Row],[FECHA DE PAGO]]-PROVEEDORES[[#This Row],[FECHA DE FACTURACIÓN]])&gt;PROVEEDORES[[#This Row],[PLAZO Días]],"PAGO VENCIDO")</f>
        <v>PAGO VENCIDO</v>
      </c>
      <c r="C1465" s="144">
        <f>+VLOOKUP(PROVEEDORES[[#This Row],[PROVEEDOR]],TERCEROS_INFO[#All],2,FALSE)</f>
        <v>0</v>
      </c>
      <c r="D1465" s="145">
        <f>+SUMIFS(PROVEEDORES[Total],PROVEEDORES[PROVEEDOR],PROVEEDORES[[#This Row],[PROVEEDOR]],PROVEEDORES[FECHA DE PAGO],"")</f>
        <v>0</v>
      </c>
      <c r="E1465" s="146"/>
      <c r="F1465" s="144">
        <f>+VLOOKUP(PROVEEDORES[[#This Row],[PROVEEDOR]],
                       Terceros!$A:$G,
                       5,
                       FALSE)</f>
        <v>0</v>
      </c>
      <c r="G1465" s="122">
        <v>45398</v>
      </c>
      <c r="H1465" s="102" t="s">
        <v>1789</v>
      </c>
      <c r="I1465" s="122">
        <v>45359</v>
      </c>
      <c r="J1465" s="103" t="s">
        <v>1648</v>
      </c>
      <c r="K1465" s="103" t="s">
        <v>1512</v>
      </c>
      <c r="L1465" s="103" t="s">
        <v>1390</v>
      </c>
      <c r="M1465" s="105">
        <v>825000</v>
      </c>
      <c r="N1465" s="147">
        <v>0</v>
      </c>
      <c r="O1465" s="147">
        <v>0</v>
      </c>
      <c r="P1465" s="148">
        <v>0</v>
      </c>
      <c r="Q1465" s="147">
        <v>0</v>
      </c>
      <c r="R1465" s="149">
        <v>825000</v>
      </c>
      <c r="S146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5" s="150">
        <f ca="1">+IF(PROVEEDORES[[#This Row],[FECHA DE PAGO]]=0,TODAY()-PROVEEDORES[[#This Row],[FECHA DE FACTURACIÓN]]-PROVEEDORES[[#This Row],[PLAZO Días]],0)</f>
        <v>0</v>
      </c>
      <c r="U1465" s="150">
        <f>+VLOOKUP(PROVEEDORES[[#This Row],[PROVEEDOR]],Terceros!$A:$E,4,FALSE)</f>
        <v>0</v>
      </c>
      <c r="V1465" s="150">
        <f>+YEAR(PROVEEDORES[[#This Row],[FECHA DE FACTURACIÓN]])</f>
        <v>2024</v>
      </c>
      <c r="W1465" s="150">
        <f>+MATCH(PROVEEDORES[[#This Row],[año facturado]],Retenciones!$1:$1,0)</f>
        <v>7</v>
      </c>
      <c r="X1465" s="151">
        <f>+VLOOKUP(PROVEEDORES[[#This Row],[ID RETENCION]],Retenciones!$A$1:$O$25,PROVEEDORES[[#This Row],[indicador de columna]],FALSE)</f>
        <v>0</v>
      </c>
      <c r="Y1465" s="152">
        <f>+VLOOKUP(PROVEEDORES[[#This Row],[ID RETENCION]],Retenciones!$A$1:$O$25,2,FALSE)</f>
        <v>0</v>
      </c>
      <c r="Z1465" s="153" t="b">
        <f>+OR(COUNTIF(PROVEEDORES[[#This Row],[PROVEEDOR]],"*"&amp;'Palabra que no opera y Listas d'!$A$2&amp;"*"))</f>
        <v>0</v>
      </c>
    </row>
    <row r="1466" spans="1:26" ht="27.75" customHeight="1" x14ac:dyDescent="0.3">
      <c r="A1466" s="144" t="str">
        <f>+IF(PROVEEDORES[[#This Row],[FECHA DE PAGO]]=PROVEEDORES[[#This Row],[FECHA DE FACTURACIÓN]],"DE CONTADO","CRÉDITO")</f>
        <v>CRÉDITO</v>
      </c>
      <c r="B1466" s="144" t="str">
        <f>+IF((PROVEEDORES[[#This Row],[FECHA DE PAGO]]-PROVEEDORES[[#This Row],[FECHA DE FACTURACIÓN]])&gt;PROVEEDORES[[#This Row],[PLAZO Días]],"PAGO VENCIDO")</f>
        <v>PAGO VENCIDO</v>
      </c>
      <c r="C1466" s="144">
        <f>+VLOOKUP(PROVEEDORES[[#This Row],[PROVEEDOR]],TERCEROS_INFO[#All],2,FALSE)</f>
        <v>0</v>
      </c>
      <c r="D1466" s="145">
        <f>+SUMIFS(PROVEEDORES[Total],PROVEEDORES[PROVEEDOR],PROVEEDORES[[#This Row],[PROVEEDOR]],PROVEEDORES[FECHA DE PAGO],"")</f>
        <v>0</v>
      </c>
      <c r="E1466" s="146"/>
      <c r="F1466" s="144" t="str">
        <f>+VLOOKUP(PROVEEDORES[[#This Row],[PROVEEDOR]],
                       Terceros!$A:$G,
                       5,
                       FALSE)</f>
        <v>4% con base</v>
      </c>
      <c r="G1466" s="122">
        <v>45398</v>
      </c>
      <c r="H1466" s="102" t="s">
        <v>1707</v>
      </c>
      <c r="I1466" s="122">
        <v>45397</v>
      </c>
      <c r="J1466" s="103" t="s">
        <v>1709</v>
      </c>
      <c r="K1466" s="103" t="s">
        <v>1512</v>
      </c>
      <c r="L1466" s="103" t="s">
        <v>1515</v>
      </c>
      <c r="M1466" s="105">
        <v>650000</v>
      </c>
      <c r="N1466" s="147">
        <v>123500</v>
      </c>
      <c r="O1466" s="147">
        <v>0</v>
      </c>
      <c r="P1466" s="148">
        <v>0.04</v>
      </c>
      <c r="Q1466" s="147">
        <v>26000</v>
      </c>
      <c r="R1466" s="149">
        <v>747500</v>
      </c>
      <c r="S146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6" s="150">
        <f ca="1">+IF(PROVEEDORES[[#This Row],[FECHA DE PAGO]]=0,TODAY()-PROVEEDORES[[#This Row],[FECHA DE FACTURACIÓN]]-PROVEEDORES[[#This Row],[PLAZO Días]],0)</f>
        <v>0</v>
      </c>
      <c r="U1466" s="150">
        <f>+VLOOKUP(PROVEEDORES[[#This Row],[PROVEEDOR]],Terceros!$A:$E,4,FALSE)</f>
        <v>0.19</v>
      </c>
      <c r="V1466" s="150">
        <f>+YEAR(PROVEEDORES[[#This Row],[FECHA DE FACTURACIÓN]])</f>
        <v>2024</v>
      </c>
      <c r="W1466" s="150">
        <f>+MATCH(PROVEEDORES[[#This Row],[año facturado]],Retenciones!$1:$1,0)</f>
        <v>7</v>
      </c>
      <c r="X1466" s="151" t="e">
        <f>+VLOOKUP(PROVEEDORES[[#This Row],[ID RETENCION]],Retenciones!$A$1:$O$25,PROVEEDORES[[#This Row],[indicador de columna]],FALSE)</f>
        <v>#N/A</v>
      </c>
      <c r="Y1466" s="152" t="e">
        <f>+VLOOKUP(PROVEEDORES[[#This Row],[ID RETENCION]],Retenciones!$A$1:$O$25,2,FALSE)</f>
        <v>#N/A</v>
      </c>
      <c r="Z1466" s="153" t="b">
        <f>+OR(COUNTIF(PROVEEDORES[[#This Row],[PROVEEDOR]],"*"&amp;'Palabra que no opera y Listas d'!$A$2&amp;"*"))</f>
        <v>0</v>
      </c>
    </row>
    <row r="1467" spans="1:26" ht="27.75" customHeight="1" x14ac:dyDescent="0.3">
      <c r="A1467" s="144" t="str">
        <f>+IF(PROVEEDORES[[#This Row],[FECHA DE PAGO]]=PROVEEDORES[[#This Row],[FECHA DE FACTURACIÓN]],"DE CONTADO","CRÉDITO")</f>
        <v>CRÉDITO</v>
      </c>
      <c r="B1467" s="144" t="str">
        <f>+IF((PROVEEDORES[[#This Row],[FECHA DE PAGO]]-PROVEEDORES[[#This Row],[FECHA DE FACTURACIÓN]])&gt;PROVEEDORES[[#This Row],[PLAZO Días]],"PAGO VENCIDO")</f>
        <v>PAGO VENCIDO</v>
      </c>
      <c r="C1467" s="144">
        <f>+VLOOKUP(PROVEEDORES[[#This Row],[PROVEEDOR]],TERCEROS_INFO[#All],2,FALSE)</f>
        <v>0</v>
      </c>
      <c r="D1467" s="145">
        <f>+SUMIFS(PROVEEDORES[Total],PROVEEDORES[PROVEEDOR],PROVEEDORES[[#This Row],[PROVEEDOR]],PROVEEDORES[FECHA DE PAGO],"")</f>
        <v>0</v>
      </c>
      <c r="E1467" s="146"/>
      <c r="F1467" s="144">
        <f>+VLOOKUP(PROVEEDORES[[#This Row],[PROVEEDOR]],
                       Terceros!$A:$G,
                       5,
                       FALSE)</f>
        <v>0</v>
      </c>
      <c r="G1467" s="122">
        <v>45398</v>
      </c>
      <c r="H1467" s="102" t="s">
        <v>471</v>
      </c>
      <c r="I1467" s="122">
        <v>45397</v>
      </c>
      <c r="J1467" s="103" t="s">
        <v>1297</v>
      </c>
      <c r="K1467" s="103" t="s">
        <v>1512</v>
      </c>
      <c r="L1467" s="103" t="s">
        <v>1390</v>
      </c>
      <c r="M1467" s="105">
        <v>280000</v>
      </c>
      <c r="N1467" s="147">
        <v>0</v>
      </c>
      <c r="O1467" s="147">
        <v>0</v>
      </c>
      <c r="P1467" s="148">
        <v>0</v>
      </c>
      <c r="Q1467" s="147">
        <v>0</v>
      </c>
      <c r="R1467" s="149">
        <v>280000</v>
      </c>
      <c r="S146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7" s="150">
        <f ca="1">+IF(PROVEEDORES[[#This Row],[FECHA DE PAGO]]=0,TODAY()-PROVEEDORES[[#This Row],[FECHA DE FACTURACIÓN]]-PROVEEDORES[[#This Row],[PLAZO Días]],0)</f>
        <v>0</v>
      </c>
      <c r="U1467" s="150">
        <f>+VLOOKUP(PROVEEDORES[[#This Row],[PROVEEDOR]],Terceros!$A:$E,4,FALSE)</f>
        <v>0</v>
      </c>
      <c r="V1467" s="150">
        <f>+YEAR(PROVEEDORES[[#This Row],[FECHA DE FACTURACIÓN]])</f>
        <v>2024</v>
      </c>
      <c r="W1467" s="150">
        <f>+MATCH(PROVEEDORES[[#This Row],[año facturado]],Retenciones!$1:$1,0)</f>
        <v>7</v>
      </c>
      <c r="X1467" s="151">
        <f>+VLOOKUP(PROVEEDORES[[#This Row],[ID RETENCION]],Retenciones!$A$1:$O$25,PROVEEDORES[[#This Row],[indicador de columna]],FALSE)</f>
        <v>0</v>
      </c>
      <c r="Y1467" s="152">
        <f>+VLOOKUP(PROVEEDORES[[#This Row],[ID RETENCION]],Retenciones!$A$1:$O$25,2,FALSE)</f>
        <v>0</v>
      </c>
      <c r="Z1467" s="153" t="b">
        <f>+OR(COUNTIF(PROVEEDORES[[#This Row],[PROVEEDOR]],"*"&amp;'Palabra que no opera y Listas d'!$A$2&amp;"*"))</f>
        <v>1</v>
      </c>
    </row>
    <row r="1468" spans="1:26" ht="27.75" customHeight="1" x14ac:dyDescent="0.3">
      <c r="A1468" s="144" t="str">
        <f>+IF(PROVEEDORES[[#This Row],[FECHA DE PAGO]]=PROVEEDORES[[#This Row],[FECHA DE FACTURACIÓN]],"DE CONTADO","CRÉDITO")</f>
        <v>CRÉDITO</v>
      </c>
      <c r="B1468" s="144" t="str">
        <f>+IF((PROVEEDORES[[#This Row],[FECHA DE PAGO]]-PROVEEDORES[[#This Row],[FECHA DE FACTURACIÓN]])&gt;PROVEEDORES[[#This Row],[PLAZO Días]],"PAGO VENCIDO")</f>
        <v>PAGO VENCIDO</v>
      </c>
      <c r="C1468" s="144">
        <f>+VLOOKUP(PROVEEDORES[[#This Row],[PROVEEDOR]],TERCEROS_INFO[#All],2,FALSE)</f>
        <v>0</v>
      </c>
      <c r="D1468" s="145">
        <f>+SUMIFS(PROVEEDORES[Total],PROVEEDORES[PROVEEDOR],PROVEEDORES[[#This Row],[PROVEEDOR]],PROVEEDORES[FECHA DE PAGO],"")</f>
        <v>0</v>
      </c>
      <c r="E1468" s="146"/>
      <c r="F1468" s="144">
        <f>+VLOOKUP(PROVEEDORES[[#This Row],[PROVEEDOR]],
                       Terceros!$A:$G,
                       5,
                       FALSE)</f>
        <v>0</v>
      </c>
      <c r="G1468" s="122">
        <v>45398</v>
      </c>
      <c r="H1468" s="102" t="s">
        <v>845</v>
      </c>
      <c r="I1468" s="122">
        <v>45397</v>
      </c>
      <c r="J1468" s="103" t="s">
        <v>1711</v>
      </c>
      <c r="K1468" s="103" t="s">
        <v>516</v>
      </c>
      <c r="L1468" s="103" t="s">
        <v>1390</v>
      </c>
      <c r="M1468" s="105">
        <v>457000</v>
      </c>
      <c r="N1468" s="147">
        <v>0</v>
      </c>
      <c r="O1468" s="147">
        <v>0</v>
      </c>
      <c r="P1468" s="148">
        <v>0</v>
      </c>
      <c r="Q1468" s="147">
        <v>0</v>
      </c>
      <c r="R1468" s="149">
        <v>457000</v>
      </c>
      <c r="S146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8" s="150">
        <f ca="1">+IF(PROVEEDORES[[#This Row],[FECHA DE PAGO]]=0,TODAY()-PROVEEDORES[[#This Row],[FECHA DE FACTURACIÓN]]-PROVEEDORES[[#This Row],[PLAZO Días]],0)</f>
        <v>0</v>
      </c>
      <c r="U1468" s="150">
        <f>+VLOOKUP(PROVEEDORES[[#This Row],[PROVEEDOR]],Terceros!$A:$E,4,FALSE)</f>
        <v>0</v>
      </c>
      <c r="V1468" s="150">
        <f>+YEAR(PROVEEDORES[[#This Row],[FECHA DE FACTURACIÓN]])</f>
        <v>2024</v>
      </c>
      <c r="W1468" s="150">
        <f>+MATCH(PROVEEDORES[[#This Row],[año facturado]],Retenciones!$1:$1,0)</f>
        <v>7</v>
      </c>
      <c r="X1468" s="151">
        <f>+VLOOKUP(PROVEEDORES[[#This Row],[ID RETENCION]],Retenciones!$A$1:$O$25,PROVEEDORES[[#This Row],[indicador de columna]],FALSE)</f>
        <v>0</v>
      </c>
      <c r="Y1468" s="152">
        <f>+VLOOKUP(PROVEEDORES[[#This Row],[ID RETENCION]],Retenciones!$A$1:$O$25,2,FALSE)</f>
        <v>0</v>
      </c>
      <c r="Z1468" s="153" t="b">
        <f>+OR(COUNTIF(PROVEEDORES[[#This Row],[PROVEEDOR]],"*"&amp;'Palabra que no opera y Listas d'!$A$2&amp;"*"))</f>
        <v>0</v>
      </c>
    </row>
    <row r="1469" spans="1:26" ht="27.75" customHeight="1" x14ac:dyDescent="0.3">
      <c r="A1469" s="144" t="str">
        <f>+IF(PROVEEDORES[[#This Row],[FECHA DE PAGO]]=PROVEEDORES[[#This Row],[FECHA DE FACTURACIÓN]],"DE CONTADO","CRÉDITO")</f>
        <v>CRÉDITO</v>
      </c>
      <c r="B1469" s="144" t="str">
        <f>+IF((PROVEEDORES[[#This Row],[FECHA DE PAGO]]-PROVEEDORES[[#This Row],[FECHA DE FACTURACIÓN]])&gt;PROVEEDORES[[#This Row],[PLAZO Días]],"PAGO VENCIDO")</f>
        <v>PAGO VENCIDO</v>
      </c>
      <c r="C1469" s="144">
        <f>+VLOOKUP(PROVEEDORES[[#This Row],[PROVEEDOR]],TERCEROS_INFO[#All],2,FALSE)</f>
        <v>0</v>
      </c>
      <c r="D1469" s="145">
        <f>+SUMIFS(PROVEEDORES[Total],PROVEEDORES[PROVEEDOR],PROVEEDORES[[#This Row],[PROVEEDOR]],PROVEEDORES[FECHA DE PAGO],"")</f>
        <v>0</v>
      </c>
      <c r="E1469" s="146"/>
      <c r="F1469" s="144" t="str">
        <f>+VLOOKUP(PROVEEDORES[[#This Row],[PROVEEDOR]],
                       Terceros!$A:$G,
                       5,
                       FALSE)</f>
        <v>2,5% con base</v>
      </c>
      <c r="G1469" s="122">
        <v>45398</v>
      </c>
      <c r="H1469" s="102" t="s">
        <v>1192</v>
      </c>
      <c r="I1469" s="122">
        <v>45397</v>
      </c>
      <c r="J1469" s="103" t="s">
        <v>1710</v>
      </c>
      <c r="K1469" s="103" t="s">
        <v>1512</v>
      </c>
      <c r="L1469" s="103" t="s">
        <v>1515</v>
      </c>
      <c r="M1469" s="105">
        <v>350420</v>
      </c>
      <c r="N1469" s="147">
        <v>66579.8</v>
      </c>
      <c r="O1469" s="147">
        <v>0</v>
      </c>
      <c r="P1469" s="148">
        <v>0</v>
      </c>
      <c r="Q1469" s="147">
        <v>0</v>
      </c>
      <c r="R1469" s="149">
        <v>416999.8</v>
      </c>
      <c r="S146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9" s="150">
        <f ca="1">+IF(PROVEEDORES[[#This Row],[FECHA DE PAGO]]=0,TODAY()-PROVEEDORES[[#This Row],[FECHA DE FACTURACIÓN]]-PROVEEDORES[[#This Row],[PLAZO Días]],0)</f>
        <v>0</v>
      </c>
      <c r="U1469" s="150">
        <f>+VLOOKUP(PROVEEDORES[[#This Row],[PROVEEDOR]],Terceros!$A:$E,4,FALSE)</f>
        <v>0.19</v>
      </c>
      <c r="V1469" s="150">
        <f>+YEAR(PROVEEDORES[[#This Row],[FECHA DE FACTURACIÓN]])</f>
        <v>2024</v>
      </c>
      <c r="W1469" s="150">
        <f>+MATCH(PROVEEDORES[[#This Row],[año facturado]],Retenciones!$1:$1,0)</f>
        <v>7</v>
      </c>
      <c r="X1469" s="151" t="e">
        <f>+VLOOKUP(PROVEEDORES[[#This Row],[ID RETENCION]],Retenciones!$A$1:$O$25,PROVEEDORES[[#This Row],[indicador de columna]],FALSE)</f>
        <v>#N/A</v>
      </c>
      <c r="Y1469" s="152" t="e">
        <f>+VLOOKUP(PROVEEDORES[[#This Row],[ID RETENCION]],Retenciones!$A$1:$O$25,2,FALSE)</f>
        <v>#N/A</v>
      </c>
      <c r="Z1469" s="153" t="b">
        <f>+OR(COUNTIF(PROVEEDORES[[#This Row],[PROVEEDOR]],"*"&amp;'Palabra que no opera y Listas d'!$A$2&amp;"*"))</f>
        <v>0</v>
      </c>
    </row>
    <row r="1470" spans="1:26" ht="27.75" customHeight="1" x14ac:dyDescent="0.3">
      <c r="A1470" s="144" t="str">
        <f>+IF(PROVEEDORES[[#This Row],[FECHA DE PAGO]]=PROVEEDORES[[#This Row],[FECHA DE FACTURACIÓN]],"DE CONTADO","CRÉDITO")</f>
        <v>DE CONTADO</v>
      </c>
      <c r="B1470" s="144" t="b">
        <f>+IF((PROVEEDORES[[#This Row],[FECHA DE PAGO]]-PROVEEDORES[[#This Row],[FECHA DE FACTURACIÓN]])&gt;PROVEEDORES[[#This Row],[PLAZO Días]],"PAGO VENCIDO")</f>
        <v>0</v>
      </c>
      <c r="C1470" s="144">
        <f>+VLOOKUP(PROVEEDORES[[#This Row],[PROVEEDOR]],TERCEROS_INFO[#All],2,FALSE)</f>
        <v>0</v>
      </c>
      <c r="D1470" s="145">
        <f>+SUMIFS(PROVEEDORES[Total],PROVEEDORES[PROVEEDOR],PROVEEDORES[[#This Row],[PROVEEDOR]],PROVEEDORES[FECHA DE PAGO],"")</f>
        <v>0</v>
      </c>
      <c r="E1470" s="146"/>
      <c r="F1470" s="144">
        <f>+VLOOKUP(PROVEEDORES[[#This Row],[PROVEEDOR]],
                       Terceros!$A:$G,
                       5,
                       FALSE)</f>
        <v>0</v>
      </c>
      <c r="G1470" s="122">
        <v>45398</v>
      </c>
      <c r="H1470" s="102" t="s">
        <v>1801</v>
      </c>
      <c r="I1470" s="122">
        <v>45398</v>
      </c>
      <c r="J1470" s="103" t="s">
        <v>494</v>
      </c>
      <c r="K1470" s="103" t="s">
        <v>1512</v>
      </c>
      <c r="L1470" s="103" t="s">
        <v>1390</v>
      </c>
      <c r="M1470" s="105">
        <v>1233243</v>
      </c>
      <c r="N1470" s="147">
        <v>0</v>
      </c>
      <c r="O1470" s="147">
        <v>0</v>
      </c>
      <c r="P1470" s="148">
        <v>0</v>
      </c>
      <c r="Q1470" s="147">
        <v>0</v>
      </c>
      <c r="R1470" s="149">
        <v>1233243</v>
      </c>
      <c r="S147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0" s="150">
        <f ca="1">+IF(PROVEEDORES[[#This Row],[FECHA DE PAGO]]=0,TODAY()-PROVEEDORES[[#This Row],[FECHA DE FACTURACIÓN]]-PROVEEDORES[[#This Row],[PLAZO Días]],0)</f>
        <v>0</v>
      </c>
      <c r="U1470" s="150">
        <f>+VLOOKUP(PROVEEDORES[[#This Row],[PROVEEDOR]],Terceros!$A:$E,4,FALSE)</f>
        <v>0</v>
      </c>
      <c r="V1470" s="150">
        <f>+YEAR(PROVEEDORES[[#This Row],[FECHA DE FACTURACIÓN]])</f>
        <v>2024</v>
      </c>
      <c r="W1470" s="150">
        <f>+MATCH(PROVEEDORES[[#This Row],[año facturado]],Retenciones!$1:$1,0)</f>
        <v>7</v>
      </c>
      <c r="X1470" s="151">
        <f>+VLOOKUP(PROVEEDORES[[#This Row],[ID RETENCION]],Retenciones!$A$1:$O$25,PROVEEDORES[[#This Row],[indicador de columna]],FALSE)</f>
        <v>0</v>
      </c>
      <c r="Y1470" s="152">
        <f>+VLOOKUP(PROVEEDORES[[#This Row],[ID RETENCION]],Retenciones!$A$1:$O$25,2,FALSE)</f>
        <v>0</v>
      </c>
      <c r="Z1470" s="153" t="b">
        <f>+OR(COUNTIF(PROVEEDORES[[#This Row],[PROVEEDOR]],"*"&amp;'Palabra que no opera y Listas d'!$A$2&amp;"*"))</f>
        <v>0</v>
      </c>
    </row>
    <row r="1471" spans="1:26" ht="27.75" customHeight="1" x14ac:dyDescent="0.3">
      <c r="A1471" s="144" t="str">
        <f>+IF(PROVEEDORES[[#This Row],[FECHA DE PAGO]]=PROVEEDORES[[#This Row],[FECHA DE FACTURACIÓN]],"DE CONTADO","CRÉDITO")</f>
        <v>DE CONTADO</v>
      </c>
      <c r="B1471" s="144" t="b">
        <f>+IF((PROVEEDORES[[#This Row],[FECHA DE PAGO]]-PROVEEDORES[[#This Row],[FECHA DE FACTURACIÓN]])&gt;PROVEEDORES[[#This Row],[PLAZO Días]],"PAGO VENCIDO")</f>
        <v>0</v>
      </c>
      <c r="C1471" s="144">
        <f>+VLOOKUP(PROVEEDORES[[#This Row],[PROVEEDOR]],TERCEROS_INFO[#All],2,FALSE)</f>
        <v>0</v>
      </c>
      <c r="D1471" s="145">
        <f>+SUMIFS(PROVEEDORES[Total],PROVEEDORES[PROVEEDOR],PROVEEDORES[[#This Row],[PROVEEDOR]],PROVEEDORES[FECHA DE PAGO],"")</f>
        <v>7281829.8799999999</v>
      </c>
      <c r="E1471" s="146"/>
      <c r="F1471" s="144" t="str">
        <f>+VLOOKUP(PROVEEDORES[[#This Row],[PROVEEDOR]],
                       Terceros!$A:$G,
                       5,
                       FALSE)</f>
        <v>2,5% con base</v>
      </c>
      <c r="G1471" s="122">
        <v>45398</v>
      </c>
      <c r="H1471" s="102" t="s">
        <v>1445</v>
      </c>
      <c r="I1471" s="122">
        <v>45398</v>
      </c>
      <c r="J1471" s="103" t="s">
        <v>1751</v>
      </c>
      <c r="K1471" s="103" t="s">
        <v>1512</v>
      </c>
      <c r="L1471" s="103" t="s">
        <v>1390</v>
      </c>
      <c r="M1471" s="105">
        <v>11460</v>
      </c>
      <c r="N1471" s="147">
        <v>2177.4</v>
      </c>
      <c r="O1471" s="147">
        <v>0</v>
      </c>
      <c r="P1471" s="148">
        <v>0</v>
      </c>
      <c r="Q1471" s="147">
        <v>0</v>
      </c>
      <c r="R1471" s="149">
        <v>13637.4</v>
      </c>
      <c r="S147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1" s="150">
        <f ca="1">+IF(PROVEEDORES[[#This Row],[FECHA DE PAGO]]=0,TODAY()-PROVEEDORES[[#This Row],[FECHA DE FACTURACIÓN]]-PROVEEDORES[[#This Row],[PLAZO Días]],0)</f>
        <v>0</v>
      </c>
      <c r="U1471" s="150">
        <f>+VLOOKUP(PROVEEDORES[[#This Row],[PROVEEDOR]],Terceros!$A:$E,4,FALSE)</f>
        <v>0.19</v>
      </c>
      <c r="V1471" s="150">
        <f>+YEAR(PROVEEDORES[[#This Row],[FECHA DE FACTURACIÓN]])</f>
        <v>2024</v>
      </c>
      <c r="W1471" s="150">
        <f>+MATCH(PROVEEDORES[[#This Row],[año facturado]],Retenciones!$1:$1,0)</f>
        <v>7</v>
      </c>
      <c r="X1471" s="151" t="e">
        <f>+VLOOKUP(PROVEEDORES[[#This Row],[ID RETENCION]],Retenciones!$A$1:$O$25,PROVEEDORES[[#This Row],[indicador de columna]],FALSE)</f>
        <v>#N/A</v>
      </c>
      <c r="Y1471" s="152" t="e">
        <f>+VLOOKUP(PROVEEDORES[[#This Row],[ID RETENCION]],Retenciones!$A$1:$O$25,2,FALSE)</f>
        <v>#N/A</v>
      </c>
      <c r="Z1471" s="153" t="b">
        <f>+OR(COUNTIF(PROVEEDORES[[#This Row],[PROVEEDOR]],"*"&amp;'Palabra que no opera y Listas d'!$A$2&amp;"*"))</f>
        <v>0</v>
      </c>
    </row>
    <row r="1472" spans="1:26" ht="27.75" customHeight="1" x14ac:dyDescent="0.3">
      <c r="A1472" s="144" t="str">
        <f>+IF(PROVEEDORES[[#This Row],[FECHA DE PAGO]]=PROVEEDORES[[#This Row],[FECHA DE FACTURACIÓN]],"DE CONTADO","CRÉDITO")</f>
        <v>CRÉDITO</v>
      </c>
      <c r="B1472" s="144" t="str">
        <f>+IF((PROVEEDORES[[#This Row],[FECHA DE PAGO]]-PROVEEDORES[[#This Row],[FECHA DE FACTURACIÓN]])&gt;PROVEEDORES[[#This Row],[PLAZO Días]],"PAGO VENCIDO")</f>
        <v>PAGO VENCIDO</v>
      </c>
      <c r="C1472" s="144">
        <f>+VLOOKUP(PROVEEDORES[[#This Row],[PROVEEDOR]],TERCEROS_INFO[#All],2,FALSE)</f>
        <v>0</v>
      </c>
      <c r="D1472" s="145">
        <f>+SUMIFS(PROVEEDORES[Total],PROVEEDORES[PROVEEDOR],PROVEEDORES[[#This Row],[PROVEEDOR]],PROVEEDORES[FECHA DE PAGO],"")</f>
        <v>0</v>
      </c>
      <c r="E1472" s="146"/>
      <c r="F1472" s="144" t="str">
        <f>+VLOOKUP(PROVEEDORES[[#This Row],[PROVEEDOR]],
                       Terceros!$A:$G,
                       5,
                       FALSE)</f>
        <v>2,5% con base</v>
      </c>
      <c r="G1472" s="122">
        <v>45399</v>
      </c>
      <c r="H1472" s="102" t="s">
        <v>19</v>
      </c>
      <c r="I1472" s="122">
        <v>45356</v>
      </c>
      <c r="J1472" s="103" t="s">
        <v>1626</v>
      </c>
      <c r="K1472" s="103" t="s">
        <v>516</v>
      </c>
      <c r="L1472" s="103" t="s">
        <v>1516</v>
      </c>
      <c r="M1472" s="105">
        <v>920660</v>
      </c>
      <c r="N1472" s="147">
        <v>174925.4</v>
      </c>
      <c r="O1472" s="147">
        <v>0</v>
      </c>
      <c r="P1472" s="148">
        <v>0</v>
      </c>
      <c r="Q1472" s="147">
        <v>0</v>
      </c>
      <c r="R1472" s="149">
        <v>1095585.3999999999</v>
      </c>
      <c r="S147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2" s="150">
        <f ca="1">+IF(PROVEEDORES[[#This Row],[FECHA DE PAGO]]=0,TODAY()-PROVEEDORES[[#This Row],[FECHA DE FACTURACIÓN]]-PROVEEDORES[[#This Row],[PLAZO Días]],0)</f>
        <v>0</v>
      </c>
      <c r="U1472" s="150">
        <f>+VLOOKUP(PROVEEDORES[[#This Row],[PROVEEDOR]],Terceros!$A:$E,4,FALSE)</f>
        <v>0.19</v>
      </c>
      <c r="V1472" s="150">
        <f>+YEAR(PROVEEDORES[[#This Row],[FECHA DE FACTURACIÓN]])</f>
        <v>2024</v>
      </c>
      <c r="W1472" s="150">
        <f>+MATCH(PROVEEDORES[[#This Row],[año facturado]],Retenciones!$1:$1,0)</f>
        <v>7</v>
      </c>
      <c r="X1472" s="151" t="e">
        <f>+VLOOKUP(PROVEEDORES[[#This Row],[ID RETENCION]],Retenciones!$A$1:$O$25,PROVEEDORES[[#This Row],[indicador de columna]],FALSE)</f>
        <v>#N/A</v>
      </c>
      <c r="Y1472" s="152" t="e">
        <f>+VLOOKUP(PROVEEDORES[[#This Row],[ID RETENCION]],Retenciones!$A$1:$O$25,2,FALSE)</f>
        <v>#N/A</v>
      </c>
      <c r="Z1472" s="153" t="b">
        <f>+OR(COUNTIF(PROVEEDORES[[#This Row],[PROVEEDOR]],"*"&amp;'Palabra que no opera y Listas d'!$A$2&amp;"*"))</f>
        <v>0</v>
      </c>
    </row>
    <row r="1473" spans="1:26" ht="27.75" customHeight="1" x14ac:dyDescent="0.3">
      <c r="A1473" s="144" t="str">
        <f>+IF(PROVEEDORES[[#This Row],[FECHA DE PAGO]]=PROVEEDORES[[#This Row],[FECHA DE FACTURACIÓN]],"DE CONTADO","CRÉDITO")</f>
        <v>CRÉDITO</v>
      </c>
      <c r="B1473" s="144" t="str">
        <f>+IF((PROVEEDORES[[#This Row],[FECHA DE PAGO]]-PROVEEDORES[[#This Row],[FECHA DE FACTURACIÓN]])&gt;PROVEEDORES[[#This Row],[PLAZO Días]],"PAGO VENCIDO")</f>
        <v>PAGO VENCIDO</v>
      </c>
      <c r="C1473" s="144">
        <f>+VLOOKUP(PROVEEDORES[[#This Row],[PROVEEDOR]],TERCEROS_INFO[#All],2,FALSE)</f>
        <v>0</v>
      </c>
      <c r="D1473" s="145">
        <f>+SUMIFS(PROVEEDORES[Total],PROVEEDORES[PROVEEDOR],PROVEEDORES[[#This Row],[PROVEEDOR]],PROVEEDORES[FECHA DE PAGO],"")</f>
        <v>5813868.5099999998</v>
      </c>
      <c r="E1473" s="146"/>
      <c r="F1473" s="144" t="str">
        <f>+VLOOKUP(PROVEEDORES[[#This Row],[PROVEEDOR]],
                       Terceros!$A:$G,
                       5,
                       FALSE)</f>
        <v>2,5% con base</v>
      </c>
      <c r="G1473" s="122">
        <v>45399</v>
      </c>
      <c r="H1473" s="102" t="s">
        <v>23</v>
      </c>
      <c r="I1473" s="122">
        <v>45363</v>
      </c>
      <c r="J1473" s="103">
        <v>5042361</v>
      </c>
      <c r="K1473" s="103" t="s">
        <v>516</v>
      </c>
      <c r="L1473" s="103" t="s">
        <v>1516</v>
      </c>
      <c r="M1473" s="105">
        <v>1760000</v>
      </c>
      <c r="N1473" s="147">
        <v>334400</v>
      </c>
      <c r="O1473" s="147">
        <v>0</v>
      </c>
      <c r="P1473" s="148">
        <v>2.5000000000000001E-2</v>
      </c>
      <c r="Q1473" s="147">
        <v>44000</v>
      </c>
      <c r="R1473" s="149">
        <v>2050400</v>
      </c>
      <c r="S147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3" s="150">
        <f ca="1">+IF(PROVEEDORES[[#This Row],[FECHA DE PAGO]]=0,TODAY()-PROVEEDORES[[#This Row],[FECHA DE FACTURACIÓN]]-PROVEEDORES[[#This Row],[PLAZO Días]],0)</f>
        <v>0</v>
      </c>
      <c r="U1473" s="150">
        <f>+VLOOKUP(PROVEEDORES[[#This Row],[PROVEEDOR]],Terceros!$A:$E,4,FALSE)</f>
        <v>0.19</v>
      </c>
      <c r="V1473" s="150">
        <f>+YEAR(PROVEEDORES[[#This Row],[FECHA DE FACTURACIÓN]])</f>
        <v>2024</v>
      </c>
      <c r="W1473" s="150">
        <f>+MATCH(PROVEEDORES[[#This Row],[año facturado]],Retenciones!$1:$1,0)</f>
        <v>7</v>
      </c>
      <c r="X1473" s="151" t="e">
        <f>+VLOOKUP(PROVEEDORES[[#This Row],[ID RETENCION]],Retenciones!$A$1:$O$25,PROVEEDORES[[#This Row],[indicador de columna]],FALSE)</f>
        <v>#N/A</v>
      </c>
      <c r="Y1473" s="152" t="e">
        <f>+VLOOKUP(PROVEEDORES[[#This Row],[ID RETENCION]],Retenciones!$A$1:$O$25,2,FALSE)</f>
        <v>#N/A</v>
      </c>
      <c r="Z1473" s="153" t="b">
        <f>+OR(COUNTIF(PROVEEDORES[[#This Row],[PROVEEDOR]],"*"&amp;'Palabra que no opera y Listas d'!$A$2&amp;"*"))</f>
        <v>0</v>
      </c>
    </row>
    <row r="1474" spans="1:26" ht="27.75" customHeight="1" x14ac:dyDescent="0.3">
      <c r="A1474" s="144" t="str">
        <f>+IF(PROVEEDORES[[#This Row],[FECHA DE PAGO]]=PROVEEDORES[[#This Row],[FECHA DE FACTURACIÓN]],"DE CONTADO","CRÉDITO")</f>
        <v>CRÉDITO</v>
      </c>
      <c r="B1474" s="144" t="str">
        <f>+IF((PROVEEDORES[[#This Row],[FECHA DE PAGO]]-PROVEEDORES[[#This Row],[FECHA DE FACTURACIÓN]])&gt;PROVEEDORES[[#This Row],[PLAZO Días]],"PAGO VENCIDO")</f>
        <v>PAGO VENCIDO</v>
      </c>
      <c r="C1474" s="144">
        <f>+VLOOKUP(PROVEEDORES[[#This Row],[PROVEEDOR]],TERCEROS_INFO[#All],2,FALSE)</f>
        <v>0</v>
      </c>
      <c r="D1474" s="145">
        <f>+SUMIFS(PROVEEDORES[Total],PROVEEDORES[PROVEEDOR],PROVEEDORES[[#This Row],[PROVEEDOR]],PROVEEDORES[FECHA DE PAGO],"")</f>
        <v>3130000</v>
      </c>
      <c r="E1474" s="146"/>
      <c r="F1474" s="144">
        <f>+VLOOKUP(PROVEEDORES[[#This Row],[PROVEEDOR]],
                       Terceros!$A:$G,
                       5,
                       FALSE)</f>
        <v>0</v>
      </c>
      <c r="G1474" s="122">
        <v>45400</v>
      </c>
      <c r="H1474" s="102" t="s">
        <v>487</v>
      </c>
      <c r="I1474" s="122">
        <v>45358</v>
      </c>
      <c r="J1474" s="103" t="s">
        <v>1647</v>
      </c>
      <c r="K1474" s="103" t="s">
        <v>1512</v>
      </c>
      <c r="L1474" s="103" t="s">
        <v>1390</v>
      </c>
      <c r="M1474" s="105">
        <v>1209000</v>
      </c>
      <c r="N1474" s="147">
        <v>0</v>
      </c>
      <c r="O1474" s="147">
        <v>0</v>
      </c>
      <c r="P1474" s="148">
        <v>0</v>
      </c>
      <c r="Q1474" s="147">
        <v>0</v>
      </c>
      <c r="R1474" s="149">
        <v>1209000</v>
      </c>
      <c r="S147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4" s="150">
        <f ca="1">+IF(PROVEEDORES[[#This Row],[FECHA DE PAGO]]=0,TODAY()-PROVEEDORES[[#This Row],[FECHA DE FACTURACIÓN]]-PROVEEDORES[[#This Row],[PLAZO Días]],0)</f>
        <v>0</v>
      </c>
      <c r="U1474" s="150">
        <f>+VLOOKUP(PROVEEDORES[[#This Row],[PROVEEDOR]],Terceros!$A:$E,4,FALSE)</f>
        <v>0</v>
      </c>
      <c r="V1474" s="150">
        <f>+YEAR(PROVEEDORES[[#This Row],[FECHA DE FACTURACIÓN]])</f>
        <v>2024</v>
      </c>
      <c r="W1474" s="150">
        <f>+MATCH(PROVEEDORES[[#This Row],[año facturado]],Retenciones!$1:$1,0)</f>
        <v>7</v>
      </c>
      <c r="X1474" s="151">
        <f>+VLOOKUP(PROVEEDORES[[#This Row],[ID RETENCION]],Retenciones!$A$1:$O$25,PROVEEDORES[[#This Row],[indicador de columna]],FALSE)</f>
        <v>0</v>
      </c>
      <c r="Y1474" s="152">
        <f>+VLOOKUP(PROVEEDORES[[#This Row],[ID RETENCION]],Retenciones!$A$1:$O$25,2,FALSE)</f>
        <v>0</v>
      </c>
      <c r="Z1474" s="153" t="b">
        <f>+OR(COUNTIF(PROVEEDORES[[#This Row],[PROVEEDOR]],"*"&amp;'Palabra que no opera y Listas d'!$A$2&amp;"*"))</f>
        <v>0</v>
      </c>
    </row>
    <row r="1475" spans="1:26" ht="27.75" customHeight="1" x14ac:dyDescent="0.3">
      <c r="A1475" s="144" t="str">
        <f>+IF(PROVEEDORES[[#This Row],[FECHA DE PAGO]]=PROVEEDORES[[#This Row],[FECHA DE FACTURACIÓN]],"DE CONTADO","CRÉDITO")</f>
        <v>CRÉDITO</v>
      </c>
      <c r="B1475" s="144" t="str">
        <f>+IF((PROVEEDORES[[#This Row],[FECHA DE PAGO]]-PROVEEDORES[[#This Row],[FECHA DE FACTURACIÓN]])&gt;PROVEEDORES[[#This Row],[PLAZO Días]],"PAGO VENCIDO")</f>
        <v>PAGO VENCIDO</v>
      </c>
      <c r="C1475" s="144">
        <f>+VLOOKUP(PROVEEDORES[[#This Row],[PROVEEDOR]],TERCEROS_INFO[#All],2,FALSE)</f>
        <v>0</v>
      </c>
      <c r="D1475" s="145">
        <f>+SUMIFS(PROVEEDORES[Total],PROVEEDORES[PROVEEDOR],PROVEEDORES[[#This Row],[PROVEEDOR]],PROVEEDORES[FECHA DE PAGO],"")</f>
        <v>0</v>
      </c>
      <c r="E1475" s="146"/>
      <c r="F1475" s="144" t="str">
        <f>+VLOOKUP(PROVEEDORES[[#This Row],[PROVEEDOR]],
                       Terceros!$A:$G,
                       5,
                       FALSE)</f>
        <v>1% sin base</v>
      </c>
      <c r="G1475" s="122">
        <v>45401</v>
      </c>
      <c r="H1475" s="102" t="s">
        <v>1699</v>
      </c>
      <c r="I1475" s="122">
        <v>45398</v>
      </c>
      <c r="J1475" s="103" t="s">
        <v>1744</v>
      </c>
      <c r="K1475" s="103" t="s">
        <v>516</v>
      </c>
      <c r="L1475" s="103" t="s">
        <v>1516</v>
      </c>
      <c r="M1475" s="105">
        <v>5775065</v>
      </c>
      <c r="N1475" s="147">
        <v>210330</v>
      </c>
      <c r="O1475" s="147">
        <v>0</v>
      </c>
      <c r="P1475" s="148">
        <v>0.01</v>
      </c>
      <c r="Q1475" s="147">
        <v>44280</v>
      </c>
      <c r="R1475" s="149">
        <v>-1908885</v>
      </c>
      <c r="S147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5" s="150">
        <f ca="1">+IF(PROVEEDORES[[#This Row],[FECHA DE PAGO]]=0,TODAY()-PROVEEDORES[[#This Row],[FECHA DE FACTURACIÓN]]-PROVEEDORES[[#This Row],[PLAZO Días]],0)</f>
        <v>0</v>
      </c>
      <c r="U1475" s="150">
        <f>+VLOOKUP(PROVEEDORES[[#This Row],[PROVEEDOR]],Terceros!$A:$E,4,FALSE)</f>
        <v>0.19</v>
      </c>
      <c r="V1475" s="150">
        <f>+YEAR(PROVEEDORES[[#This Row],[FECHA DE FACTURACIÓN]])</f>
        <v>2024</v>
      </c>
      <c r="W1475" s="150">
        <f>+MATCH(PROVEEDORES[[#This Row],[año facturado]],Retenciones!$1:$1,0)</f>
        <v>7</v>
      </c>
      <c r="X1475" s="151" t="e">
        <f>+VLOOKUP(PROVEEDORES[[#This Row],[ID RETENCION]],Retenciones!$A$1:$O$25,PROVEEDORES[[#This Row],[indicador de columna]],FALSE)</f>
        <v>#N/A</v>
      </c>
      <c r="Y1475" s="152" t="e">
        <f>+VLOOKUP(PROVEEDORES[[#This Row],[ID RETENCION]],Retenciones!$A$1:$O$25,2,FALSE)</f>
        <v>#N/A</v>
      </c>
      <c r="Z1475" s="153" t="b">
        <f>+OR(COUNTIF(PROVEEDORES[[#This Row],[PROVEEDOR]],"*"&amp;'Palabra que no opera y Listas d'!$A$2&amp;"*"))</f>
        <v>0</v>
      </c>
    </row>
    <row r="1476" spans="1:26" ht="27.75" customHeight="1" x14ac:dyDescent="0.3">
      <c r="A1476" s="144" t="str">
        <f>+IF(PROVEEDORES[[#This Row],[FECHA DE PAGO]]=PROVEEDORES[[#This Row],[FECHA DE FACTURACIÓN]],"DE CONTADO","CRÉDITO")</f>
        <v>CRÉDITO</v>
      </c>
      <c r="B1476" s="144" t="str">
        <f>+IF((PROVEEDORES[[#This Row],[FECHA DE PAGO]]-PROVEEDORES[[#This Row],[FECHA DE FACTURACIÓN]])&gt;PROVEEDORES[[#This Row],[PLAZO Días]],"PAGO VENCIDO")</f>
        <v>PAGO VENCIDO</v>
      </c>
      <c r="C1476" s="144">
        <f>+VLOOKUP(PROVEEDORES[[#This Row],[PROVEEDOR]],TERCEROS_INFO[#All],2,FALSE)</f>
        <v>0</v>
      </c>
      <c r="D1476" s="145">
        <f>+SUMIFS(PROVEEDORES[Total],PROVEEDORES[PROVEEDOR],PROVEEDORES[[#This Row],[PROVEEDOR]],PROVEEDORES[FECHA DE PAGO],"")</f>
        <v>7281829.8799999999</v>
      </c>
      <c r="E1476" s="146"/>
      <c r="F1476" s="144" t="str">
        <f>+VLOOKUP(PROVEEDORES[[#This Row],[PROVEEDOR]],
                       Terceros!$A:$G,
                       5,
                       FALSE)</f>
        <v>2,5% con base</v>
      </c>
      <c r="G1476" s="122">
        <v>45404</v>
      </c>
      <c r="H1476" s="102" t="s">
        <v>1445</v>
      </c>
      <c r="I1476" s="122">
        <v>45328</v>
      </c>
      <c r="J1476" s="103" t="s">
        <v>1671</v>
      </c>
      <c r="K1476" s="103" t="s">
        <v>1512</v>
      </c>
      <c r="L1476" s="103" t="s">
        <v>1515</v>
      </c>
      <c r="M1476" s="105">
        <v>-47745</v>
      </c>
      <c r="N1476" s="147">
        <v>0</v>
      </c>
      <c r="O1476" s="147">
        <v>0</v>
      </c>
      <c r="P1476" s="148">
        <v>0</v>
      </c>
      <c r="Q1476" s="147">
        <v>0</v>
      </c>
      <c r="R1476" s="149">
        <v>-47745</v>
      </c>
      <c r="S147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6" s="150">
        <f ca="1">+IF(PROVEEDORES[[#This Row],[FECHA DE PAGO]]=0,TODAY()-PROVEEDORES[[#This Row],[FECHA DE FACTURACIÓN]]-PROVEEDORES[[#This Row],[PLAZO Días]],0)</f>
        <v>0</v>
      </c>
      <c r="U1476" s="150">
        <f>+VLOOKUP(PROVEEDORES[[#This Row],[PROVEEDOR]],Terceros!$A:$E,4,FALSE)</f>
        <v>0.19</v>
      </c>
      <c r="V1476" s="150">
        <f>+YEAR(PROVEEDORES[[#This Row],[FECHA DE FACTURACIÓN]])</f>
        <v>2024</v>
      </c>
      <c r="W1476" s="150">
        <f>+MATCH(PROVEEDORES[[#This Row],[año facturado]],Retenciones!$1:$1,0)</f>
        <v>7</v>
      </c>
      <c r="X1476" s="151" t="e">
        <f>+VLOOKUP(PROVEEDORES[[#This Row],[ID RETENCION]],Retenciones!$A$1:$O$25,PROVEEDORES[[#This Row],[indicador de columna]],FALSE)</f>
        <v>#N/A</v>
      </c>
      <c r="Y1476" s="152" t="e">
        <f>+VLOOKUP(PROVEEDORES[[#This Row],[ID RETENCION]],Retenciones!$A$1:$O$25,2,FALSE)</f>
        <v>#N/A</v>
      </c>
      <c r="Z1476" s="153" t="b">
        <f>+OR(COUNTIF(PROVEEDORES[[#This Row],[PROVEEDOR]],"*"&amp;'Palabra que no opera y Listas d'!$A$2&amp;"*"))</f>
        <v>0</v>
      </c>
    </row>
    <row r="1477" spans="1:26" ht="27.75" customHeight="1" x14ac:dyDescent="0.3">
      <c r="A1477" s="144" t="str">
        <f>+IF(PROVEEDORES[[#This Row],[FECHA DE PAGO]]=PROVEEDORES[[#This Row],[FECHA DE FACTURACIÓN]],"DE CONTADO","CRÉDITO")</f>
        <v>CRÉDITO</v>
      </c>
      <c r="B1477" s="144" t="str">
        <f>+IF((PROVEEDORES[[#This Row],[FECHA DE PAGO]]-PROVEEDORES[[#This Row],[FECHA DE FACTURACIÓN]])&gt;PROVEEDORES[[#This Row],[PLAZO Días]],"PAGO VENCIDO")</f>
        <v>PAGO VENCIDO</v>
      </c>
      <c r="C1477" s="144">
        <f>+VLOOKUP(PROVEEDORES[[#This Row],[PROVEEDOR]],TERCEROS_INFO[#All],2,FALSE)</f>
        <v>0</v>
      </c>
      <c r="D1477" s="145">
        <f>+SUMIFS(PROVEEDORES[Total],PROVEEDORES[PROVEEDOR],PROVEEDORES[[#This Row],[PROVEEDOR]],PROVEEDORES[FECHA DE PAGO],"")</f>
        <v>28179645.060000002</v>
      </c>
      <c r="E1477" s="146"/>
      <c r="F1477" s="144">
        <f>+VLOOKUP(PROVEEDORES[[#This Row],[PROVEEDOR]],
                       Terceros!$A:$G,
                       5,
                       FALSE)</f>
        <v>0</v>
      </c>
      <c r="G1477" s="122">
        <v>45404</v>
      </c>
      <c r="H1477" s="102" t="s">
        <v>18</v>
      </c>
      <c r="I1477" s="122">
        <v>45355</v>
      </c>
      <c r="J1477" s="103" t="s">
        <v>1621</v>
      </c>
      <c r="K1477" s="103" t="s">
        <v>516</v>
      </c>
      <c r="L1477" s="103" t="s">
        <v>1516</v>
      </c>
      <c r="M1477" s="105">
        <v>4654825</v>
      </c>
      <c r="N1477" s="147">
        <v>884416.75</v>
      </c>
      <c r="O1477" s="147">
        <v>0</v>
      </c>
      <c r="P1477" s="148">
        <v>0</v>
      </c>
      <c r="Q1477" s="147">
        <v>0</v>
      </c>
      <c r="R1477" s="149">
        <v>5539241.75</v>
      </c>
      <c r="S147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7" s="150">
        <f ca="1">+IF(PROVEEDORES[[#This Row],[FECHA DE PAGO]]=0,TODAY()-PROVEEDORES[[#This Row],[FECHA DE FACTURACIÓN]]-PROVEEDORES[[#This Row],[PLAZO Días]],0)</f>
        <v>0</v>
      </c>
      <c r="U1477" s="150">
        <f>+VLOOKUP(PROVEEDORES[[#This Row],[PROVEEDOR]],Terceros!$A:$E,4,FALSE)</f>
        <v>0.19</v>
      </c>
      <c r="V1477" s="150">
        <f>+YEAR(PROVEEDORES[[#This Row],[FECHA DE FACTURACIÓN]])</f>
        <v>2024</v>
      </c>
      <c r="W1477" s="150">
        <f>+MATCH(PROVEEDORES[[#This Row],[año facturado]],Retenciones!$1:$1,0)</f>
        <v>7</v>
      </c>
      <c r="X1477" s="151" t="e">
        <f>+VLOOKUP(PROVEEDORES[[#This Row],[ID RETENCION]],Retenciones!$A$1:$O$25,PROVEEDORES[[#This Row],[indicador de columna]],FALSE)</f>
        <v>#N/A</v>
      </c>
      <c r="Y1477" s="152" t="e">
        <f>+VLOOKUP(PROVEEDORES[[#This Row],[ID RETENCION]],Retenciones!$A$1:$O$25,2,FALSE)</f>
        <v>#N/A</v>
      </c>
      <c r="Z1477" s="153" t="b">
        <f>+OR(COUNTIF(PROVEEDORES[[#This Row],[PROVEEDOR]],"*"&amp;'Palabra que no opera y Listas d'!$A$2&amp;"*"))</f>
        <v>0</v>
      </c>
    </row>
    <row r="1478" spans="1:26" ht="27.75" customHeight="1" x14ac:dyDescent="0.3">
      <c r="A1478" s="144" t="str">
        <f>+IF(PROVEEDORES[[#This Row],[FECHA DE PAGO]]=PROVEEDORES[[#This Row],[FECHA DE FACTURACIÓN]],"DE CONTADO","CRÉDITO")</f>
        <v>CRÉDITO</v>
      </c>
      <c r="B1478" s="144" t="str">
        <f>+IF((PROVEEDORES[[#This Row],[FECHA DE PAGO]]-PROVEEDORES[[#This Row],[FECHA DE FACTURACIÓN]])&gt;PROVEEDORES[[#This Row],[PLAZO Días]],"PAGO VENCIDO")</f>
        <v>PAGO VENCIDO</v>
      </c>
      <c r="C1478" s="144">
        <f>+VLOOKUP(PROVEEDORES[[#This Row],[PROVEEDOR]],TERCEROS_INFO[#All],2,FALSE)</f>
        <v>0</v>
      </c>
      <c r="D1478" s="145">
        <f>+SUMIFS(PROVEEDORES[Total],PROVEEDORES[PROVEEDOR],PROVEEDORES[[#This Row],[PROVEEDOR]],PROVEEDORES[FECHA DE PAGO],"")</f>
        <v>7281829.8799999999</v>
      </c>
      <c r="E1478" s="146"/>
      <c r="F1478" s="144" t="str">
        <f>+VLOOKUP(PROVEEDORES[[#This Row],[PROVEEDOR]],
                       Terceros!$A:$G,
                       5,
                       FALSE)</f>
        <v>2,5% con base</v>
      </c>
      <c r="G1478" s="122">
        <v>45404</v>
      </c>
      <c r="H1478" s="102" t="s">
        <v>1445</v>
      </c>
      <c r="I1478" s="122">
        <v>45356</v>
      </c>
      <c r="J1478" s="103" t="s">
        <v>1633</v>
      </c>
      <c r="K1478" s="103" t="s">
        <v>1512</v>
      </c>
      <c r="L1478" s="103" t="s">
        <v>1515</v>
      </c>
      <c r="M1478" s="105">
        <v>302088</v>
      </c>
      <c r="N1478" s="147">
        <v>57396.72</v>
      </c>
      <c r="O1478" s="147">
        <v>0</v>
      </c>
      <c r="P1478" s="148">
        <v>0</v>
      </c>
      <c r="Q1478" s="147">
        <v>0</v>
      </c>
      <c r="R1478" s="149">
        <v>359484.72</v>
      </c>
      <c r="S147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8" s="150">
        <f ca="1">+IF(PROVEEDORES[[#This Row],[FECHA DE PAGO]]=0,TODAY()-PROVEEDORES[[#This Row],[FECHA DE FACTURACIÓN]]-PROVEEDORES[[#This Row],[PLAZO Días]],0)</f>
        <v>0</v>
      </c>
      <c r="U1478" s="150">
        <f>+VLOOKUP(PROVEEDORES[[#This Row],[PROVEEDOR]],Terceros!$A:$E,4,FALSE)</f>
        <v>0.19</v>
      </c>
      <c r="V1478" s="150">
        <f>+YEAR(PROVEEDORES[[#This Row],[FECHA DE FACTURACIÓN]])</f>
        <v>2024</v>
      </c>
      <c r="W1478" s="150">
        <f>+MATCH(PROVEEDORES[[#This Row],[año facturado]],Retenciones!$1:$1,0)</f>
        <v>7</v>
      </c>
      <c r="X1478" s="151" t="e">
        <f>+VLOOKUP(PROVEEDORES[[#This Row],[ID RETENCION]],Retenciones!$A$1:$O$25,PROVEEDORES[[#This Row],[indicador de columna]],FALSE)</f>
        <v>#N/A</v>
      </c>
      <c r="Y1478" s="152" t="e">
        <f>+VLOOKUP(PROVEEDORES[[#This Row],[ID RETENCION]],Retenciones!$A$1:$O$25,2,FALSE)</f>
        <v>#N/A</v>
      </c>
      <c r="Z1478" s="153" t="b">
        <f>+OR(COUNTIF(PROVEEDORES[[#This Row],[PROVEEDOR]],"*"&amp;'Palabra que no opera y Listas d'!$A$2&amp;"*"))</f>
        <v>0</v>
      </c>
    </row>
    <row r="1479" spans="1:26" ht="27.75" customHeight="1" x14ac:dyDescent="0.3">
      <c r="A1479" s="144" t="str">
        <f>+IF(PROVEEDORES[[#This Row],[FECHA DE PAGO]]=PROVEEDORES[[#This Row],[FECHA DE FACTURACIÓN]],"DE CONTADO","CRÉDITO")</f>
        <v>CRÉDITO</v>
      </c>
      <c r="B1479" s="144" t="str">
        <f>+IF((PROVEEDORES[[#This Row],[FECHA DE PAGO]]-PROVEEDORES[[#This Row],[FECHA DE FACTURACIÓN]])&gt;PROVEEDORES[[#This Row],[PLAZO Días]],"PAGO VENCIDO")</f>
        <v>PAGO VENCIDO</v>
      </c>
      <c r="C1479" s="144">
        <f>+VLOOKUP(PROVEEDORES[[#This Row],[PROVEEDOR]],TERCEROS_INFO[#All],2,FALSE)</f>
        <v>0</v>
      </c>
      <c r="D1479" s="145">
        <f>+SUMIFS(PROVEEDORES[Total],PROVEEDORES[PROVEEDOR],PROVEEDORES[[#This Row],[PROVEEDOR]],PROVEEDORES[FECHA DE PAGO],"")</f>
        <v>1460000.29</v>
      </c>
      <c r="E1479" s="146"/>
      <c r="F1479" s="144" t="str">
        <f>+VLOOKUP(PROVEEDORES[[#This Row],[PROVEEDOR]],
                       Terceros!$A:$G,
                       5,
                       FALSE)</f>
        <v>2,5% con base</v>
      </c>
      <c r="G1479" s="122">
        <v>45404</v>
      </c>
      <c r="H1479" s="102" t="s">
        <v>142</v>
      </c>
      <c r="I1479" s="122">
        <v>45358</v>
      </c>
      <c r="J1479" s="103" t="s">
        <v>1625</v>
      </c>
      <c r="K1479" s="103" t="s">
        <v>1512</v>
      </c>
      <c r="L1479" s="103" t="s">
        <v>1515</v>
      </c>
      <c r="M1479" s="105">
        <v>189076</v>
      </c>
      <c r="N1479" s="147">
        <v>35924.44</v>
      </c>
      <c r="O1479" s="147">
        <v>0</v>
      </c>
      <c r="P1479" s="148">
        <v>0</v>
      </c>
      <c r="Q1479" s="147">
        <v>0</v>
      </c>
      <c r="R1479" s="149">
        <v>225000.44</v>
      </c>
      <c r="S147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9" s="150">
        <f ca="1">+IF(PROVEEDORES[[#This Row],[FECHA DE PAGO]]=0,TODAY()-PROVEEDORES[[#This Row],[FECHA DE FACTURACIÓN]]-PROVEEDORES[[#This Row],[PLAZO Días]],0)</f>
        <v>0</v>
      </c>
      <c r="U1479" s="150">
        <f>+VLOOKUP(PROVEEDORES[[#This Row],[PROVEEDOR]],Terceros!$A:$E,4,FALSE)</f>
        <v>0.19</v>
      </c>
      <c r="V1479" s="150">
        <f>+YEAR(PROVEEDORES[[#This Row],[FECHA DE FACTURACIÓN]])</f>
        <v>2024</v>
      </c>
      <c r="W1479" s="150">
        <f>+MATCH(PROVEEDORES[[#This Row],[año facturado]],Retenciones!$1:$1,0)</f>
        <v>7</v>
      </c>
      <c r="X1479" s="151" t="e">
        <f>+VLOOKUP(PROVEEDORES[[#This Row],[ID RETENCION]],Retenciones!$A$1:$O$25,PROVEEDORES[[#This Row],[indicador de columna]],FALSE)</f>
        <v>#N/A</v>
      </c>
      <c r="Y1479" s="152" t="e">
        <f>+VLOOKUP(PROVEEDORES[[#This Row],[ID RETENCION]],Retenciones!$A$1:$O$25,2,FALSE)</f>
        <v>#N/A</v>
      </c>
      <c r="Z1479" s="153" t="b">
        <f>+OR(COUNTIF(PROVEEDORES[[#This Row],[PROVEEDOR]],"*"&amp;'Palabra que no opera y Listas d'!$A$2&amp;"*"))</f>
        <v>0</v>
      </c>
    </row>
    <row r="1480" spans="1:26" ht="27.75" customHeight="1" x14ac:dyDescent="0.3">
      <c r="A1480" s="144" t="str">
        <f>+IF(PROVEEDORES[[#This Row],[FECHA DE PAGO]]=PROVEEDORES[[#This Row],[FECHA DE FACTURACIÓN]],"DE CONTADO","CRÉDITO")</f>
        <v>CRÉDITO</v>
      </c>
      <c r="B1480" s="144" t="str">
        <f>+IF((PROVEEDORES[[#This Row],[FECHA DE PAGO]]-PROVEEDORES[[#This Row],[FECHA DE FACTURACIÓN]])&gt;PROVEEDORES[[#This Row],[PLAZO Días]],"PAGO VENCIDO")</f>
        <v>PAGO VENCIDO</v>
      </c>
      <c r="C1480" s="144">
        <f>+VLOOKUP(PROVEEDORES[[#This Row],[PROVEEDOR]],TERCEROS_INFO[#All],2,FALSE)</f>
        <v>0</v>
      </c>
      <c r="D1480" s="145">
        <f>+SUMIFS(PROVEEDORES[Total],PROVEEDORES[PROVEEDOR],PROVEEDORES[[#This Row],[PROVEEDOR]],PROVEEDORES[FECHA DE PAGO],"")</f>
        <v>7281829.8799999999</v>
      </c>
      <c r="E1480" s="146"/>
      <c r="F1480" s="144" t="str">
        <f>+VLOOKUP(PROVEEDORES[[#This Row],[PROVEEDOR]],
                       Terceros!$A:$G,
                       5,
                       FALSE)</f>
        <v>2,5% con base</v>
      </c>
      <c r="G1480" s="122">
        <v>45404</v>
      </c>
      <c r="H1480" s="102" t="s">
        <v>1445</v>
      </c>
      <c r="I1480" s="122">
        <v>45362</v>
      </c>
      <c r="J1480" s="103" t="s">
        <v>1631</v>
      </c>
      <c r="K1480" s="103" t="s">
        <v>1512</v>
      </c>
      <c r="L1480" s="103" t="s">
        <v>1516</v>
      </c>
      <c r="M1480" s="105">
        <v>3974276</v>
      </c>
      <c r="N1480" s="147">
        <v>755112.44000000006</v>
      </c>
      <c r="O1480" s="147">
        <v>0</v>
      </c>
      <c r="P1480" s="148">
        <v>2.5000000000000001E-2</v>
      </c>
      <c r="Q1480" s="147">
        <v>99356.900000000009</v>
      </c>
      <c r="R1480" s="149">
        <v>4630031.54</v>
      </c>
      <c r="S148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0" s="150">
        <f ca="1">+IF(PROVEEDORES[[#This Row],[FECHA DE PAGO]]=0,TODAY()-PROVEEDORES[[#This Row],[FECHA DE FACTURACIÓN]]-PROVEEDORES[[#This Row],[PLAZO Días]],0)</f>
        <v>0</v>
      </c>
      <c r="U1480" s="150">
        <f>+VLOOKUP(PROVEEDORES[[#This Row],[PROVEEDOR]],Terceros!$A:$E,4,FALSE)</f>
        <v>0.19</v>
      </c>
      <c r="V1480" s="150">
        <f>+YEAR(PROVEEDORES[[#This Row],[FECHA DE FACTURACIÓN]])</f>
        <v>2024</v>
      </c>
      <c r="W1480" s="150">
        <f>+MATCH(PROVEEDORES[[#This Row],[año facturado]],Retenciones!$1:$1,0)</f>
        <v>7</v>
      </c>
      <c r="X1480" s="151" t="e">
        <f>+VLOOKUP(PROVEEDORES[[#This Row],[ID RETENCION]],Retenciones!$A$1:$O$25,PROVEEDORES[[#This Row],[indicador de columna]],FALSE)</f>
        <v>#N/A</v>
      </c>
      <c r="Y1480" s="152" t="e">
        <f>+VLOOKUP(PROVEEDORES[[#This Row],[ID RETENCION]],Retenciones!$A$1:$O$25,2,FALSE)</f>
        <v>#N/A</v>
      </c>
      <c r="Z1480" s="153" t="b">
        <f>+OR(COUNTIF(PROVEEDORES[[#This Row],[PROVEEDOR]],"*"&amp;'Palabra que no opera y Listas d'!$A$2&amp;"*"))</f>
        <v>0</v>
      </c>
    </row>
    <row r="1481" spans="1:26" ht="27.75" customHeight="1" x14ac:dyDescent="0.3">
      <c r="A1481" s="144" t="str">
        <f>+IF(PROVEEDORES[[#This Row],[FECHA DE PAGO]]=PROVEEDORES[[#This Row],[FECHA DE FACTURACIÓN]],"DE CONTADO","CRÉDITO")</f>
        <v>CRÉDITO</v>
      </c>
      <c r="B1481" s="144" t="str">
        <f>+IF((PROVEEDORES[[#This Row],[FECHA DE PAGO]]-PROVEEDORES[[#This Row],[FECHA DE FACTURACIÓN]])&gt;PROVEEDORES[[#This Row],[PLAZO Días]],"PAGO VENCIDO")</f>
        <v>PAGO VENCIDO</v>
      </c>
      <c r="C1481" s="144">
        <f>+VLOOKUP(PROVEEDORES[[#This Row],[PROVEEDOR]],TERCEROS_INFO[#All],2,FALSE)</f>
        <v>0</v>
      </c>
      <c r="D1481" s="145">
        <f>+SUMIFS(PROVEEDORES[Total],PROVEEDORES[PROVEEDOR],PROVEEDORES[[#This Row],[PROVEEDOR]],PROVEEDORES[FECHA DE PAGO],"")</f>
        <v>7281829.8799999999</v>
      </c>
      <c r="E1481" s="146"/>
      <c r="F1481" s="144" t="str">
        <f>+VLOOKUP(PROVEEDORES[[#This Row],[PROVEEDOR]],
                       Terceros!$A:$G,
                       5,
                       FALSE)</f>
        <v>2,5% con base</v>
      </c>
      <c r="G1481" s="122">
        <v>45404</v>
      </c>
      <c r="H1481" s="102" t="s">
        <v>1445</v>
      </c>
      <c r="I1481" s="122">
        <v>45362</v>
      </c>
      <c r="J1481" s="103" t="s">
        <v>1634</v>
      </c>
      <c r="K1481" s="103" t="s">
        <v>1512</v>
      </c>
      <c r="L1481" s="103" t="s">
        <v>1515</v>
      </c>
      <c r="M1481" s="105">
        <v>84034</v>
      </c>
      <c r="N1481" s="147">
        <v>15966.460000000001</v>
      </c>
      <c r="O1481" s="147">
        <v>0</v>
      </c>
      <c r="P1481" s="148">
        <v>0</v>
      </c>
      <c r="Q1481" s="147">
        <v>0</v>
      </c>
      <c r="R1481" s="149">
        <v>100000.46</v>
      </c>
      <c r="S148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1" s="150">
        <f ca="1">+IF(PROVEEDORES[[#This Row],[FECHA DE PAGO]]=0,TODAY()-PROVEEDORES[[#This Row],[FECHA DE FACTURACIÓN]]-PROVEEDORES[[#This Row],[PLAZO Días]],0)</f>
        <v>0</v>
      </c>
      <c r="U1481" s="150">
        <f>+VLOOKUP(PROVEEDORES[[#This Row],[PROVEEDOR]],Terceros!$A:$E,4,FALSE)</f>
        <v>0.19</v>
      </c>
      <c r="V1481" s="150">
        <f>+YEAR(PROVEEDORES[[#This Row],[FECHA DE FACTURACIÓN]])</f>
        <v>2024</v>
      </c>
      <c r="W1481" s="150">
        <f>+MATCH(PROVEEDORES[[#This Row],[año facturado]],Retenciones!$1:$1,0)</f>
        <v>7</v>
      </c>
      <c r="X1481" s="151" t="e">
        <f>+VLOOKUP(PROVEEDORES[[#This Row],[ID RETENCION]],Retenciones!$A$1:$O$25,PROVEEDORES[[#This Row],[indicador de columna]],FALSE)</f>
        <v>#N/A</v>
      </c>
      <c r="Y1481" s="152" t="e">
        <f>+VLOOKUP(PROVEEDORES[[#This Row],[ID RETENCION]],Retenciones!$A$1:$O$25,2,FALSE)</f>
        <v>#N/A</v>
      </c>
      <c r="Z1481" s="153" t="b">
        <f>+OR(COUNTIF(PROVEEDORES[[#This Row],[PROVEEDOR]],"*"&amp;'Palabra que no opera y Listas d'!$A$2&amp;"*"))</f>
        <v>0</v>
      </c>
    </row>
    <row r="1482" spans="1:26" ht="27.75" customHeight="1" x14ac:dyDescent="0.3">
      <c r="A1482" s="144" t="str">
        <f>+IF(PROVEEDORES[[#This Row],[FECHA DE PAGO]]=PROVEEDORES[[#This Row],[FECHA DE FACTURACIÓN]],"DE CONTADO","CRÉDITO")</f>
        <v>CRÉDITO</v>
      </c>
      <c r="B1482" s="144" t="str">
        <f>+IF((PROVEEDORES[[#This Row],[FECHA DE PAGO]]-PROVEEDORES[[#This Row],[FECHA DE FACTURACIÓN]])&gt;PROVEEDORES[[#This Row],[PLAZO Días]],"PAGO VENCIDO")</f>
        <v>PAGO VENCIDO</v>
      </c>
      <c r="C1482" s="144">
        <f>+VLOOKUP(PROVEEDORES[[#This Row],[PROVEEDOR]],TERCEROS_INFO[#All],2,FALSE)</f>
        <v>0</v>
      </c>
      <c r="D1482" s="145">
        <f>+SUMIFS(PROVEEDORES[Total],PROVEEDORES[PROVEEDOR],PROVEEDORES[[#This Row],[PROVEEDOR]],PROVEEDORES[FECHA DE PAGO],"")</f>
        <v>7281829.8799999999</v>
      </c>
      <c r="E1482" s="146"/>
      <c r="F1482" s="144" t="str">
        <f>+VLOOKUP(PROVEEDORES[[#This Row],[PROVEEDOR]],
                       Terceros!$A:$G,
                       5,
                       FALSE)</f>
        <v>2,5% con base</v>
      </c>
      <c r="G1482" s="122">
        <v>45404</v>
      </c>
      <c r="H1482" s="102" t="s">
        <v>1445</v>
      </c>
      <c r="I1482" s="122">
        <v>45363</v>
      </c>
      <c r="J1482" s="103" t="s">
        <v>1635</v>
      </c>
      <c r="K1482" s="103" t="s">
        <v>1512</v>
      </c>
      <c r="L1482" s="103" t="s">
        <v>1515</v>
      </c>
      <c r="M1482" s="105">
        <v>118702</v>
      </c>
      <c r="N1482" s="147">
        <v>22553.38</v>
      </c>
      <c r="O1482" s="147">
        <v>0</v>
      </c>
      <c r="P1482" s="148">
        <v>0</v>
      </c>
      <c r="Q1482" s="147">
        <v>0</v>
      </c>
      <c r="R1482" s="149">
        <v>141255.38</v>
      </c>
      <c r="S148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2" s="150">
        <f ca="1">+IF(PROVEEDORES[[#This Row],[FECHA DE PAGO]]=0,TODAY()-PROVEEDORES[[#This Row],[FECHA DE FACTURACIÓN]]-PROVEEDORES[[#This Row],[PLAZO Días]],0)</f>
        <v>0</v>
      </c>
      <c r="U1482" s="150">
        <f>+VLOOKUP(PROVEEDORES[[#This Row],[PROVEEDOR]],Terceros!$A:$E,4,FALSE)</f>
        <v>0.19</v>
      </c>
      <c r="V1482" s="150">
        <f>+YEAR(PROVEEDORES[[#This Row],[FECHA DE FACTURACIÓN]])</f>
        <v>2024</v>
      </c>
      <c r="W1482" s="150">
        <f>+MATCH(PROVEEDORES[[#This Row],[año facturado]],Retenciones!$1:$1,0)</f>
        <v>7</v>
      </c>
      <c r="X1482" s="151" t="e">
        <f>+VLOOKUP(PROVEEDORES[[#This Row],[ID RETENCION]],Retenciones!$A$1:$O$25,PROVEEDORES[[#This Row],[indicador de columna]],FALSE)</f>
        <v>#N/A</v>
      </c>
      <c r="Y1482" s="152" t="e">
        <f>+VLOOKUP(PROVEEDORES[[#This Row],[ID RETENCION]],Retenciones!$A$1:$O$25,2,FALSE)</f>
        <v>#N/A</v>
      </c>
      <c r="Z1482" s="153" t="b">
        <f>+OR(COUNTIF(PROVEEDORES[[#This Row],[PROVEEDOR]],"*"&amp;'Palabra que no opera y Listas d'!$A$2&amp;"*"))</f>
        <v>0</v>
      </c>
    </row>
    <row r="1483" spans="1:26" ht="27.75" customHeight="1" x14ac:dyDescent="0.3">
      <c r="A1483" s="144" t="str">
        <f>+IF(PROVEEDORES[[#This Row],[FECHA DE PAGO]]=PROVEEDORES[[#This Row],[FECHA DE FACTURACIÓN]],"DE CONTADO","CRÉDITO")</f>
        <v>CRÉDITO</v>
      </c>
      <c r="B1483" s="144" t="str">
        <f>+IF((PROVEEDORES[[#This Row],[FECHA DE PAGO]]-PROVEEDORES[[#This Row],[FECHA DE FACTURACIÓN]])&gt;PROVEEDORES[[#This Row],[PLAZO Días]],"PAGO VENCIDO")</f>
        <v>PAGO VENCIDO</v>
      </c>
      <c r="C1483" s="144">
        <f>+VLOOKUP(PROVEEDORES[[#This Row],[PROVEEDOR]],TERCEROS_INFO[#All],2,FALSE)</f>
        <v>0</v>
      </c>
      <c r="D1483" s="145">
        <f>+SUMIFS(PROVEEDORES[Total],PROVEEDORES[PROVEEDOR],PROVEEDORES[[#This Row],[PROVEEDOR]],PROVEEDORES[FECHA DE PAGO],"")</f>
        <v>7281829.8799999999</v>
      </c>
      <c r="E1483" s="146"/>
      <c r="F1483" s="144" t="str">
        <f>+VLOOKUP(PROVEEDORES[[#This Row],[PROVEEDOR]],
                       Terceros!$A:$G,
                       5,
                       FALSE)</f>
        <v>2,5% con base</v>
      </c>
      <c r="G1483" s="122">
        <v>45404</v>
      </c>
      <c r="H1483" s="102" t="s">
        <v>1445</v>
      </c>
      <c r="I1483" s="122">
        <v>45365</v>
      </c>
      <c r="J1483" s="103" t="s">
        <v>1637</v>
      </c>
      <c r="K1483" s="103" t="s">
        <v>1512</v>
      </c>
      <c r="L1483" s="103" t="s">
        <v>1516</v>
      </c>
      <c r="M1483" s="105">
        <v>60504</v>
      </c>
      <c r="N1483" s="147">
        <v>11495.76</v>
      </c>
      <c r="O1483" s="147">
        <v>0</v>
      </c>
      <c r="P1483" s="148">
        <v>0</v>
      </c>
      <c r="Q1483" s="147">
        <v>0</v>
      </c>
      <c r="R1483" s="149">
        <v>71999.759999999995</v>
      </c>
      <c r="S148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3" s="150">
        <f ca="1">+IF(PROVEEDORES[[#This Row],[FECHA DE PAGO]]=0,TODAY()-PROVEEDORES[[#This Row],[FECHA DE FACTURACIÓN]]-PROVEEDORES[[#This Row],[PLAZO Días]],0)</f>
        <v>0</v>
      </c>
      <c r="U1483" s="150">
        <f>+VLOOKUP(PROVEEDORES[[#This Row],[PROVEEDOR]],Terceros!$A:$E,4,FALSE)</f>
        <v>0.19</v>
      </c>
      <c r="V1483" s="150">
        <f>+YEAR(PROVEEDORES[[#This Row],[FECHA DE FACTURACIÓN]])</f>
        <v>2024</v>
      </c>
      <c r="W1483" s="150">
        <f>+MATCH(PROVEEDORES[[#This Row],[año facturado]],Retenciones!$1:$1,0)</f>
        <v>7</v>
      </c>
      <c r="X1483" s="151" t="e">
        <f>+VLOOKUP(PROVEEDORES[[#This Row],[ID RETENCION]],Retenciones!$A$1:$O$25,PROVEEDORES[[#This Row],[indicador de columna]],FALSE)</f>
        <v>#N/A</v>
      </c>
      <c r="Y1483" s="152" t="e">
        <f>+VLOOKUP(PROVEEDORES[[#This Row],[ID RETENCION]],Retenciones!$A$1:$O$25,2,FALSE)</f>
        <v>#N/A</v>
      </c>
      <c r="Z1483" s="153" t="b">
        <f>+OR(COUNTIF(PROVEEDORES[[#This Row],[PROVEEDOR]],"*"&amp;'Palabra que no opera y Listas d'!$A$2&amp;"*"))</f>
        <v>0</v>
      </c>
    </row>
    <row r="1484" spans="1:26" ht="27.75" customHeight="1" x14ac:dyDescent="0.3">
      <c r="A1484" s="144" t="str">
        <f>+IF(PROVEEDORES[[#This Row],[FECHA DE PAGO]]=PROVEEDORES[[#This Row],[FECHA DE FACTURACIÓN]],"DE CONTADO","CRÉDITO")</f>
        <v>CRÉDITO</v>
      </c>
      <c r="B1484" s="144" t="str">
        <f>+IF((PROVEEDORES[[#This Row],[FECHA DE PAGO]]-PROVEEDORES[[#This Row],[FECHA DE FACTURACIÓN]])&gt;PROVEEDORES[[#This Row],[PLAZO Días]],"PAGO VENCIDO")</f>
        <v>PAGO VENCIDO</v>
      </c>
      <c r="C1484" s="144">
        <f>+VLOOKUP(PROVEEDORES[[#This Row],[PROVEEDOR]],TERCEROS_INFO[#All],2,FALSE)</f>
        <v>0</v>
      </c>
      <c r="D1484" s="145">
        <f>+SUMIFS(PROVEEDORES[Total],PROVEEDORES[PROVEEDOR],PROVEEDORES[[#This Row],[PROVEEDOR]],PROVEEDORES[FECHA DE PAGO],"")</f>
        <v>7281829.8799999999</v>
      </c>
      <c r="E1484" s="146"/>
      <c r="F1484" s="144" t="str">
        <f>+VLOOKUP(PROVEEDORES[[#This Row],[PROVEEDOR]],
                       Terceros!$A:$G,
                       5,
                       FALSE)</f>
        <v>2,5% con base</v>
      </c>
      <c r="G1484" s="122">
        <v>45404</v>
      </c>
      <c r="H1484" s="102" t="s">
        <v>1445</v>
      </c>
      <c r="I1484" s="122">
        <v>45365</v>
      </c>
      <c r="J1484" s="103" t="s">
        <v>1636</v>
      </c>
      <c r="K1484" s="103" t="s">
        <v>1512</v>
      </c>
      <c r="L1484" s="103" t="s">
        <v>1515</v>
      </c>
      <c r="M1484" s="105">
        <v>135330</v>
      </c>
      <c r="N1484" s="147">
        <v>25712.7</v>
      </c>
      <c r="O1484" s="147">
        <v>0</v>
      </c>
      <c r="P1484" s="148">
        <v>0</v>
      </c>
      <c r="Q1484" s="147">
        <v>0</v>
      </c>
      <c r="R1484" s="149">
        <v>161042.70000000001</v>
      </c>
      <c r="S148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4" s="150">
        <f ca="1">+IF(PROVEEDORES[[#This Row],[FECHA DE PAGO]]=0,TODAY()-PROVEEDORES[[#This Row],[FECHA DE FACTURACIÓN]]-PROVEEDORES[[#This Row],[PLAZO Días]],0)</f>
        <v>0</v>
      </c>
      <c r="U1484" s="150">
        <f>+VLOOKUP(PROVEEDORES[[#This Row],[PROVEEDOR]],Terceros!$A:$E,4,FALSE)</f>
        <v>0.19</v>
      </c>
      <c r="V1484" s="150">
        <f>+YEAR(PROVEEDORES[[#This Row],[FECHA DE FACTURACIÓN]])</f>
        <v>2024</v>
      </c>
      <c r="W1484" s="150">
        <f>+MATCH(PROVEEDORES[[#This Row],[año facturado]],Retenciones!$1:$1,0)</f>
        <v>7</v>
      </c>
      <c r="X1484" s="151" t="e">
        <f>+VLOOKUP(PROVEEDORES[[#This Row],[ID RETENCION]],Retenciones!$A$1:$O$25,PROVEEDORES[[#This Row],[indicador de columna]],FALSE)</f>
        <v>#N/A</v>
      </c>
      <c r="Y1484" s="152" t="e">
        <f>+VLOOKUP(PROVEEDORES[[#This Row],[ID RETENCION]],Retenciones!$A$1:$O$25,2,FALSE)</f>
        <v>#N/A</v>
      </c>
      <c r="Z1484" s="153" t="b">
        <f>+OR(COUNTIF(PROVEEDORES[[#This Row],[PROVEEDOR]],"*"&amp;'Palabra que no opera y Listas d'!$A$2&amp;"*"))</f>
        <v>0</v>
      </c>
    </row>
    <row r="1485" spans="1:26" ht="27.75" customHeight="1" x14ac:dyDescent="0.3">
      <c r="A1485" s="144" t="str">
        <f>+IF(PROVEEDORES[[#This Row],[FECHA DE PAGO]]=PROVEEDORES[[#This Row],[FECHA DE FACTURACIÓN]],"DE CONTADO","CRÉDITO")</f>
        <v>CRÉDITO</v>
      </c>
      <c r="B1485" s="144" t="str">
        <f>+IF((PROVEEDORES[[#This Row],[FECHA DE PAGO]]-PROVEEDORES[[#This Row],[FECHA DE FACTURACIÓN]])&gt;PROVEEDORES[[#This Row],[PLAZO Días]],"PAGO VENCIDO")</f>
        <v>PAGO VENCIDO</v>
      </c>
      <c r="C1485" s="144">
        <f>+VLOOKUP(PROVEEDORES[[#This Row],[PROVEEDOR]],TERCEROS_INFO[#All],2,FALSE)</f>
        <v>0</v>
      </c>
      <c r="D1485" s="145">
        <f>+SUMIFS(PROVEEDORES[Total],PROVEEDORES[PROVEEDOR],PROVEEDORES[[#This Row],[PROVEEDOR]],PROVEEDORES[FECHA DE PAGO],"")</f>
        <v>1460000.29</v>
      </c>
      <c r="E1485" s="146"/>
      <c r="F1485" s="144" t="str">
        <f>+VLOOKUP(PROVEEDORES[[#This Row],[PROVEEDOR]],
                       Terceros!$A:$G,
                       5,
                       FALSE)</f>
        <v>2,5% con base</v>
      </c>
      <c r="G1485" s="122">
        <v>45404</v>
      </c>
      <c r="H1485" s="102" t="s">
        <v>142</v>
      </c>
      <c r="I1485" s="122">
        <v>45372</v>
      </c>
      <c r="J1485" s="103" t="s">
        <v>1654</v>
      </c>
      <c r="K1485" s="103" t="s">
        <v>1512</v>
      </c>
      <c r="L1485" s="103" t="s">
        <v>1515</v>
      </c>
      <c r="M1485" s="105">
        <v>2483195</v>
      </c>
      <c r="N1485" s="147">
        <v>471807.05</v>
      </c>
      <c r="O1485" s="147">
        <v>0</v>
      </c>
      <c r="P1485" s="148">
        <v>2.5000000000000001E-2</v>
      </c>
      <c r="Q1485" s="147">
        <v>62079.875</v>
      </c>
      <c r="R1485" s="149">
        <v>2892922.1749999998</v>
      </c>
      <c r="S148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5" s="150">
        <f ca="1">+IF(PROVEEDORES[[#This Row],[FECHA DE PAGO]]=0,TODAY()-PROVEEDORES[[#This Row],[FECHA DE FACTURACIÓN]]-PROVEEDORES[[#This Row],[PLAZO Días]],0)</f>
        <v>0</v>
      </c>
      <c r="U1485" s="150">
        <f>+VLOOKUP(PROVEEDORES[[#This Row],[PROVEEDOR]],Terceros!$A:$E,4,FALSE)</f>
        <v>0.19</v>
      </c>
      <c r="V1485" s="150">
        <f>+YEAR(PROVEEDORES[[#This Row],[FECHA DE FACTURACIÓN]])</f>
        <v>2024</v>
      </c>
      <c r="W1485" s="150">
        <f>+MATCH(PROVEEDORES[[#This Row],[año facturado]],Retenciones!$1:$1,0)</f>
        <v>7</v>
      </c>
      <c r="X1485" s="151" t="e">
        <f>+VLOOKUP(PROVEEDORES[[#This Row],[ID RETENCION]],Retenciones!$A$1:$O$25,PROVEEDORES[[#This Row],[indicador de columna]],FALSE)</f>
        <v>#N/A</v>
      </c>
      <c r="Y1485" s="152" t="e">
        <f>+VLOOKUP(PROVEEDORES[[#This Row],[ID RETENCION]],Retenciones!$A$1:$O$25,2,FALSE)</f>
        <v>#N/A</v>
      </c>
      <c r="Z1485" s="153" t="b">
        <f>+OR(COUNTIF(PROVEEDORES[[#This Row],[PROVEEDOR]],"*"&amp;'Palabra que no opera y Listas d'!$A$2&amp;"*"))</f>
        <v>0</v>
      </c>
    </row>
    <row r="1486" spans="1:26" ht="27.75" customHeight="1" x14ac:dyDescent="0.3">
      <c r="A1486" s="144" t="str">
        <f>+IF(PROVEEDORES[[#This Row],[FECHA DE PAGO]]=PROVEEDORES[[#This Row],[FECHA DE FACTURACIÓN]],"DE CONTADO","CRÉDITO")</f>
        <v>CRÉDITO</v>
      </c>
      <c r="B1486" s="144" t="str">
        <f>+IF((PROVEEDORES[[#This Row],[FECHA DE PAGO]]-PROVEEDORES[[#This Row],[FECHA DE FACTURACIÓN]])&gt;PROVEEDORES[[#This Row],[PLAZO Días]],"PAGO VENCIDO")</f>
        <v>PAGO VENCIDO</v>
      </c>
      <c r="C1486" s="144">
        <f>+VLOOKUP(PROVEEDORES[[#This Row],[PROVEEDOR]],TERCEROS_INFO[#All],2,FALSE)</f>
        <v>0</v>
      </c>
      <c r="D1486" s="145">
        <f>+SUMIFS(PROVEEDORES[Total],PROVEEDORES[PROVEEDOR],PROVEEDORES[[#This Row],[PROVEEDOR]],PROVEEDORES[FECHA DE PAGO],"")</f>
        <v>7281829.8799999999</v>
      </c>
      <c r="E1486" s="146"/>
      <c r="F1486" s="144" t="str">
        <f>+VLOOKUP(PROVEEDORES[[#This Row],[PROVEEDOR]],
                       Terceros!$A:$G,
                       5,
                       FALSE)</f>
        <v>2,5% con base</v>
      </c>
      <c r="G1486" s="122">
        <v>45404</v>
      </c>
      <c r="H1486" s="102" t="s">
        <v>1445</v>
      </c>
      <c r="I1486" s="122">
        <v>45373</v>
      </c>
      <c r="J1486" s="103" t="s">
        <v>1659</v>
      </c>
      <c r="K1486" s="103" t="s">
        <v>1512</v>
      </c>
      <c r="L1486" s="103" t="s">
        <v>1515</v>
      </c>
      <c r="M1486" s="105">
        <v>187750</v>
      </c>
      <c r="N1486" s="147">
        <v>35672.5</v>
      </c>
      <c r="O1486" s="147">
        <v>0</v>
      </c>
      <c r="P1486" s="148">
        <v>0</v>
      </c>
      <c r="Q1486" s="147">
        <v>0</v>
      </c>
      <c r="R1486" s="149">
        <v>223422.5</v>
      </c>
      <c r="S148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6" s="150">
        <f ca="1">+IF(PROVEEDORES[[#This Row],[FECHA DE PAGO]]=0,TODAY()-PROVEEDORES[[#This Row],[FECHA DE FACTURACIÓN]]-PROVEEDORES[[#This Row],[PLAZO Días]],0)</f>
        <v>0</v>
      </c>
      <c r="U1486" s="150">
        <f>+VLOOKUP(PROVEEDORES[[#This Row],[PROVEEDOR]],Terceros!$A:$E,4,FALSE)</f>
        <v>0.19</v>
      </c>
      <c r="V1486" s="150">
        <f>+YEAR(PROVEEDORES[[#This Row],[FECHA DE FACTURACIÓN]])</f>
        <v>2024</v>
      </c>
      <c r="W1486" s="150">
        <f>+MATCH(PROVEEDORES[[#This Row],[año facturado]],Retenciones!$1:$1,0)</f>
        <v>7</v>
      </c>
      <c r="X1486" s="151" t="e">
        <f>+VLOOKUP(PROVEEDORES[[#This Row],[ID RETENCION]],Retenciones!$A$1:$O$25,PROVEEDORES[[#This Row],[indicador de columna]],FALSE)</f>
        <v>#N/A</v>
      </c>
      <c r="Y1486" s="152" t="e">
        <f>+VLOOKUP(PROVEEDORES[[#This Row],[ID RETENCION]],Retenciones!$A$1:$O$25,2,FALSE)</f>
        <v>#N/A</v>
      </c>
      <c r="Z1486" s="153" t="b">
        <f>+OR(COUNTIF(PROVEEDORES[[#This Row],[PROVEEDOR]],"*"&amp;'Palabra que no opera y Listas d'!$A$2&amp;"*"))</f>
        <v>0</v>
      </c>
    </row>
    <row r="1487" spans="1:26" ht="27.75" customHeight="1" x14ac:dyDescent="0.3">
      <c r="A1487" s="144" t="str">
        <f>+IF(PROVEEDORES[[#This Row],[FECHA DE PAGO]]=PROVEEDORES[[#This Row],[FECHA DE FACTURACIÓN]],"DE CONTADO","CRÉDITO")</f>
        <v>CRÉDITO</v>
      </c>
      <c r="B1487" s="144" t="str">
        <f>+IF((PROVEEDORES[[#This Row],[FECHA DE PAGO]]-PROVEEDORES[[#This Row],[FECHA DE FACTURACIÓN]])&gt;PROVEEDORES[[#This Row],[PLAZO Días]],"PAGO VENCIDO")</f>
        <v>PAGO VENCIDO</v>
      </c>
      <c r="C1487" s="144">
        <f>+VLOOKUP(PROVEEDORES[[#This Row],[PROVEEDOR]],TERCEROS_INFO[#All],2,FALSE)</f>
        <v>0</v>
      </c>
      <c r="D1487" s="145">
        <f>+SUMIFS(PROVEEDORES[Total],PROVEEDORES[PROVEEDOR],PROVEEDORES[[#This Row],[PROVEEDOR]],PROVEEDORES[FECHA DE PAGO],"")</f>
        <v>0</v>
      </c>
      <c r="E1487" s="146"/>
      <c r="F1487" s="144" t="str">
        <f>+VLOOKUP(PROVEEDORES[[#This Row],[PROVEEDOR]],
                       Terceros!$A:$G,
                       5,
                       FALSE)</f>
        <v>3,5% sin base</v>
      </c>
      <c r="G1487" s="122">
        <v>45404</v>
      </c>
      <c r="H1487" s="102" t="s">
        <v>395</v>
      </c>
      <c r="I1487" s="122">
        <v>45383</v>
      </c>
      <c r="J1487" s="103" t="s">
        <v>1732</v>
      </c>
      <c r="K1487" s="103" t="s">
        <v>516</v>
      </c>
      <c r="L1487" s="103" t="s">
        <v>1516</v>
      </c>
      <c r="M1487" s="105">
        <v>3847000</v>
      </c>
      <c r="N1487" s="147">
        <v>0</v>
      </c>
      <c r="O1487" s="147">
        <v>0</v>
      </c>
      <c r="P1487" s="148">
        <v>3.5000000000000003E-2</v>
      </c>
      <c r="Q1487" s="147">
        <v>134645</v>
      </c>
      <c r="R1487" s="149">
        <v>3712355</v>
      </c>
      <c r="S148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7" s="150">
        <f ca="1">+IF(PROVEEDORES[[#This Row],[FECHA DE PAGO]]=0,TODAY()-PROVEEDORES[[#This Row],[FECHA DE FACTURACIÓN]]-PROVEEDORES[[#This Row],[PLAZO Días]],0)</f>
        <v>0</v>
      </c>
      <c r="U1487" s="150">
        <f>+VLOOKUP(PROVEEDORES[[#This Row],[PROVEEDOR]],Terceros!$A:$E,4,FALSE)</f>
        <v>0</v>
      </c>
      <c r="V1487" s="150">
        <f>+YEAR(PROVEEDORES[[#This Row],[FECHA DE FACTURACIÓN]])</f>
        <v>2024</v>
      </c>
      <c r="W1487" s="150">
        <f>+MATCH(PROVEEDORES[[#This Row],[año facturado]],Retenciones!$1:$1,0)</f>
        <v>7</v>
      </c>
      <c r="X1487" s="151">
        <f>+VLOOKUP(PROVEEDORES[[#This Row],[ID RETENCION]],Retenciones!$A$1:$O$25,PROVEEDORES[[#This Row],[indicador de columna]],FALSE)</f>
        <v>0</v>
      </c>
      <c r="Y1487" s="152">
        <f>+VLOOKUP(PROVEEDORES[[#This Row],[ID RETENCION]],Retenciones!$A$1:$O$25,2,FALSE)</f>
        <v>0</v>
      </c>
      <c r="Z1487" s="153" t="b">
        <f>+OR(COUNTIF(PROVEEDORES[[#This Row],[PROVEEDOR]],"*"&amp;'Palabra que no opera y Listas d'!$A$2&amp;"*"))</f>
        <v>1</v>
      </c>
    </row>
    <row r="1488" spans="1:26" ht="27.75" customHeight="1" x14ac:dyDescent="0.3">
      <c r="A1488" s="144" t="str">
        <f>+IF(PROVEEDORES[[#This Row],[FECHA DE PAGO]]=PROVEEDORES[[#This Row],[FECHA DE FACTURACIÓN]],"DE CONTADO","CRÉDITO")</f>
        <v>CRÉDITO</v>
      </c>
      <c r="B1488" s="144" t="str">
        <f>+IF((PROVEEDORES[[#This Row],[FECHA DE PAGO]]-PROVEEDORES[[#This Row],[FECHA DE FACTURACIÓN]])&gt;PROVEEDORES[[#This Row],[PLAZO Días]],"PAGO VENCIDO")</f>
        <v>PAGO VENCIDO</v>
      </c>
      <c r="C1488" s="144">
        <f>+VLOOKUP(PROVEEDORES[[#This Row],[PROVEEDOR]],TERCEROS_INFO[#All],2,FALSE)</f>
        <v>0</v>
      </c>
      <c r="D1488" s="145">
        <f>+SUMIFS(PROVEEDORES[Total],PROVEEDORES[PROVEEDOR],PROVEEDORES[[#This Row],[PROVEEDOR]],PROVEEDORES[FECHA DE PAGO],"")</f>
        <v>1460000.29</v>
      </c>
      <c r="E1488" s="146"/>
      <c r="F1488" s="144" t="str">
        <f>+VLOOKUP(PROVEEDORES[[#This Row],[PROVEEDOR]],
                       Terceros!$A:$G,
                       5,
                       FALSE)</f>
        <v>2,5% con base</v>
      </c>
      <c r="G1488" s="122">
        <v>45404</v>
      </c>
      <c r="H1488" s="102" t="s">
        <v>142</v>
      </c>
      <c r="I1488" s="122">
        <v>45384</v>
      </c>
      <c r="J1488" s="103" t="s">
        <v>1694</v>
      </c>
      <c r="K1488" s="103" t="s">
        <v>1512</v>
      </c>
      <c r="L1488" s="103" t="s">
        <v>1515</v>
      </c>
      <c r="M1488" s="105">
        <v>90756</v>
      </c>
      <c r="N1488" s="147">
        <v>17243.64</v>
      </c>
      <c r="O1488" s="147">
        <v>0</v>
      </c>
      <c r="P1488" s="148">
        <v>0</v>
      </c>
      <c r="Q1488" s="147">
        <v>0</v>
      </c>
      <c r="R1488" s="149">
        <v>107999.64</v>
      </c>
      <c r="S148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8" s="150">
        <f ca="1">+IF(PROVEEDORES[[#This Row],[FECHA DE PAGO]]=0,TODAY()-PROVEEDORES[[#This Row],[FECHA DE FACTURACIÓN]]-PROVEEDORES[[#This Row],[PLAZO Días]],0)</f>
        <v>0</v>
      </c>
      <c r="U1488" s="150">
        <f>+VLOOKUP(PROVEEDORES[[#This Row],[PROVEEDOR]],Terceros!$A:$E,4,FALSE)</f>
        <v>0.19</v>
      </c>
      <c r="V1488" s="150">
        <f>+YEAR(PROVEEDORES[[#This Row],[FECHA DE FACTURACIÓN]])</f>
        <v>2024</v>
      </c>
      <c r="W1488" s="150">
        <f>+MATCH(PROVEEDORES[[#This Row],[año facturado]],Retenciones!$1:$1,0)</f>
        <v>7</v>
      </c>
      <c r="X1488" s="151" t="e">
        <f>+VLOOKUP(PROVEEDORES[[#This Row],[ID RETENCION]],Retenciones!$A$1:$O$25,PROVEEDORES[[#This Row],[indicador de columna]],FALSE)</f>
        <v>#N/A</v>
      </c>
      <c r="Y1488" s="152" t="e">
        <f>+VLOOKUP(PROVEEDORES[[#This Row],[ID RETENCION]],Retenciones!$A$1:$O$25,2,FALSE)</f>
        <v>#N/A</v>
      </c>
      <c r="Z1488" s="153" t="b">
        <f>+OR(COUNTIF(PROVEEDORES[[#This Row],[PROVEEDOR]],"*"&amp;'Palabra que no opera y Listas d'!$A$2&amp;"*"))</f>
        <v>0</v>
      </c>
    </row>
    <row r="1489" spans="1:26" ht="27.75" customHeight="1" x14ac:dyDescent="0.3">
      <c r="A1489" s="144" t="str">
        <f>+IF(PROVEEDORES[[#This Row],[FECHA DE PAGO]]=PROVEEDORES[[#This Row],[FECHA DE FACTURACIÓN]],"DE CONTADO","CRÉDITO")</f>
        <v>CRÉDITO</v>
      </c>
      <c r="B1489" s="144" t="str">
        <f>+IF((PROVEEDORES[[#This Row],[FECHA DE PAGO]]-PROVEEDORES[[#This Row],[FECHA DE FACTURACIÓN]])&gt;PROVEEDORES[[#This Row],[PLAZO Días]],"PAGO VENCIDO")</f>
        <v>PAGO VENCIDO</v>
      </c>
      <c r="C1489" s="144">
        <f>+VLOOKUP(PROVEEDORES[[#This Row],[PROVEEDOR]],TERCEROS_INFO[#All],2,FALSE)</f>
        <v>0</v>
      </c>
      <c r="D1489" s="145">
        <f>+SUMIFS(PROVEEDORES[Total],PROVEEDORES[PROVEEDOR],PROVEEDORES[[#This Row],[PROVEEDOR]],PROVEEDORES[FECHA DE PAGO],"")</f>
        <v>0</v>
      </c>
      <c r="E1489" s="146"/>
      <c r="F1489" s="144">
        <f>+VLOOKUP(PROVEEDORES[[#This Row],[PROVEEDOR]],
                       Terceros!$A:$G,
                       5,
                       FALSE)</f>
        <v>0</v>
      </c>
      <c r="G1489" s="122">
        <v>45405</v>
      </c>
      <c r="H1489" s="102" t="s">
        <v>404</v>
      </c>
      <c r="I1489" s="122">
        <v>45383</v>
      </c>
      <c r="J1489" s="103"/>
      <c r="K1489" s="103" t="s">
        <v>1512</v>
      </c>
      <c r="L1489" s="103" t="s">
        <v>1390</v>
      </c>
      <c r="M1489" s="105">
        <v>860215</v>
      </c>
      <c r="N1489" s="147">
        <v>0</v>
      </c>
      <c r="O1489" s="147">
        <v>0</v>
      </c>
      <c r="P1489" s="148">
        <v>0</v>
      </c>
      <c r="Q1489" s="147">
        <v>0</v>
      </c>
      <c r="R1489" s="149">
        <v>860215</v>
      </c>
      <c r="S148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9" s="150">
        <f ca="1">+IF(PROVEEDORES[[#This Row],[FECHA DE PAGO]]=0,TODAY()-PROVEEDORES[[#This Row],[FECHA DE FACTURACIÓN]]-PROVEEDORES[[#This Row],[PLAZO Días]],0)</f>
        <v>0</v>
      </c>
      <c r="U1489" s="150">
        <f>+VLOOKUP(PROVEEDORES[[#This Row],[PROVEEDOR]],Terceros!$A:$E,4,FALSE)</f>
        <v>0</v>
      </c>
      <c r="V1489" s="150">
        <f>+YEAR(PROVEEDORES[[#This Row],[FECHA DE FACTURACIÓN]])</f>
        <v>2024</v>
      </c>
      <c r="W1489" s="150">
        <f>+MATCH(PROVEEDORES[[#This Row],[año facturado]],Retenciones!$1:$1,0)</f>
        <v>7</v>
      </c>
      <c r="X1489" s="151">
        <f>+VLOOKUP(PROVEEDORES[[#This Row],[ID RETENCION]],Retenciones!$A$1:$O$25,PROVEEDORES[[#This Row],[indicador de columna]],FALSE)</f>
        <v>0</v>
      </c>
      <c r="Y1489" s="152">
        <f>+VLOOKUP(PROVEEDORES[[#This Row],[ID RETENCION]],Retenciones!$A$1:$O$25,2,FALSE)</f>
        <v>0</v>
      </c>
      <c r="Z1489" s="153" t="b">
        <f>+OR(COUNTIF(PROVEEDORES[[#This Row],[PROVEEDOR]],"*"&amp;'Palabra que no opera y Listas d'!$A$2&amp;"*"))</f>
        <v>1</v>
      </c>
    </row>
    <row r="1490" spans="1:26" ht="27.75" customHeight="1" x14ac:dyDescent="0.3">
      <c r="A1490" s="144" t="str">
        <f>+IF(PROVEEDORES[[#This Row],[FECHA DE PAGO]]=PROVEEDORES[[#This Row],[FECHA DE FACTURACIÓN]],"DE CONTADO","CRÉDITO")</f>
        <v>CRÉDITO</v>
      </c>
      <c r="B1490" s="144" t="str">
        <f>+IF((PROVEEDORES[[#This Row],[FECHA DE PAGO]]-PROVEEDORES[[#This Row],[FECHA DE FACTURACIÓN]])&gt;PROVEEDORES[[#This Row],[PLAZO Días]],"PAGO VENCIDO")</f>
        <v>PAGO VENCIDO</v>
      </c>
      <c r="C1490" s="144">
        <f>+VLOOKUP(PROVEEDORES[[#This Row],[PROVEEDOR]],TERCEROS_INFO[#All],2,FALSE)</f>
        <v>0</v>
      </c>
      <c r="D1490" s="145">
        <f>+SUMIFS(PROVEEDORES[Total],PROVEEDORES[PROVEEDOR],PROVEEDORES[[#This Row],[PROVEEDOR]],PROVEEDORES[FECHA DE PAGO],"")</f>
        <v>0</v>
      </c>
      <c r="E1490" s="146"/>
      <c r="F1490" s="144">
        <f>+VLOOKUP(PROVEEDORES[[#This Row],[PROVEEDOR]],
                       Terceros!$A:$G,
                       5,
                       FALSE)</f>
        <v>0</v>
      </c>
      <c r="G1490" s="122">
        <v>45405</v>
      </c>
      <c r="H1490" s="102" t="s">
        <v>388</v>
      </c>
      <c r="I1490" s="122">
        <v>45390</v>
      </c>
      <c r="J1490" s="103" t="s">
        <v>1737</v>
      </c>
      <c r="K1490" s="103" t="s">
        <v>1512</v>
      </c>
      <c r="L1490" s="103" t="s">
        <v>1390</v>
      </c>
      <c r="M1490" s="105">
        <v>289886</v>
      </c>
      <c r="N1490" s="147">
        <v>0</v>
      </c>
      <c r="O1490" s="147">
        <v>0</v>
      </c>
      <c r="P1490" s="148">
        <v>0</v>
      </c>
      <c r="Q1490" s="147">
        <v>0</v>
      </c>
      <c r="R1490" s="149">
        <v>289886</v>
      </c>
      <c r="S149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0" s="150">
        <f ca="1">+IF(PROVEEDORES[[#This Row],[FECHA DE PAGO]]=0,TODAY()-PROVEEDORES[[#This Row],[FECHA DE FACTURACIÓN]]-PROVEEDORES[[#This Row],[PLAZO Días]],0)</f>
        <v>0</v>
      </c>
      <c r="U1490" s="150">
        <f>+VLOOKUP(PROVEEDORES[[#This Row],[PROVEEDOR]],Terceros!$A:$E,4,FALSE)</f>
        <v>0</v>
      </c>
      <c r="V1490" s="150">
        <f>+YEAR(PROVEEDORES[[#This Row],[FECHA DE FACTURACIÓN]])</f>
        <v>2024</v>
      </c>
      <c r="W1490" s="150">
        <f>+MATCH(PROVEEDORES[[#This Row],[año facturado]],Retenciones!$1:$1,0)</f>
        <v>7</v>
      </c>
      <c r="X1490" s="151">
        <f>+VLOOKUP(PROVEEDORES[[#This Row],[ID RETENCION]],Retenciones!$A$1:$O$25,PROVEEDORES[[#This Row],[indicador de columna]],FALSE)</f>
        <v>0</v>
      </c>
      <c r="Y1490" s="152">
        <f>+VLOOKUP(PROVEEDORES[[#This Row],[ID RETENCION]],Retenciones!$A$1:$O$25,2,FALSE)</f>
        <v>0</v>
      </c>
      <c r="Z1490" s="153" t="b">
        <f>+OR(COUNTIF(PROVEEDORES[[#This Row],[PROVEEDOR]],"*"&amp;'Palabra que no opera y Listas d'!$A$2&amp;"*"))</f>
        <v>1</v>
      </c>
    </row>
    <row r="1491" spans="1:26" ht="27.75" customHeight="1" x14ac:dyDescent="0.3">
      <c r="A1491" s="144" t="str">
        <f>+IF(PROVEEDORES[[#This Row],[FECHA DE PAGO]]=PROVEEDORES[[#This Row],[FECHA DE FACTURACIÓN]],"DE CONTADO","CRÉDITO")</f>
        <v>CRÉDITO</v>
      </c>
      <c r="B1491" s="144" t="str">
        <f>+IF((PROVEEDORES[[#This Row],[FECHA DE PAGO]]-PROVEEDORES[[#This Row],[FECHA DE FACTURACIÓN]])&gt;PROVEEDORES[[#This Row],[PLAZO Días]],"PAGO VENCIDO")</f>
        <v>PAGO VENCIDO</v>
      </c>
      <c r="C1491" s="144">
        <f>+VLOOKUP(PROVEEDORES[[#This Row],[PROVEEDOR]],TERCEROS_INFO[#All],2,FALSE)</f>
        <v>0</v>
      </c>
      <c r="D1491" s="145">
        <f>+SUMIFS(PROVEEDORES[Total],PROVEEDORES[PROVEEDOR],PROVEEDORES[[#This Row],[PROVEEDOR]],PROVEEDORES[FECHA DE PAGO],"")</f>
        <v>9343197</v>
      </c>
      <c r="E1491" s="146"/>
      <c r="F1491" s="144" t="str">
        <f>+VLOOKUP(PROVEEDORES[[#This Row],[PROVEEDOR]],
                       Terceros!$A:$G,
                       5,
                       FALSE)</f>
        <v>2,5% con base</v>
      </c>
      <c r="G1491" s="122">
        <v>45406</v>
      </c>
      <c r="H1491" s="102" t="s">
        <v>466</v>
      </c>
      <c r="I1491" s="122">
        <v>45332</v>
      </c>
      <c r="J1491" s="103">
        <v>33719</v>
      </c>
      <c r="K1491" s="103" t="s">
        <v>1512</v>
      </c>
      <c r="L1491" s="103" t="s">
        <v>1516</v>
      </c>
      <c r="M1491" s="105">
        <v>4116710</v>
      </c>
      <c r="N1491" s="147">
        <v>722008</v>
      </c>
      <c r="O1491" s="147">
        <v>316670</v>
      </c>
      <c r="P1491" s="148">
        <v>2.5000000000000001E-2</v>
      </c>
      <c r="Q1491" s="147">
        <v>95001</v>
      </c>
      <c r="R1491" s="149">
        <v>4427047</v>
      </c>
      <c r="S149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1" s="150">
        <f ca="1">+IF(PROVEEDORES[[#This Row],[FECHA DE PAGO]]=0,TODAY()-PROVEEDORES[[#This Row],[FECHA DE FACTURACIÓN]]-PROVEEDORES[[#This Row],[PLAZO Días]],0)</f>
        <v>0</v>
      </c>
      <c r="U1491" s="150">
        <f>+VLOOKUP(PROVEEDORES[[#This Row],[PROVEEDOR]],Terceros!$A:$E,4,FALSE)</f>
        <v>0.19</v>
      </c>
      <c r="V1491" s="150">
        <f>+YEAR(PROVEEDORES[[#This Row],[FECHA DE FACTURACIÓN]])</f>
        <v>2024</v>
      </c>
      <c r="W1491" s="150">
        <f>+MATCH(PROVEEDORES[[#This Row],[año facturado]],Retenciones!$1:$1,0)</f>
        <v>7</v>
      </c>
      <c r="X1491" s="151" t="e">
        <f>+VLOOKUP(PROVEEDORES[[#This Row],[ID RETENCION]],Retenciones!$A$1:$O$25,PROVEEDORES[[#This Row],[indicador de columna]],FALSE)</f>
        <v>#N/A</v>
      </c>
      <c r="Y1491" s="152" t="e">
        <f>+VLOOKUP(PROVEEDORES[[#This Row],[ID RETENCION]],Retenciones!$A$1:$O$25,2,FALSE)</f>
        <v>#N/A</v>
      </c>
      <c r="Z1491" s="153" t="b">
        <f>+OR(COUNTIF(PROVEEDORES[[#This Row],[PROVEEDOR]],"*"&amp;'Palabra que no opera y Listas d'!$A$2&amp;"*"))</f>
        <v>0</v>
      </c>
    </row>
    <row r="1492" spans="1:26" ht="27.75" customHeight="1" x14ac:dyDescent="0.3">
      <c r="A1492" s="144" t="str">
        <f>+IF(PROVEEDORES[[#This Row],[FECHA DE PAGO]]=PROVEEDORES[[#This Row],[FECHA DE FACTURACIÓN]],"DE CONTADO","CRÉDITO")</f>
        <v>CRÉDITO</v>
      </c>
      <c r="B1492" s="144" t="str">
        <f>+IF((PROVEEDORES[[#This Row],[FECHA DE PAGO]]-PROVEEDORES[[#This Row],[FECHA DE FACTURACIÓN]])&gt;PROVEEDORES[[#This Row],[PLAZO Días]],"PAGO VENCIDO")</f>
        <v>PAGO VENCIDO</v>
      </c>
      <c r="C1492" s="144">
        <f>+VLOOKUP(PROVEEDORES[[#This Row],[PROVEEDOR]],TERCEROS_INFO[#All],2,FALSE)</f>
        <v>0</v>
      </c>
      <c r="D1492" s="145">
        <f>+SUMIFS(PROVEEDORES[Total],PROVEEDORES[PROVEEDOR],PROVEEDORES[[#This Row],[PROVEEDOR]],PROVEEDORES[FECHA DE PAGO],"")</f>
        <v>9343197</v>
      </c>
      <c r="E1492" s="146"/>
      <c r="F1492" s="144" t="str">
        <f>+VLOOKUP(PROVEEDORES[[#This Row],[PROVEEDOR]],
                       Terceros!$A:$G,
                       5,
                       FALSE)</f>
        <v>2,5% con base</v>
      </c>
      <c r="G1492" s="122">
        <v>45406</v>
      </c>
      <c r="H1492" s="102" t="s">
        <v>466</v>
      </c>
      <c r="I1492" s="122">
        <v>45345</v>
      </c>
      <c r="J1492" s="103">
        <v>33880</v>
      </c>
      <c r="K1492" s="103" t="s">
        <v>1512</v>
      </c>
      <c r="L1492" s="103" t="s">
        <v>1516</v>
      </c>
      <c r="M1492" s="105">
        <v>436000</v>
      </c>
      <c r="N1492" s="147">
        <v>82840</v>
      </c>
      <c r="O1492" s="147">
        <v>0</v>
      </c>
      <c r="P1492" s="148">
        <v>0</v>
      </c>
      <c r="Q1492" s="147">
        <v>0</v>
      </c>
      <c r="R1492" s="149">
        <v>518840</v>
      </c>
      <c r="S149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2" s="150">
        <f ca="1">+IF(PROVEEDORES[[#This Row],[FECHA DE PAGO]]=0,TODAY()-PROVEEDORES[[#This Row],[FECHA DE FACTURACIÓN]]-PROVEEDORES[[#This Row],[PLAZO Días]],0)</f>
        <v>0</v>
      </c>
      <c r="U1492" s="150">
        <f>+VLOOKUP(PROVEEDORES[[#This Row],[PROVEEDOR]],Terceros!$A:$E,4,FALSE)</f>
        <v>0.19</v>
      </c>
      <c r="V1492" s="150">
        <f>+YEAR(PROVEEDORES[[#This Row],[FECHA DE FACTURACIÓN]])</f>
        <v>2024</v>
      </c>
      <c r="W1492" s="150">
        <f>+MATCH(PROVEEDORES[[#This Row],[año facturado]],Retenciones!$1:$1,0)</f>
        <v>7</v>
      </c>
      <c r="X1492" s="151" t="e">
        <f>+VLOOKUP(PROVEEDORES[[#This Row],[ID RETENCION]],Retenciones!$A$1:$O$25,PROVEEDORES[[#This Row],[indicador de columna]],FALSE)</f>
        <v>#N/A</v>
      </c>
      <c r="Y1492" s="152" t="e">
        <f>+VLOOKUP(PROVEEDORES[[#This Row],[ID RETENCION]],Retenciones!$A$1:$O$25,2,FALSE)</f>
        <v>#N/A</v>
      </c>
      <c r="Z1492" s="153" t="b">
        <f>+OR(COUNTIF(PROVEEDORES[[#This Row],[PROVEEDOR]],"*"&amp;'Palabra que no opera y Listas d'!$A$2&amp;"*"))</f>
        <v>0</v>
      </c>
    </row>
    <row r="1493" spans="1:26" ht="27.75" customHeight="1" x14ac:dyDescent="0.3">
      <c r="A1493" s="144" t="str">
        <f>+IF(PROVEEDORES[[#This Row],[FECHA DE PAGO]]=PROVEEDORES[[#This Row],[FECHA DE FACTURACIÓN]],"DE CONTADO","CRÉDITO")</f>
        <v>DE CONTADO</v>
      </c>
      <c r="B1493" s="144" t="b">
        <f>+IF((PROVEEDORES[[#This Row],[FECHA DE PAGO]]-PROVEEDORES[[#This Row],[FECHA DE FACTURACIÓN]])&gt;PROVEEDORES[[#This Row],[PLAZO Días]],"PAGO VENCIDO")</f>
        <v>0</v>
      </c>
      <c r="C1493" s="144">
        <f>+VLOOKUP(PROVEEDORES[[#This Row],[PROVEEDOR]],TERCEROS_INFO[#All],2,FALSE)</f>
        <v>0</v>
      </c>
      <c r="D1493" s="145">
        <f>+SUMIFS(PROVEEDORES[Total],PROVEEDORES[PROVEEDOR],PROVEEDORES[[#This Row],[PROVEEDOR]],PROVEEDORES[FECHA DE PAGO],"")</f>
        <v>0</v>
      </c>
      <c r="E1493" s="146"/>
      <c r="F1493" s="144" t="str">
        <f>+VLOOKUP(PROVEEDORES[[#This Row],[PROVEEDOR]],
                       Terceros!$A:$G,
                       5,
                       FALSE)</f>
        <v>2,5% con base</v>
      </c>
      <c r="G1493" s="122">
        <v>45406</v>
      </c>
      <c r="H1493" s="102" t="s">
        <v>1738</v>
      </c>
      <c r="I1493" s="122">
        <v>45406</v>
      </c>
      <c r="J1493" s="103" t="s">
        <v>1740</v>
      </c>
      <c r="K1493" s="103"/>
      <c r="L1493" s="103" t="s">
        <v>1516</v>
      </c>
      <c r="M1493" s="105">
        <v>3100000</v>
      </c>
      <c r="N1493" s="147">
        <v>589000</v>
      </c>
      <c r="O1493" s="147">
        <v>0</v>
      </c>
      <c r="P1493" s="148">
        <v>2.5000000000000001E-2</v>
      </c>
      <c r="Q1493" s="147">
        <v>77500</v>
      </c>
      <c r="R1493" s="149">
        <v>3611500</v>
      </c>
      <c r="S149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3" s="150">
        <f ca="1">+IF(PROVEEDORES[[#This Row],[FECHA DE PAGO]]=0,TODAY()-PROVEEDORES[[#This Row],[FECHA DE FACTURACIÓN]]-PROVEEDORES[[#This Row],[PLAZO Días]],0)</f>
        <v>0</v>
      </c>
      <c r="U1493" s="150">
        <f>+VLOOKUP(PROVEEDORES[[#This Row],[PROVEEDOR]],Terceros!$A:$E,4,FALSE)</f>
        <v>0.19</v>
      </c>
      <c r="V1493" s="150">
        <f>+YEAR(PROVEEDORES[[#This Row],[FECHA DE FACTURACIÓN]])</f>
        <v>2024</v>
      </c>
      <c r="W1493" s="150">
        <f>+MATCH(PROVEEDORES[[#This Row],[año facturado]],Retenciones!$1:$1,0)</f>
        <v>7</v>
      </c>
      <c r="X1493" s="151" t="e">
        <f>+VLOOKUP(PROVEEDORES[[#This Row],[ID RETENCION]],Retenciones!$A$1:$O$25,PROVEEDORES[[#This Row],[indicador de columna]],FALSE)</f>
        <v>#N/A</v>
      </c>
      <c r="Y1493" s="152" t="e">
        <f>+VLOOKUP(PROVEEDORES[[#This Row],[ID RETENCION]],Retenciones!$A$1:$O$25,2,FALSE)</f>
        <v>#N/A</v>
      </c>
      <c r="Z1493" s="153" t="b">
        <f>+OR(COUNTIF(PROVEEDORES[[#This Row],[PROVEEDOR]],"*"&amp;'Palabra que no opera y Listas d'!$A$2&amp;"*"))</f>
        <v>0</v>
      </c>
    </row>
    <row r="1494" spans="1:26" ht="27.75" customHeight="1" x14ac:dyDescent="0.3">
      <c r="A1494" s="144" t="str">
        <f>+IF(PROVEEDORES[[#This Row],[FECHA DE PAGO]]=PROVEEDORES[[#This Row],[FECHA DE FACTURACIÓN]],"DE CONTADO","CRÉDITO")</f>
        <v>DE CONTADO</v>
      </c>
      <c r="B1494" s="144" t="b">
        <f>+IF((PROVEEDORES[[#This Row],[FECHA DE PAGO]]-PROVEEDORES[[#This Row],[FECHA DE FACTURACIÓN]])&gt;PROVEEDORES[[#This Row],[PLAZO Días]],"PAGO VENCIDO")</f>
        <v>0</v>
      </c>
      <c r="C1494" s="144">
        <f>+VLOOKUP(PROVEEDORES[[#This Row],[PROVEEDOR]],TERCEROS_INFO[#All],2,FALSE)</f>
        <v>0</v>
      </c>
      <c r="D1494" s="145">
        <f>+SUMIFS(PROVEEDORES[Total],PROVEEDORES[PROVEEDOR],PROVEEDORES[[#This Row],[PROVEEDOR]],PROVEEDORES[FECHA DE PAGO],"")</f>
        <v>0</v>
      </c>
      <c r="E1494" s="146"/>
      <c r="F1494" s="144" t="str">
        <f>+VLOOKUP(PROVEEDORES[[#This Row],[PROVEEDOR]],
                       Terceros!$A:$G,
                       5,
                       FALSE)</f>
        <v>2,5% con base</v>
      </c>
      <c r="G1494" s="122">
        <v>45406</v>
      </c>
      <c r="H1494" s="102" t="s">
        <v>1192</v>
      </c>
      <c r="I1494" s="122">
        <v>45406</v>
      </c>
      <c r="J1494" s="103" t="s">
        <v>1741</v>
      </c>
      <c r="K1494" s="103" t="s">
        <v>1512</v>
      </c>
      <c r="L1494" s="103" t="s">
        <v>1515</v>
      </c>
      <c r="M1494" s="105">
        <v>700840</v>
      </c>
      <c r="N1494" s="147">
        <v>133159.6</v>
      </c>
      <c r="O1494" s="147">
        <v>0</v>
      </c>
      <c r="P1494" s="148">
        <v>0</v>
      </c>
      <c r="Q1494" s="147">
        <v>0</v>
      </c>
      <c r="R1494" s="149">
        <v>833999.6</v>
      </c>
      <c r="S149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4" s="150">
        <f ca="1">+IF(PROVEEDORES[[#This Row],[FECHA DE PAGO]]=0,TODAY()-PROVEEDORES[[#This Row],[FECHA DE FACTURACIÓN]]-PROVEEDORES[[#This Row],[PLAZO Días]],0)</f>
        <v>0</v>
      </c>
      <c r="U1494" s="150">
        <f>+VLOOKUP(PROVEEDORES[[#This Row],[PROVEEDOR]],Terceros!$A:$E,4,FALSE)</f>
        <v>0.19</v>
      </c>
      <c r="V1494" s="150">
        <f>+YEAR(PROVEEDORES[[#This Row],[FECHA DE FACTURACIÓN]])</f>
        <v>2024</v>
      </c>
      <c r="W1494" s="150">
        <f>+MATCH(PROVEEDORES[[#This Row],[año facturado]],Retenciones!$1:$1,0)</f>
        <v>7</v>
      </c>
      <c r="X1494" s="151" t="e">
        <f>+VLOOKUP(PROVEEDORES[[#This Row],[ID RETENCION]],Retenciones!$A$1:$O$25,PROVEEDORES[[#This Row],[indicador de columna]],FALSE)</f>
        <v>#N/A</v>
      </c>
      <c r="Y1494" s="152" t="e">
        <f>+VLOOKUP(PROVEEDORES[[#This Row],[ID RETENCION]],Retenciones!$A$1:$O$25,2,FALSE)</f>
        <v>#N/A</v>
      </c>
      <c r="Z1494" s="153" t="b">
        <f>+OR(COUNTIF(PROVEEDORES[[#This Row],[PROVEEDOR]],"*"&amp;'Palabra que no opera y Listas d'!$A$2&amp;"*"))</f>
        <v>0</v>
      </c>
    </row>
    <row r="1495" spans="1:26" ht="27.75" customHeight="1" x14ac:dyDescent="0.3">
      <c r="A1495" s="144" t="str">
        <f>+IF(PROVEEDORES[[#This Row],[FECHA DE PAGO]]=PROVEEDORES[[#This Row],[FECHA DE FACTURACIÓN]],"DE CONTADO","CRÉDITO")</f>
        <v>CRÉDITO</v>
      </c>
      <c r="B1495" s="144" t="str">
        <f>+IF((PROVEEDORES[[#This Row],[FECHA DE PAGO]]-PROVEEDORES[[#This Row],[FECHA DE FACTURACIÓN]])&gt;PROVEEDORES[[#This Row],[PLAZO Días]],"PAGO VENCIDO")</f>
        <v>PAGO VENCIDO</v>
      </c>
      <c r="C1495" s="144">
        <f>+VLOOKUP(PROVEEDORES[[#This Row],[PROVEEDOR]],TERCEROS_INFO[#All],2,FALSE)</f>
        <v>0</v>
      </c>
      <c r="D1495" s="145">
        <f>+SUMIFS(PROVEEDORES[Total],PROVEEDORES[PROVEEDOR],PROVEEDORES[[#This Row],[PROVEEDOR]],PROVEEDORES[FECHA DE PAGO],"")</f>
        <v>0</v>
      </c>
      <c r="E1495" s="146"/>
      <c r="F1495" s="144" t="str">
        <f>+VLOOKUP(PROVEEDORES[[#This Row],[PROVEEDOR]],
                       Terceros!$A:$G,
                       5,
                       FALSE)</f>
        <v>2,5% con base</v>
      </c>
      <c r="G1495" s="122">
        <v>45407</v>
      </c>
      <c r="H1495" s="102" t="s">
        <v>594</v>
      </c>
      <c r="I1495" s="122">
        <v>45334</v>
      </c>
      <c r="J1495" s="103" t="s">
        <v>1735</v>
      </c>
      <c r="K1495" s="103" t="s">
        <v>1512</v>
      </c>
      <c r="L1495" s="103" t="s">
        <v>1515</v>
      </c>
      <c r="M1495" s="105">
        <v>3592000</v>
      </c>
      <c r="N1495" s="147">
        <v>682480</v>
      </c>
      <c r="O1495" s="147">
        <v>0</v>
      </c>
      <c r="P1495" s="148">
        <v>2.5000000000000001E-2</v>
      </c>
      <c r="Q1495" s="147">
        <v>89800</v>
      </c>
      <c r="R1495" s="149">
        <v>2339320</v>
      </c>
      <c r="S149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5" s="150">
        <f ca="1">+IF(PROVEEDORES[[#This Row],[FECHA DE PAGO]]=0,TODAY()-PROVEEDORES[[#This Row],[FECHA DE FACTURACIÓN]]-PROVEEDORES[[#This Row],[PLAZO Días]],0)</f>
        <v>0</v>
      </c>
      <c r="U1495" s="150">
        <f>+VLOOKUP(PROVEEDORES[[#This Row],[PROVEEDOR]],Terceros!$A:$E,4,FALSE)</f>
        <v>0.19</v>
      </c>
      <c r="V1495" s="150">
        <f>+YEAR(PROVEEDORES[[#This Row],[FECHA DE FACTURACIÓN]])</f>
        <v>2024</v>
      </c>
      <c r="W1495" s="150">
        <f>+MATCH(PROVEEDORES[[#This Row],[año facturado]],Retenciones!$1:$1,0)</f>
        <v>7</v>
      </c>
      <c r="X1495" s="151" t="e">
        <f>+VLOOKUP(PROVEEDORES[[#This Row],[ID RETENCION]],Retenciones!$A$1:$O$25,PROVEEDORES[[#This Row],[indicador de columna]],FALSE)</f>
        <v>#N/A</v>
      </c>
      <c r="Y1495" s="152" t="e">
        <f>+VLOOKUP(PROVEEDORES[[#This Row],[ID RETENCION]],Retenciones!$A$1:$O$25,2,FALSE)</f>
        <v>#N/A</v>
      </c>
      <c r="Z1495" s="153" t="b">
        <f>+OR(COUNTIF(PROVEEDORES[[#This Row],[PROVEEDOR]],"*"&amp;'Palabra que no opera y Listas d'!$A$2&amp;"*"))</f>
        <v>0</v>
      </c>
    </row>
    <row r="1496" spans="1:26" ht="27.75" customHeight="1" x14ac:dyDescent="0.3">
      <c r="A1496" s="144" t="str">
        <f>+IF(PROVEEDORES[[#This Row],[FECHA DE PAGO]]=PROVEEDORES[[#This Row],[FECHA DE FACTURACIÓN]],"DE CONTADO","CRÉDITO")</f>
        <v>CRÉDITO</v>
      </c>
      <c r="B1496" s="144" t="str">
        <f>+IF((PROVEEDORES[[#This Row],[FECHA DE PAGO]]-PROVEEDORES[[#This Row],[FECHA DE FACTURACIÓN]])&gt;PROVEEDORES[[#This Row],[PLAZO Días]],"PAGO VENCIDO")</f>
        <v>PAGO VENCIDO</v>
      </c>
      <c r="C1496" s="144">
        <f>+VLOOKUP(PROVEEDORES[[#This Row],[PROVEEDOR]],TERCEROS_INFO[#All],2,FALSE)</f>
        <v>0</v>
      </c>
      <c r="D1496" s="145">
        <f>+SUMIFS(PROVEEDORES[Total],PROVEEDORES[PROVEEDOR],PROVEEDORES[[#This Row],[PROVEEDOR]],PROVEEDORES[FECHA DE PAGO],"")</f>
        <v>19124998.199999999</v>
      </c>
      <c r="E1496" s="146"/>
      <c r="F1496" s="144">
        <f>+VLOOKUP(PROVEEDORES[[#This Row],[PROVEEDOR]],
                       Terceros!$A:$G,
                       5,
                       FALSE)</f>
        <v>0</v>
      </c>
      <c r="G1496" s="122">
        <v>45411</v>
      </c>
      <c r="H1496" s="102" t="s">
        <v>29</v>
      </c>
      <c r="I1496" s="122">
        <v>45348</v>
      </c>
      <c r="J1496" s="103">
        <v>61138</v>
      </c>
      <c r="K1496" s="103" t="s">
        <v>1512</v>
      </c>
      <c r="L1496" s="103" t="s">
        <v>1516</v>
      </c>
      <c r="M1496" s="105">
        <v>24729069.474999998</v>
      </c>
      <c r="N1496" s="147">
        <v>0</v>
      </c>
      <c r="O1496" s="147">
        <v>0</v>
      </c>
      <c r="P1496" s="148">
        <v>0</v>
      </c>
      <c r="Q1496" s="147">
        <v>0</v>
      </c>
      <c r="R1496" s="149">
        <v>24729069.474999998</v>
      </c>
      <c r="S149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6" s="150">
        <f ca="1">+IF(PROVEEDORES[[#This Row],[FECHA DE PAGO]]=0,TODAY()-PROVEEDORES[[#This Row],[FECHA DE FACTURACIÓN]]-PROVEEDORES[[#This Row],[PLAZO Días]],0)</f>
        <v>0</v>
      </c>
      <c r="U1496" s="150">
        <f>+VLOOKUP(PROVEEDORES[[#This Row],[PROVEEDOR]],Terceros!$A:$E,4,FALSE)</f>
        <v>0</v>
      </c>
      <c r="V1496" s="150">
        <f>+YEAR(PROVEEDORES[[#This Row],[FECHA DE FACTURACIÓN]])</f>
        <v>2024</v>
      </c>
      <c r="W1496" s="150">
        <f>+MATCH(PROVEEDORES[[#This Row],[año facturado]],Retenciones!$1:$1,0)</f>
        <v>7</v>
      </c>
      <c r="X1496" s="151">
        <f>+VLOOKUP(PROVEEDORES[[#This Row],[ID RETENCION]],Retenciones!$A$1:$O$25,PROVEEDORES[[#This Row],[indicador de columna]],FALSE)</f>
        <v>0</v>
      </c>
      <c r="Y1496" s="152">
        <f>+VLOOKUP(PROVEEDORES[[#This Row],[ID RETENCION]],Retenciones!$A$1:$O$25,2,FALSE)</f>
        <v>0</v>
      </c>
      <c r="Z1496" s="153" t="b">
        <f>+OR(COUNTIF(PROVEEDORES[[#This Row],[PROVEEDOR]],"*"&amp;'Palabra que no opera y Listas d'!$A$2&amp;"*"))</f>
        <v>0</v>
      </c>
    </row>
    <row r="1497" spans="1:26" ht="27.75" customHeight="1" x14ac:dyDescent="0.3">
      <c r="A1497" s="144" t="str">
        <f>+IF(PROVEEDORES[[#This Row],[FECHA DE PAGO]]=PROVEEDORES[[#This Row],[FECHA DE FACTURACIÓN]],"DE CONTADO","CRÉDITO")</f>
        <v>CRÉDITO</v>
      </c>
      <c r="B1497" s="144" t="str">
        <f>+IF((PROVEEDORES[[#This Row],[FECHA DE PAGO]]-PROVEEDORES[[#This Row],[FECHA DE FACTURACIÓN]])&gt;PROVEEDORES[[#This Row],[PLAZO Días]],"PAGO VENCIDO")</f>
        <v>PAGO VENCIDO</v>
      </c>
      <c r="C1497" s="144">
        <f>+VLOOKUP(PROVEEDORES[[#This Row],[PROVEEDOR]],TERCEROS_INFO[#All],2,FALSE)</f>
        <v>0</v>
      </c>
      <c r="D1497" s="145">
        <f>+SUMIFS(PROVEEDORES[Total],PROVEEDORES[PROVEEDOR],PROVEEDORES[[#This Row],[PROVEEDOR]],PROVEEDORES[FECHA DE PAGO],"")</f>
        <v>0</v>
      </c>
      <c r="E1497" s="146"/>
      <c r="F1497" s="144">
        <f>+VLOOKUP(PROVEEDORES[[#This Row],[PROVEEDOR]],
                       Terceros!$A:$G,
                       5,
                       FALSE)</f>
        <v>0</v>
      </c>
      <c r="G1497" s="122">
        <v>45411</v>
      </c>
      <c r="H1497" s="102" t="s">
        <v>1705</v>
      </c>
      <c r="I1497" s="122">
        <v>45383</v>
      </c>
      <c r="J1497" s="103" t="s">
        <v>1674</v>
      </c>
      <c r="K1497" s="103" t="s">
        <v>516</v>
      </c>
      <c r="L1497" s="103" t="s">
        <v>1515</v>
      </c>
      <c r="M1497" s="105">
        <v>16351813.349999998</v>
      </c>
      <c r="N1497" s="147">
        <v>0</v>
      </c>
      <c r="O1497" s="147">
        <v>0</v>
      </c>
      <c r="P1497" s="148">
        <v>0</v>
      </c>
      <c r="Q1497" s="147">
        <v>0</v>
      </c>
      <c r="R1497" s="149">
        <v>16351813.349999998</v>
      </c>
      <c r="S149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7" s="150">
        <f ca="1">+IF(PROVEEDORES[[#This Row],[FECHA DE PAGO]]=0,TODAY()-PROVEEDORES[[#This Row],[FECHA DE FACTURACIÓN]]-PROVEEDORES[[#This Row],[PLAZO Días]],0)</f>
        <v>0</v>
      </c>
      <c r="U1497" s="150">
        <f>+VLOOKUP(PROVEEDORES[[#This Row],[PROVEEDOR]],Terceros!$A:$E,4,FALSE)</f>
        <v>0</v>
      </c>
      <c r="V1497" s="150">
        <f>+YEAR(PROVEEDORES[[#This Row],[FECHA DE FACTURACIÓN]])</f>
        <v>2024</v>
      </c>
      <c r="W1497" s="150">
        <f>+MATCH(PROVEEDORES[[#This Row],[año facturado]],Retenciones!$1:$1,0)</f>
        <v>7</v>
      </c>
      <c r="X1497" s="151">
        <f>+VLOOKUP(PROVEEDORES[[#This Row],[ID RETENCION]],Retenciones!$A$1:$O$25,PROVEEDORES[[#This Row],[indicador de columna]],FALSE)</f>
        <v>0</v>
      </c>
      <c r="Y1497" s="152">
        <f>+VLOOKUP(PROVEEDORES[[#This Row],[ID RETENCION]],Retenciones!$A$1:$O$25,2,FALSE)</f>
        <v>0</v>
      </c>
      <c r="Z1497" s="153" t="b">
        <f>+OR(COUNTIF(PROVEEDORES[[#This Row],[PROVEEDOR]],"*"&amp;'Palabra que no opera y Listas d'!$A$2&amp;"*"))</f>
        <v>0</v>
      </c>
    </row>
    <row r="1498" spans="1:26" ht="27.75" customHeight="1" x14ac:dyDescent="0.3">
      <c r="A1498" s="144" t="str">
        <f>+IF(PROVEEDORES[[#This Row],[FECHA DE PAGO]]=PROVEEDORES[[#This Row],[FECHA DE FACTURACIÓN]],"DE CONTADO","CRÉDITO")</f>
        <v>CRÉDITO</v>
      </c>
      <c r="B1498" s="144" t="str">
        <f>+IF((PROVEEDORES[[#This Row],[FECHA DE PAGO]]-PROVEEDORES[[#This Row],[FECHA DE FACTURACIÓN]])&gt;PROVEEDORES[[#This Row],[PLAZO Días]],"PAGO VENCIDO")</f>
        <v>PAGO VENCIDO</v>
      </c>
      <c r="C1498" s="144">
        <f>+VLOOKUP(PROVEEDORES[[#This Row],[PROVEEDOR]],TERCEROS_INFO[#All],2,FALSE)</f>
        <v>0</v>
      </c>
      <c r="D1498" s="145">
        <f>+SUMIFS(PROVEEDORES[Total],PROVEEDORES[PROVEEDOR],PROVEEDORES[[#This Row],[PROVEEDOR]],PROVEEDORES[FECHA DE PAGO],"")</f>
        <v>0</v>
      </c>
      <c r="E1498" s="146"/>
      <c r="F1498" s="144">
        <f>+VLOOKUP(PROVEEDORES[[#This Row],[PROVEEDOR]],
                       Terceros!$A:$G,
                       5,
                       FALSE)</f>
        <v>0</v>
      </c>
      <c r="G1498" s="122">
        <v>45411</v>
      </c>
      <c r="H1498" s="102" t="s">
        <v>1705</v>
      </c>
      <c r="I1498" s="122">
        <v>45383</v>
      </c>
      <c r="J1498" s="103" t="s">
        <v>1675</v>
      </c>
      <c r="K1498" s="103" t="s">
        <v>516</v>
      </c>
      <c r="L1498" s="103" t="s">
        <v>1515</v>
      </c>
      <c r="M1498" s="105">
        <v>5178268.3650000002</v>
      </c>
      <c r="N1498" s="147">
        <v>0</v>
      </c>
      <c r="O1498" s="147">
        <v>0</v>
      </c>
      <c r="P1498" s="148">
        <v>0</v>
      </c>
      <c r="Q1498" s="147">
        <v>0</v>
      </c>
      <c r="R1498" s="149">
        <v>5178268.3650000002</v>
      </c>
      <c r="S149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8" s="150">
        <f ca="1">+IF(PROVEEDORES[[#This Row],[FECHA DE PAGO]]=0,TODAY()-PROVEEDORES[[#This Row],[FECHA DE FACTURACIÓN]]-PROVEEDORES[[#This Row],[PLAZO Días]],0)</f>
        <v>0</v>
      </c>
      <c r="U1498" s="150">
        <f>+VLOOKUP(PROVEEDORES[[#This Row],[PROVEEDOR]],Terceros!$A:$E,4,FALSE)</f>
        <v>0</v>
      </c>
      <c r="V1498" s="150">
        <f>+YEAR(PROVEEDORES[[#This Row],[FECHA DE FACTURACIÓN]])</f>
        <v>2024</v>
      </c>
      <c r="W1498" s="150">
        <f>+MATCH(PROVEEDORES[[#This Row],[año facturado]],Retenciones!$1:$1,0)</f>
        <v>7</v>
      </c>
      <c r="X1498" s="151">
        <f>+VLOOKUP(PROVEEDORES[[#This Row],[ID RETENCION]],Retenciones!$A$1:$O$25,PROVEEDORES[[#This Row],[indicador de columna]],FALSE)</f>
        <v>0</v>
      </c>
      <c r="Y1498" s="152">
        <f>+VLOOKUP(PROVEEDORES[[#This Row],[ID RETENCION]],Retenciones!$A$1:$O$25,2,FALSE)</f>
        <v>0</v>
      </c>
      <c r="Z1498" s="153" t="b">
        <f>+OR(COUNTIF(PROVEEDORES[[#This Row],[PROVEEDOR]],"*"&amp;'Palabra que no opera y Listas d'!$A$2&amp;"*"))</f>
        <v>0</v>
      </c>
    </row>
    <row r="1499" spans="1:26" ht="27.75" customHeight="1" x14ac:dyDescent="0.3">
      <c r="A1499" s="144" t="str">
        <f>+IF(PROVEEDORES[[#This Row],[FECHA DE PAGO]]=PROVEEDORES[[#This Row],[FECHA DE FACTURACIÓN]],"DE CONTADO","CRÉDITO")</f>
        <v>CRÉDITO</v>
      </c>
      <c r="B1499" s="144" t="str">
        <f>+IF((PROVEEDORES[[#This Row],[FECHA DE PAGO]]-PROVEEDORES[[#This Row],[FECHA DE FACTURACIÓN]])&gt;PROVEEDORES[[#This Row],[PLAZO Días]],"PAGO VENCIDO")</f>
        <v>PAGO VENCIDO</v>
      </c>
      <c r="C1499" s="144">
        <f>+VLOOKUP(PROVEEDORES[[#This Row],[PROVEEDOR]],TERCEROS_INFO[#All],2,FALSE)</f>
        <v>0</v>
      </c>
      <c r="D1499" s="145">
        <f>+SUMIFS(PROVEEDORES[Total],PROVEEDORES[PROVEEDOR],PROVEEDORES[[#This Row],[PROVEEDOR]],PROVEEDORES[FECHA DE PAGO],"")</f>
        <v>0</v>
      </c>
      <c r="E1499" s="146"/>
      <c r="F1499" s="144">
        <f>+VLOOKUP(PROVEEDORES[[#This Row],[PROVEEDOR]],
                       Terceros!$A:$G,
                       5,
                       FALSE)</f>
        <v>0</v>
      </c>
      <c r="G1499" s="122">
        <v>45411</v>
      </c>
      <c r="H1499" s="102" t="s">
        <v>1705</v>
      </c>
      <c r="I1499" s="122">
        <v>45383</v>
      </c>
      <c r="J1499" s="103" t="s">
        <v>1673</v>
      </c>
      <c r="K1499" s="103" t="s">
        <v>516</v>
      </c>
      <c r="L1499" s="103" t="s">
        <v>1515</v>
      </c>
      <c r="M1499" s="105">
        <v>7223468.1000000006</v>
      </c>
      <c r="N1499" s="147">
        <v>0</v>
      </c>
      <c r="O1499" s="147">
        <v>0</v>
      </c>
      <c r="P1499" s="148">
        <v>0</v>
      </c>
      <c r="Q1499" s="147">
        <v>0</v>
      </c>
      <c r="R1499" s="149">
        <v>7223468.1000000006</v>
      </c>
      <c r="S149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9" s="150">
        <f ca="1">+IF(PROVEEDORES[[#This Row],[FECHA DE PAGO]]=0,TODAY()-PROVEEDORES[[#This Row],[FECHA DE FACTURACIÓN]]-PROVEEDORES[[#This Row],[PLAZO Días]],0)</f>
        <v>0</v>
      </c>
      <c r="U1499" s="150">
        <f>+VLOOKUP(PROVEEDORES[[#This Row],[PROVEEDOR]],Terceros!$A:$E,4,FALSE)</f>
        <v>0</v>
      </c>
      <c r="V1499" s="150">
        <f>+YEAR(PROVEEDORES[[#This Row],[FECHA DE FACTURACIÓN]])</f>
        <v>2024</v>
      </c>
      <c r="W1499" s="150">
        <f>+MATCH(PROVEEDORES[[#This Row],[año facturado]],Retenciones!$1:$1,0)</f>
        <v>7</v>
      </c>
      <c r="X1499" s="151">
        <f>+VLOOKUP(PROVEEDORES[[#This Row],[ID RETENCION]],Retenciones!$A$1:$O$25,PROVEEDORES[[#This Row],[indicador de columna]],FALSE)</f>
        <v>0</v>
      </c>
      <c r="Y1499" s="152">
        <f>+VLOOKUP(PROVEEDORES[[#This Row],[ID RETENCION]],Retenciones!$A$1:$O$25,2,FALSE)</f>
        <v>0</v>
      </c>
      <c r="Z1499" s="153" t="b">
        <f>+OR(COUNTIF(PROVEEDORES[[#This Row],[PROVEEDOR]],"*"&amp;'Palabra que no opera y Listas d'!$A$2&amp;"*"))</f>
        <v>0</v>
      </c>
    </row>
    <row r="1500" spans="1:26" ht="27.75" customHeight="1" x14ac:dyDescent="0.3">
      <c r="A1500" s="144" t="str">
        <f>+IF(PROVEEDORES[[#This Row],[FECHA DE PAGO]]=PROVEEDORES[[#This Row],[FECHA DE FACTURACIÓN]],"DE CONTADO","CRÉDITO")</f>
        <v>DE CONTADO</v>
      </c>
      <c r="B1500" s="144" t="b">
        <f>+IF((PROVEEDORES[[#This Row],[FECHA DE PAGO]]-PROVEEDORES[[#This Row],[FECHA DE FACTURACIÓN]])&gt;PROVEEDORES[[#This Row],[PLAZO Días]],"PAGO VENCIDO")</f>
        <v>0</v>
      </c>
      <c r="C1500" s="144">
        <f>+VLOOKUP(PROVEEDORES[[#This Row],[PROVEEDOR]],TERCEROS_INFO[#All],2,FALSE)</f>
        <v>0</v>
      </c>
      <c r="D1500" s="145">
        <f>+SUMIFS(PROVEEDORES[Total],PROVEEDORES[PROVEEDOR],PROVEEDORES[[#This Row],[PROVEEDOR]],PROVEEDORES[FECHA DE PAGO],"")</f>
        <v>0</v>
      </c>
      <c r="E1500" s="146"/>
      <c r="F1500" s="144">
        <f>+VLOOKUP(PROVEEDORES[[#This Row],[PROVEEDOR]],
                       Terceros!$A:$G,
                       5,
                       FALSE)</f>
        <v>0</v>
      </c>
      <c r="G1500" s="122">
        <v>45412</v>
      </c>
      <c r="H1500" s="102" t="s">
        <v>537</v>
      </c>
      <c r="I1500" s="122">
        <v>45412</v>
      </c>
      <c r="J1500" s="103" t="s">
        <v>1814</v>
      </c>
      <c r="K1500" s="103" t="s">
        <v>1512</v>
      </c>
      <c r="L1500" s="103"/>
      <c r="M1500" s="105">
        <v>35000</v>
      </c>
      <c r="N1500" s="147">
        <v>0</v>
      </c>
      <c r="O1500" s="147">
        <v>0</v>
      </c>
      <c r="P1500" s="148">
        <v>0</v>
      </c>
      <c r="Q1500" s="147">
        <v>0</v>
      </c>
      <c r="R1500" s="149">
        <v>35000</v>
      </c>
      <c r="S150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0" s="150">
        <f ca="1">+IF(PROVEEDORES[[#This Row],[FECHA DE PAGO]]=0,TODAY()-PROVEEDORES[[#This Row],[FECHA DE FACTURACIÓN]]-PROVEEDORES[[#This Row],[PLAZO Días]],0)</f>
        <v>0</v>
      </c>
      <c r="U1500" s="150">
        <f>+VLOOKUP(PROVEEDORES[[#This Row],[PROVEEDOR]],Terceros!$A:$E,4,FALSE)</f>
        <v>0</v>
      </c>
      <c r="V1500" s="150">
        <f>+YEAR(PROVEEDORES[[#This Row],[FECHA DE FACTURACIÓN]])</f>
        <v>2024</v>
      </c>
      <c r="W1500" s="150">
        <f>+MATCH(PROVEEDORES[[#This Row],[año facturado]],Retenciones!$1:$1,0)</f>
        <v>7</v>
      </c>
      <c r="X1500" s="151">
        <f>+VLOOKUP(PROVEEDORES[[#This Row],[ID RETENCION]],Retenciones!$A$1:$O$25,PROVEEDORES[[#This Row],[indicador de columna]],FALSE)</f>
        <v>0</v>
      </c>
      <c r="Y1500" s="152">
        <f>+VLOOKUP(PROVEEDORES[[#This Row],[ID RETENCION]],Retenciones!$A$1:$O$25,2,FALSE)</f>
        <v>0</v>
      </c>
      <c r="Z1500" s="153" t="b">
        <f>+OR(COUNTIF(PROVEEDORES[[#This Row],[PROVEEDOR]],"*"&amp;'Palabra que no opera y Listas d'!$A$2&amp;"*"))</f>
        <v>0</v>
      </c>
    </row>
    <row r="1501" spans="1:26" ht="27.75" customHeight="1" x14ac:dyDescent="0.3">
      <c r="A1501" s="144" t="str">
        <f>+IF(PROVEEDORES[[#This Row],[FECHA DE PAGO]]=PROVEEDORES[[#This Row],[FECHA DE FACTURACIÓN]],"DE CONTADO","CRÉDITO")</f>
        <v>DE CONTADO</v>
      </c>
      <c r="B1501" s="144" t="b">
        <f>+IF((PROVEEDORES[[#This Row],[FECHA DE PAGO]]-PROVEEDORES[[#This Row],[FECHA DE FACTURACIÓN]])&gt;PROVEEDORES[[#This Row],[PLAZO Días]],"PAGO VENCIDO")</f>
        <v>0</v>
      </c>
      <c r="C1501" s="144">
        <f>+VLOOKUP(PROVEEDORES[[#This Row],[PROVEEDOR]],TERCEROS_INFO[#All],2,FALSE)</f>
        <v>0</v>
      </c>
      <c r="D1501" s="145">
        <f>+SUMIFS(PROVEEDORES[Total],PROVEEDORES[PROVEEDOR],PROVEEDORES[[#This Row],[PROVEEDOR]],PROVEEDORES[FECHA DE PAGO],"")</f>
        <v>0</v>
      </c>
      <c r="E1501" s="146"/>
      <c r="F1501" s="144">
        <f>+VLOOKUP(PROVEEDORES[[#This Row],[PROVEEDOR]],
                       Terceros!$A:$G,
                       5,
                       FALSE)</f>
        <v>0</v>
      </c>
      <c r="G1501" s="122">
        <v>45412</v>
      </c>
      <c r="H1501" s="102" t="s">
        <v>537</v>
      </c>
      <c r="I1501" s="122">
        <v>45412</v>
      </c>
      <c r="J1501" s="103" t="s">
        <v>1819</v>
      </c>
      <c r="K1501" s="103"/>
      <c r="L1501" s="103"/>
      <c r="M1501" s="105">
        <v>498000</v>
      </c>
      <c r="N1501" s="147">
        <v>0</v>
      </c>
      <c r="O1501" s="147">
        <v>0</v>
      </c>
      <c r="P1501" s="148">
        <v>0</v>
      </c>
      <c r="Q1501" s="147">
        <v>0</v>
      </c>
      <c r="R1501" s="149">
        <v>498000</v>
      </c>
      <c r="S150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1" s="150">
        <f ca="1">+IF(PROVEEDORES[[#This Row],[FECHA DE PAGO]]=0,TODAY()-PROVEEDORES[[#This Row],[FECHA DE FACTURACIÓN]]-PROVEEDORES[[#This Row],[PLAZO Días]],0)</f>
        <v>0</v>
      </c>
      <c r="U1501" s="150">
        <f>+VLOOKUP(PROVEEDORES[[#This Row],[PROVEEDOR]],Terceros!$A:$E,4,FALSE)</f>
        <v>0</v>
      </c>
      <c r="V1501" s="150">
        <f>+YEAR(PROVEEDORES[[#This Row],[FECHA DE FACTURACIÓN]])</f>
        <v>2024</v>
      </c>
      <c r="W1501" s="150">
        <f>+MATCH(PROVEEDORES[[#This Row],[año facturado]],Retenciones!$1:$1,0)</f>
        <v>7</v>
      </c>
      <c r="X1501" s="151">
        <f>+VLOOKUP(PROVEEDORES[[#This Row],[ID RETENCION]],Retenciones!$A$1:$O$25,PROVEEDORES[[#This Row],[indicador de columna]],FALSE)</f>
        <v>0</v>
      </c>
      <c r="Y1501" s="152">
        <f>+VLOOKUP(PROVEEDORES[[#This Row],[ID RETENCION]],Retenciones!$A$1:$O$25,2,FALSE)</f>
        <v>0</v>
      </c>
      <c r="Z1501" s="153" t="b">
        <f>+OR(COUNTIF(PROVEEDORES[[#This Row],[PROVEEDOR]],"*"&amp;'Palabra que no opera y Listas d'!$A$2&amp;"*"))</f>
        <v>0</v>
      </c>
    </row>
    <row r="1502" spans="1:26" ht="27.75" customHeight="1" x14ac:dyDescent="0.3">
      <c r="A1502" s="144" t="str">
        <f>+IF(PROVEEDORES[[#This Row],[FECHA DE PAGO]]=PROVEEDORES[[#This Row],[FECHA DE FACTURACIÓN]],"DE CONTADO","CRÉDITO")</f>
        <v>DE CONTADO</v>
      </c>
      <c r="B1502" s="144" t="b">
        <f>+IF((PROVEEDORES[[#This Row],[FECHA DE PAGO]]-PROVEEDORES[[#This Row],[FECHA DE FACTURACIÓN]])&gt;PROVEEDORES[[#This Row],[PLAZO Días]],"PAGO VENCIDO")</f>
        <v>0</v>
      </c>
      <c r="C1502" s="144">
        <f>+VLOOKUP(PROVEEDORES[[#This Row],[PROVEEDOR]],TERCEROS_INFO[#All],2,FALSE)</f>
        <v>0</v>
      </c>
      <c r="D1502" s="145">
        <f>+SUMIFS(PROVEEDORES[Total],PROVEEDORES[PROVEEDOR],PROVEEDORES[[#This Row],[PROVEEDOR]],PROVEEDORES[FECHA DE PAGO],"")</f>
        <v>0</v>
      </c>
      <c r="E1502" s="146"/>
      <c r="F1502" s="144">
        <f>+VLOOKUP(PROVEEDORES[[#This Row],[PROVEEDOR]],
                       Terceros!$A:$G,
                       5,
                       FALSE)</f>
        <v>0</v>
      </c>
      <c r="G1502" s="122">
        <v>45412</v>
      </c>
      <c r="H1502" s="102" t="s">
        <v>537</v>
      </c>
      <c r="I1502" s="122">
        <v>45412</v>
      </c>
      <c r="J1502" s="103" t="s">
        <v>1820</v>
      </c>
      <c r="K1502" s="103"/>
      <c r="L1502" s="103"/>
      <c r="M1502" s="105">
        <v>120000</v>
      </c>
      <c r="N1502" s="147">
        <v>0</v>
      </c>
      <c r="O1502" s="147">
        <v>0</v>
      </c>
      <c r="P1502" s="148">
        <v>0</v>
      </c>
      <c r="Q1502" s="147">
        <v>0</v>
      </c>
      <c r="R1502" s="149">
        <v>120000</v>
      </c>
      <c r="S150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2" s="150">
        <f ca="1">+IF(PROVEEDORES[[#This Row],[FECHA DE PAGO]]=0,TODAY()-PROVEEDORES[[#This Row],[FECHA DE FACTURACIÓN]]-PROVEEDORES[[#This Row],[PLAZO Días]],0)</f>
        <v>0</v>
      </c>
      <c r="U1502" s="150">
        <f>+VLOOKUP(PROVEEDORES[[#This Row],[PROVEEDOR]],Terceros!$A:$E,4,FALSE)</f>
        <v>0</v>
      </c>
      <c r="V1502" s="150">
        <f>+YEAR(PROVEEDORES[[#This Row],[FECHA DE FACTURACIÓN]])</f>
        <v>2024</v>
      </c>
      <c r="W1502" s="150">
        <f>+MATCH(PROVEEDORES[[#This Row],[año facturado]],Retenciones!$1:$1,0)</f>
        <v>7</v>
      </c>
      <c r="X1502" s="151">
        <f>+VLOOKUP(PROVEEDORES[[#This Row],[ID RETENCION]],Retenciones!$A$1:$O$25,PROVEEDORES[[#This Row],[indicador de columna]],FALSE)</f>
        <v>0</v>
      </c>
      <c r="Y1502" s="152">
        <f>+VLOOKUP(PROVEEDORES[[#This Row],[ID RETENCION]],Retenciones!$A$1:$O$25,2,FALSE)</f>
        <v>0</v>
      </c>
      <c r="Z1502" s="153" t="b">
        <f>+OR(COUNTIF(PROVEEDORES[[#This Row],[PROVEEDOR]],"*"&amp;'Palabra que no opera y Listas d'!$A$2&amp;"*"))</f>
        <v>0</v>
      </c>
    </row>
    <row r="1503" spans="1:26" ht="27.75" customHeight="1" x14ac:dyDescent="0.3">
      <c r="A1503" s="144" t="str">
        <f>+IF(PROVEEDORES[[#This Row],[FECHA DE PAGO]]=PROVEEDORES[[#This Row],[FECHA DE FACTURACIÓN]],"DE CONTADO","CRÉDITO")</f>
        <v>DE CONTADO</v>
      </c>
      <c r="B1503" s="144" t="b">
        <f>+IF((PROVEEDORES[[#This Row],[FECHA DE PAGO]]-PROVEEDORES[[#This Row],[FECHA DE FACTURACIÓN]])&gt;PROVEEDORES[[#This Row],[PLAZO Días]],"PAGO VENCIDO")</f>
        <v>0</v>
      </c>
      <c r="C1503" s="144">
        <f>+VLOOKUP(PROVEEDORES[[#This Row],[PROVEEDOR]],TERCEROS_INFO[#All],2,FALSE)</f>
        <v>0</v>
      </c>
      <c r="D1503" s="145">
        <f>+SUMIFS(PROVEEDORES[Total],PROVEEDORES[PROVEEDOR],PROVEEDORES[[#This Row],[PROVEEDOR]],PROVEEDORES[FECHA DE PAGO],"")</f>
        <v>0</v>
      </c>
      <c r="E1503" s="146"/>
      <c r="F1503" s="144">
        <f>+VLOOKUP(PROVEEDORES[[#This Row],[PROVEEDOR]],
                       Terceros!$A:$G,
                       5,
                       FALSE)</f>
        <v>0</v>
      </c>
      <c r="G1503" s="122">
        <v>45412</v>
      </c>
      <c r="H1503" s="102" t="s">
        <v>537</v>
      </c>
      <c r="I1503" s="122">
        <v>45412</v>
      </c>
      <c r="J1503" s="103" t="s">
        <v>1821</v>
      </c>
      <c r="K1503" s="103"/>
      <c r="L1503" s="103"/>
      <c r="M1503" s="105">
        <v>1900400</v>
      </c>
      <c r="N1503" s="147">
        <v>0</v>
      </c>
      <c r="O1503" s="147">
        <v>0</v>
      </c>
      <c r="P1503" s="148">
        <v>0</v>
      </c>
      <c r="Q1503" s="147">
        <v>0</v>
      </c>
      <c r="R1503" s="149">
        <v>1900400</v>
      </c>
      <c r="S150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3" s="150">
        <f ca="1">+IF(PROVEEDORES[[#This Row],[FECHA DE PAGO]]=0,TODAY()-PROVEEDORES[[#This Row],[FECHA DE FACTURACIÓN]]-PROVEEDORES[[#This Row],[PLAZO Días]],0)</f>
        <v>0</v>
      </c>
      <c r="U1503" s="150">
        <f>+VLOOKUP(PROVEEDORES[[#This Row],[PROVEEDOR]],Terceros!$A:$E,4,FALSE)</f>
        <v>0</v>
      </c>
      <c r="V1503" s="150">
        <f>+YEAR(PROVEEDORES[[#This Row],[FECHA DE FACTURACIÓN]])</f>
        <v>2024</v>
      </c>
      <c r="W1503" s="150">
        <f>+MATCH(PROVEEDORES[[#This Row],[año facturado]],Retenciones!$1:$1,0)</f>
        <v>7</v>
      </c>
      <c r="X1503" s="151">
        <f>+VLOOKUP(PROVEEDORES[[#This Row],[ID RETENCION]],Retenciones!$A$1:$O$25,PROVEEDORES[[#This Row],[indicador de columna]],FALSE)</f>
        <v>0</v>
      </c>
      <c r="Y1503" s="152">
        <f>+VLOOKUP(PROVEEDORES[[#This Row],[ID RETENCION]],Retenciones!$A$1:$O$25,2,FALSE)</f>
        <v>0</v>
      </c>
      <c r="Z1503" s="153" t="b">
        <f>+OR(COUNTIF(PROVEEDORES[[#This Row],[PROVEEDOR]],"*"&amp;'Palabra que no opera y Listas d'!$A$2&amp;"*"))</f>
        <v>0</v>
      </c>
    </row>
    <row r="1504" spans="1:26" ht="27.75" customHeight="1" x14ac:dyDescent="0.3">
      <c r="A1504" s="144" t="str">
        <f>+IF(PROVEEDORES[[#This Row],[FECHA DE PAGO]]=PROVEEDORES[[#This Row],[FECHA DE FACTURACIÓN]],"DE CONTADO","CRÉDITO")</f>
        <v>DE CONTADO</v>
      </c>
      <c r="B1504" s="144" t="b">
        <f>+IF((PROVEEDORES[[#This Row],[FECHA DE PAGO]]-PROVEEDORES[[#This Row],[FECHA DE FACTURACIÓN]])&gt;PROVEEDORES[[#This Row],[PLAZO Días]],"PAGO VENCIDO")</f>
        <v>0</v>
      </c>
      <c r="C1504" s="144">
        <f>+VLOOKUP(PROVEEDORES[[#This Row],[PROVEEDOR]],TERCEROS_INFO[#All],2,FALSE)</f>
        <v>0</v>
      </c>
      <c r="D1504" s="145">
        <f>+SUMIFS(PROVEEDORES[Total],PROVEEDORES[PROVEEDOR],PROVEEDORES[[#This Row],[PROVEEDOR]],PROVEEDORES[FECHA DE PAGO],"")</f>
        <v>0</v>
      </c>
      <c r="E1504" s="146"/>
      <c r="F1504" s="144">
        <f>+VLOOKUP(PROVEEDORES[[#This Row],[PROVEEDOR]],
                       Terceros!$A:$G,
                       5,
                       FALSE)</f>
        <v>0</v>
      </c>
      <c r="G1504" s="122">
        <v>45412</v>
      </c>
      <c r="H1504" s="102" t="s">
        <v>537</v>
      </c>
      <c r="I1504" s="122">
        <v>45412</v>
      </c>
      <c r="J1504" s="103" t="s">
        <v>1822</v>
      </c>
      <c r="K1504" s="103"/>
      <c r="L1504" s="103"/>
      <c r="M1504" s="105">
        <v>883500</v>
      </c>
      <c r="N1504" s="147">
        <v>0</v>
      </c>
      <c r="O1504" s="147">
        <v>0</v>
      </c>
      <c r="P1504" s="148">
        <v>0</v>
      </c>
      <c r="Q1504" s="147">
        <v>0</v>
      </c>
      <c r="R1504" s="149">
        <v>883500</v>
      </c>
      <c r="S150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4" s="150">
        <f ca="1">+IF(PROVEEDORES[[#This Row],[FECHA DE PAGO]]=0,TODAY()-PROVEEDORES[[#This Row],[FECHA DE FACTURACIÓN]]-PROVEEDORES[[#This Row],[PLAZO Días]],0)</f>
        <v>0</v>
      </c>
      <c r="U1504" s="150">
        <f>+VLOOKUP(PROVEEDORES[[#This Row],[PROVEEDOR]],Terceros!$A:$E,4,FALSE)</f>
        <v>0</v>
      </c>
      <c r="V1504" s="150">
        <f>+YEAR(PROVEEDORES[[#This Row],[FECHA DE FACTURACIÓN]])</f>
        <v>2024</v>
      </c>
      <c r="W1504" s="150">
        <f>+MATCH(PROVEEDORES[[#This Row],[año facturado]],Retenciones!$1:$1,0)</f>
        <v>7</v>
      </c>
      <c r="X1504" s="151">
        <f>+VLOOKUP(PROVEEDORES[[#This Row],[ID RETENCION]],Retenciones!$A$1:$O$25,PROVEEDORES[[#This Row],[indicador de columna]],FALSE)</f>
        <v>0</v>
      </c>
      <c r="Y1504" s="152">
        <f>+VLOOKUP(PROVEEDORES[[#This Row],[ID RETENCION]],Retenciones!$A$1:$O$25,2,FALSE)</f>
        <v>0</v>
      </c>
      <c r="Z1504" s="153" t="b">
        <f>+OR(COUNTIF(PROVEEDORES[[#This Row],[PROVEEDOR]],"*"&amp;'Palabra que no opera y Listas d'!$A$2&amp;"*"))</f>
        <v>0</v>
      </c>
    </row>
    <row r="1505" spans="1:26" ht="27.75" customHeight="1" x14ac:dyDescent="0.3">
      <c r="A1505" s="144" t="str">
        <f>+IF(PROVEEDORES[[#This Row],[FECHA DE PAGO]]=PROVEEDORES[[#This Row],[FECHA DE FACTURACIÓN]],"DE CONTADO","CRÉDITO")</f>
        <v>DE CONTADO</v>
      </c>
      <c r="B1505" s="144" t="b">
        <f>+IF((PROVEEDORES[[#This Row],[FECHA DE PAGO]]-PROVEEDORES[[#This Row],[FECHA DE FACTURACIÓN]])&gt;PROVEEDORES[[#This Row],[PLAZO Días]],"PAGO VENCIDO")</f>
        <v>0</v>
      </c>
      <c r="C1505" s="144">
        <f>+VLOOKUP(PROVEEDORES[[#This Row],[PROVEEDOR]],TERCEROS_INFO[#All],2,FALSE)</f>
        <v>0</v>
      </c>
      <c r="D1505" s="145">
        <f>+SUMIFS(PROVEEDORES[Total],PROVEEDORES[PROVEEDOR],PROVEEDORES[[#This Row],[PROVEEDOR]],PROVEEDORES[FECHA DE PAGO],"")</f>
        <v>0</v>
      </c>
      <c r="E1505" s="146"/>
      <c r="F1505" s="144">
        <f>+VLOOKUP(PROVEEDORES[[#This Row],[PROVEEDOR]],
                       Terceros!$A:$G,
                       5,
                       FALSE)</f>
        <v>0</v>
      </c>
      <c r="G1505" s="122">
        <v>45412</v>
      </c>
      <c r="H1505" s="102" t="s">
        <v>537</v>
      </c>
      <c r="I1505" s="122">
        <v>45412</v>
      </c>
      <c r="J1505" s="103" t="s">
        <v>1823</v>
      </c>
      <c r="K1505" s="103"/>
      <c r="L1505" s="103"/>
      <c r="M1505" s="105">
        <v>268000</v>
      </c>
      <c r="N1505" s="147">
        <v>0</v>
      </c>
      <c r="O1505" s="147">
        <v>0</v>
      </c>
      <c r="P1505" s="148">
        <v>0</v>
      </c>
      <c r="Q1505" s="147">
        <v>0</v>
      </c>
      <c r="R1505" s="149">
        <v>268000</v>
      </c>
      <c r="S150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5" s="150">
        <f ca="1">+IF(PROVEEDORES[[#This Row],[FECHA DE PAGO]]=0,TODAY()-PROVEEDORES[[#This Row],[FECHA DE FACTURACIÓN]]-PROVEEDORES[[#This Row],[PLAZO Días]],0)</f>
        <v>0</v>
      </c>
      <c r="U1505" s="150">
        <f>+VLOOKUP(PROVEEDORES[[#This Row],[PROVEEDOR]],Terceros!$A:$E,4,FALSE)</f>
        <v>0</v>
      </c>
      <c r="V1505" s="150">
        <f>+YEAR(PROVEEDORES[[#This Row],[FECHA DE FACTURACIÓN]])</f>
        <v>2024</v>
      </c>
      <c r="W1505" s="150">
        <f>+MATCH(PROVEEDORES[[#This Row],[año facturado]],Retenciones!$1:$1,0)</f>
        <v>7</v>
      </c>
      <c r="X1505" s="151">
        <f>+VLOOKUP(PROVEEDORES[[#This Row],[ID RETENCION]],Retenciones!$A$1:$O$25,PROVEEDORES[[#This Row],[indicador de columna]],FALSE)</f>
        <v>0</v>
      </c>
      <c r="Y1505" s="152">
        <f>+VLOOKUP(PROVEEDORES[[#This Row],[ID RETENCION]],Retenciones!$A$1:$O$25,2,FALSE)</f>
        <v>0</v>
      </c>
      <c r="Z1505" s="153" t="b">
        <f>+OR(COUNTIF(PROVEEDORES[[#This Row],[PROVEEDOR]],"*"&amp;'Palabra que no opera y Listas d'!$A$2&amp;"*"))</f>
        <v>0</v>
      </c>
    </row>
    <row r="1506" spans="1:26" ht="27.75" customHeight="1" x14ac:dyDescent="0.3">
      <c r="A1506" s="144" t="str">
        <f>+IF(PROVEEDORES[[#This Row],[FECHA DE PAGO]]=PROVEEDORES[[#This Row],[FECHA DE FACTURACIÓN]],"DE CONTADO","CRÉDITO")</f>
        <v>DE CONTADO</v>
      </c>
      <c r="B1506" s="144" t="b">
        <f>+IF((PROVEEDORES[[#This Row],[FECHA DE PAGO]]-PROVEEDORES[[#This Row],[FECHA DE FACTURACIÓN]])&gt;PROVEEDORES[[#This Row],[PLAZO Días]],"PAGO VENCIDO")</f>
        <v>0</v>
      </c>
      <c r="C1506" s="144">
        <f>+VLOOKUP(PROVEEDORES[[#This Row],[PROVEEDOR]],TERCEROS_INFO[#All],2,FALSE)</f>
        <v>0</v>
      </c>
      <c r="D1506" s="145">
        <f>+SUMIFS(PROVEEDORES[Total],PROVEEDORES[PROVEEDOR],PROVEEDORES[[#This Row],[PROVEEDOR]],PROVEEDORES[FECHA DE PAGO],"")</f>
        <v>0</v>
      </c>
      <c r="E1506" s="146"/>
      <c r="F1506" s="144">
        <f>+VLOOKUP(PROVEEDORES[[#This Row],[PROVEEDOR]],
                       Terceros!$A:$G,
                       5,
                       FALSE)</f>
        <v>0</v>
      </c>
      <c r="G1506" s="122">
        <v>45412</v>
      </c>
      <c r="H1506" s="102" t="s">
        <v>537</v>
      </c>
      <c r="I1506" s="122">
        <v>45412</v>
      </c>
      <c r="J1506" s="103" t="s">
        <v>516</v>
      </c>
      <c r="K1506" s="103"/>
      <c r="L1506" s="103"/>
      <c r="M1506" s="105">
        <v>168000</v>
      </c>
      <c r="N1506" s="147">
        <v>0</v>
      </c>
      <c r="O1506" s="147">
        <v>0</v>
      </c>
      <c r="P1506" s="148">
        <v>0</v>
      </c>
      <c r="Q1506" s="147">
        <v>0</v>
      </c>
      <c r="R1506" s="149">
        <v>168000</v>
      </c>
      <c r="S150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6" s="150">
        <f ca="1">+IF(PROVEEDORES[[#This Row],[FECHA DE PAGO]]=0,TODAY()-PROVEEDORES[[#This Row],[FECHA DE FACTURACIÓN]]-PROVEEDORES[[#This Row],[PLAZO Días]],0)</f>
        <v>0</v>
      </c>
      <c r="U1506" s="150">
        <f>+VLOOKUP(PROVEEDORES[[#This Row],[PROVEEDOR]],Terceros!$A:$E,4,FALSE)</f>
        <v>0</v>
      </c>
      <c r="V1506" s="150">
        <f>+YEAR(PROVEEDORES[[#This Row],[FECHA DE FACTURACIÓN]])</f>
        <v>2024</v>
      </c>
      <c r="W1506" s="150">
        <f>+MATCH(PROVEEDORES[[#This Row],[año facturado]],Retenciones!$1:$1,0)</f>
        <v>7</v>
      </c>
      <c r="X1506" s="151">
        <f>+VLOOKUP(PROVEEDORES[[#This Row],[ID RETENCION]],Retenciones!$A$1:$O$25,PROVEEDORES[[#This Row],[indicador de columna]],FALSE)</f>
        <v>0</v>
      </c>
      <c r="Y1506" s="152">
        <f>+VLOOKUP(PROVEEDORES[[#This Row],[ID RETENCION]],Retenciones!$A$1:$O$25,2,FALSE)</f>
        <v>0</v>
      </c>
      <c r="Z1506" s="153" t="b">
        <f>+OR(COUNTIF(PROVEEDORES[[#This Row],[PROVEEDOR]],"*"&amp;'Palabra que no opera y Listas d'!$A$2&amp;"*"))</f>
        <v>0</v>
      </c>
    </row>
    <row r="1507" spans="1:26" ht="27.75" customHeight="1" x14ac:dyDescent="0.3">
      <c r="A1507" s="144" t="str">
        <f>+IF(PROVEEDORES[[#This Row],[FECHA DE PAGO]]=PROVEEDORES[[#This Row],[FECHA DE FACTURACIÓN]],"DE CONTADO","CRÉDITO")</f>
        <v>CRÉDITO</v>
      </c>
      <c r="B1507" s="144" t="str">
        <f>+IF((PROVEEDORES[[#This Row],[FECHA DE PAGO]]-PROVEEDORES[[#This Row],[FECHA DE FACTURACIÓN]])&gt;PROVEEDORES[[#This Row],[PLAZO Días]],"PAGO VENCIDO")</f>
        <v>PAGO VENCIDO</v>
      </c>
      <c r="C1507" s="144">
        <f>+VLOOKUP(PROVEEDORES[[#This Row],[PROVEEDOR]],TERCEROS_INFO[#All],2,FALSE)</f>
        <v>0</v>
      </c>
      <c r="D1507" s="145">
        <f>+SUMIFS(PROVEEDORES[Total],PROVEEDORES[PROVEEDOR],PROVEEDORES[[#This Row],[PROVEEDOR]],PROVEEDORES[FECHA DE PAGO],"")</f>
        <v>0</v>
      </c>
      <c r="E1507" s="146"/>
      <c r="F1507" s="144">
        <f>+VLOOKUP(PROVEEDORES[[#This Row],[PROVEEDOR]],
                       Terceros!$A:$G,
                       5,
                       FALSE)</f>
        <v>0</v>
      </c>
      <c r="G1507" s="122">
        <v>45414</v>
      </c>
      <c r="H1507" s="102" t="s">
        <v>405</v>
      </c>
      <c r="I1507" s="122">
        <v>45413</v>
      </c>
      <c r="J1507" s="103"/>
      <c r="K1507" s="103" t="s">
        <v>1512</v>
      </c>
      <c r="L1507" s="103" t="s">
        <v>1518</v>
      </c>
      <c r="M1507" s="105">
        <v>633500</v>
      </c>
      <c r="N1507" s="147">
        <v>0</v>
      </c>
      <c r="O1507" s="147">
        <v>0</v>
      </c>
      <c r="P1507" s="148">
        <v>0</v>
      </c>
      <c r="Q1507" s="147">
        <v>0</v>
      </c>
      <c r="R1507" s="149">
        <v>633500</v>
      </c>
      <c r="S150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7" s="150">
        <f ca="1">+IF(PROVEEDORES[[#This Row],[FECHA DE PAGO]]=0,TODAY()-PROVEEDORES[[#This Row],[FECHA DE FACTURACIÓN]]-PROVEEDORES[[#This Row],[PLAZO Días]],0)</f>
        <v>0</v>
      </c>
      <c r="U1507" s="150">
        <f>+VLOOKUP(PROVEEDORES[[#This Row],[PROVEEDOR]],Terceros!$A:$E,4,FALSE)</f>
        <v>0</v>
      </c>
      <c r="V1507" s="150">
        <f>+YEAR(PROVEEDORES[[#This Row],[FECHA DE FACTURACIÓN]])</f>
        <v>2024</v>
      </c>
      <c r="W1507" s="150">
        <f>+MATCH(PROVEEDORES[[#This Row],[año facturado]],Retenciones!$1:$1,0)</f>
        <v>7</v>
      </c>
      <c r="X1507" s="151">
        <f>+VLOOKUP(PROVEEDORES[[#This Row],[ID RETENCION]],Retenciones!$A$1:$O$25,PROVEEDORES[[#This Row],[indicador de columna]],FALSE)</f>
        <v>0</v>
      </c>
      <c r="Y1507" s="152">
        <f>+VLOOKUP(PROVEEDORES[[#This Row],[ID RETENCION]],Retenciones!$A$1:$O$25,2,FALSE)</f>
        <v>0</v>
      </c>
      <c r="Z1507" s="153" t="b">
        <f>+OR(COUNTIF(PROVEEDORES[[#This Row],[PROVEEDOR]],"*"&amp;'Palabra que no opera y Listas d'!$A$2&amp;"*"))</f>
        <v>1</v>
      </c>
    </row>
    <row r="1508" spans="1:26" ht="27.75" customHeight="1" x14ac:dyDescent="0.3">
      <c r="A1508" s="144" t="str">
        <f>+IF(PROVEEDORES[[#This Row],[FECHA DE PAGO]]=PROVEEDORES[[#This Row],[FECHA DE FACTURACIÓN]],"DE CONTADO","CRÉDITO")</f>
        <v>DE CONTADO</v>
      </c>
      <c r="B1508" s="144" t="b">
        <f>+IF((PROVEEDORES[[#This Row],[FECHA DE PAGO]]-PROVEEDORES[[#This Row],[FECHA DE FACTURACIÓN]])&gt;PROVEEDORES[[#This Row],[PLAZO Días]],"PAGO VENCIDO")</f>
        <v>0</v>
      </c>
      <c r="C1508" s="144">
        <f>+VLOOKUP(PROVEEDORES[[#This Row],[PROVEEDOR]],TERCEROS_INFO[#All],2,FALSE)</f>
        <v>0</v>
      </c>
      <c r="D1508" s="145">
        <f>+SUMIFS(PROVEEDORES[Total],PROVEEDORES[PROVEEDOR],PROVEEDORES[[#This Row],[PROVEEDOR]],PROVEEDORES[FECHA DE PAGO],"")</f>
        <v>0</v>
      </c>
      <c r="E1508" s="146"/>
      <c r="F1508" s="144">
        <f>+VLOOKUP(PROVEEDORES[[#This Row],[PROVEEDOR]],
                       Terceros!$A:$G,
                       5,
                       FALSE)</f>
        <v>0</v>
      </c>
      <c r="G1508" s="122">
        <v>45414</v>
      </c>
      <c r="H1508" s="102" t="s">
        <v>1801</v>
      </c>
      <c r="I1508" s="122">
        <v>45414</v>
      </c>
      <c r="J1508" s="103" t="s">
        <v>494</v>
      </c>
      <c r="K1508" s="103" t="s">
        <v>1512</v>
      </c>
      <c r="L1508" s="103" t="s">
        <v>1390</v>
      </c>
      <c r="M1508" s="105">
        <v>1000000</v>
      </c>
      <c r="N1508" s="147">
        <f>+(PROVEEDORES[[#This Row],[SUBTOTAL]])*VLOOKUP(PROVEEDORES[[#This Row],[PROVEEDOR]],TERCEROS_INFO[#All],3,FALSE)</f>
        <v>30000000</v>
      </c>
      <c r="O1508" s="147">
        <f>+'Palabra que no opera y Listas d'!$D$2</f>
        <v>0</v>
      </c>
      <c r="P1508" s="148">
        <f>+IF(PROVEEDORES[[#This Row],[SUBTOTAL]]&lt;PROVEEDORES[[#This Row],[base retencion]],0,PROVEEDORES[[#This Row],[retención aplicada]])</f>
        <v>0</v>
      </c>
      <c r="Q1508" s="147">
        <f>+PROVEEDORES[[#This Row],[ReteFuente
%]]*(PROVEEDORES[[#This Row],[SUBTOTAL]])</f>
        <v>0</v>
      </c>
      <c r="R1508" s="149">
        <f>+PROVEEDORES[[#This Row],[SUBTOTAL]]+PROVEEDORES[[#This Row],[IVA 19%]]-PROVEEDORES[[#This Row],[Descuento
$]]-PROVEEDORES[[#This Row],[ReteFuente
$]]</f>
        <v>31000000</v>
      </c>
      <c r="S150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8" s="150">
        <f ca="1">+IF(PROVEEDORES[[#This Row],[FECHA DE PAGO]]=0,TODAY()-PROVEEDORES[[#This Row],[FECHA DE FACTURACIÓN]]-PROVEEDORES[[#This Row],[PLAZO Días]],0)</f>
        <v>0</v>
      </c>
      <c r="U1508" s="150">
        <f>+VLOOKUP(PROVEEDORES[[#This Row],[PROVEEDOR]],Terceros!$A:$E,4,FALSE)</f>
        <v>0</v>
      </c>
      <c r="V1508" s="150">
        <f>+YEAR(PROVEEDORES[[#This Row],[FECHA DE FACTURACIÓN]])</f>
        <v>2024</v>
      </c>
      <c r="W1508" s="150">
        <f>+MATCH(PROVEEDORES[[#This Row],[año facturado]],Retenciones!$1:$1,0)</f>
        <v>7</v>
      </c>
      <c r="X1508" s="151">
        <f>+VLOOKUP(PROVEEDORES[[#This Row],[ID RETENCION]],Retenciones!$A$1:$O$25,PROVEEDORES[[#This Row],[indicador de columna]],FALSE)</f>
        <v>0</v>
      </c>
      <c r="Y1508" s="152">
        <f>+VLOOKUP(PROVEEDORES[[#This Row],[ID RETENCION]],Retenciones!$A$1:$O$25,2,FALSE)</f>
        <v>0</v>
      </c>
      <c r="Z1508" s="153" t="b">
        <f>+OR(COUNTIF(PROVEEDORES[[#This Row],[PROVEEDOR]],"*"&amp;'Palabra que no opera y Listas d'!$A$2&amp;"*"))</f>
        <v>0</v>
      </c>
    </row>
    <row r="1509" spans="1:26" ht="27.75" customHeight="1" x14ac:dyDescent="0.3">
      <c r="A1509" s="144" t="str">
        <f>+IF(PROVEEDORES[[#This Row],[FECHA DE PAGO]]=PROVEEDORES[[#This Row],[FECHA DE FACTURACIÓN]],"DE CONTADO","CRÉDITO")</f>
        <v>DE CONTADO</v>
      </c>
      <c r="B1509" s="144" t="b">
        <f>+IF((PROVEEDORES[[#This Row],[FECHA DE PAGO]]-PROVEEDORES[[#This Row],[FECHA DE FACTURACIÓN]])&gt;PROVEEDORES[[#This Row],[PLAZO Días]],"PAGO VENCIDO")</f>
        <v>0</v>
      </c>
      <c r="C1509" s="144">
        <f>+VLOOKUP(PROVEEDORES[[#This Row],[PROVEEDOR]],TERCEROS_INFO[#All],2,FALSE)</f>
        <v>0</v>
      </c>
      <c r="D1509" s="145">
        <f>+SUMIFS(PROVEEDORES[Total],PROVEEDORES[PROVEEDOR],PROVEEDORES[[#This Row],[PROVEEDOR]],PROVEEDORES[FECHA DE PAGO],"")</f>
        <v>0</v>
      </c>
      <c r="E1509" s="146"/>
      <c r="F1509" s="144">
        <f>+VLOOKUP(PROVEEDORES[[#This Row],[PROVEEDOR]],
                       Terceros!$A:$G,
                       5,
                       FALSE)</f>
        <v>0</v>
      </c>
      <c r="G1509" s="122">
        <v>45416</v>
      </c>
      <c r="H1509" s="102" t="s">
        <v>537</v>
      </c>
      <c r="I1509" s="122">
        <v>45416</v>
      </c>
      <c r="J1509" s="103" t="s">
        <v>1815</v>
      </c>
      <c r="K1509" s="103" t="s">
        <v>1512</v>
      </c>
      <c r="L1509" s="103"/>
      <c r="M1509" s="105">
        <v>816000</v>
      </c>
      <c r="N1509" s="147">
        <f>+(PROVEEDORES[[#This Row],[SUBTOTAL]])*VLOOKUP(PROVEEDORES[[#This Row],[PROVEEDOR]],TERCEROS_INFO[#All],3,FALSE)</f>
        <v>24480000</v>
      </c>
      <c r="O1509" s="147">
        <f>+'Palabra que no opera y Listas d'!$D$2</f>
        <v>0</v>
      </c>
      <c r="P1509" s="148">
        <f>+IF(PROVEEDORES[[#This Row],[SUBTOTAL]]&lt;PROVEEDORES[[#This Row],[base retencion]],0,PROVEEDORES[[#This Row],[retención aplicada]])</f>
        <v>0</v>
      </c>
      <c r="Q1509" s="147">
        <f>+PROVEEDORES[[#This Row],[ReteFuente
%]]*(PROVEEDORES[[#This Row],[SUBTOTAL]])</f>
        <v>0</v>
      </c>
      <c r="R1509" s="149">
        <f>+PROVEEDORES[[#This Row],[SUBTOTAL]]+PROVEEDORES[[#This Row],[IVA 19%]]-PROVEEDORES[[#This Row],[Descuento
$]]-PROVEEDORES[[#This Row],[ReteFuente
$]]</f>
        <v>25296000</v>
      </c>
      <c r="S150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9" s="150">
        <f ca="1">+IF(PROVEEDORES[[#This Row],[FECHA DE PAGO]]=0,TODAY()-PROVEEDORES[[#This Row],[FECHA DE FACTURACIÓN]]-PROVEEDORES[[#This Row],[PLAZO Días]],0)</f>
        <v>0</v>
      </c>
      <c r="U1509" s="150">
        <f>+VLOOKUP(PROVEEDORES[[#This Row],[PROVEEDOR]],Terceros!$A:$E,4,FALSE)</f>
        <v>0</v>
      </c>
      <c r="V1509" s="150">
        <f>+YEAR(PROVEEDORES[[#This Row],[FECHA DE FACTURACIÓN]])</f>
        <v>2024</v>
      </c>
      <c r="W1509" s="150">
        <f>+MATCH(PROVEEDORES[[#This Row],[año facturado]],Retenciones!$1:$1,0)</f>
        <v>7</v>
      </c>
      <c r="X1509" s="151">
        <f>+VLOOKUP(PROVEEDORES[[#This Row],[ID RETENCION]],Retenciones!$A$1:$O$25,PROVEEDORES[[#This Row],[indicador de columna]],FALSE)</f>
        <v>0</v>
      </c>
      <c r="Y1509" s="152">
        <f>+VLOOKUP(PROVEEDORES[[#This Row],[ID RETENCION]],Retenciones!$A$1:$O$25,2,FALSE)</f>
        <v>0</v>
      </c>
      <c r="Z1509" s="153" t="b">
        <f>+OR(COUNTIF(PROVEEDORES[[#This Row],[PROVEEDOR]],"*"&amp;'Palabra que no opera y Listas d'!$A$2&amp;"*"))</f>
        <v>0</v>
      </c>
    </row>
    <row r="1510" spans="1:26" ht="27.75" customHeight="1" x14ac:dyDescent="0.3">
      <c r="A1510" s="144" t="str">
        <f>+IF(PROVEEDORES[[#This Row],[FECHA DE PAGO]]=PROVEEDORES[[#This Row],[FECHA DE FACTURACIÓN]],"DE CONTADO","CRÉDITO")</f>
        <v>CRÉDITO</v>
      </c>
      <c r="B1510" s="144" t="str">
        <f>+IF((PROVEEDORES[[#This Row],[FECHA DE PAGO]]-PROVEEDORES[[#This Row],[FECHA DE FACTURACIÓN]])&gt;PROVEEDORES[[#This Row],[PLAZO Días]],"PAGO VENCIDO")</f>
        <v>PAGO VENCIDO</v>
      </c>
      <c r="C1510" s="144">
        <f>+VLOOKUP(PROVEEDORES[[#This Row],[PROVEEDOR]],TERCEROS_INFO[#All],2,FALSE)</f>
        <v>0</v>
      </c>
      <c r="D1510" s="145">
        <f>+SUMIFS(PROVEEDORES[Total],PROVEEDORES[PROVEEDOR],PROVEEDORES[[#This Row],[PROVEEDOR]],PROVEEDORES[FECHA DE PAGO],"")</f>
        <v>0</v>
      </c>
      <c r="E1510" s="146"/>
      <c r="F1510" s="144" t="str">
        <f>+VLOOKUP(PROVEEDORES[[#This Row],[PROVEEDOR]],
                       Terceros!$A:$G,
                       5,
                       FALSE)</f>
        <v>2,5% con base</v>
      </c>
      <c r="G1510" s="122">
        <v>45418</v>
      </c>
      <c r="H1510" s="102" t="s">
        <v>1576</v>
      </c>
      <c r="I1510" s="122">
        <v>45344</v>
      </c>
      <c r="J1510" s="103" t="s">
        <v>1733</v>
      </c>
      <c r="K1510" s="103" t="s">
        <v>516</v>
      </c>
      <c r="L1510" s="103" t="s">
        <v>1516</v>
      </c>
      <c r="M1510" s="105">
        <v>-68878.524999999994</v>
      </c>
      <c r="N1510" s="147">
        <v>0</v>
      </c>
      <c r="O1510" s="147">
        <v>0</v>
      </c>
      <c r="P1510" s="148">
        <v>0</v>
      </c>
      <c r="Q1510" s="147">
        <v>0</v>
      </c>
      <c r="R1510" s="149">
        <v>-68878.524999999994</v>
      </c>
      <c r="S1510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0" s="150">
        <f ca="1">+IF(PROVEEDORES[[#This Row],[FECHA DE PAGO]]=0,TODAY()-PROVEEDORES[[#This Row],[FECHA DE FACTURACIÓN]]-PROVEEDORES[[#This Row],[PLAZO Días]],0)</f>
        <v>0</v>
      </c>
      <c r="U1510" s="150">
        <f>+VLOOKUP(PROVEEDORES[[#This Row],[PROVEEDOR]],Terceros!$A:$E,4,FALSE)</f>
        <v>0.19</v>
      </c>
      <c r="V1510" s="150">
        <f>+YEAR(PROVEEDORES[[#This Row],[FECHA DE FACTURACIÓN]])</f>
        <v>2024</v>
      </c>
      <c r="W1510" s="150">
        <f>+MATCH(PROVEEDORES[[#This Row],[año facturado]],Retenciones!$1:$1,0)</f>
        <v>7</v>
      </c>
      <c r="X1510" s="151" t="e">
        <f>+VLOOKUP(PROVEEDORES[[#This Row],[ID RETENCION]],Retenciones!$A$1:$O$25,PROVEEDORES[[#This Row],[indicador de columna]],FALSE)</f>
        <v>#N/A</v>
      </c>
      <c r="Y1510" s="152" t="e">
        <f>+VLOOKUP(PROVEEDORES[[#This Row],[ID RETENCION]],Retenciones!$A$1:$O$25,2,FALSE)</f>
        <v>#N/A</v>
      </c>
      <c r="Z1510" s="153" t="b">
        <f>+OR(COUNTIF(PROVEEDORES[[#This Row],[PROVEEDOR]],"*"&amp;'Palabra que no opera y Listas d'!$A$2&amp;"*"))</f>
        <v>0</v>
      </c>
    </row>
    <row r="1511" spans="1:26" ht="27.75" customHeight="1" x14ac:dyDescent="0.3">
      <c r="A1511" s="144" t="str">
        <f>+IF(PROVEEDORES[[#This Row],[FECHA DE PAGO]]=PROVEEDORES[[#This Row],[FECHA DE FACTURACIÓN]],"DE CONTADO","CRÉDITO")</f>
        <v>CRÉDITO</v>
      </c>
      <c r="B1511" s="144" t="str">
        <f>+IF((PROVEEDORES[[#This Row],[FECHA DE PAGO]]-PROVEEDORES[[#This Row],[FECHA DE FACTURACIÓN]])&gt;PROVEEDORES[[#This Row],[PLAZO Días]],"PAGO VENCIDO")</f>
        <v>PAGO VENCIDO</v>
      </c>
      <c r="C1511" s="144">
        <f>+VLOOKUP(PROVEEDORES[[#This Row],[PROVEEDOR]],TERCEROS_INFO[#All],2,FALSE)</f>
        <v>0</v>
      </c>
      <c r="D1511" s="145">
        <f>+SUMIFS(PROVEEDORES[Total],PROVEEDORES[PROVEEDOR],PROVEEDORES[[#This Row],[PROVEEDOR]],PROVEEDORES[FECHA DE PAGO],"")</f>
        <v>0</v>
      </c>
      <c r="E1511" s="146"/>
      <c r="F1511" s="144" t="str">
        <f>+VLOOKUP(PROVEEDORES[[#This Row],[PROVEEDOR]],
                       Terceros!$A:$G,
                       5,
                       FALSE)</f>
        <v>2,5% con base</v>
      </c>
      <c r="G1511" s="122">
        <v>45418</v>
      </c>
      <c r="H1511" s="102" t="s">
        <v>71</v>
      </c>
      <c r="I1511" s="122">
        <v>45357</v>
      </c>
      <c r="J1511" s="103" t="s">
        <v>1811</v>
      </c>
      <c r="K1511" s="103" t="s">
        <v>1512</v>
      </c>
      <c r="L1511" s="103" t="s">
        <v>1517</v>
      </c>
      <c r="M1511" s="105">
        <v>22137360</v>
      </c>
      <c r="N1511" s="147">
        <v>4206098.4000000004</v>
      </c>
      <c r="O1511" s="147">
        <v>0</v>
      </c>
      <c r="P1511" s="148">
        <v>2.5000000000000001E-2</v>
      </c>
      <c r="Q1511" s="147">
        <v>553434</v>
      </c>
      <c r="R1511" s="149">
        <v>17790024.399999999</v>
      </c>
      <c r="S1511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1" s="150">
        <f ca="1">+IF(PROVEEDORES[[#This Row],[FECHA DE PAGO]]=0,TODAY()-PROVEEDORES[[#This Row],[FECHA DE FACTURACIÓN]]-PROVEEDORES[[#This Row],[PLAZO Días]],0)</f>
        <v>0</v>
      </c>
      <c r="U1511" s="150">
        <f>+VLOOKUP(PROVEEDORES[[#This Row],[PROVEEDOR]],Terceros!$A:$E,4,FALSE)</f>
        <v>0.19</v>
      </c>
      <c r="V1511" s="150">
        <f>+YEAR(PROVEEDORES[[#This Row],[FECHA DE FACTURACIÓN]])</f>
        <v>2024</v>
      </c>
      <c r="W1511" s="150">
        <f>+MATCH(PROVEEDORES[[#This Row],[año facturado]],Retenciones!$1:$1,0)</f>
        <v>7</v>
      </c>
      <c r="X1511" s="151" t="e">
        <f>+VLOOKUP(PROVEEDORES[[#This Row],[ID RETENCION]],Retenciones!$A$1:$O$25,PROVEEDORES[[#This Row],[indicador de columna]],FALSE)</f>
        <v>#N/A</v>
      </c>
      <c r="Y1511" s="152" t="e">
        <f>+VLOOKUP(PROVEEDORES[[#This Row],[ID RETENCION]],Retenciones!$A$1:$O$25,2,FALSE)</f>
        <v>#N/A</v>
      </c>
      <c r="Z1511" s="153" t="b">
        <f>+OR(COUNTIF(PROVEEDORES[[#This Row],[PROVEEDOR]],"*"&amp;'Palabra que no opera y Listas d'!$A$2&amp;"*"))</f>
        <v>0</v>
      </c>
    </row>
    <row r="1512" spans="1:26" ht="27.75" customHeight="1" x14ac:dyDescent="0.3">
      <c r="A1512" s="144" t="str">
        <f>+IF(PROVEEDORES[[#This Row],[FECHA DE PAGO]]=PROVEEDORES[[#This Row],[FECHA DE FACTURACIÓN]],"DE CONTADO","CRÉDITO")</f>
        <v>CRÉDITO</v>
      </c>
      <c r="B1512" s="144" t="str">
        <f>+IF((PROVEEDORES[[#This Row],[FECHA DE PAGO]]-PROVEEDORES[[#This Row],[FECHA DE FACTURACIÓN]])&gt;PROVEEDORES[[#This Row],[PLAZO Días]],"PAGO VENCIDO")</f>
        <v>PAGO VENCIDO</v>
      </c>
      <c r="C1512" s="144">
        <f>+VLOOKUP(PROVEEDORES[[#This Row],[PROVEEDOR]],TERCEROS_INFO[#All],2,FALSE)</f>
        <v>0</v>
      </c>
      <c r="D1512" s="145">
        <f>+SUMIFS(PROVEEDORES[Total],PROVEEDORES[PROVEEDOR],PROVEEDORES[[#This Row],[PROVEEDOR]],PROVEEDORES[FECHA DE PAGO],"")</f>
        <v>0</v>
      </c>
      <c r="E1512" s="146"/>
      <c r="F1512" s="144" t="str">
        <f>+VLOOKUP(PROVEEDORES[[#This Row],[PROVEEDOR]],
                       Terceros!$A:$G,
                       5,
                       FALSE)</f>
        <v>2,5% con base</v>
      </c>
      <c r="G1512" s="122">
        <v>45418</v>
      </c>
      <c r="H1512" s="102" t="s">
        <v>1576</v>
      </c>
      <c r="I1512" s="122">
        <v>45362</v>
      </c>
      <c r="J1512" s="103" t="s">
        <v>1632</v>
      </c>
      <c r="K1512" s="103" t="s">
        <v>516</v>
      </c>
      <c r="L1512" s="103" t="s">
        <v>1516</v>
      </c>
      <c r="M1512" s="105">
        <v>264378</v>
      </c>
      <c r="N1512" s="147">
        <v>50231.82</v>
      </c>
      <c r="O1512" s="147">
        <v>0</v>
      </c>
      <c r="P1512" s="148">
        <v>0</v>
      </c>
      <c r="Q1512" s="147">
        <v>0</v>
      </c>
      <c r="R1512" s="149">
        <v>314609.82</v>
      </c>
      <c r="S1512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2" s="150">
        <f ca="1">+IF(PROVEEDORES[[#This Row],[FECHA DE PAGO]]=0,TODAY()-PROVEEDORES[[#This Row],[FECHA DE FACTURACIÓN]]-PROVEEDORES[[#This Row],[PLAZO Días]],0)</f>
        <v>0</v>
      </c>
      <c r="U1512" s="150">
        <f>+VLOOKUP(PROVEEDORES[[#This Row],[PROVEEDOR]],Terceros!$A:$E,4,FALSE)</f>
        <v>0.19</v>
      </c>
      <c r="V1512" s="150">
        <f>+YEAR(PROVEEDORES[[#This Row],[FECHA DE FACTURACIÓN]])</f>
        <v>2024</v>
      </c>
      <c r="W1512" s="150">
        <f>+MATCH(PROVEEDORES[[#This Row],[año facturado]],Retenciones!$1:$1,0)</f>
        <v>7</v>
      </c>
      <c r="X1512" s="151" t="e">
        <f>+VLOOKUP(PROVEEDORES[[#This Row],[ID RETENCION]],Retenciones!$A$1:$O$25,PROVEEDORES[[#This Row],[indicador de columna]],FALSE)</f>
        <v>#N/A</v>
      </c>
      <c r="Y1512" s="152" t="e">
        <f>+VLOOKUP(PROVEEDORES[[#This Row],[ID RETENCION]],Retenciones!$A$1:$O$25,2,FALSE)</f>
        <v>#N/A</v>
      </c>
      <c r="Z1512" s="153" t="b">
        <f>+OR(COUNTIF(PROVEEDORES[[#This Row],[PROVEEDOR]],"*"&amp;'Palabra que no opera y Listas d'!$A$2&amp;"*"))</f>
        <v>0</v>
      </c>
    </row>
    <row r="1513" spans="1:26" ht="27.75" customHeight="1" x14ac:dyDescent="0.3">
      <c r="A1513" s="144" t="str">
        <f>+IF(PROVEEDORES[[#This Row],[FECHA DE PAGO]]=PROVEEDORES[[#This Row],[FECHA DE FACTURACIÓN]],"DE CONTADO","CRÉDITO")</f>
        <v>CRÉDITO</v>
      </c>
      <c r="B1513" s="144" t="str">
        <f>+IF((PROVEEDORES[[#This Row],[FECHA DE PAGO]]-PROVEEDORES[[#This Row],[FECHA DE FACTURACIÓN]])&gt;PROVEEDORES[[#This Row],[PLAZO Días]],"PAGO VENCIDO")</f>
        <v>PAGO VENCIDO</v>
      </c>
      <c r="C1513" s="144">
        <f>+VLOOKUP(PROVEEDORES[[#This Row],[PROVEEDOR]],TERCEROS_INFO[#All],2,FALSE)</f>
        <v>0</v>
      </c>
      <c r="D1513" s="145">
        <f>+SUMIFS(PROVEEDORES[Total],PROVEEDORES[PROVEEDOR],PROVEEDORES[[#This Row],[PROVEEDOR]],PROVEEDORES[FECHA DE PAGO],"")</f>
        <v>0</v>
      </c>
      <c r="E1513" s="146"/>
      <c r="F1513" s="144" t="str">
        <f>+VLOOKUP(PROVEEDORES[[#This Row],[PROVEEDOR]],
                       Terceros!$A:$G,
                       5,
                       FALSE)</f>
        <v>2,5% con base</v>
      </c>
      <c r="G1513" s="122">
        <v>45418</v>
      </c>
      <c r="H1513" s="102" t="s">
        <v>1576</v>
      </c>
      <c r="I1513" s="122">
        <v>45369</v>
      </c>
      <c r="J1513" s="103" t="s">
        <v>1649</v>
      </c>
      <c r="K1513" s="103" t="s">
        <v>516</v>
      </c>
      <c r="L1513" s="103" t="s">
        <v>1516</v>
      </c>
      <c r="M1513" s="105">
        <v>1592937</v>
      </c>
      <c r="N1513" s="147">
        <v>302658.03000000003</v>
      </c>
      <c r="O1513" s="147">
        <v>0</v>
      </c>
      <c r="P1513" s="148">
        <v>2.5000000000000001E-2</v>
      </c>
      <c r="Q1513" s="147">
        <v>39823.425000000003</v>
      </c>
      <c r="R1513" s="149">
        <v>1855771.605</v>
      </c>
      <c r="S1513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3" s="150">
        <f ca="1">+IF(PROVEEDORES[[#This Row],[FECHA DE PAGO]]=0,TODAY()-PROVEEDORES[[#This Row],[FECHA DE FACTURACIÓN]]-PROVEEDORES[[#This Row],[PLAZO Días]],0)</f>
        <v>0</v>
      </c>
      <c r="U1513" s="150">
        <f>+VLOOKUP(PROVEEDORES[[#This Row],[PROVEEDOR]],Terceros!$A:$E,4,FALSE)</f>
        <v>0.19</v>
      </c>
      <c r="V1513" s="150">
        <f>+YEAR(PROVEEDORES[[#This Row],[FECHA DE FACTURACIÓN]])</f>
        <v>2024</v>
      </c>
      <c r="W1513" s="150">
        <f>+MATCH(PROVEEDORES[[#This Row],[año facturado]],Retenciones!$1:$1,0)</f>
        <v>7</v>
      </c>
      <c r="X1513" s="151" t="e">
        <f>+VLOOKUP(PROVEEDORES[[#This Row],[ID RETENCION]],Retenciones!$A$1:$O$25,PROVEEDORES[[#This Row],[indicador de columna]],FALSE)</f>
        <v>#N/A</v>
      </c>
      <c r="Y1513" s="152" t="e">
        <f>+VLOOKUP(PROVEEDORES[[#This Row],[ID RETENCION]],Retenciones!$A$1:$O$25,2,FALSE)</f>
        <v>#N/A</v>
      </c>
      <c r="Z1513" s="153" t="b">
        <f>+OR(COUNTIF(PROVEEDORES[[#This Row],[PROVEEDOR]],"*"&amp;'Palabra que no opera y Listas d'!$A$2&amp;"*"))</f>
        <v>0</v>
      </c>
    </row>
    <row r="1514" spans="1:26" ht="27.75" customHeight="1" x14ac:dyDescent="0.3">
      <c r="A1514" s="144" t="str">
        <f>+IF(PROVEEDORES[[#This Row],[FECHA DE PAGO]]=PROVEEDORES[[#This Row],[FECHA DE FACTURACIÓN]],"DE CONTADO","CRÉDITO")</f>
        <v>CRÉDITO</v>
      </c>
      <c r="B1514" s="144" t="str">
        <f>+IF((PROVEEDORES[[#This Row],[FECHA DE PAGO]]-PROVEEDORES[[#This Row],[FECHA DE FACTURACIÓN]])&gt;PROVEEDORES[[#This Row],[PLAZO Días]],"PAGO VENCIDO")</f>
        <v>PAGO VENCIDO</v>
      </c>
      <c r="C1514" s="144">
        <f>+VLOOKUP(PROVEEDORES[[#This Row],[PROVEEDOR]],TERCEROS_INFO[#All],2,FALSE)</f>
        <v>0</v>
      </c>
      <c r="D1514" s="145">
        <f>+SUMIFS(PROVEEDORES[Total],PROVEEDORES[PROVEEDOR],PROVEEDORES[[#This Row],[PROVEEDOR]],PROVEEDORES[FECHA DE PAGO],"")</f>
        <v>0</v>
      </c>
      <c r="E1514" s="146"/>
      <c r="F1514" s="144" t="str">
        <f>+VLOOKUP(PROVEEDORES[[#This Row],[PROVEEDOR]],
                       Terceros!$A:$G,
                       5,
                       FALSE)</f>
        <v>2,5% con base</v>
      </c>
      <c r="G1514" s="122">
        <v>45418</v>
      </c>
      <c r="H1514" s="102" t="s">
        <v>19</v>
      </c>
      <c r="I1514" s="122">
        <v>45372</v>
      </c>
      <c r="J1514" s="103" t="s">
        <v>1655</v>
      </c>
      <c r="K1514" s="103" t="s">
        <v>1512</v>
      </c>
      <c r="L1514" s="103" t="s">
        <v>1516</v>
      </c>
      <c r="M1514" s="105">
        <v>1406560</v>
      </c>
      <c r="N1514" s="147">
        <v>259229</v>
      </c>
      <c r="O1514" s="147">
        <v>42196</v>
      </c>
      <c r="P1514" s="148">
        <v>2.5000000000000001E-2</v>
      </c>
      <c r="Q1514" s="147">
        <v>34109</v>
      </c>
      <c r="R1514" s="149">
        <v>1589484</v>
      </c>
      <c r="S1514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4" s="150">
        <f ca="1">+IF(PROVEEDORES[[#This Row],[FECHA DE PAGO]]=0,TODAY()-PROVEEDORES[[#This Row],[FECHA DE FACTURACIÓN]]-PROVEEDORES[[#This Row],[PLAZO Días]],0)</f>
        <v>0</v>
      </c>
      <c r="U1514" s="150">
        <f>+VLOOKUP(PROVEEDORES[[#This Row],[PROVEEDOR]],Terceros!$A:$E,4,FALSE)</f>
        <v>0.19</v>
      </c>
      <c r="V1514" s="150">
        <f>+YEAR(PROVEEDORES[[#This Row],[FECHA DE FACTURACIÓN]])</f>
        <v>2024</v>
      </c>
      <c r="W1514" s="150">
        <f>+MATCH(PROVEEDORES[[#This Row],[año facturado]],Retenciones!$1:$1,0)</f>
        <v>7</v>
      </c>
      <c r="X1514" s="151" t="e">
        <f>+VLOOKUP(PROVEEDORES[[#This Row],[ID RETENCION]],Retenciones!$A$1:$O$25,PROVEEDORES[[#This Row],[indicador de columna]],FALSE)</f>
        <v>#N/A</v>
      </c>
      <c r="Y1514" s="152" t="e">
        <f>+VLOOKUP(PROVEEDORES[[#This Row],[ID RETENCION]],Retenciones!$A$1:$O$25,2,FALSE)</f>
        <v>#N/A</v>
      </c>
      <c r="Z1514" s="153" t="b">
        <f>+OR(COUNTIF(PROVEEDORES[[#This Row],[PROVEEDOR]],"*"&amp;'Palabra que no opera y Listas d'!$A$2&amp;"*"))</f>
        <v>0</v>
      </c>
    </row>
    <row r="1515" spans="1:26" ht="27.75" customHeight="1" x14ac:dyDescent="0.3">
      <c r="A1515" s="144" t="str">
        <f>+IF(PROVEEDORES[[#This Row],[FECHA DE PAGO]]=PROVEEDORES[[#This Row],[FECHA DE FACTURACIÓN]],"DE CONTADO","CRÉDITO")</f>
        <v>DE CONTADO</v>
      </c>
      <c r="B1515" s="144" t="b">
        <f>+IF((PROVEEDORES[[#This Row],[FECHA DE PAGO]]-PROVEEDORES[[#This Row],[FECHA DE FACTURACIÓN]])&gt;PROVEEDORES[[#This Row],[PLAZO Días]],"PAGO VENCIDO")</f>
        <v>0</v>
      </c>
      <c r="C1515" s="144">
        <f>+VLOOKUP(PROVEEDORES[[#This Row],[PROVEEDOR]],TERCEROS_INFO[#All],2,FALSE)</f>
        <v>0</v>
      </c>
      <c r="D1515" s="145">
        <f>+SUMIFS(PROVEEDORES[Total],PROVEEDORES[PROVEEDOR],PROVEEDORES[[#This Row],[PROVEEDOR]],PROVEEDORES[FECHA DE PAGO],"")</f>
        <v>0</v>
      </c>
      <c r="E1515" s="146"/>
      <c r="F1515" s="144" t="str">
        <f>+VLOOKUP(PROVEEDORES[[#This Row],[PROVEEDOR]],
                       Terceros!$A:$G,
                       5,
                       FALSE)</f>
        <v>2,5% con base</v>
      </c>
      <c r="G1515" s="122">
        <v>45418</v>
      </c>
      <c r="H1515" s="102" t="s">
        <v>1192</v>
      </c>
      <c r="I1515" s="122">
        <v>45418</v>
      </c>
      <c r="J1515" s="103" t="s">
        <v>1810</v>
      </c>
      <c r="K1515" s="103" t="s">
        <v>1512</v>
      </c>
      <c r="L1515" s="103" t="s">
        <v>1515</v>
      </c>
      <c r="M1515" s="105">
        <v>1113445.3</v>
      </c>
      <c r="N1515" s="147">
        <f>+(PROVEEDORES[[#This Row],[SUBTOTAL]])*VLOOKUP(PROVEEDORES[[#This Row],[PROVEEDOR]],TERCEROS_INFO[#All],3,FALSE)</f>
        <v>33403359</v>
      </c>
      <c r="O1515" s="147">
        <f>+'Palabra que no opera y Listas d'!$D$2</f>
        <v>0</v>
      </c>
      <c r="P1515" s="148" t="e">
        <f>+IF(PROVEEDORES[[#This Row],[SUBTOTAL]]&lt;PROVEEDORES[[#This Row],[base retencion]],0,PROVEEDORES[[#This Row],[retención aplicada]])</f>
        <v>#N/A</v>
      </c>
      <c r="Q1515" s="147" t="e">
        <f>+PROVEEDORES[[#This Row],[ReteFuente
%]]*(PROVEEDORES[[#This Row],[SUBTOTAL]])</f>
        <v>#N/A</v>
      </c>
      <c r="R1515" s="149" t="e">
        <f>+PROVEEDORES[[#This Row],[SUBTOTAL]]+PROVEEDORES[[#This Row],[IVA 19%]]-PROVEEDORES[[#This Row],[Descuento
$]]-PROVEEDORES[[#This Row],[ReteFuente
$]]</f>
        <v>#N/A</v>
      </c>
      <c r="S1515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5" s="150">
        <f ca="1">+IF(PROVEEDORES[[#This Row],[FECHA DE PAGO]]=0,TODAY()-PROVEEDORES[[#This Row],[FECHA DE FACTURACIÓN]]-PROVEEDORES[[#This Row],[PLAZO Días]],0)</f>
        <v>0</v>
      </c>
      <c r="U1515" s="150">
        <f>+VLOOKUP(PROVEEDORES[[#This Row],[PROVEEDOR]],Terceros!$A:$E,4,FALSE)</f>
        <v>0.19</v>
      </c>
      <c r="V1515" s="150">
        <f>+YEAR(PROVEEDORES[[#This Row],[FECHA DE FACTURACIÓN]])</f>
        <v>2024</v>
      </c>
      <c r="W1515" s="150">
        <f>+MATCH(PROVEEDORES[[#This Row],[año facturado]],Retenciones!$1:$1,0)</f>
        <v>7</v>
      </c>
      <c r="X1515" s="151" t="e">
        <f>+VLOOKUP(PROVEEDORES[[#This Row],[ID RETENCION]],Retenciones!$A$1:$O$25,PROVEEDORES[[#This Row],[indicador de columna]],FALSE)</f>
        <v>#N/A</v>
      </c>
      <c r="Y1515" s="152" t="e">
        <f>+VLOOKUP(PROVEEDORES[[#This Row],[ID RETENCION]],Retenciones!$A$1:$O$25,2,FALSE)</f>
        <v>#N/A</v>
      </c>
      <c r="Z1515" s="153" t="b">
        <f>+OR(COUNTIF(PROVEEDORES[[#This Row],[PROVEEDOR]],"*"&amp;'Palabra que no opera y Listas d'!$A$2&amp;"*"))</f>
        <v>0</v>
      </c>
    </row>
    <row r="1516" spans="1:26" ht="27.75" customHeight="1" x14ac:dyDescent="0.3">
      <c r="A1516" s="144" t="str">
        <f>+IF(PROVEEDORES[[#This Row],[FECHA DE PAGO]]=PROVEEDORES[[#This Row],[FECHA DE FACTURACIÓN]],"DE CONTADO","CRÉDITO")</f>
        <v>CRÉDITO</v>
      </c>
      <c r="B1516" s="144" t="str">
        <f>+IF((PROVEEDORES[[#This Row],[FECHA DE PAGO]]-PROVEEDORES[[#This Row],[FECHA DE FACTURACIÓN]])&gt;PROVEEDORES[[#This Row],[PLAZO Días]],"PAGO VENCIDO")</f>
        <v>PAGO VENCIDO</v>
      </c>
      <c r="C1516" s="144">
        <f>+VLOOKUP(PROVEEDORES[[#This Row],[PROVEEDOR]],TERCEROS_INFO[#All],2,FALSE)</f>
        <v>0</v>
      </c>
      <c r="D1516" s="145">
        <f>+SUMIFS(PROVEEDORES[Total],PROVEEDORES[PROVEEDOR],PROVEEDORES[[#This Row],[PROVEEDOR]],PROVEEDORES[FECHA DE PAGO],"")</f>
        <v>0</v>
      </c>
      <c r="E1516" s="146"/>
      <c r="F1516" s="144">
        <f>+VLOOKUP(PROVEEDORES[[#This Row],[PROVEEDOR]],
                       Terceros!$A:$G,
                       5,
                       FALSE)</f>
        <v>0</v>
      </c>
      <c r="G1516" s="122">
        <v>45419</v>
      </c>
      <c r="H1516" s="102" t="s">
        <v>1785</v>
      </c>
      <c r="I1516" s="122">
        <v>45358</v>
      </c>
      <c r="J1516" s="103" t="s">
        <v>1825</v>
      </c>
      <c r="K1516" s="103" t="s">
        <v>1512</v>
      </c>
      <c r="L1516" s="103"/>
      <c r="M1516" s="105">
        <v>3445900</v>
      </c>
      <c r="N1516" s="147">
        <v>0</v>
      </c>
      <c r="O1516" s="147">
        <v>0</v>
      </c>
      <c r="P1516" s="148">
        <v>0</v>
      </c>
      <c r="Q1516" s="147">
        <v>0</v>
      </c>
      <c r="R1516" s="149">
        <v>3445900</v>
      </c>
      <c r="S1516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6" s="150">
        <f ca="1">+IF(PROVEEDORES[[#This Row],[FECHA DE PAGO]]=0,TODAY()-PROVEEDORES[[#This Row],[FECHA DE FACTURACIÓN]]-PROVEEDORES[[#This Row],[PLAZO Días]],0)</f>
        <v>0</v>
      </c>
      <c r="U1516" s="150">
        <f>+VLOOKUP(PROVEEDORES[[#This Row],[PROVEEDOR]],Terceros!$A:$E,4,FALSE)</f>
        <v>0</v>
      </c>
      <c r="V1516" s="150">
        <f>+YEAR(PROVEEDORES[[#This Row],[FECHA DE FACTURACIÓN]])</f>
        <v>2024</v>
      </c>
      <c r="W1516" s="150">
        <f>+MATCH(PROVEEDORES[[#This Row],[año facturado]],Retenciones!$1:$1,0)</f>
        <v>7</v>
      </c>
      <c r="X1516" s="151">
        <f>+VLOOKUP(PROVEEDORES[[#This Row],[ID RETENCION]],Retenciones!$A$1:$O$25,PROVEEDORES[[#This Row],[indicador de columna]],FALSE)</f>
        <v>0</v>
      </c>
      <c r="Y1516" s="152">
        <f>+VLOOKUP(PROVEEDORES[[#This Row],[ID RETENCION]],Retenciones!$A$1:$O$25,2,FALSE)</f>
        <v>0</v>
      </c>
      <c r="Z1516" s="153" t="b">
        <f>+OR(COUNTIF(PROVEEDORES[[#This Row],[PROVEEDOR]],"*"&amp;'Palabra que no opera y Listas d'!$A$2&amp;"*"))</f>
        <v>0</v>
      </c>
    </row>
    <row r="1517" spans="1:26" ht="27.75" customHeight="1" x14ac:dyDescent="0.3">
      <c r="A1517" s="144" t="str">
        <f>+IF(PROVEEDORES[[#This Row],[FECHA DE PAGO]]=PROVEEDORES[[#This Row],[FECHA DE FACTURACIÓN]],"DE CONTADO","CRÉDITO")</f>
        <v>CRÉDITO</v>
      </c>
      <c r="B1517" s="144" t="str">
        <f>+IF((PROVEEDORES[[#This Row],[FECHA DE PAGO]]-PROVEEDORES[[#This Row],[FECHA DE FACTURACIÓN]])&gt;PROVEEDORES[[#This Row],[PLAZO Días]],"PAGO VENCIDO")</f>
        <v>PAGO VENCIDO</v>
      </c>
      <c r="C1517" s="144">
        <f>+VLOOKUP(PROVEEDORES[[#This Row],[PROVEEDOR]],TERCEROS_INFO[#All],2,FALSE)</f>
        <v>0</v>
      </c>
      <c r="D1517" s="145">
        <f>+SUMIFS(PROVEEDORES[Total],PROVEEDORES[PROVEEDOR],PROVEEDORES[[#This Row],[PROVEEDOR]],PROVEEDORES[FECHA DE PAGO],"")</f>
        <v>0</v>
      </c>
      <c r="E1517" s="146"/>
      <c r="F1517" s="144">
        <f>+VLOOKUP(PROVEEDORES[[#This Row],[PROVEEDOR]],
                       Terceros!$A:$G,
                       5,
                       FALSE)</f>
        <v>0</v>
      </c>
      <c r="G1517" s="122">
        <v>45419</v>
      </c>
      <c r="H1517" s="102" t="s">
        <v>1785</v>
      </c>
      <c r="I1517" s="122">
        <v>45383</v>
      </c>
      <c r="J1517" s="103" t="s">
        <v>1715</v>
      </c>
      <c r="K1517" s="103" t="s">
        <v>1512</v>
      </c>
      <c r="L1517" s="103"/>
      <c r="M1517" s="105">
        <v>2823000</v>
      </c>
      <c r="N1517" s="147">
        <v>0</v>
      </c>
      <c r="O1517" s="147">
        <v>423450</v>
      </c>
      <c r="P1517" s="148">
        <v>0</v>
      </c>
      <c r="Q1517" s="147">
        <v>0</v>
      </c>
      <c r="R1517" s="149">
        <v>2399550</v>
      </c>
      <c r="S1517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7" s="150">
        <f ca="1">+IF(PROVEEDORES[[#This Row],[FECHA DE PAGO]]=0,TODAY()-PROVEEDORES[[#This Row],[FECHA DE FACTURACIÓN]]-PROVEEDORES[[#This Row],[PLAZO Días]],0)</f>
        <v>0</v>
      </c>
      <c r="U1517" s="150">
        <f>+VLOOKUP(PROVEEDORES[[#This Row],[PROVEEDOR]],Terceros!$A:$E,4,FALSE)</f>
        <v>0</v>
      </c>
      <c r="V1517" s="150">
        <f>+YEAR(PROVEEDORES[[#This Row],[FECHA DE FACTURACIÓN]])</f>
        <v>2024</v>
      </c>
      <c r="W1517" s="150">
        <f>+MATCH(PROVEEDORES[[#This Row],[año facturado]],Retenciones!$1:$1,0)</f>
        <v>7</v>
      </c>
      <c r="X1517" s="151">
        <f>+VLOOKUP(PROVEEDORES[[#This Row],[ID RETENCION]],Retenciones!$A$1:$O$25,PROVEEDORES[[#This Row],[indicador de columna]],FALSE)</f>
        <v>0</v>
      </c>
      <c r="Y1517" s="152">
        <f>+VLOOKUP(PROVEEDORES[[#This Row],[ID RETENCION]],Retenciones!$A$1:$O$25,2,FALSE)</f>
        <v>0</v>
      </c>
      <c r="Z1517" s="153" t="b">
        <f>+OR(COUNTIF(PROVEEDORES[[#This Row],[PROVEEDOR]],"*"&amp;'Palabra que no opera y Listas d'!$A$2&amp;"*"))</f>
        <v>0</v>
      </c>
    </row>
    <row r="1518" spans="1:26" ht="27.75" customHeight="1" x14ac:dyDescent="0.3">
      <c r="A1518" s="144" t="str">
        <f>+IF(PROVEEDORES[[#This Row],[FECHA DE PAGO]]=PROVEEDORES[[#This Row],[FECHA DE FACTURACIÓN]],"DE CONTADO","CRÉDITO")</f>
        <v>CRÉDITO</v>
      </c>
      <c r="B1518" s="144" t="str">
        <f>+IF((PROVEEDORES[[#This Row],[FECHA DE PAGO]]-PROVEEDORES[[#This Row],[FECHA DE FACTURACIÓN]])&gt;PROVEEDORES[[#This Row],[PLAZO Días]],"PAGO VENCIDO")</f>
        <v>PAGO VENCIDO</v>
      </c>
      <c r="C1518" s="144">
        <f>+VLOOKUP(PROVEEDORES[[#This Row],[PROVEEDOR]],TERCEROS_INFO[#All],2,FALSE)</f>
        <v>0</v>
      </c>
      <c r="D1518" s="145">
        <f>+SUMIFS(PROVEEDORES[Total],PROVEEDORES[PROVEEDOR],PROVEEDORES[[#This Row],[PROVEEDOR]],PROVEEDORES[FECHA DE PAGO],"")</f>
        <v>0</v>
      </c>
      <c r="E1518" s="146"/>
      <c r="F1518" s="144">
        <f>+VLOOKUP(PROVEEDORES[[#This Row],[PROVEEDOR]],
                       Terceros!$A:$G,
                       5,
                       FALSE)</f>
        <v>0</v>
      </c>
      <c r="G1518" s="122">
        <v>45419</v>
      </c>
      <c r="H1518" s="102" t="s">
        <v>1785</v>
      </c>
      <c r="I1518" s="122">
        <v>45383</v>
      </c>
      <c r="J1518" s="103" t="s">
        <v>1826</v>
      </c>
      <c r="K1518" s="103" t="s">
        <v>1512</v>
      </c>
      <c r="L1518" s="103"/>
      <c r="M1518" s="105">
        <v>-39310</v>
      </c>
      <c r="N1518" s="147">
        <v>0</v>
      </c>
      <c r="O1518" s="147">
        <v>0</v>
      </c>
      <c r="P1518" s="148">
        <v>0</v>
      </c>
      <c r="Q1518" s="147">
        <v>0</v>
      </c>
      <c r="R1518" s="149">
        <v>-39310</v>
      </c>
      <c r="S1518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8" s="150">
        <f ca="1">+IF(PROVEEDORES[[#This Row],[FECHA DE PAGO]]=0,TODAY()-PROVEEDORES[[#This Row],[FECHA DE FACTURACIÓN]]-PROVEEDORES[[#This Row],[PLAZO Días]],0)</f>
        <v>0</v>
      </c>
      <c r="U1518" s="150">
        <f>+VLOOKUP(PROVEEDORES[[#This Row],[PROVEEDOR]],Terceros!$A:$E,4,FALSE)</f>
        <v>0</v>
      </c>
      <c r="V1518" s="150">
        <f>+YEAR(PROVEEDORES[[#This Row],[FECHA DE FACTURACIÓN]])</f>
        <v>2024</v>
      </c>
      <c r="W1518" s="150">
        <f>+MATCH(PROVEEDORES[[#This Row],[año facturado]],Retenciones!$1:$1,0)</f>
        <v>7</v>
      </c>
      <c r="X1518" s="151">
        <f>+VLOOKUP(PROVEEDORES[[#This Row],[ID RETENCION]],Retenciones!$A$1:$O$25,PROVEEDORES[[#This Row],[indicador de columna]],FALSE)</f>
        <v>0</v>
      </c>
      <c r="Y1518" s="152">
        <f>+VLOOKUP(PROVEEDORES[[#This Row],[ID RETENCION]],Retenciones!$A$1:$O$25,2,FALSE)</f>
        <v>0</v>
      </c>
      <c r="Z1518" s="153" t="b">
        <f>+OR(COUNTIF(PROVEEDORES[[#This Row],[PROVEEDOR]],"*"&amp;'Palabra que no opera y Listas d'!$A$2&amp;"*"))</f>
        <v>0</v>
      </c>
    </row>
    <row r="1519" spans="1:26" ht="27.75" customHeight="1" x14ac:dyDescent="0.3">
      <c r="A1519" s="144" t="str">
        <f>+IF(PROVEEDORES[[#This Row],[FECHA DE PAGO]]=PROVEEDORES[[#This Row],[FECHA DE FACTURACIÓN]],"DE CONTADO","CRÉDITO")</f>
        <v>CRÉDITO</v>
      </c>
      <c r="B1519" s="144" t="str">
        <f>+IF((PROVEEDORES[[#This Row],[FECHA DE PAGO]]-PROVEEDORES[[#This Row],[FECHA DE FACTURACIÓN]])&gt;PROVEEDORES[[#This Row],[PLAZO Días]],"PAGO VENCIDO")</f>
        <v>PAGO VENCIDO</v>
      </c>
      <c r="C1519" s="144">
        <f>+VLOOKUP(PROVEEDORES[[#This Row],[PROVEEDOR]],TERCEROS_INFO[#All],2,FALSE)</f>
        <v>0</v>
      </c>
      <c r="D1519" s="145">
        <f>+SUMIFS(PROVEEDORES[Total],PROVEEDORES[PROVEEDOR],PROVEEDORES[[#This Row],[PROVEEDOR]],PROVEEDORES[FECHA DE PAGO],"")</f>
        <v>0</v>
      </c>
      <c r="E1519" s="146"/>
      <c r="F1519" s="144">
        <f>+VLOOKUP(PROVEEDORES[[#This Row],[PROVEEDOR]],
                       Terceros!$A:$G,
                       5,
                       FALSE)</f>
        <v>0</v>
      </c>
      <c r="G1519" s="122">
        <v>45419</v>
      </c>
      <c r="H1519" s="102" t="s">
        <v>1785</v>
      </c>
      <c r="I1519" s="122">
        <v>45392</v>
      </c>
      <c r="J1519" s="103" t="s">
        <v>1721</v>
      </c>
      <c r="K1519" s="103" t="s">
        <v>1512</v>
      </c>
      <c r="L1519" s="103"/>
      <c r="M1519" s="105">
        <v>84000</v>
      </c>
      <c r="N1519" s="147">
        <v>0</v>
      </c>
      <c r="O1519" s="147">
        <v>0</v>
      </c>
      <c r="P1519" s="148">
        <v>0</v>
      </c>
      <c r="Q1519" s="147">
        <v>0</v>
      </c>
      <c r="R1519" s="149">
        <v>84000</v>
      </c>
      <c r="S1519" s="150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9" s="150">
        <f ca="1">+IF(PROVEEDORES[[#This Row],[FECHA DE PAGO]]=0,TODAY()-PROVEEDORES[[#This Row],[FECHA DE FACTURACIÓN]]-PROVEEDORES[[#This Row],[PLAZO Días]],0)</f>
        <v>0</v>
      </c>
      <c r="U1519" s="150">
        <f>+VLOOKUP(PROVEEDORES[[#This Row],[PROVEEDOR]],Terceros!$A:$E,4,FALSE)</f>
        <v>0</v>
      </c>
      <c r="V1519" s="150">
        <f>+YEAR(PROVEEDORES[[#This Row],[FECHA DE FACTURACIÓN]])</f>
        <v>2024</v>
      </c>
      <c r="W1519" s="150">
        <f>+MATCH(PROVEEDORES[[#This Row],[año facturado]],Retenciones!$1:$1,0)</f>
        <v>7</v>
      </c>
      <c r="X1519" s="151">
        <f>+VLOOKUP(PROVEEDORES[[#This Row],[ID RETENCION]],Retenciones!$A$1:$O$25,PROVEEDORES[[#This Row],[indicador de columna]],FALSE)</f>
        <v>0</v>
      </c>
      <c r="Y1519" s="152">
        <f>+VLOOKUP(PROVEEDORES[[#This Row],[ID RETENCION]],Retenciones!$A$1:$O$25,2,FALSE)</f>
        <v>0</v>
      </c>
      <c r="Z1519" s="153" t="b">
        <f>+OR(COUNTIF(PROVEEDORES[[#This Row],[PROVEEDOR]],"*"&amp;'Palabra que no opera y Listas d'!$A$2&amp;"*"))</f>
        <v>0</v>
      </c>
    </row>
    <row r="1520" spans="1:26" ht="27.75" customHeight="1" x14ac:dyDescent="0.3">
      <c r="A1520" s="144" t="str">
        <f>+IF(PROVEEDORES[[#This Row],[FECHA DE PAGO]]=PROVEEDORES[[#This Row],[FECHA DE FACTURACIÓN]],"DE CONTADO","CRÉDITO")</f>
        <v>CRÉDITO</v>
      </c>
      <c r="B1520" s="144" t="b">
        <f>+IF((PROVEEDORES[[#This Row],[FECHA DE PAGO]]-PROVEEDORES[[#This Row],[FECHA DE FACTURACIÓN]])&gt;PROVEEDORES[[#This Row],[PLAZO Días]],"PAGO VENCIDO")</f>
        <v>0</v>
      </c>
      <c r="C1520" s="144">
        <f>+VLOOKUP(PROVEEDORES[[#This Row],[PROVEEDOR]],TERCEROS_INFO[#All],2,FALSE)</f>
        <v>0</v>
      </c>
      <c r="D1520" s="145">
        <f>+SUMIFS(PROVEEDORES[Total],PROVEEDORES[PROVEEDOR],PROVEEDORES[[#This Row],[PROVEEDOR]],PROVEEDORES[FECHA DE PAGO],"")</f>
        <v>3461120</v>
      </c>
      <c r="E1520" s="146"/>
      <c r="F1520" s="144" t="str">
        <f>+VLOOKUP(PROVEEDORES[[#This Row],[PROVEEDOR]],
                       Terceros!$A:$G,
                       5,
                       FALSE)</f>
        <v>2,5% con base</v>
      </c>
      <c r="G1520" s="122"/>
      <c r="H1520" s="102" t="s">
        <v>9</v>
      </c>
      <c r="I1520" s="122">
        <v>45266</v>
      </c>
      <c r="J1520" s="103" t="s">
        <v>1736</v>
      </c>
      <c r="K1520" s="103"/>
      <c r="L1520" s="103"/>
      <c r="M1520" s="105">
        <v>169600</v>
      </c>
      <c r="N1520" s="147">
        <v>0</v>
      </c>
      <c r="O1520" s="147">
        <v>0</v>
      </c>
      <c r="P1520" s="148">
        <v>0</v>
      </c>
      <c r="Q1520" s="147">
        <v>0</v>
      </c>
      <c r="R1520" s="149">
        <v>169600</v>
      </c>
      <c r="S1520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20" s="150">
        <f ca="1">+IF(PROVEEDORES[[#This Row],[FECHA DE PAGO]]=0,TODAY()-PROVEEDORES[[#This Row],[FECHA DE FACTURACIÓN]]-PROVEEDORES[[#This Row],[PLAZO Días]],0)</f>
        <v>400</v>
      </c>
      <c r="U1520" s="150">
        <f>+VLOOKUP(PROVEEDORES[[#This Row],[PROVEEDOR]],Terceros!$A:$E,4,FALSE)</f>
        <v>0.19</v>
      </c>
      <c r="V1520" s="150">
        <f>+YEAR(PROVEEDORES[[#This Row],[FECHA DE FACTURACIÓN]])</f>
        <v>2023</v>
      </c>
      <c r="W1520" s="150">
        <f>+MATCH(PROVEEDORES[[#This Row],[año facturado]],Retenciones!$1:$1,0)</f>
        <v>6</v>
      </c>
      <c r="X1520" s="151" t="e">
        <f>+VLOOKUP(PROVEEDORES[[#This Row],[ID RETENCION]],Retenciones!$A$1:$O$25,PROVEEDORES[[#This Row],[indicador de columna]],FALSE)</f>
        <v>#N/A</v>
      </c>
      <c r="Y1520" s="152" t="e">
        <f>+VLOOKUP(PROVEEDORES[[#This Row],[ID RETENCION]],Retenciones!$A$1:$O$25,2,FALSE)</f>
        <v>#N/A</v>
      </c>
      <c r="Z1520" s="153" t="b">
        <f>+OR(COUNTIF(PROVEEDORES[[#This Row],[PROVEEDOR]],"*"&amp;'Palabra que no opera y Listas d'!$A$2&amp;"*"))</f>
        <v>0</v>
      </c>
    </row>
    <row r="1521" spans="1:26" ht="27.75" customHeight="1" x14ac:dyDescent="0.3">
      <c r="A1521" s="144" t="str">
        <f>+IF(PROVEEDORES[[#This Row],[FECHA DE PAGO]]=PROVEEDORES[[#This Row],[FECHA DE FACTURACIÓN]],"DE CONTADO","CRÉDITO")</f>
        <v>CRÉDITO</v>
      </c>
      <c r="B1521" s="144" t="b">
        <f>+IF((PROVEEDORES[[#This Row],[FECHA DE PAGO]]-PROVEEDORES[[#This Row],[FECHA DE FACTURACIÓN]])&gt;PROVEEDORES[[#This Row],[PLAZO Días]],"PAGO VENCIDO")</f>
        <v>0</v>
      </c>
      <c r="C1521" s="144">
        <f>+VLOOKUP(PROVEEDORES[[#This Row],[PROVEEDOR]],TERCEROS_INFO[#All],2,FALSE)</f>
        <v>0</v>
      </c>
      <c r="D1521" s="145">
        <f>+SUMIFS(PROVEEDORES[Total],PROVEEDORES[PROVEEDOR],PROVEEDORES[[#This Row],[PROVEEDOR]],PROVEEDORES[FECHA DE PAGO],"")</f>
        <v>3533418.74</v>
      </c>
      <c r="E1521" s="146"/>
      <c r="F1521" s="144">
        <f>+VLOOKUP(PROVEEDORES[[#This Row],[PROVEEDOR]],
                       Terceros!$A:$G,
                       5,
                       FALSE)</f>
        <v>0</v>
      </c>
      <c r="G1521" s="122"/>
      <c r="H1521" s="102" t="s">
        <v>236</v>
      </c>
      <c r="I1521" s="122">
        <v>45272</v>
      </c>
      <c r="J1521" s="103" t="s">
        <v>1729</v>
      </c>
      <c r="K1521" s="103"/>
      <c r="L1521" s="103"/>
      <c r="M1521" s="105">
        <v>320151</v>
      </c>
      <c r="N1521" s="147">
        <v>60828.69</v>
      </c>
      <c r="O1521" s="147">
        <v>0</v>
      </c>
      <c r="P1521" s="148">
        <v>0</v>
      </c>
      <c r="Q1521" s="147">
        <v>0</v>
      </c>
      <c r="R1521" s="149">
        <v>380979.69</v>
      </c>
      <c r="S1521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21" s="150">
        <f ca="1">+IF(PROVEEDORES[[#This Row],[FECHA DE PAGO]]=0,TODAY()-PROVEEDORES[[#This Row],[FECHA DE FACTURACIÓN]]-PROVEEDORES[[#This Row],[PLAZO Días]],0)</f>
        <v>394</v>
      </c>
      <c r="U1521" s="150">
        <f>+VLOOKUP(PROVEEDORES[[#This Row],[PROVEEDOR]],Terceros!$A:$E,4,FALSE)</f>
        <v>0.19</v>
      </c>
      <c r="V1521" s="150">
        <f>+YEAR(PROVEEDORES[[#This Row],[FECHA DE FACTURACIÓN]])</f>
        <v>2023</v>
      </c>
      <c r="W1521" s="150">
        <f>+MATCH(PROVEEDORES[[#This Row],[año facturado]],Retenciones!$1:$1,0)</f>
        <v>6</v>
      </c>
      <c r="X1521" s="151" t="e">
        <f>+VLOOKUP(PROVEEDORES[[#This Row],[ID RETENCION]],Retenciones!$A$1:$O$25,PROVEEDORES[[#This Row],[indicador de columna]],FALSE)</f>
        <v>#N/A</v>
      </c>
      <c r="Y1521" s="152" t="e">
        <f>+VLOOKUP(PROVEEDORES[[#This Row],[ID RETENCION]],Retenciones!$A$1:$O$25,2,FALSE)</f>
        <v>#N/A</v>
      </c>
      <c r="Z1521" s="153" t="b">
        <f>+OR(COUNTIF(PROVEEDORES[[#This Row],[PROVEEDOR]],"*"&amp;'Palabra que no opera y Listas d'!$A$2&amp;"*"))</f>
        <v>0</v>
      </c>
    </row>
    <row r="1522" spans="1:26" ht="27.75" customHeight="1" x14ac:dyDescent="0.3">
      <c r="A1522" s="144" t="str">
        <f>+IF(PROVEEDORES[[#This Row],[FECHA DE PAGO]]=PROVEEDORES[[#This Row],[FECHA DE FACTURACIÓN]],"DE CONTADO","CRÉDITO")</f>
        <v>CRÉDITO</v>
      </c>
      <c r="B1522" s="144" t="b">
        <f>+IF((PROVEEDORES[[#This Row],[FECHA DE PAGO]]-PROVEEDORES[[#This Row],[FECHA DE FACTURACIÓN]])&gt;PROVEEDORES[[#This Row],[PLAZO Días]],"PAGO VENCIDO")</f>
        <v>0</v>
      </c>
      <c r="C1522" s="144">
        <f>+VLOOKUP(PROVEEDORES[[#This Row],[PROVEEDOR]],TERCEROS_INFO[#All],2,FALSE)</f>
        <v>0</v>
      </c>
      <c r="D1522" s="145">
        <f>+SUMIFS(PROVEEDORES[Total],PROVEEDORES[PROVEEDOR],PROVEEDORES[[#This Row],[PROVEEDOR]],PROVEEDORES[FECHA DE PAGO],"")</f>
        <v>12082215</v>
      </c>
      <c r="E1522" s="146"/>
      <c r="F1522" s="144" t="str">
        <f>+VLOOKUP(PROVEEDORES[[#This Row],[PROVEEDOR]],
                       Terceros!$A:$G,
                       5,
                       FALSE)</f>
        <v>2,5% con base</v>
      </c>
      <c r="G1522" s="122"/>
      <c r="H1522" s="102" t="s">
        <v>31</v>
      </c>
      <c r="I1522" s="122">
        <v>45341</v>
      </c>
      <c r="J1522" s="103" t="s">
        <v>1570</v>
      </c>
      <c r="K1522" s="103" t="s">
        <v>1512</v>
      </c>
      <c r="L1522" s="103"/>
      <c r="M1522" s="105">
        <v>10371000</v>
      </c>
      <c r="N1522" s="147">
        <v>1970490</v>
      </c>
      <c r="O1522" s="147">
        <v>0</v>
      </c>
      <c r="P1522" s="148">
        <v>2.5000000000000001E-2</v>
      </c>
      <c r="Q1522" s="147">
        <v>259275</v>
      </c>
      <c r="R1522" s="149">
        <v>12082215</v>
      </c>
      <c r="S1522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22" s="150">
        <f ca="1">+IF(PROVEEDORES[[#This Row],[FECHA DE PAGO]]=0,TODAY()-PROVEEDORES[[#This Row],[FECHA DE FACTURACIÓN]]-PROVEEDORES[[#This Row],[PLAZO Días]],0)</f>
        <v>325</v>
      </c>
      <c r="U1522" s="150">
        <f>+VLOOKUP(PROVEEDORES[[#This Row],[PROVEEDOR]],Terceros!$A:$E,4,FALSE)</f>
        <v>0.19</v>
      </c>
      <c r="V1522" s="150">
        <f>+YEAR(PROVEEDORES[[#This Row],[FECHA DE FACTURACIÓN]])</f>
        <v>2024</v>
      </c>
      <c r="W1522" s="150">
        <f>+MATCH(PROVEEDORES[[#This Row],[año facturado]],Retenciones!$1:$1,0)</f>
        <v>7</v>
      </c>
      <c r="X1522" s="151" t="e">
        <f>+VLOOKUP(PROVEEDORES[[#This Row],[ID RETENCION]],Retenciones!$A$1:$O$25,PROVEEDORES[[#This Row],[indicador de columna]],FALSE)</f>
        <v>#N/A</v>
      </c>
      <c r="Y1522" s="152" t="e">
        <f>+VLOOKUP(PROVEEDORES[[#This Row],[ID RETENCION]],Retenciones!$A$1:$O$25,2,FALSE)</f>
        <v>#N/A</v>
      </c>
      <c r="Z1522" s="153" t="b">
        <f>+OR(COUNTIF(PROVEEDORES[[#This Row],[PROVEEDOR]],"*"&amp;'Palabra que no opera y Listas d'!$A$2&amp;"*"))</f>
        <v>0</v>
      </c>
    </row>
    <row r="1523" spans="1:26" ht="27.75" customHeight="1" x14ac:dyDescent="0.3">
      <c r="A1523" s="144" t="str">
        <f>+IF(PROVEEDORES[[#This Row],[FECHA DE PAGO]]=PROVEEDORES[[#This Row],[FECHA DE FACTURACIÓN]],"DE CONTADO","CRÉDITO")</f>
        <v>CRÉDITO</v>
      </c>
      <c r="B1523" s="144" t="b">
        <f>+IF((PROVEEDORES[[#This Row],[FECHA DE PAGO]]-PROVEEDORES[[#This Row],[FECHA DE FACTURACIÓN]])&gt;PROVEEDORES[[#This Row],[PLAZO Días]],"PAGO VENCIDO")</f>
        <v>0</v>
      </c>
      <c r="C1523" s="144">
        <f>+VLOOKUP(PROVEEDORES[[#This Row],[PROVEEDOR]],TERCEROS_INFO[#All],2,FALSE)</f>
        <v>0</v>
      </c>
      <c r="D1523" s="145">
        <f>+SUMIFS(PROVEEDORES[Total],PROVEEDORES[PROVEEDOR],PROVEEDORES[[#This Row],[PROVEEDOR]],PROVEEDORES[FECHA DE PAGO],"")</f>
        <v>17710735.315650001</v>
      </c>
      <c r="E1523" s="146"/>
      <c r="F1523" s="144" t="str">
        <f>+VLOOKUP(PROVEEDORES[[#This Row],[PROVEEDOR]],
                       Terceros!$A:$G,
                       5,
                       FALSE)</f>
        <v>2,5% con base</v>
      </c>
      <c r="G1523" s="122"/>
      <c r="H1523" s="102" t="s">
        <v>11</v>
      </c>
      <c r="I1523" s="122">
        <v>45356</v>
      </c>
      <c r="J1523" s="103" t="s">
        <v>1622</v>
      </c>
      <c r="K1523" s="103" t="s">
        <v>1512</v>
      </c>
      <c r="L1523" s="103"/>
      <c r="M1523" s="105">
        <v>11268907.59</v>
      </c>
      <c r="N1523" s="147">
        <v>2141092.4421000001</v>
      </c>
      <c r="O1523" s="147">
        <v>0</v>
      </c>
      <c r="P1523" s="148">
        <v>2.5000000000000001E-2</v>
      </c>
      <c r="Q1523" s="147">
        <v>281722.68975000002</v>
      </c>
      <c r="R1523" s="149">
        <v>13128277.342349999</v>
      </c>
      <c r="S1523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23" s="150">
        <f ca="1">+IF(PROVEEDORES[[#This Row],[FECHA DE PAGO]]=0,TODAY()-PROVEEDORES[[#This Row],[FECHA DE FACTURACIÓN]]-PROVEEDORES[[#This Row],[PLAZO Días]],0)</f>
        <v>310</v>
      </c>
      <c r="U1523" s="150">
        <f>+VLOOKUP(PROVEEDORES[[#This Row],[PROVEEDOR]],Terceros!$A:$E,4,FALSE)</f>
        <v>0.19</v>
      </c>
      <c r="V1523" s="150">
        <f>+YEAR(PROVEEDORES[[#This Row],[FECHA DE FACTURACIÓN]])</f>
        <v>2024</v>
      </c>
      <c r="W1523" s="150">
        <f>+MATCH(PROVEEDORES[[#This Row],[año facturado]],Retenciones!$1:$1,0)</f>
        <v>7</v>
      </c>
      <c r="X1523" s="151" t="e">
        <f>+VLOOKUP(PROVEEDORES[[#This Row],[ID RETENCION]],Retenciones!$A$1:$O$25,PROVEEDORES[[#This Row],[indicador de columna]],FALSE)</f>
        <v>#N/A</v>
      </c>
      <c r="Y1523" s="152" t="e">
        <f>+VLOOKUP(PROVEEDORES[[#This Row],[ID RETENCION]],Retenciones!$A$1:$O$25,2,FALSE)</f>
        <v>#N/A</v>
      </c>
      <c r="Z1523" s="153" t="b">
        <f>+OR(COUNTIF(PROVEEDORES[[#This Row],[PROVEEDOR]],"*"&amp;'Palabra que no opera y Listas d'!$A$2&amp;"*"))</f>
        <v>0</v>
      </c>
    </row>
    <row r="1524" spans="1:26" ht="27.75" customHeight="1" x14ac:dyDescent="0.3">
      <c r="A1524" s="144" t="str">
        <f>+IF(PROVEEDORES[[#This Row],[FECHA DE PAGO]]=PROVEEDORES[[#This Row],[FECHA DE FACTURACIÓN]],"DE CONTADO","CRÉDITO")</f>
        <v>CRÉDITO</v>
      </c>
      <c r="B1524" s="144" t="b">
        <f>+IF((PROVEEDORES[[#This Row],[FECHA DE PAGO]]-PROVEEDORES[[#This Row],[FECHA DE FACTURACIÓN]])&gt;PROVEEDORES[[#This Row],[PLAZO Días]],"PAGO VENCIDO")</f>
        <v>0</v>
      </c>
      <c r="C1524" s="144">
        <f>+VLOOKUP(PROVEEDORES[[#This Row],[PROVEEDOR]],TERCEROS_INFO[#All],2,FALSE)</f>
        <v>0</v>
      </c>
      <c r="D1524" s="145">
        <f>+SUMIFS(PROVEEDORES[Total],PROVEEDORES[PROVEEDOR],PROVEEDORES[[#This Row],[PROVEEDOR]],PROVEEDORES[FECHA DE PAGO],"")</f>
        <v>17710735.315650001</v>
      </c>
      <c r="E1524" s="146"/>
      <c r="F1524" s="144" t="str">
        <f>+VLOOKUP(PROVEEDORES[[#This Row],[PROVEEDOR]],
                       Terceros!$A:$G,
                       5,
                       FALSE)</f>
        <v>2,5% con base</v>
      </c>
      <c r="G1524" s="122"/>
      <c r="H1524" s="102" t="s">
        <v>11</v>
      </c>
      <c r="I1524" s="122">
        <v>45356</v>
      </c>
      <c r="J1524" s="103" t="s">
        <v>1623</v>
      </c>
      <c r="K1524" s="103" t="s">
        <v>1512</v>
      </c>
      <c r="L1524" s="103"/>
      <c r="M1524" s="105">
        <v>3701680.66</v>
      </c>
      <c r="N1524" s="147">
        <v>703319.32540000009</v>
      </c>
      <c r="O1524" s="147">
        <v>0</v>
      </c>
      <c r="P1524" s="148">
        <v>2.5000000000000001E-2</v>
      </c>
      <c r="Q1524" s="147">
        <v>92542.016500000012</v>
      </c>
      <c r="R1524" s="149">
        <v>4312457.9689000007</v>
      </c>
      <c r="S1524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24" s="150">
        <f ca="1">+IF(PROVEEDORES[[#This Row],[FECHA DE PAGO]]=0,TODAY()-PROVEEDORES[[#This Row],[FECHA DE FACTURACIÓN]]-PROVEEDORES[[#This Row],[PLAZO Días]],0)</f>
        <v>310</v>
      </c>
      <c r="U1524" s="150">
        <f>+VLOOKUP(PROVEEDORES[[#This Row],[PROVEEDOR]],Terceros!$A:$E,4,FALSE)</f>
        <v>0.19</v>
      </c>
      <c r="V1524" s="150">
        <f>+YEAR(PROVEEDORES[[#This Row],[FECHA DE FACTURACIÓN]])</f>
        <v>2024</v>
      </c>
      <c r="W1524" s="150">
        <f>+MATCH(PROVEEDORES[[#This Row],[año facturado]],Retenciones!$1:$1,0)</f>
        <v>7</v>
      </c>
      <c r="X1524" s="151" t="e">
        <f>+VLOOKUP(PROVEEDORES[[#This Row],[ID RETENCION]],Retenciones!$A$1:$O$25,PROVEEDORES[[#This Row],[indicador de columna]],FALSE)</f>
        <v>#N/A</v>
      </c>
      <c r="Y1524" s="152" t="e">
        <f>+VLOOKUP(PROVEEDORES[[#This Row],[ID RETENCION]],Retenciones!$A$1:$O$25,2,FALSE)</f>
        <v>#N/A</v>
      </c>
      <c r="Z1524" s="153" t="b">
        <f>+OR(COUNTIF(PROVEEDORES[[#This Row],[PROVEEDOR]],"*"&amp;'Palabra que no opera y Listas d'!$A$2&amp;"*"))</f>
        <v>0</v>
      </c>
    </row>
    <row r="1525" spans="1:26" ht="27.75" customHeight="1" x14ac:dyDescent="0.3">
      <c r="A1525" s="144" t="str">
        <f>+IF(PROVEEDORES[[#This Row],[FECHA DE PAGO]]=PROVEEDORES[[#This Row],[FECHA DE FACTURACIÓN]],"DE CONTADO","CRÉDITO")</f>
        <v>CRÉDITO</v>
      </c>
      <c r="B1525" s="144" t="b">
        <f>+IF((PROVEEDORES[[#This Row],[FECHA DE PAGO]]-PROVEEDORES[[#This Row],[FECHA DE FACTURACIÓN]])&gt;PROVEEDORES[[#This Row],[PLAZO Días]],"PAGO VENCIDO")</f>
        <v>0</v>
      </c>
      <c r="C1525" s="144">
        <f>+VLOOKUP(PROVEEDORES[[#This Row],[PROVEEDOR]],TERCEROS_INFO[#All],2,FALSE)</f>
        <v>0</v>
      </c>
      <c r="D1525" s="145">
        <f>+SUMIFS(PROVEEDORES[Total],PROVEEDORES[PROVEEDOR],PROVEEDORES[[#This Row],[PROVEEDOR]],PROVEEDORES[FECHA DE PAGO],"")</f>
        <v>17710735.315650001</v>
      </c>
      <c r="E1525" s="146"/>
      <c r="F1525" s="144" t="str">
        <f>+VLOOKUP(PROVEEDORES[[#This Row],[PROVEEDOR]],
                       Terceros!$A:$G,
                       5,
                       FALSE)</f>
        <v>2,5% con base</v>
      </c>
      <c r="G1525" s="122"/>
      <c r="H1525" s="102" t="s">
        <v>11</v>
      </c>
      <c r="I1525" s="122">
        <v>45356</v>
      </c>
      <c r="J1525" s="103" t="s">
        <v>1627</v>
      </c>
      <c r="K1525" s="103" t="s">
        <v>1512</v>
      </c>
      <c r="L1525" s="103"/>
      <c r="M1525" s="105">
        <v>226890.76</v>
      </c>
      <c r="N1525" s="147">
        <v>43109.244400000003</v>
      </c>
      <c r="O1525" s="147">
        <v>0</v>
      </c>
      <c r="P1525" s="148">
        <v>0</v>
      </c>
      <c r="Q1525" s="147">
        <v>0</v>
      </c>
      <c r="R1525" s="149">
        <v>270000.00440000003</v>
      </c>
      <c r="S1525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25" s="150">
        <f ca="1">+IF(PROVEEDORES[[#This Row],[FECHA DE PAGO]]=0,TODAY()-PROVEEDORES[[#This Row],[FECHA DE FACTURACIÓN]]-PROVEEDORES[[#This Row],[PLAZO Días]],0)</f>
        <v>310</v>
      </c>
      <c r="U1525" s="150">
        <f>+VLOOKUP(PROVEEDORES[[#This Row],[PROVEEDOR]],Terceros!$A:$E,4,FALSE)</f>
        <v>0.19</v>
      </c>
      <c r="V1525" s="150">
        <f>+YEAR(PROVEEDORES[[#This Row],[FECHA DE FACTURACIÓN]])</f>
        <v>2024</v>
      </c>
      <c r="W1525" s="150">
        <f>+MATCH(PROVEEDORES[[#This Row],[año facturado]],Retenciones!$1:$1,0)</f>
        <v>7</v>
      </c>
      <c r="X1525" s="151" t="e">
        <f>+VLOOKUP(PROVEEDORES[[#This Row],[ID RETENCION]],Retenciones!$A$1:$O$25,PROVEEDORES[[#This Row],[indicador de columna]],FALSE)</f>
        <v>#N/A</v>
      </c>
      <c r="Y1525" s="152" t="e">
        <f>+VLOOKUP(PROVEEDORES[[#This Row],[ID RETENCION]],Retenciones!$A$1:$O$25,2,FALSE)</f>
        <v>#N/A</v>
      </c>
      <c r="Z1525" s="153" t="b">
        <f>+OR(COUNTIF(PROVEEDORES[[#This Row],[PROVEEDOR]],"*"&amp;'Palabra que no opera y Listas d'!$A$2&amp;"*"))</f>
        <v>0</v>
      </c>
    </row>
    <row r="1526" spans="1:26" ht="27.75" customHeight="1" x14ac:dyDescent="0.3">
      <c r="A1526" s="144" t="str">
        <f>+IF(PROVEEDORES[[#This Row],[FECHA DE PAGO]]=PROVEEDORES[[#This Row],[FECHA DE FACTURACIÓN]],"DE CONTADO","CRÉDITO")</f>
        <v>CRÉDITO</v>
      </c>
      <c r="B1526" s="144" t="b">
        <f>+IF((PROVEEDORES[[#This Row],[FECHA DE PAGO]]-PROVEEDORES[[#This Row],[FECHA DE FACTURACIÓN]])&gt;PROVEEDORES[[#This Row],[PLAZO Días]],"PAGO VENCIDO")</f>
        <v>0</v>
      </c>
      <c r="C1526" s="144">
        <f>+VLOOKUP(PROVEEDORES[[#This Row],[PROVEEDOR]],TERCEROS_INFO[#All],2,FALSE)</f>
        <v>0</v>
      </c>
      <c r="D1526" s="145">
        <f>+SUMIFS(PROVEEDORES[Total],PROVEEDORES[PROVEEDOR],PROVEEDORES[[#This Row],[PROVEEDOR]],PROVEEDORES[FECHA DE PAGO],"")</f>
        <v>9343197</v>
      </c>
      <c r="E1526" s="146"/>
      <c r="F1526" s="144" t="str">
        <f>+VLOOKUP(PROVEEDORES[[#This Row],[PROVEEDOR]],
                       Terceros!$A:$G,
                       5,
                       FALSE)</f>
        <v>2,5% con base</v>
      </c>
      <c r="G1526" s="122"/>
      <c r="H1526" s="102" t="s">
        <v>466</v>
      </c>
      <c r="I1526" s="122">
        <v>45358</v>
      </c>
      <c r="J1526" s="103">
        <v>34018</v>
      </c>
      <c r="K1526" s="103" t="s">
        <v>1512</v>
      </c>
      <c r="L1526" s="103"/>
      <c r="M1526" s="105">
        <v>545000</v>
      </c>
      <c r="N1526" s="147">
        <v>103550</v>
      </c>
      <c r="O1526" s="147">
        <v>0</v>
      </c>
      <c r="P1526" s="148">
        <v>0</v>
      </c>
      <c r="Q1526" s="147">
        <v>0</v>
      </c>
      <c r="R1526" s="149">
        <v>648550</v>
      </c>
      <c r="S1526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26" s="150">
        <f ca="1">+IF(PROVEEDORES[[#This Row],[FECHA DE PAGO]]=0,TODAY()-PROVEEDORES[[#This Row],[FECHA DE FACTURACIÓN]]-PROVEEDORES[[#This Row],[PLAZO Días]],0)</f>
        <v>308</v>
      </c>
      <c r="U1526" s="150">
        <f>+VLOOKUP(PROVEEDORES[[#This Row],[PROVEEDOR]],Terceros!$A:$E,4,FALSE)</f>
        <v>0.19</v>
      </c>
      <c r="V1526" s="150">
        <f>+YEAR(PROVEEDORES[[#This Row],[FECHA DE FACTURACIÓN]])</f>
        <v>2024</v>
      </c>
      <c r="W1526" s="150">
        <f>+MATCH(PROVEEDORES[[#This Row],[año facturado]],Retenciones!$1:$1,0)</f>
        <v>7</v>
      </c>
      <c r="X1526" s="151" t="e">
        <f>+VLOOKUP(PROVEEDORES[[#This Row],[ID RETENCION]],Retenciones!$A$1:$O$25,PROVEEDORES[[#This Row],[indicador de columna]],FALSE)</f>
        <v>#N/A</v>
      </c>
      <c r="Y1526" s="152" t="e">
        <f>+VLOOKUP(PROVEEDORES[[#This Row],[ID RETENCION]],Retenciones!$A$1:$O$25,2,FALSE)</f>
        <v>#N/A</v>
      </c>
      <c r="Z1526" s="153" t="b">
        <f>+OR(COUNTIF(PROVEEDORES[[#This Row],[PROVEEDOR]],"*"&amp;'Palabra que no opera y Listas d'!$A$2&amp;"*"))</f>
        <v>0</v>
      </c>
    </row>
    <row r="1527" spans="1:26" ht="27.75" customHeight="1" x14ac:dyDescent="0.3">
      <c r="A1527" s="144" t="str">
        <f>+IF(PROVEEDORES[[#This Row],[FECHA DE PAGO]]=PROVEEDORES[[#This Row],[FECHA DE FACTURACIÓN]],"DE CONTADO","CRÉDITO")</f>
        <v>CRÉDITO</v>
      </c>
      <c r="B1527" s="144" t="b">
        <f>+IF((PROVEEDORES[[#This Row],[FECHA DE PAGO]]-PROVEEDORES[[#This Row],[FECHA DE FACTURACIÓN]])&gt;PROVEEDORES[[#This Row],[PLAZO Días]],"PAGO VENCIDO")</f>
        <v>0</v>
      </c>
      <c r="C1527" s="144">
        <f>+VLOOKUP(PROVEEDORES[[#This Row],[PROVEEDOR]],TERCEROS_INFO[#All],2,FALSE)</f>
        <v>0</v>
      </c>
      <c r="D1527" s="145">
        <f>+SUMIFS(PROVEEDORES[Total],PROVEEDORES[PROVEEDOR],PROVEEDORES[[#This Row],[PROVEEDOR]],PROVEEDORES[FECHA DE PAGO],"")</f>
        <v>8493745.8849999998</v>
      </c>
      <c r="E1527" s="146"/>
      <c r="F1527" s="144" t="str">
        <f>+VLOOKUP(PROVEEDORES[[#This Row],[PROVEEDOR]],
                       Terceros!$A:$G,
                       5,
                       FALSE)</f>
        <v>2,5% con base</v>
      </c>
      <c r="G1527" s="122"/>
      <c r="H1527" s="102" t="s">
        <v>10</v>
      </c>
      <c r="I1527" s="122">
        <v>45369</v>
      </c>
      <c r="J1527" s="103" t="s">
        <v>1657</v>
      </c>
      <c r="K1527" s="103" t="s">
        <v>1512</v>
      </c>
      <c r="L1527" s="103"/>
      <c r="M1527" s="105">
        <v>3408409</v>
      </c>
      <c r="N1527" s="147">
        <v>647597.71</v>
      </c>
      <c r="O1527" s="147">
        <v>0</v>
      </c>
      <c r="P1527" s="148">
        <v>2.5000000000000001E-2</v>
      </c>
      <c r="Q1527" s="147">
        <v>85210.225000000006</v>
      </c>
      <c r="R1527" s="149">
        <v>3970796.4849999999</v>
      </c>
      <c r="S1527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27" s="150">
        <f ca="1">+IF(PROVEEDORES[[#This Row],[FECHA DE PAGO]]=0,TODAY()-PROVEEDORES[[#This Row],[FECHA DE FACTURACIÓN]]-PROVEEDORES[[#This Row],[PLAZO Días]],0)</f>
        <v>297</v>
      </c>
      <c r="U1527" s="150">
        <f>+VLOOKUP(PROVEEDORES[[#This Row],[PROVEEDOR]],Terceros!$A:$E,4,FALSE)</f>
        <v>0.19</v>
      </c>
      <c r="V1527" s="150">
        <f>+YEAR(PROVEEDORES[[#This Row],[FECHA DE FACTURACIÓN]])</f>
        <v>2024</v>
      </c>
      <c r="W1527" s="150">
        <f>+MATCH(PROVEEDORES[[#This Row],[año facturado]],Retenciones!$1:$1,0)</f>
        <v>7</v>
      </c>
      <c r="X1527" s="151" t="e">
        <f>+VLOOKUP(PROVEEDORES[[#This Row],[ID RETENCION]],Retenciones!$A$1:$O$25,PROVEEDORES[[#This Row],[indicador de columna]],FALSE)</f>
        <v>#N/A</v>
      </c>
      <c r="Y1527" s="152" t="e">
        <f>+VLOOKUP(PROVEEDORES[[#This Row],[ID RETENCION]],Retenciones!$A$1:$O$25,2,FALSE)</f>
        <v>#N/A</v>
      </c>
      <c r="Z1527" s="153" t="b">
        <f>+OR(COUNTIF(PROVEEDORES[[#This Row],[PROVEEDOR]],"*"&amp;'Palabra que no opera y Listas d'!$A$2&amp;"*"))</f>
        <v>0</v>
      </c>
    </row>
    <row r="1528" spans="1:26" ht="27.75" customHeight="1" x14ac:dyDescent="0.3">
      <c r="A1528" s="144" t="str">
        <f>+IF(PROVEEDORES[[#This Row],[FECHA DE PAGO]]=PROVEEDORES[[#This Row],[FECHA DE FACTURACIÓN]],"DE CONTADO","CRÉDITO")</f>
        <v>CRÉDITO</v>
      </c>
      <c r="B1528" s="144" t="b">
        <f>+IF((PROVEEDORES[[#This Row],[FECHA DE PAGO]]-PROVEEDORES[[#This Row],[FECHA DE FACTURACIÓN]])&gt;PROVEEDORES[[#This Row],[PLAZO Días]],"PAGO VENCIDO")</f>
        <v>0</v>
      </c>
      <c r="C1528" s="144">
        <f>+VLOOKUP(PROVEEDORES[[#This Row],[PROVEEDOR]],TERCEROS_INFO[#All],2,FALSE)</f>
        <v>0</v>
      </c>
      <c r="D1528" s="145">
        <f>+SUMIFS(PROVEEDORES[Total],PROVEEDORES[PROVEEDOR],PROVEEDORES[[#This Row],[PROVEEDOR]],PROVEEDORES[FECHA DE PAGO],"")</f>
        <v>28179645.060000002</v>
      </c>
      <c r="E1528" s="146"/>
      <c r="F1528" s="144">
        <f>+VLOOKUP(PROVEEDORES[[#This Row],[PROVEEDOR]],
                       Terceros!$A:$G,
                       5,
                       FALSE)</f>
        <v>0</v>
      </c>
      <c r="G1528" s="122"/>
      <c r="H1528" s="102" t="s">
        <v>18</v>
      </c>
      <c r="I1528" s="122">
        <v>45369</v>
      </c>
      <c r="J1528" s="103" t="s">
        <v>1658</v>
      </c>
      <c r="K1528" s="103" t="s">
        <v>516</v>
      </c>
      <c r="L1528" s="103"/>
      <c r="M1528" s="105">
        <v>813510</v>
      </c>
      <c r="N1528" s="147">
        <v>154566.9</v>
      </c>
      <c r="O1528" s="147">
        <v>0</v>
      </c>
      <c r="P1528" s="148">
        <v>0</v>
      </c>
      <c r="Q1528" s="147">
        <v>0</v>
      </c>
      <c r="R1528" s="149">
        <v>968076.9</v>
      </c>
      <c r="S1528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28" s="150">
        <f ca="1">+IF(PROVEEDORES[[#This Row],[FECHA DE PAGO]]=0,TODAY()-PROVEEDORES[[#This Row],[FECHA DE FACTURACIÓN]]-PROVEEDORES[[#This Row],[PLAZO Días]],0)</f>
        <v>297</v>
      </c>
      <c r="U1528" s="150">
        <f>+VLOOKUP(PROVEEDORES[[#This Row],[PROVEEDOR]],Terceros!$A:$E,4,FALSE)</f>
        <v>0.19</v>
      </c>
      <c r="V1528" s="150">
        <f>+YEAR(PROVEEDORES[[#This Row],[FECHA DE FACTURACIÓN]])</f>
        <v>2024</v>
      </c>
      <c r="W1528" s="150">
        <f>+MATCH(PROVEEDORES[[#This Row],[año facturado]],Retenciones!$1:$1,0)</f>
        <v>7</v>
      </c>
      <c r="X1528" s="151" t="e">
        <f>+VLOOKUP(PROVEEDORES[[#This Row],[ID RETENCION]],Retenciones!$A$1:$O$25,PROVEEDORES[[#This Row],[indicador de columna]],FALSE)</f>
        <v>#N/A</v>
      </c>
      <c r="Y1528" s="152" t="e">
        <f>+VLOOKUP(PROVEEDORES[[#This Row],[ID RETENCION]],Retenciones!$A$1:$O$25,2,FALSE)</f>
        <v>#N/A</v>
      </c>
      <c r="Z1528" s="153" t="b">
        <f>+OR(COUNTIF(PROVEEDORES[[#This Row],[PROVEEDOR]],"*"&amp;'Palabra que no opera y Listas d'!$A$2&amp;"*"))</f>
        <v>0</v>
      </c>
    </row>
    <row r="1529" spans="1:26" ht="27.75" customHeight="1" x14ac:dyDescent="0.3">
      <c r="A1529" s="144" t="str">
        <f>+IF(PROVEEDORES[[#This Row],[FECHA DE PAGO]]=PROVEEDORES[[#This Row],[FECHA DE FACTURACIÓN]],"DE CONTADO","CRÉDITO")</f>
        <v>CRÉDITO</v>
      </c>
      <c r="B1529" s="144" t="b">
        <f>+IF((PROVEEDORES[[#This Row],[FECHA DE PAGO]]-PROVEEDORES[[#This Row],[FECHA DE FACTURACIÓN]])&gt;PROVEEDORES[[#This Row],[PLAZO Días]],"PAGO VENCIDO")</f>
        <v>0</v>
      </c>
      <c r="C1529" s="144">
        <f>+VLOOKUP(PROVEEDORES[[#This Row],[PROVEEDOR]],TERCEROS_INFO[#All],2,FALSE)</f>
        <v>0</v>
      </c>
      <c r="D1529" s="145">
        <f>+SUMIFS(PROVEEDORES[Total],PROVEEDORES[PROVEEDOR],PROVEEDORES[[#This Row],[PROVEEDOR]],PROVEEDORES[FECHA DE PAGO],"")</f>
        <v>1000043.22</v>
      </c>
      <c r="E1529" s="146"/>
      <c r="F1529" s="144" t="str">
        <f>+VLOOKUP(PROVEEDORES[[#This Row],[PROVEEDOR]],
                       Terceros!$A:$G,
                       5,
                       FALSE)</f>
        <v>2,5% con base</v>
      </c>
      <c r="G1529" s="122"/>
      <c r="H1529" s="102" t="s">
        <v>237</v>
      </c>
      <c r="I1529" s="122">
        <v>45370</v>
      </c>
      <c r="J1529" s="103" t="s">
        <v>1651</v>
      </c>
      <c r="K1529" s="103" t="s">
        <v>1512</v>
      </c>
      <c r="L1529" s="103"/>
      <c r="M1529" s="105">
        <v>916638</v>
      </c>
      <c r="N1529" s="147">
        <v>174161.22</v>
      </c>
      <c r="O1529" s="147">
        <v>0</v>
      </c>
      <c r="P1529" s="148">
        <v>0</v>
      </c>
      <c r="Q1529" s="147">
        <v>0</v>
      </c>
      <c r="R1529" s="149">
        <v>1090799.22</v>
      </c>
      <c r="S1529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29" s="150">
        <f ca="1">+IF(PROVEEDORES[[#This Row],[FECHA DE PAGO]]=0,TODAY()-PROVEEDORES[[#This Row],[FECHA DE FACTURACIÓN]]-PROVEEDORES[[#This Row],[PLAZO Días]],0)</f>
        <v>296</v>
      </c>
      <c r="U1529" s="150">
        <f>+VLOOKUP(PROVEEDORES[[#This Row],[PROVEEDOR]],Terceros!$A:$E,4,FALSE)</f>
        <v>0.19</v>
      </c>
      <c r="V1529" s="150">
        <f>+YEAR(PROVEEDORES[[#This Row],[FECHA DE FACTURACIÓN]])</f>
        <v>2024</v>
      </c>
      <c r="W1529" s="150">
        <f>+MATCH(PROVEEDORES[[#This Row],[año facturado]],Retenciones!$1:$1,0)</f>
        <v>7</v>
      </c>
      <c r="X1529" s="151" t="e">
        <f>+VLOOKUP(PROVEEDORES[[#This Row],[ID RETENCION]],Retenciones!$A$1:$O$25,PROVEEDORES[[#This Row],[indicador de columna]],FALSE)</f>
        <v>#N/A</v>
      </c>
      <c r="Y1529" s="152" t="e">
        <f>+VLOOKUP(PROVEEDORES[[#This Row],[ID RETENCION]],Retenciones!$A$1:$O$25,2,FALSE)</f>
        <v>#N/A</v>
      </c>
      <c r="Z1529" s="153" t="b">
        <f>+OR(COUNTIF(PROVEEDORES[[#This Row],[PROVEEDOR]],"*"&amp;'Palabra que no opera y Listas d'!$A$2&amp;"*"))</f>
        <v>0</v>
      </c>
    </row>
    <row r="1530" spans="1:26" ht="27.75" customHeight="1" x14ac:dyDescent="0.3">
      <c r="A1530" s="144" t="str">
        <f>+IF(PROVEEDORES[[#This Row],[FECHA DE PAGO]]=PROVEEDORES[[#This Row],[FECHA DE FACTURACIÓN]],"DE CONTADO","CRÉDITO")</f>
        <v>CRÉDITO</v>
      </c>
      <c r="B1530" s="144" t="b">
        <f>+IF((PROVEEDORES[[#This Row],[FECHA DE PAGO]]-PROVEEDORES[[#This Row],[FECHA DE FACTURACIÓN]])&gt;PROVEEDORES[[#This Row],[PLAZO Días]],"PAGO VENCIDO")</f>
        <v>0</v>
      </c>
      <c r="C1530" s="144">
        <f>+VLOOKUP(PROVEEDORES[[#This Row],[PROVEEDOR]],TERCEROS_INFO[#All],2,FALSE)</f>
        <v>0</v>
      </c>
      <c r="D1530" s="145">
        <f>+SUMIFS(PROVEEDORES[Total],PROVEEDORES[PROVEEDOR],PROVEEDORES[[#This Row],[PROVEEDOR]],PROVEEDORES[FECHA DE PAGO],"")</f>
        <v>31839627.134999998</v>
      </c>
      <c r="E1530" s="146"/>
      <c r="F1530" s="144" t="str">
        <f>+VLOOKUP(PROVEEDORES[[#This Row],[PROVEEDOR]],
                       Terceros!$A:$G,
                       5,
                       FALSE)</f>
        <v>2,5% con base</v>
      </c>
      <c r="G1530" s="122"/>
      <c r="H1530" s="102" t="s">
        <v>17</v>
      </c>
      <c r="I1530" s="122">
        <v>45372</v>
      </c>
      <c r="J1530" s="103">
        <v>1084875</v>
      </c>
      <c r="K1530" s="103" t="s">
        <v>516</v>
      </c>
      <c r="L1530" s="103"/>
      <c r="M1530" s="105">
        <v>3212390</v>
      </c>
      <c r="N1530" s="147">
        <v>610354.1</v>
      </c>
      <c r="O1530" s="147">
        <v>0</v>
      </c>
      <c r="P1530" s="148">
        <v>2.5000000000000001E-2</v>
      </c>
      <c r="Q1530" s="147">
        <v>80309.75</v>
      </c>
      <c r="R1530" s="149">
        <v>3742434.35</v>
      </c>
      <c r="S1530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30" s="150">
        <f ca="1">+IF(PROVEEDORES[[#This Row],[FECHA DE PAGO]]=0,TODAY()-PROVEEDORES[[#This Row],[FECHA DE FACTURACIÓN]]-PROVEEDORES[[#This Row],[PLAZO Días]],0)</f>
        <v>294</v>
      </c>
      <c r="U1530" s="150">
        <f>+VLOOKUP(PROVEEDORES[[#This Row],[PROVEEDOR]],Terceros!$A:$E,4,FALSE)</f>
        <v>0.19</v>
      </c>
      <c r="V1530" s="150">
        <f>+YEAR(PROVEEDORES[[#This Row],[FECHA DE FACTURACIÓN]])</f>
        <v>2024</v>
      </c>
      <c r="W1530" s="150">
        <f>+MATCH(PROVEEDORES[[#This Row],[año facturado]],Retenciones!$1:$1,0)</f>
        <v>7</v>
      </c>
      <c r="X1530" s="151" t="e">
        <f>+VLOOKUP(PROVEEDORES[[#This Row],[ID RETENCION]],Retenciones!$A$1:$O$25,PROVEEDORES[[#This Row],[indicador de columna]],FALSE)</f>
        <v>#N/A</v>
      </c>
      <c r="Y1530" s="152" t="e">
        <f>+VLOOKUP(PROVEEDORES[[#This Row],[ID RETENCION]],Retenciones!$A$1:$O$25,2,FALSE)</f>
        <v>#N/A</v>
      </c>
      <c r="Z1530" s="153" t="b">
        <f>+OR(COUNTIF(PROVEEDORES[[#This Row],[PROVEEDOR]],"*"&amp;'Palabra que no opera y Listas d'!$A$2&amp;"*"))</f>
        <v>0</v>
      </c>
    </row>
    <row r="1531" spans="1:26" ht="27.75" customHeight="1" x14ac:dyDescent="0.3">
      <c r="A1531" s="144" t="str">
        <f>+IF(PROVEEDORES[[#This Row],[FECHA DE PAGO]]=PROVEEDORES[[#This Row],[FECHA DE FACTURACIÓN]],"DE CONTADO","CRÉDITO")</f>
        <v>CRÉDITO</v>
      </c>
      <c r="B1531" s="144" t="b">
        <f>+IF((PROVEEDORES[[#This Row],[FECHA DE PAGO]]-PROVEEDORES[[#This Row],[FECHA DE FACTURACIÓN]])&gt;PROVEEDORES[[#This Row],[PLAZO Días]],"PAGO VENCIDO")</f>
        <v>0</v>
      </c>
      <c r="C1531" s="144">
        <f>+VLOOKUP(PROVEEDORES[[#This Row],[PROVEEDOR]],TERCEROS_INFO[#All],2,FALSE)</f>
        <v>0</v>
      </c>
      <c r="D1531" s="145">
        <f>+SUMIFS(PROVEEDORES[Total],PROVEEDORES[PROVEEDOR],PROVEEDORES[[#This Row],[PROVEEDOR]],PROVEEDORES[FECHA DE PAGO],"")</f>
        <v>3461120</v>
      </c>
      <c r="E1531" s="146"/>
      <c r="F1531" s="144" t="str">
        <f>+VLOOKUP(PROVEEDORES[[#This Row],[PROVEEDOR]],
                       Terceros!$A:$G,
                       5,
                       FALSE)</f>
        <v>2,5% con base</v>
      </c>
      <c r="G1531" s="122"/>
      <c r="H1531" s="102" t="s">
        <v>9</v>
      </c>
      <c r="I1531" s="122">
        <v>45372</v>
      </c>
      <c r="J1531" s="103" t="s">
        <v>1653</v>
      </c>
      <c r="K1531" s="103" t="s">
        <v>516</v>
      </c>
      <c r="L1531" s="103"/>
      <c r="M1531" s="105">
        <v>2000000</v>
      </c>
      <c r="N1531" s="147">
        <v>380000</v>
      </c>
      <c r="O1531" s="147">
        <v>0</v>
      </c>
      <c r="P1531" s="148">
        <v>2.5000000000000001E-2</v>
      </c>
      <c r="Q1531" s="147">
        <v>50000</v>
      </c>
      <c r="R1531" s="149">
        <v>2330000</v>
      </c>
      <c r="S1531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31" s="150">
        <f ca="1">+IF(PROVEEDORES[[#This Row],[FECHA DE PAGO]]=0,TODAY()-PROVEEDORES[[#This Row],[FECHA DE FACTURACIÓN]]-PROVEEDORES[[#This Row],[PLAZO Días]],0)</f>
        <v>294</v>
      </c>
      <c r="U1531" s="150">
        <f>+VLOOKUP(PROVEEDORES[[#This Row],[PROVEEDOR]],Terceros!$A:$E,4,FALSE)</f>
        <v>0.19</v>
      </c>
      <c r="V1531" s="150">
        <f>+YEAR(PROVEEDORES[[#This Row],[FECHA DE FACTURACIÓN]])</f>
        <v>2024</v>
      </c>
      <c r="W1531" s="150">
        <f>+MATCH(PROVEEDORES[[#This Row],[año facturado]],Retenciones!$1:$1,0)</f>
        <v>7</v>
      </c>
      <c r="X1531" s="151" t="e">
        <f>+VLOOKUP(PROVEEDORES[[#This Row],[ID RETENCION]],Retenciones!$A$1:$O$25,PROVEEDORES[[#This Row],[indicador de columna]],FALSE)</f>
        <v>#N/A</v>
      </c>
      <c r="Y1531" s="152" t="e">
        <f>+VLOOKUP(PROVEEDORES[[#This Row],[ID RETENCION]],Retenciones!$A$1:$O$25,2,FALSE)</f>
        <v>#N/A</v>
      </c>
      <c r="Z1531" s="153" t="b">
        <f>+OR(COUNTIF(PROVEEDORES[[#This Row],[PROVEEDOR]],"*"&amp;'Palabra que no opera y Listas d'!$A$2&amp;"*"))</f>
        <v>0</v>
      </c>
    </row>
    <row r="1532" spans="1:26" ht="27.75" customHeight="1" x14ac:dyDescent="0.3">
      <c r="A1532" s="144" t="str">
        <f>+IF(PROVEEDORES[[#This Row],[FECHA DE PAGO]]=PROVEEDORES[[#This Row],[FECHA DE FACTURACIÓN]],"DE CONTADO","CRÉDITO")</f>
        <v>CRÉDITO</v>
      </c>
      <c r="B1532" s="144" t="b">
        <f>+IF((PROVEEDORES[[#This Row],[FECHA DE PAGO]]-PROVEEDORES[[#This Row],[FECHA DE FACTURACIÓN]])&gt;PROVEEDORES[[#This Row],[PLAZO Días]],"PAGO VENCIDO")</f>
        <v>0</v>
      </c>
      <c r="C1532" s="144">
        <f>+VLOOKUP(PROVEEDORES[[#This Row],[PROVEEDOR]],TERCEROS_INFO[#All],2,FALSE)</f>
        <v>0</v>
      </c>
      <c r="D1532" s="145">
        <f>+SUMIFS(PROVEEDORES[Total],PROVEEDORES[PROVEEDOR],PROVEEDORES[[#This Row],[PROVEEDOR]],PROVEEDORES[FECHA DE PAGO],"")</f>
        <v>1000043.22</v>
      </c>
      <c r="E1532" s="146"/>
      <c r="F1532" s="144" t="str">
        <f>+VLOOKUP(PROVEEDORES[[#This Row],[PROVEEDOR]],
                       Terceros!$A:$G,
                       5,
                       FALSE)</f>
        <v>2,5% con base</v>
      </c>
      <c r="G1532" s="122"/>
      <c r="H1532" s="102" t="s">
        <v>237</v>
      </c>
      <c r="I1532" s="122">
        <v>45373</v>
      </c>
      <c r="J1532" s="103" t="s">
        <v>1652</v>
      </c>
      <c r="K1532" s="103" t="s">
        <v>1512</v>
      </c>
      <c r="L1532" s="103"/>
      <c r="M1532" s="105">
        <v>-90756</v>
      </c>
      <c r="N1532" s="147">
        <v>0</v>
      </c>
      <c r="O1532" s="147">
        <v>0</v>
      </c>
      <c r="P1532" s="148">
        <v>0</v>
      </c>
      <c r="Q1532" s="147">
        <v>0</v>
      </c>
      <c r="R1532" s="149">
        <v>-90756</v>
      </c>
      <c r="S1532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32" s="150">
        <f ca="1">+IF(PROVEEDORES[[#This Row],[FECHA DE PAGO]]=0,TODAY()-PROVEEDORES[[#This Row],[FECHA DE FACTURACIÓN]]-PROVEEDORES[[#This Row],[PLAZO Días]],0)</f>
        <v>293</v>
      </c>
      <c r="U1532" s="150">
        <f>+VLOOKUP(PROVEEDORES[[#This Row],[PROVEEDOR]],Terceros!$A:$E,4,FALSE)</f>
        <v>0.19</v>
      </c>
      <c r="V1532" s="150">
        <f>+YEAR(PROVEEDORES[[#This Row],[FECHA DE FACTURACIÓN]])</f>
        <v>2024</v>
      </c>
      <c r="W1532" s="150">
        <f>+MATCH(PROVEEDORES[[#This Row],[año facturado]],Retenciones!$1:$1,0)</f>
        <v>7</v>
      </c>
      <c r="X1532" s="151" t="e">
        <f>+VLOOKUP(PROVEEDORES[[#This Row],[ID RETENCION]],Retenciones!$A$1:$O$25,PROVEEDORES[[#This Row],[indicador de columna]],FALSE)</f>
        <v>#N/A</v>
      </c>
      <c r="Y1532" s="152" t="e">
        <f>+VLOOKUP(PROVEEDORES[[#This Row],[ID RETENCION]],Retenciones!$A$1:$O$25,2,FALSE)</f>
        <v>#N/A</v>
      </c>
      <c r="Z1532" s="153" t="b">
        <f>+OR(COUNTIF(PROVEEDORES[[#This Row],[PROVEEDOR]],"*"&amp;'Palabra que no opera y Listas d'!$A$2&amp;"*"))</f>
        <v>0</v>
      </c>
    </row>
    <row r="1533" spans="1:26" ht="27.75" customHeight="1" x14ac:dyDescent="0.3">
      <c r="A1533" s="144" t="str">
        <f>+IF(PROVEEDORES[[#This Row],[FECHA DE PAGO]]=PROVEEDORES[[#This Row],[FECHA DE FACTURACIÓN]],"DE CONTADO","CRÉDITO")</f>
        <v>CRÉDITO</v>
      </c>
      <c r="B1533" s="144" t="b">
        <f>+IF((PROVEEDORES[[#This Row],[FECHA DE PAGO]]-PROVEEDORES[[#This Row],[FECHA DE FACTURACIÓN]])&gt;PROVEEDORES[[#This Row],[PLAZO Días]],"PAGO VENCIDO")</f>
        <v>0</v>
      </c>
      <c r="C1533" s="144">
        <f>+VLOOKUP(PROVEEDORES[[#This Row],[PROVEEDOR]],TERCEROS_INFO[#All],2,FALSE)</f>
        <v>0</v>
      </c>
      <c r="D1533" s="145">
        <f>+SUMIFS(PROVEEDORES[Total],PROVEEDORES[PROVEEDOR],PROVEEDORES[[#This Row],[PROVEEDOR]],PROVEEDORES[FECHA DE PAGO],"")</f>
        <v>224000</v>
      </c>
      <c r="E1533" s="146"/>
      <c r="F1533" s="144">
        <f>+VLOOKUP(PROVEEDORES[[#This Row],[PROVEEDOR]],
                       Terceros!$A:$G,
                       5,
                       FALSE)</f>
        <v>0</v>
      </c>
      <c r="G1533" s="122"/>
      <c r="H1533" s="102" t="s">
        <v>539</v>
      </c>
      <c r="I1533" s="122">
        <v>45374</v>
      </c>
      <c r="J1533" s="103">
        <v>82</v>
      </c>
      <c r="K1533" s="103" t="s">
        <v>1512</v>
      </c>
      <c r="L1533" s="103"/>
      <c r="M1533" s="105">
        <v>40000</v>
      </c>
      <c r="N1533" s="147">
        <v>0</v>
      </c>
      <c r="O1533" s="147">
        <v>0</v>
      </c>
      <c r="P1533" s="148">
        <v>0</v>
      </c>
      <c r="Q1533" s="147">
        <v>0</v>
      </c>
      <c r="R1533" s="149">
        <v>40000</v>
      </c>
      <c r="S1533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33" s="150">
        <f ca="1">+IF(PROVEEDORES[[#This Row],[FECHA DE PAGO]]=0,TODAY()-PROVEEDORES[[#This Row],[FECHA DE FACTURACIÓN]]-PROVEEDORES[[#This Row],[PLAZO Días]],0)</f>
        <v>292</v>
      </c>
      <c r="U1533" s="150">
        <f>+VLOOKUP(PROVEEDORES[[#This Row],[PROVEEDOR]],Terceros!$A:$E,4,FALSE)</f>
        <v>0</v>
      </c>
      <c r="V1533" s="150">
        <f>+YEAR(PROVEEDORES[[#This Row],[FECHA DE FACTURACIÓN]])</f>
        <v>2024</v>
      </c>
      <c r="W1533" s="150">
        <f>+MATCH(PROVEEDORES[[#This Row],[año facturado]],Retenciones!$1:$1,0)</f>
        <v>7</v>
      </c>
      <c r="X1533" s="151">
        <f>+VLOOKUP(PROVEEDORES[[#This Row],[ID RETENCION]],Retenciones!$A$1:$O$25,PROVEEDORES[[#This Row],[indicador de columna]],FALSE)</f>
        <v>0</v>
      </c>
      <c r="Y1533" s="152">
        <f>+VLOOKUP(PROVEEDORES[[#This Row],[ID RETENCION]],Retenciones!$A$1:$O$25,2,FALSE)</f>
        <v>0</v>
      </c>
      <c r="Z1533" s="153" t="b">
        <f>+OR(COUNTIF(PROVEEDORES[[#This Row],[PROVEEDOR]],"*"&amp;'Palabra que no opera y Listas d'!$A$2&amp;"*"))</f>
        <v>0</v>
      </c>
    </row>
    <row r="1534" spans="1:26" ht="27.75" customHeight="1" x14ac:dyDescent="0.3">
      <c r="A1534" s="144" t="str">
        <f>+IF(PROVEEDORES[[#This Row],[FECHA DE PAGO]]=PROVEEDORES[[#This Row],[FECHA DE FACTURACIÓN]],"DE CONTADO","CRÉDITO")</f>
        <v>CRÉDITO</v>
      </c>
      <c r="B1534" s="144" t="b">
        <f>+IF((PROVEEDORES[[#This Row],[FECHA DE PAGO]]-PROVEEDORES[[#This Row],[FECHA DE FACTURACIÓN]])&gt;PROVEEDORES[[#This Row],[PLAZO Días]],"PAGO VENCIDO")</f>
        <v>0</v>
      </c>
      <c r="C1534" s="144">
        <f>+VLOOKUP(PROVEEDORES[[#This Row],[PROVEEDOR]],TERCEROS_INFO[#All],2,FALSE)</f>
        <v>0</v>
      </c>
      <c r="D1534" s="145">
        <f>+SUMIFS(PROVEEDORES[Total],PROVEEDORES[PROVEEDOR],PROVEEDORES[[#This Row],[PROVEEDOR]],PROVEEDORES[FECHA DE PAGO],"")</f>
        <v>31839627.134999998</v>
      </c>
      <c r="E1534" s="146"/>
      <c r="F1534" s="144" t="str">
        <f>+VLOOKUP(PROVEEDORES[[#This Row],[PROVEEDOR]],
                       Terceros!$A:$G,
                       5,
                       FALSE)</f>
        <v>2,5% con base</v>
      </c>
      <c r="G1534" s="122"/>
      <c r="H1534" s="102" t="s">
        <v>17</v>
      </c>
      <c r="I1534" s="122">
        <v>45378</v>
      </c>
      <c r="J1534" s="103">
        <v>1085112</v>
      </c>
      <c r="K1534" s="103" t="s">
        <v>516</v>
      </c>
      <c r="L1534" s="103"/>
      <c r="M1534" s="105">
        <v>18569160</v>
      </c>
      <c r="N1534" s="147">
        <v>3528140.4</v>
      </c>
      <c r="O1534" s="147">
        <v>0</v>
      </c>
      <c r="P1534" s="148">
        <v>2.5000000000000001E-2</v>
      </c>
      <c r="Q1534" s="147">
        <v>464229</v>
      </c>
      <c r="R1534" s="149">
        <v>21633071.399999999</v>
      </c>
      <c r="S1534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34" s="150">
        <f ca="1">+IF(PROVEEDORES[[#This Row],[FECHA DE PAGO]]=0,TODAY()-PROVEEDORES[[#This Row],[FECHA DE FACTURACIÓN]]-PROVEEDORES[[#This Row],[PLAZO Días]],0)</f>
        <v>288</v>
      </c>
      <c r="U1534" s="150">
        <f>+VLOOKUP(PROVEEDORES[[#This Row],[PROVEEDOR]],Terceros!$A:$E,4,FALSE)</f>
        <v>0.19</v>
      </c>
      <c r="V1534" s="150">
        <f>+YEAR(PROVEEDORES[[#This Row],[FECHA DE FACTURACIÓN]])</f>
        <v>2024</v>
      </c>
      <c r="W1534" s="150">
        <f>+MATCH(PROVEEDORES[[#This Row],[año facturado]],Retenciones!$1:$1,0)</f>
        <v>7</v>
      </c>
      <c r="X1534" s="151" t="e">
        <f>+VLOOKUP(PROVEEDORES[[#This Row],[ID RETENCION]],Retenciones!$A$1:$O$25,PROVEEDORES[[#This Row],[indicador de columna]],FALSE)</f>
        <v>#N/A</v>
      </c>
      <c r="Y1534" s="152" t="e">
        <f>+VLOOKUP(PROVEEDORES[[#This Row],[ID RETENCION]],Retenciones!$A$1:$O$25,2,FALSE)</f>
        <v>#N/A</v>
      </c>
      <c r="Z1534" s="153" t="b">
        <f>+OR(COUNTIF(PROVEEDORES[[#This Row],[PROVEEDOR]],"*"&amp;'Palabra que no opera y Listas d'!$A$2&amp;"*"))</f>
        <v>0</v>
      </c>
    </row>
    <row r="1535" spans="1:26" ht="27.75" customHeight="1" x14ac:dyDescent="0.3">
      <c r="A1535" s="144" t="str">
        <f>+IF(PROVEEDORES[[#This Row],[FECHA DE PAGO]]=PROVEEDORES[[#This Row],[FECHA DE FACTURACIÓN]],"DE CONTADO","CRÉDITO")</f>
        <v>CRÉDITO</v>
      </c>
      <c r="B1535" s="144" t="b">
        <f>+IF((PROVEEDORES[[#This Row],[FECHA DE PAGO]]-PROVEEDORES[[#This Row],[FECHA DE FACTURACIÓN]])&gt;PROVEEDORES[[#This Row],[PLAZO Días]],"PAGO VENCIDO")</f>
        <v>0</v>
      </c>
      <c r="C1535" s="144">
        <f>+VLOOKUP(PROVEEDORES[[#This Row],[PROVEEDOR]],TERCEROS_INFO[#All],2,FALSE)</f>
        <v>0</v>
      </c>
      <c r="D1535" s="145">
        <f>+SUMIFS(PROVEEDORES[Total],PROVEEDORES[PROVEEDOR],PROVEEDORES[[#This Row],[PROVEEDOR]],PROVEEDORES[FECHA DE PAGO],"")</f>
        <v>11973060.324999999</v>
      </c>
      <c r="E1535" s="146"/>
      <c r="F1535" s="144" t="str">
        <f>+VLOOKUP(PROVEEDORES[[#This Row],[PROVEEDOR]],
                       Terceros!$A:$G,
                       5,
                       FALSE)</f>
        <v>2,5% con base</v>
      </c>
      <c r="G1535" s="122"/>
      <c r="H1535" s="102" t="s">
        <v>70</v>
      </c>
      <c r="I1535" s="122">
        <v>45378</v>
      </c>
      <c r="J1535" s="103" t="s">
        <v>1661</v>
      </c>
      <c r="K1535" s="103" t="s">
        <v>1512</v>
      </c>
      <c r="L1535" s="103"/>
      <c r="M1535" s="105">
        <v>10277305</v>
      </c>
      <c r="N1535" s="147">
        <v>1952687.95</v>
      </c>
      <c r="O1535" s="147">
        <v>0</v>
      </c>
      <c r="P1535" s="148">
        <v>2.5000000000000001E-2</v>
      </c>
      <c r="Q1535" s="147">
        <v>256932.625</v>
      </c>
      <c r="R1535" s="149">
        <v>11973060.324999999</v>
      </c>
      <c r="S1535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35" s="150">
        <f ca="1">+IF(PROVEEDORES[[#This Row],[FECHA DE PAGO]]=0,TODAY()-PROVEEDORES[[#This Row],[FECHA DE FACTURACIÓN]]-PROVEEDORES[[#This Row],[PLAZO Días]],0)</f>
        <v>288</v>
      </c>
      <c r="U1535" s="150">
        <f>+VLOOKUP(PROVEEDORES[[#This Row],[PROVEEDOR]],Terceros!$A:$E,4,FALSE)</f>
        <v>0.19</v>
      </c>
      <c r="V1535" s="150">
        <f>+YEAR(PROVEEDORES[[#This Row],[FECHA DE FACTURACIÓN]])</f>
        <v>2024</v>
      </c>
      <c r="W1535" s="150">
        <f>+MATCH(PROVEEDORES[[#This Row],[año facturado]],Retenciones!$1:$1,0)</f>
        <v>7</v>
      </c>
      <c r="X1535" s="151" t="e">
        <f>+VLOOKUP(PROVEEDORES[[#This Row],[ID RETENCION]],Retenciones!$A$1:$O$25,PROVEEDORES[[#This Row],[indicador de columna]],FALSE)</f>
        <v>#N/A</v>
      </c>
      <c r="Y1535" s="152" t="e">
        <f>+VLOOKUP(PROVEEDORES[[#This Row],[ID RETENCION]],Retenciones!$A$1:$O$25,2,FALSE)</f>
        <v>#N/A</v>
      </c>
      <c r="Z1535" s="153" t="b">
        <f>+OR(COUNTIF(PROVEEDORES[[#This Row],[PROVEEDOR]],"*"&amp;'Palabra que no opera y Listas d'!$A$2&amp;"*"))</f>
        <v>0</v>
      </c>
    </row>
    <row r="1536" spans="1:26" ht="27.75" customHeight="1" x14ac:dyDescent="0.3">
      <c r="A1536" s="144" t="str">
        <f>+IF(PROVEEDORES[[#This Row],[FECHA DE PAGO]]=PROVEEDORES[[#This Row],[FECHA DE FACTURACIÓN]],"DE CONTADO","CRÉDITO")</f>
        <v>CRÉDITO</v>
      </c>
      <c r="B1536" s="144" t="b">
        <f>+IF((PROVEEDORES[[#This Row],[FECHA DE PAGO]]-PROVEEDORES[[#This Row],[FECHA DE FACTURACIÓN]])&gt;PROVEEDORES[[#This Row],[PLAZO Días]],"PAGO VENCIDO")</f>
        <v>0</v>
      </c>
      <c r="C1536" s="144">
        <f>+VLOOKUP(PROVEEDORES[[#This Row],[PROVEEDOR]],TERCEROS_INFO[#All],2,FALSE)</f>
        <v>0</v>
      </c>
      <c r="D1536" s="145">
        <f>+SUMIFS(PROVEEDORES[Total],PROVEEDORES[PROVEEDOR],PROVEEDORES[[#This Row],[PROVEEDOR]],PROVEEDORES[FECHA DE PAGO],"")</f>
        <v>4198834.75</v>
      </c>
      <c r="E1536" s="146"/>
      <c r="F1536" s="144" t="str">
        <f>+VLOOKUP(PROVEEDORES[[#This Row],[PROVEEDOR]],
                       Terceros!$A:$G,
                       5,
                       FALSE)</f>
        <v>2,5% con base</v>
      </c>
      <c r="G1536" s="122"/>
      <c r="H1536" s="102" t="s">
        <v>437</v>
      </c>
      <c r="I1536" s="122">
        <v>45378</v>
      </c>
      <c r="J1536" s="103" t="s">
        <v>1663</v>
      </c>
      <c r="K1536" s="103" t="s">
        <v>1512</v>
      </c>
      <c r="L1536" s="103"/>
      <c r="M1536" s="105">
        <v>3604150</v>
      </c>
      <c r="N1536" s="147">
        <v>684788.5</v>
      </c>
      <c r="O1536" s="147">
        <v>0</v>
      </c>
      <c r="P1536" s="148">
        <v>2.5000000000000001E-2</v>
      </c>
      <c r="Q1536" s="147">
        <v>90103.75</v>
      </c>
      <c r="R1536" s="149">
        <v>4198834.75</v>
      </c>
      <c r="S1536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36" s="150">
        <f ca="1">+IF(PROVEEDORES[[#This Row],[FECHA DE PAGO]]=0,TODAY()-PROVEEDORES[[#This Row],[FECHA DE FACTURACIÓN]]-PROVEEDORES[[#This Row],[PLAZO Días]],0)</f>
        <v>288</v>
      </c>
      <c r="U1536" s="150">
        <f>+VLOOKUP(PROVEEDORES[[#This Row],[PROVEEDOR]],Terceros!$A:$E,4,FALSE)</f>
        <v>0.19</v>
      </c>
      <c r="V1536" s="150">
        <f>+YEAR(PROVEEDORES[[#This Row],[FECHA DE FACTURACIÓN]])</f>
        <v>2024</v>
      </c>
      <c r="W1536" s="150">
        <f>+MATCH(PROVEEDORES[[#This Row],[año facturado]],Retenciones!$1:$1,0)</f>
        <v>7</v>
      </c>
      <c r="X1536" s="151" t="e">
        <f>+VLOOKUP(PROVEEDORES[[#This Row],[ID RETENCION]],Retenciones!$A$1:$O$25,PROVEEDORES[[#This Row],[indicador de columna]],FALSE)</f>
        <v>#N/A</v>
      </c>
      <c r="Y1536" s="152" t="e">
        <f>+VLOOKUP(PROVEEDORES[[#This Row],[ID RETENCION]],Retenciones!$A$1:$O$25,2,FALSE)</f>
        <v>#N/A</v>
      </c>
      <c r="Z1536" s="153" t="b">
        <f>+OR(COUNTIF(PROVEEDORES[[#This Row],[PROVEEDOR]],"*"&amp;'Palabra que no opera y Listas d'!$A$2&amp;"*"))</f>
        <v>0</v>
      </c>
    </row>
    <row r="1537" spans="1:26" ht="27.75" customHeight="1" x14ac:dyDescent="0.3">
      <c r="A1537" s="144" t="str">
        <f>+IF(PROVEEDORES[[#This Row],[FECHA DE PAGO]]=PROVEEDORES[[#This Row],[FECHA DE FACTURACIÓN]],"DE CONTADO","CRÉDITO")</f>
        <v>CRÉDITO</v>
      </c>
      <c r="B1537" s="144" t="b">
        <f>+IF((PROVEEDORES[[#This Row],[FECHA DE PAGO]]-PROVEEDORES[[#This Row],[FECHA DE FACTURACIÓN]])&gt;PROVEEDORES[[#This Row],[PLAZO Días]],"PAGO VENCIDO")</f>
        <v>0</v>
      </c>
      <c r="C1537" s="144">
        <f>+VLOOKUP(PROVEEDORES[[#This Row],[PROVEEDOR]],TERCEROS_INFO[#All],2,FALSE)</f>
        <v>0</v>
      </c>
      <c r="D1537" s="145">
        <f>+SUMIFS(PROVEEDORES[Total],PROVEEDORES[PROVEEDOR],PROVEEDORES[[#This Row],[PROVEEDOR]],PROVEEDORES[FECHA DE PAGO],"")</f>
        <v>224000</v>
      </c>
      <c r="E1537" s="146"/>
      <c r="F1537" s="144">
        <f>+VLOOKUP(PROVEEDORES[[#This Row],[PROVEEDOR]],
                       Terceros!$A:$G,
                       5,
                       FALSE)</f>
        <v>0</v>
      </c>
      <c r="G1537" s="122"/>
      <c r="H1537" s="102" t="s">
        <v>539</v>
      </c>
      <c r="I1537" s="122">
        <v>45378</v>
      </c>
      <c r="J1537" s="103">
        <v>83</v>
      </c>
      <c r="K1537" s="103" t="s">
        <v>1512</v>
      </c>
      <c r="L1537" s="103"/>
      <c r="M1537" s="105">
        <v>184000</v>
      </c>
      <c r="N1537" s="147">
        <v>0</v>
      </c>
      <c r="O1537" s="147">
        <v>0</v>
      </c>
      <c r="P1537" s="148">
        <v>0</v>
      </c>
      <c r="Q1537" s="147">
        <v>0</v>
      </c>
      <c r="R1537" s="149">
        <v>184000</v>
      </c>
      <c r="S1537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37" s="150">
        <f ca="1">+IF(PROVEEDORES[[#This Row],[FECHA DE PAGO]]=0,TODAY()-PROVEEDORES[[#This Row],[FECHA DE FACTURACIÓN]]-PROVEEDORES[[#This Row],[PLAZO Días]],0)</f>
        <v>288</v>
      </c>
      <c r="U1537" s="150">
        <f>+VLOOKUP(PROVEEDORES[[#This Row],[PROVEEDOR]],Terceros!$A:$E,4,FALSE)</f>
        <v>0</v>
      </c>
      <c r="V1537" s="150">
        <f>+YEAR(PROVEEDORES[[#This Row],[FECHA DE FACTURACIÓN]])</f>
        <v>2024</v>
      </c>
      <c r="W1537" s="150">
        <f>+MATCH(PROVEEDORES[[#This Row],[año facturado]],Retenciones!$1:$1,0)</f>
        <v>7</v>
      </c>
      <c r="X1537" s="151">
        <f>+VLOOKUP(PROVEEDORES[[#This Row],[ID RETENCION]],Retenciones!$A$1:$O$25,PROVEEDORES[[#This Row],[indicador de columna]],FALSE)</f>
        <v>0</v>
      </c>
      <c r="Y1537" s="152">
        <f>+VLOOKUP(PROVEEDORES[[#This Row],[ID RETENCION]],Retenciones!$A$1:$O$25,2,FALSE)</f>
        <v>0</v>
      </c>
      <c r="Z1537" s="153" t="b">
        <f>+OR(COUNTIF(PROVEEDORES[[#This Row],[PROVEEDOR]],"*"&amp;'Palabra que no opera y Listas d'!$A$2&amp;"*"))</f>
        <v>0</v>
      </c>
    </row>
    <row r="1538" spans="1:26" ht="27.75" customHeight="1" x14ac:dyDescent="0.3">
      <c r="A1538" s="144" t="str">
        <f>+IF(PROVEEDORES[[#This Row],[FECHA DE PAGO]]=PROVEEDORES[[#This Row],[FECHA DE FACTURACIÓN]],"DE CONTADO","CRÉDITO")</f>
        <v>CRÉDITO</v>
      </c>
      <c r="B1538" s="144" t="b">
        <f>+IF((PROVEEDORES[[#This Row],[FECHA DE PAGO]]-PROVEEDORES[[#This Row],[FECHA DE FACTURACIÓN]])&gt;PROVEEDORES[[#This Row],[PLAZO Días]],"PAGO VENCIDO")</f>
        <v>0</v>
      </c>
      <c r="C1538" s="144">
        <f>+VLOOKUP(PROVEEDORES[[#This Row],[PROVEEDOR]],TERCEROS_INFO[#All],2,FALSE)</f>
        <v>0</v>
      </c>
      <c r="D1538" s="145">
        <f>+SUMIFS(PROVEEDORES[Total],PROVEEDORES[PROVEEDOR],PROVEEDORES[[#This Row],[PROVEEDOR]],PROVEEDORES[FECHA DE PAGO],"")</f>
        <v>28179645.060000002</v>
      </c>
      <c r="E1538" s="146"/>
      <c r="F1538" s="144">
        <f>+VLOOKUP(PROVEEDORES[[#This Row],[PROVEEDOR]],
                       Terceros!$A:$G,
                       5,
                       FALSE)</f>
        <v>0</v>
      </c>
      <c r="G1538" s="122"/>
      <c r="H1538" s="102" t="s">
        <v>18</v>
      </c>
      <c r="I1538" s="122">
        <v>45378</v>
      </c>
      <c r="J1538" s="103" t="s">
        <v>1662</v>
      </c>
      <c r="K1538" s="103" t="s">
        <v>516</v>
      </c>
      <c r="L1538" s="103"/>
      <c r="M1538" s="105">
        <v>3479680</v>
      </c>
      <c r="N1538" s="147">
        <v>661139.19999999995</v>
      </c>
      <c r="O1538" s="147">
        <v>0</v>
      </c>
      <c r="P1538" s="148">
        <v>0</v>
      </c>
      <c r="Q1538" s="147">
        <v>0</v>
      </c>
      <c r="R1538" s="149">
        <v>4140819.2</v>
      </c>
      <c r="S1538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38" s="150">
        <f ca="1">+IF(PROVEEDORES[[#This Row],[FECHA DE PAGO]]=0,TODAY()-PROVEEDORES[[#This Row],[FECHA DE FACTURACIÓN]]-PROVEEDORES[[#This Row],[PLAZO Días]],0)</f>
        <v>288</v>
      </c>
      <c r="U1538" s="150">
        <f>+VLOOKUP(PROVEEDORES[[#This Row],[PROVEEDOR]],Terceros!$A:$E,4,FALSE)</f>
        <v>0.19</v>
      </c>
      <c r="V1538" s="150">
        <f>+YEAR(PROVEEDORES[[#This Row],[FECHA DE FACTURACIÓN]])</f>
        <v>2024</v>
      </c>
      <c r="W1538" s="150">
        <f>+MATCH(PROVEEDORES[[#This Row],[año facturado]],Retenciones!$1:$1,0)</f>
        <v>7</v>
      </c>
      <c r="X1538" s="151" t="e">
        <f>+VLOOKUP(PROVEEDORES[[#This Row],[ID RETENCION]],Retenciones!$A$1:$O$25,PROVEEDORES[[#This Row],[indicador de columna]],FALSE)</f>
        <v>#N/A</v>
      </c>
      <c r="Y1538" s="152" t="e">
        <f>+VLOOKUP(PROVEEDORES[[#This Row],[ID RETENCION]],Retenciones!$A$1:$O$25,2,FALSE)</f>
        <v>#N/A</v>
      </c>
      <c r="Z1538" s="153" t="b">
        <f>+OR(COUNTIF(PROVEEDORES[[#This Row],[PROVEEDOR]],"*"&amp;'Palabra que no opera y Listas d'!$A$2&amp;"*"))</f>
        <v>0</v>
      </c>
    </row>
    <row r="1539" spans="1:26" ht="27.75" customHeight="1" x14ac:dyDescent="0.3">
      <c r="A1539" s="144" t="str">
        <f>+IF(PROVEEDORES[[#This Row],[FECHA DE PAGO]]=PROVEEDORES[[#This Row],[FECHA DE FACTURACIÓN]],"DE CONTADO","CRÉDITO")</f>
        <v>CRÉDITO</v>
      </c>
      <c r="B1539" s="144" t="b">
        <f>+IF((PROVEEDORES[[#This Row],[FECHA DE PAGO]]-PROVEEDORES[[#This Row],[FECHA DE FACTURACIÓN]])&gt;PROVEEDORES[[#This Row],[PLAZO Días]],"PAGO VENCIDO")</f>
        <v>0</v>
      </c>
      <c r="C1539" s="144">
        <f>+VLOOKUP(PROVEEDORES[[#This Row],[PROVEEDOR]],TERCEROS_INFO[#All],2,FALSE)</f>
        <v>0</v>
      </c>
      <c r="D1539" s="145">
        <f>+SUMIFS(PROVEEDORES[Total],PROVEEDORES[PROVEEDOR],PROVEEDORES[[#This Row],[PROVEEDOR]],PROVEEDORES[FECHA DE PAGO],"")</f>
        <v>19124998.199999999</v>
      </c>
      <c r="E1539" s="146"/>
      <c r="F1539" s="144">
        <f>+VLOOKUP(PROVEEDORES[[#This Row],[PROVEEDOR]],
                       Terceros!$A:$G,
                       5,
                       FALSE)</f>
        <v>0</v>
      </c>
      <c r="G1539" s="122"/>
      <c r="H1539" s="102" t="s">
        <v>29</v>
      </c>
      <c r="I1539" s="122">
        <v>45379</v>
      </c>
      <c r="J1539" s="103">
        <v>82119</v>
      </c>
      <c r="K1539" s="103" t="s">
        <v>1512</v>
      </c>
      <c r="L1539" s="103"/>
      <c r="M1539" s="105">
        <v>19124998.199999999</v>
      </c>
      <c r="N1539" s="147">
        <v>0</v>
      </c>
      <c r="O1539" s="147">
        <v>0</v>
      </c>
      <c r="P1539" s="148">
        <v>0</v>
      </c>
      <c r="Q1539" s="147">
        <v>0</v>
      </c>
      <c r="R1539" s="149">
        <v>19124998.199999999</v>
      </c>
      <c r="S1539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39" s="150">
        <f ca="1">+IF(PROVEEDORES[[#This Row],[FECHA DE PAGO]]=0,TODAY()-PROVEEDORES[[#This Row],[FECHA DE FACTURACIÓN]]-PROVEEDORES[[#This Row],[PLAZO Días]],0)</f>
        <v>287</v>
      </c>
      <c r="U1539" s="150">
        <f>+VLOOKUP(PROVEEDORES[[#This Row],[PROVEEDOR]],Terceros!$A:$E,4,FALSE)</f>
        <v>0</v>
      </c>
      <c r="V1539" s="150">
        <f>+YEAR(PROVEEDORES[[#This Row],[FECHA DE FACTURACIÓN]])</f>
        <v>2024</v>
      </c>
      <c r="W1539" s="150">
        <f>+MATCH(PROVEEDORES[[#This Row],[año facturado]],Retenciones!$1:$1,0)</f>
        <v>7</v>
      </c>
      <c r="X1539" s="151">
        <f>+VLOOKUP(PROVEEDORES[[#This Row],[ID RETENCION]],Retenciones!$A$1:$O$25,PROVEEDORES[[#This Row],[indicador de columna]],FALSE)</f>
        <v>0</v>
      </c>
      <c r="Y1539" s="152">
        <f>+VLOOKUP(PROVEEDORES[[#This Row],[ID RETENCION]],Retenciones!$A$1:$O$25,2,FALSE)</f>
        <v>0</v>
      </c>
      <c r="Z1539" s="153" t="b">
        <f>+OR(COUNTIF(PROVEEDORES[[#This Row],[PROVEEDOR]],"*"&amp;'Palabra que no opera y Listas d'!$A$2&amp;"*"))</f>
        <v>0</v>
      </c>
    </row>
    <row r="1540" spans="1:26" ht="27.75" customHeight="1" x14ac:dyDescent="0.3">
      <c r="A1540" s="144" t="str">
        <f>+IF(PROVEEDORES[[#This Row],[FECHA DE PAGO]]=PROVEEDORES[[#This Row],[FECHA DE FACTURACIÓN]],"DE CONTADO","CRÉDITO")</f>
        <v>CRÉDITO</v>
      </c>
      <c r="B1540" s="144" t="b">
        <f>+IF((PROVEEDORES[[#This Row],[FECHA DE PAGO]]-PROVEEDORES[[#This Row],[FECHA DE FACTURACIÓN]])&gt;PROVEEDORES[[#This Row],[PLAZO Días]],"PAGO VENCIDO")</f>
        <v>0</v>
      </c>
      <c r="C1540" s="144">
        <f>+VLOOKUP(PROVEEDORES[[#This Row],[PROVEEDOR]],TERCEROS_INFO[#All],2,FALSE)</f>
        <v>0</v>
      </c>
      <c r="D1540" s="145">
        <f>+SUMIFS(PROVEEDORES[Total],PROVEEDORES[PROVEEDOR],PROVEEDORES[[#This Row],[PROVEEDOR]],PROVEEDORES[FECHA DE PAGO],"")</f>
        <v>9343197</v>
      </c>
      <c r="E1540" s="146"/>
      <c r="F1540" s="144" t="str">
        <f>+VLOOKUP(PROVEEDORES[[#This Row],[PROVEEDOR]],
                       Terceros!$A:$G,
                       5,
                       FALSE)</f>
        <v>2,5% con base</v>
      </c>
      <c r="G1540" s="122"/>
      <c r="H1540" s="102" t="s">
        <v>466</v>
      </c>
      <c r="I1540" s="122">
        <v>45383</v>
      </c>
      <c r="J1540" s="103">
        <v>34477</v>
      </c>
      <c r="K1540" s="103" t="s">
        <v>1512</v>
      </c>
      <c r="L1540" s="103"/>
      <c r="M1540" s="105">
        <v>2560000</v>
      </c>
      <c r="N1540" s="147">
        <v>486400</v>
      </c>
      <c r="O1540" s="147">
        <v>0</v>
      </c>
      <c r="P1540" s="148">
        <v>2.5000000000000001E-2</v>
      </c>
      <c r="Q1540" s="147">
        <v>64000</v>
      </c>
      <c r="R1540" s="149">
        <v>2982400</v>
      </c>
      <c r="S1540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0" s="150">
        <f ca="1">+IF(PROVEEDORES[[#This Row],[FECHA DE PAGO]]=0,TODAY()-PROVEEDORES[[#This Row],[FECHA DE FACTURACIÓN]]-PROVEEDORES[[#This Row],[PLAZO Días]],0)</f>
        <v>283</v>
      </c>
      <c r="U1540" s="150">
        <f>+VLOOKUP(PROVEEDORES[[#This Row],[PROVEEDOR]],Terceros!$A:$E,4,FALSE)</f>
        <v>0.19</v>
      </c>
      <c r="V1540" s="150">
        <f>+YEAR(PROVEEDORES[[#This Row],[FECHA DE FACTURACIÓN]])</f>
        <v>2024</v>
      </c>
      <c r="W1540" s="150">
        <f>+MATCH(PROVEEDORES[[#This Row],[año facturado]],Retenciones!$1:$1,0)</f>
        <v>7</v>
      </c>
      <c r="X1540" s="151" t="e">
        <f>+VLOOKUP(PROVEEDORES[[#This Row],[ID RETENCION]],Retenciones!$A$1:$O$25,PROVEEDORES[[#This Row],[indicador de columna]],FALSE)</f>
        <v>#N/A</v>
      </c>
      <c r="Y1540" s="152" t="e">
        <f>+VLOOKUP(PROVEEDORES[[#This Row],[ID RETENCION]],Retenciones!$A$1:$O$25,2,FALSE)</f>
        <v>#N/A</v>
      </c>
      <c r="Z1540" s="153" t="b">
        <f>+OR(COUNTIF(PROVEEDORES[[#This Row],[PROVEEDOR]],"*"&amp;'Palabra que no opera y Listas d'!$A$2&amp;"*"))</f>
        <v>0</v>
      </c>
    </row>
    <row r="1541" spans="1:26" ht="27.75" customHeight="1" x14ac:dyDescent="0.3">
      <c r="A1541" s="144" t="str">
        <f>+IF(PROVEEDORES[[#This Row],[FECHA DE PAGO]]=PROVEEDORES[[#This Row],[FECHA DE FACTURACIÓN]],"DE CONTADO","CRÉDITO")</f>
        <v>CRÉDITO</v>
      </c>
      <c r="B1541" s="144" t="b">
        <f>+IF((PROVEEDORES[[#This Row],[FECHA DE PAGO]]-PROVEEDORES[[#This Row],[FECHA DE FACTURACIÓN]])&gt;PROVEEDORES[[#This Row],[PLAZO Días]],"PAGO VENCIDO")</f>
        <v>0</v>
      </c>
      <c r="C1541" s="144">
        <f>+VLOOKUP(PROVEEDORES[[#This Row],[PROVEEDOR]],TERCEROS_INFO[#All],2,FALSE)</f>
        <v>0</v>
      </c>
      <c r="D1541" s="145">
        <f>+SUMIFS(PROVEEDORES[Total],PROVEEDORES[PROVEEDOR],PROVEEDORES[[#This Row],[PROVEEDOR]],PROVEEDORES[FECHA DE PAGO],"")</f>
        <v>31839627.134999998</v>
      </c>
      <c r="E1541" s="146"/>
      <c r="F1541" s="144" t="str">
        <f>+VLOOKUP(PROVEEDORES[[#This Row],[PROVEEDOR]],
                       Terceros!$A:$G,
                       5,
                       FALSE)</f>
        <v>2,5% con base</v>
      </c>
      <c r="G1541" s="122"/>
      <c r="H1541" s="102" t="s">
        <v>17</v>
      </c>
      <c r="I1541" s="122">
        <v>45383</v>
      </c>
      <c r="J1541" s="103" t="s">
        <v>1696</v>
      </c>
      <c r="K1541" s="103" t="s">
        <v>516</v>
      </c>
      <c r="L1541" s="103"/>
      <c r="M1541" s="105">
        <v>1005285</v>
      </c>
      <c r="N1541" s="147">
        <v>191004.15</v>
      </c>
      <c r="O1541" s="147">
        <v>0</v>
      </c>
      <c r="P1541" s="148">
        <v>0</v>
      </c>
      <c r="Q1541" s="147">
        <v>0</v>
      </c>
      <c r="R1541" s="149">
        <v>1196289.1499999999</v>
      </c>
      <c r="S1541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1" s="150">
        <f ca="1">+IF(PROVEEDORES[[#This Row],[FECHA DE PAGO]]=0,TODAY()-PROVEEDORES[[#This Row],[FECHA DE FACTURACIÓN]]-PROVEEDORES[[#This Row],[PLAZO Días]],0)</f>
        <v>283</v>
      </c>
      <c r="U1541" s="150">
        <f>+VLOOKUP(PROVEEDORES[[#This Row],[PROVEEDOR]],Terceros!$A:$E,4,FALSE)</f>
        <v>0.19</v>
      </c>
      <c r="V1541" s="150">
        <f>+YEAR(PROVEEDORES[[#This Row],[FECHA DE FACTURACIÓN]])</f>
        <v>2024</v>
      </c>
      <c r="W1541" s="150">
        <f>+MATCH(PROVEEDORES[[#This Row],[año facturado]],Retenciones!$1:$1,0)</f>
        <v>7</v>
      </c>
      <c r="X1541" s="151" t="e">
        <f>+VLOOKUP(PROVEEDORES[[#This Row],[ID RETENCION]],Retenciones!$A$1:$O$25,PROVEEDORES[[#This Row],[indicador de columna]],FALSE)</f>
        <v>#N/A</v>
      </c>
      <c r="Y1541" s="152" t="e">
        <f>+VLOOKUP(PROVEEDORES[[#This Row],[ID RETENCION]],Retenciones!$A$1:$O$25,2,FALSE)</f>
        <v>#N/A</v>
      </c>
      <c r="Z1541" s="153" t="b">
        <f>+OR(COUNTIF(PROVEEDORES[[#This Row],[PROVEEDOR]],"*"&amp;'Palabra que no opera y Listas d'!$A$2&amp;"*"))</f>
        <v>0</v>
      </c>
    </row>
    <row r="1542" spans="1:26" ht="27.75" customHeight="1" x14ac:dyDescent="0.3">
      <c r="A1542" s="144" t="str">
        <f>+IF(PROVEEDORES[[#This Row],[FECHA DE PAGO]]=PROVEEDORES[[#This Row],[FECHA DE FACTURACIÓN]],"DE CONTADO","CRÉDITO")</f>
        <v>CRÉDITO</v>
      </c>
      <c r="B1542" s="144" t="b">
        <f>+IF((PROVEEDORES[[#This Row],[FECHA DE PAGO]]-PROVEEDORES[[#This Row],[FECHA DE FACTURACIÓN]])&gt;PROVEEDORES[[#This Row],[PLAZO Días]],"PAGO VENCIDO")</f>
        <v>0</v>
      </c>
      <c r="C1542" s="144">
        <f>+VLOOKUP(PROVEEDORES[[#This Row],[PROVEEDOR]],TERCEROS_INFO[#All],2,FALSE)</f>
        <v>0</v>
      </c>
      <c r="D1542" s="145">
        <f>+SUMIFS(PROVEEDORES[Total],PROVEEDORES[PROVEEDOR],PROVEEDORES[[#This Row],[PROVEEDOR]],PROVEEDORES[FECHA DE PAGO],"")</f>
        <v>7281829.8799999999</v>
      </c>
      <c r="E1542" s="146"/>
      <c r="F1542" s="144" t="str">
        <f>+VLOOKUP(PROVEEDORES[[#This Row],[PROVEEDOR]],
                       Terceros!$A:$G,
                       5,
                       FALSE)</f>
        <v>2,5% con base</v>
      </c>
      <c r="G1542" s="122"/>
      <c r="H1542" s="102" t="s">
        <v>1445</v>
      </c>
      <c r="I1542" s="122">
        <v>45384</v>
      </c>
      <c r="J1542" s="103" t="s">
        <v>1697</v>
      </c>
      <c r="K1542" s="103" t="s">
        <v>1512</v>
      </c>
      <c r="L1542" s="103"/>
      <c r="M1542" s="105">
        <v>2963732</v>
      </c>
      <c r="N1542" s="147">
        <v>563109.07999999996</v>
      </c>
      <c r="O1542" s="147">
        <v>0</v>
      </c>
      <c r="P1542" s="148">
        <v>2.5000000000000001E-2</v>
      </c>
      <c r="Q1542" s="147">
        <v>74093.3</v>
      </c>
      <c r="R1542" s="149">
        <v>3452747.7800000003</v>
      </c>
      <c r="S1542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2" s="150">
        <f ca="1">+IF(PROVEEDORES[[#This Row],[FECHA DE PAGO]]=0,TODAY()-PROVEEDORES[[#This Row],[FECHA DE FACTURACIÓN]]-PROVEEDORES[[#This Row],[PLAZO Días]],0)</f>
        <v>282</v>
      </c>
      <c r="U1542" s="150">
        <f>+VLOOKUP(PROVEEDORES[[#This Row],[PROVEEDOR]],Terceros!$A:$E,4,FALSE)</f>
        <v>0.19</v>
      </c>
      <c r="V1542" s="150">
        <f>+YEAR(PROVEEDORES[[#This Row],[FECHA DE FACTURACIÓN]])</f>
        <v>2024</v>
      </c>
      <c r="W1542" s="150">
        <f>+MATCH(PROVEEDORES[[#This Row],[año facturado]],Retenciones!$1:$1,0)</f>
        <v>7</v>
      </c>
      <c r="X1542" s="151" t="e">
        <f>+VLOOKUP(PROVEEDORES[[#This Row],[ID RETENCION]],Retenciones!$A$1:$O$25,PROVEEDORES[[#This Row],[indicador de columna]],FALSE)</f>
        <v>#N/A</v>
      </c>
      <c r="Y1542" s="152" t="e">
        <f>+VLOOKUP(PROVEEDORES[[#This Row],[ID RETENCION]],Retenciones!$A$1:$O$25,2,FALSE)</f>
        <v>#N/A</v>
      </c>
      <c r="Z1542" s="153" t="b">
        <f>+OR(COUNTIF(PROVEEDORES[[#This Row],[PROVEEDOR]],"*"&amp;'Palabra que no opera y Listas d'!$A$2&amp;"*"))</f>
        <v>0</v>
      </c>
    </row>
    <row r="1543" spans="1:26" ht="27.75" customHeight="1" x14ac:dyDescent="0.3">
      <c r="A1543" s="144" t="str">
        <f>+IF(PROVEEDORES[[#This Row],[FECHA DE PAGO]]=PROVEEDORES[[#This Row],[FECHA DE FACTURACIÓN]],"DE CONTADO","CRÉDITO")</f>
        <v>CRÉDITO</v>
      </c>
      <c r="B1543" s="144" t="b">
        <f>+IF((PROVEEDORES[[#This Row],[FECHA DE PAGO]]-PROVEEDORES[[#This Row],[FECHA DE FACTURACIÓN]])&gt;PROVEEDORES[[#This Row],[PLAZO Días]],"PAGO VENCIDO")</f>
        <v>0</v>
      </c>
      <c r="C1543" s="144">
        <f>+VLOOKUP(PROVEEDORES[[#This Row],[PROVEEDOR]],TERCEROS_INFO[#All],2,FALSE)</f>
        <v>0</v>
      </c>
      <c r="D1543" s="145">
        <f>+SUMIFS(PROVEEDORES[Total],PROVEEDORES[PROVEEDOR],PROVEEDORES[[#This Row],[PROVEEDOR]],PROVEEDORES[FECHA DE PAGO],"")</f>
        <v>9343197</v>
      </c>
      <c r="E1543" s="146"/>
      <c r="F1543" s="144" t="str">
        <f>+VLOOKUP(PROVEEDORES[[#This Row],[PROVEEDOR]],
                       Terceros!$A:$G,
                       5,
                       FALSE)</f>
        <v>2,5% con base</v>
      </c>
      <c r="G1543" s="122"/>
      <c r="H1543" s="102" t="s">
        <v>466</v>
      </c>
      <c r="I1543" s="122">
        <v>45384</v>
      </c>
      <c r="J1543" s="103">
        <v>34237</v>
      </c>
      <c r="K1543" s="103" t="s">
        <v>1512</v>
      </c>
      <c r="L1543" s="103"/>
      <c r="M1543" s="105">
        <v>1080000</v>
      </c>
      <c r="N1543" s="147">
        <v>205200</v>
      </c>
      <c r="O1543" s="147">
        <v>0</v>
      </c>
      <c r="P1543" s="148">
        <v>0</v>
      </c>
      <c r="Q1543" s="147">
        <v>0</v>
      </c>
      <c r="R1543" s="149">
        <v>1285200</v>
      </c>
      <c r="S1543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3" s="150">
        <f ca="1">+IF(PROVEEDORES[[#This Row],[FECHA DE PAGO]]=0,TODAY()-PROVEEDORES[[#This Row],[FECHA DE FACTURACIÓN]]-PROVEEDORES[[#This Row],[PLAZO Días]],0)</f>
        <v>282</v>
      </c>
      <c r="U1543" s="150">
        <f>+VLOOKUP(PROVEEDORES[[#This Row],[PROVEEDOR]],Terceros!$A:$E,4,FALSE)</f>
        <v>0.19</v>
      </c>
      <c r="V1543" s="150">
        <f>+YEAR(PROVEEDORES[[#This Row],[FECHA DE FACTURACIÓN]])</f>
        <v>2024</v>
      </c>
      <c r="W1543" s="150">
        <f>+MATCH(PROVEEDORES[[#This Row],[año facturado]],Retenciones!$1:$1,0)</f>
        <v>7</v>
      </c>
      <c r="X1543" s="151" t="e">
        <f>+VLOOKUP(PROVEEDORES[[#This Row],[ID RETENCION]],Retenciones!$A$1:$O$25,PROVEEDORES[[#This Row],[indicador de columna]],FALSE)</f>
        <v>#N/A</v>
      </c>
      <c r="Y1543" s="152" t="e">
        <f>+VLOOKUP(PROVEEDORES[[#This Row],[ID RETENCION]],Retenciones!$A$1:$O$25,2,FALSE)</f>
        <v>#N/A</v>
      </c>
      <c r="Z1543" s="153" t="b">
        <f>+OR(COUNTIF(PROVEEDORES[[#This Row],[PROVEEDOR]],"*"&amp;'Palabra que no opera y Listas d'!$A$2&amp;"*"))</f>
        <v>0</v>
      </c>
    </row>
    <row r="1544" spans="1:26" ht="27.75" customHeight="1" x14ac:dyDescent="0.3">
      <c r="A1544" s="144" t="str">
        <f>+IF(PROVEEDORES[[#This Row],[FECHA DE PAGO]]=PROVEEDORES[[#This Row],[FECHA DE FACTURACIÓN]],"DE CONTADO","CRÉDITO")</f>
        <v>CRÉDITO</v>
      </c>
      <c r="B1544" s="144" t="b">
        <f>+IF((PROVEEDORES[[#This Row],[FECHA DE PAGO]]-PROVEEDORES[[#This Row],[FECHA DE FACTURACIÓN]])&gt;PROVEEDORES[[#This Row],[PLAZO Días]],"PAGO VENCIDO")</f>
        <v>0</v>
      </c>
      <c r="C1544" s="144">
        <f>+VLOOKUP(PROVEEDORES[[#This Row],[PROVEEDOR]],TERCEROS_INFO[#All],2,FALSE)</f>
        <v>0</v>
      </c>
      <c r="D1544" s="145">
        <f>+SUMIFS(PROVEEDORES[Total],PROVEEDORES[PROVEEDOR],PROVEEDORES[[#This Row],[PROVEEDOR]],PROVEEDORES[FECHA DE PAGO],"")</f>
        <v>28179645.060000002</v>
      </c>
      <c r="E1544" s="146"/>
      <c r="F1544" s="144">
        <f>+VLOOKUP(PROVEEDORES[[#This Row],[PROVEEDOR]],
                       Terceros!$A:$G,
                       5,
                       FALSE)</f>
        <v>0</v>
      </c>
      <c r="G1544" s="122"/>
      <c r="H1544" s="102" t="s">
        <v>18</v>
      </c>
      <c r="I1544" s="122">
        <v>45384</v>
      </c>
      <c r="J1544" s="103" t="s">
        <v>1692</v>
      </c>
      <c r="K1544" s="103" t="s">
        <v>516</v>
      </c>
      <c r="L1544" s="103"/>
      <c r="M1544" s="105">
        <v>1505580</v>
      </c>
      <c r="N1544" s="147">
        <v>286060.2</v>
      </c>
      <c r="O1544" s="147">
        <v>0</v>
      </c>
      <c r="P1544" s="148">
        <v>0</v>
      </c>
      <c r="Q1544" s="147">
        <v>0</v>
      </c>
      <c r="R1544" s="149">
        <v>1791640.2</v>
      </c>
      <c r="S1544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4" s="150">
        <f ca="1">+IF(PROVEEDORES[[#This Row],[FECHA DE PAGO]]=0,TODAY()-PROVEEDORES[[#This Row],[FECHA DE FACTURACIÓN]]-PROVEEDORES[[#This Row],[PLAZO Días]],0)</f>
        <v>282</v>
      </c>
      <c r="U1544" s="150">
        <f>+VLOOKUP(PROVEEDORES[[#This Row],[PROVEEDOR]],Terceros!$A:$E,4,FALSE)</f>
        <v>0.19</v>
      </c>
      <c r="V1544" s="150">
        <f>+YEAR(PROVEEDORES[[#This Row],[FECHA DE FACTURACIÓN]])</f>
        <v>2024</v>
      </c>
      <c r="W1544" s="150">
        <f>+MATCH(PROVEEDORES[[#This Row],[año facturado]],Retenciones!$1:$1,0)</f>
        <v>7</v>
      </c>
      <c r="X1544" s="151" t="e">
        <f>+VLOOKUP(PROVEEDORES[[#This Row],[ID RETENCION]],Retenciones!$A$1:$O$25,PROVEEDORES[[#This Row],[indicador de columna]],FALSE)</f>
        <v>#N/A</v>
      </c>
      <c r="Y1544" s="152" t="e">
        <f>+VLOOKUP(PROVEEDORES[[#This Row],[ID RETENCION]],Retenciones!$A$1:$O$25,2,FALSE)</f>
        <v>#N/A</v>
      </c>
      <c r="Z1544" s="153" t="b">
        <f>+OR(COUNTIF(PROVEEDORES[[#This Row],[PROVEEDOR]],"*"&amp;'Palabra que no opera y Listas d'!$A$2&amp;"*"))</f>
        <v>0</v>
      </c>
    </row>
    <row r="1545" spans="1:26" ht="27.75" customHeight="1" x14ac:dyDescent="0.3">
      <c r="A1545" s="144" t="str">
        <f>+IF(PROVEEDORES[[#This Row],[FECHA DE PAGO]]=PROVEEDORES[[#This Row],[FECHA DE FACTURACIÓN]],"DE CONTADO","CRÉDITO")</f>
        <v>CRÉDITO</v>
      </c>
      <c r="B1545" s="144" t="b">
        <f>+IF((PROVEEDORES[[#This Row],[FECHA DE PAGO]]-PROVEEDORES[[#This Row],[FECHA DE FACTURACIÓN]])&gt;PROVEEDORES[[#This Row],[PLAZO Días]],"PAGO VENCIDO")</f>
        <v>0</v>
      </c>
      <c r="C1545" s="144">
        <f>+VLOOKUP(PROVEEDORES[[#This Row],[PROVEEDOR]],TERCEROS_INFO[#All],2,FALSE)</f>
        <v>0</v>
      </c>
      <c r="D1545" s="145">
        <f>+SUMIFS(PROVEEDORES[Total],PROVEEDORES[PROVEEDOR],PROVEEDORES[[#This Row],[PROVEEDOR]],PROVEEDORES[FECHA DE PAGO],"")</f>
        <v>9349257.8100000005</v>
      </c>
      <c r="E1545" s="146"/>
      <c r="F1545" s="144" t="str">
        <f>+VLOOKUP(PROVEEDORES[[#This Row],[PROVEEDOR]],
                       Terceros!$A:$G,
                       5,
                       FALSE)</f>
        <v>2,5% con base</v>
      </c>
      <c r="G1545" s="122"/>
      <c r="H1545" s="102" t="s">
        <v>242</v>
      </c>
      <c r="I1545" s="122">
        <v>45385</v>
      </c>
      <c r="J1545" s="103" t="s">
        <v>1695</v>
      </c>
      <c r="K1545" s="103" t="s">
        <v>1512</v>
      </c>
      <c r="L1545" s="103"/>
      <c r="M1545" s="105">
        <v>8025114</v>
      </c>
      <c r="N1545" s="147">
        <v>1524771.66</v>
      </c>
      <c r="O1545" s="147">
        <v>0</v>
      </c>
      <c r="P1545" s="148">
        <v>2.5000000000000001E-2</v>
      </c>
      <c r="Q1545" s="147">
        <v>200627.85</v>
      </c>
      <c r="R1545" s="149">
        <v>9349257.8100000005</v>
      </c>
      <c r="S1545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5" s="150">
        <f ca="1">+IF(PROVEEDORES[[#This Row],[FECHA DE PAGO]]=0,TODAY()-PROVEEDORES[[#This Row],[FECHA DE FACTURACIÓN]]-PROVEEDORES[[#This Row],[PLAZO Días]],0)</f>
        <v>281</v>
      </c>
      <c r="U1545" s="150">
        <f>+VLOOKUP(PROVEEDORES[[#This Row],[PROVEEDOR]],Terceros!$A:$E,4,FALSE)</f>
        <v>0.19</v>
      </c>
      <c r="V1545" s="150">
        <f>+YEAR(PROVEEDORES[[#This Row],[FECHA DE FACTURACIÓN]])</f>
        <v>2024</v>
      </c>
      <c r="W1545" s="150">
        <f>+MATCH(PROVEEDORES[[#This Row],[año facturado]],Retenciones!$1:$1,0)</f>
        <v>7</v>
      </c>
      <c r="X1545" s="151" t="e">
        <f>+VLOOKUP(PROVEEDORES[[#This Row],[ID RETENCION]],Retenciones!$A$1:$O$25,PROVEEDORES[[#This Row],[indicador de columna]],FALSE)</f>
        <v>#N/A</v>
      </c>
      <c r="Y1545" s="152" t="e">
        <f>+VLOOKUP(PROVEEDORES[[#This Row],[ID RETENCION]],Retenciones!$A$1:$O$25,2,FALSE)</f>
        <v>#N/A</v>
      </c>
      <c r="Z1545" s="153" t="b">
        <f>+OR(COUNTIF(PROVEEDORES[[#This Row],[PROVEEDOR]],"*"&amp;'Palabra que no opera y Listas d'!$A$2&amp;"*"))</f>
        <v>0</v>
      </c>
    </row>
    <row r="1546" spans="1:26" ht="27.75" customHeight="1" x14ac:dyDescent="0.3">
      <c r="A1546" s="144" t="str">
        <f>+IF(PROVEEDORES[[#This Row],[FECHA DE PAGO]]=PROVEEDORES[[#This Row],[FECHA DE FACTURACIÓN]],"DE CONTADO","CRÉDITO")</f>
        <v>CRÉDITO</v>
      </c>
      <c r="B1546" s="144" t="b">
        <f>+IF((PROVEEDORES[[#This Row],[FECHA DE PAGO]]-PROVEEDORES[[#This Row],[FECHA DE FACTURACIÓN]])&gt;PROVEEDORES[[#This Row],[PLAZO Días]],"PAGO VENCIDO")</f>
        <v>0</v>
      </c>
      <c r="C1546" s="144">
        <f>+VLOOKUP(PROVEEDORES[[#This Row],[PROVEEDOR]],TERCEROS_INFO[#All],2,FALSE)</f>
        <v>0</v>
      </c>
      <c r="D1546" s="145">
        <f>+SUMIFS(PROVEEDORES[Total],PROVEEDORES[PROVEEDOR],PROVEEDORES[[#This Row],[PROVEEDOR]],PROVEEDORES[FECHA DE PAGO],"")</f>
        <v>28179645.060000002</v>
      </c>
      <c r="E1546" s="146"/>
      <c r="F1546" s="144">
        <f>+VLOOKUP(PROVEEDORES[[#This Row],[PROVEEDOR]],
                       Terceros!$A:$G,
                       5,
                       FALSE)</f>
        <v>0</v>
      </c>
      <c r="G1546" s="122"/>
      <c r="H1546" s="102" t="s">
        <v>18</v>
      </c>
      <c r="I1546" s="122">
        <v>45385</v>
      </c>
      <c r="J1546" s="103" t="s">
        <v>1691</v>
      </c>
      <c r="K1546" s="103" t="s">
        <v>516</v>
      </c>
      <c r="L1546" s="103"/>
      <c r="M1546" s="105">
        <v>2190060</v>
      </c>
      <c r="N1546" s="147">
        <v>416111.4</v>
      </c>
      <c r="O1546" s="147">
        <v>0</v>
      </c>
      <c r="P1546" s="148">
        <v>0</v>
      </c>
      <c r="Q1546" s="147">
        <v>0</v>
      </c>
      <c r="R1546" s="149">
        <v>2606171.4</v>
      </c>
      <c r="S1546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6" s="150">
        <f ca="1">+IF(PROVEEDORES[[#This Row],[FECHA DE PAGO]]=0,TODAY()-PROVEEDORES[[#This Row],[FECHA DE FACTURACIÓN]]-PROVEEDORES[[#This Row],[PLAZO Días]],0)</f>
        <v>281</v>
      </c>
      <c r="U1546" s="150">
        <f>+VLOOKUP(PROVEEDORES[[#This Row],[PROVEEDOR]],Terceros!$A:$E,4,FALSE)</f>
        <v>0.19</v>
      </c>
      <c r="V1546" s="150">
        <f>+YEAR(PROVEEDORES[[#This Row],[FECHA DE FACTURACIÓN]])</f>
        <v>2024</v>
      </c>
      <c r="W1546" s="150">
        <f>+MATCH(PROVEEDORES[[#This Row],[año facturado]],Retenciones!$1:$1,0)</f>
        <v>7</v>
      </c>
      <c r="X1546" s="151" t="e">
        <f>+VLOOKUP(PROVEEDORES[[#This Row],[ID RETENCION]],Retenciones!$A$1:$O$25,PROVEEDORES[[#This Row],[indicador de columna]],FALSE)</f>
        <v>#N/A</v>
      </c>
      <c r="Y1546" s="152" t="e">
        <f>+VLOOKUP(PROVEEDORES[[#This Row],[ID RETENCION]],Retenciones!$A$1:$O$25,2,FALSE)</f>
        <v>#N/A</v>
      </c>
      <c r="Z1546" s="153" t="b">
        <f>+OR(COUNTIF(PROVEEDORES[[#This Row],[PROVEEDOR]],"*"&amp;'Palabra que no opera y Listas d'!$A$2&amp;"*"))</f>
        <v>0</v>
      </c>
    </row>
    <row r="1547" spans="1:26" ht="27.75" customHeight="1" x14ac:dyDescent="0.3">
      <c r="A1547" s="144" t="str">
        <f>+IF(PROVEEDORES[[#This Row],[FECHA DE PAGO]]=PROVEEDORES[[#This Row],[FECHA DE FACTURACIÓN]],"DE CONTADO","CRÉDITO")</f>
        <v>CRÉDITO</v>
      </c>
      <c r="B1547" s="144" t="b">
        <f>+IF((PROVEEDORES[[#This Row],[FECHA DE PAGO]]-PROVEEDORES[[#This Row],[FECHA DE FACTURACIÓN]])&gt;PROVEEDORES[[#This Row],[PLAZO Días]],"PAGO VENCIDO")</f>
        <v>0</v>
      </c>
      <c r="C1547" s="144">
        <f>+VLOOKUP(PROVEEDORES[[#This Row],[PROVEEDOR]],TERCEROS_INFO[#All],2,FALSE)</f>
        <v>0</v>
      </c>
      <c r="D1547" s="145">
        <f>+SUMIFS(PROVEEDORES[Total],PROVEEDORES[PROVEEDOR],PROVEEDORES[[#This Row],[PROVEEDOR]],PROVEEDORES[FECHA DE PAGO],"")</f>
        <v>28179645.060000002</v>
      </c>
      <c r="E1547" s="146"/>
      <c r="F1547" s="144">
        <f>+VLOOKUP(PROVEEDORES[[#This Row],[PROVEEDOR]],
                       Terceros!$A:$G,
                       5,
                       FALSE)</f>
        <v>0</v>
      </c>
      <c r="G1547" s="122"/>
      <c r="H1547" s="102" t="s">
        <v>18</v>
      </c>
      <c r="I1547" s="122">
        <v>45385</v>
      </c>
      <c r="J1547" s="103" t="s">
        <v>1698</v>
      </c>
      <c r="K1547" s="103" t="s">
        <v>516</v>
      </c>
      <c r="L1547" s="103"/>
      <c r="M1547" s="105">
        <v>2351244</v>
      </c>
      <c r="N1547" s="147">
        <v>446736.36</v>
      </c>
      <c r="O1547" s="147">
        <v>0</v>
      </c>
      <c r="P1547" s="148">
        <v>0</v>
      </c>
      <c r="Q1547" s="147">
        <v>0</v>
      </c>
      <c r="R1547" s="149">
        <v>2797980.36</v>
      </c>
      <c r="S1547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7" s="150">
        <f ca="1">+IF(PROVEEDORES[[#This Row],[FECHA DE PAGO]]=0,TODAY()-PROVEEDORES[[#This Row],[FECHA DE FACTURACIÓN]]-PROVEEDORES[[#This Row],[PLAZO Días]],0)</f>
        <v>281</v>
      </c>
      <c r="U1547" s="150">
        <f>+VLOOKUP(PROVEEDORES[[#This Row],[PROVEEDOR]],Terceros!$A:$E,4,FALSE)</f>
        <v>0.19</v>
      </c>
      <c r="V1547" s="150">
        <f>+YEAR(PROVEEDORES[[#This Row],[FECHA DE FACTURACIÓN]])</f>
        <v>2024</v>
      </c>
      <c r="W1547" s="150">
        <f>+MATCH(PROVEEDORES[[#This Row],[año facturado]],Retenciones!$1:$1,0)</f>
        <v>7</v>
      </c>
      <c r="X1547" s="151" t="e">
        <f>+VLOOKUP(PROVEEDORES[[#This Row],[ID RETENCION]],Retenciones!$A$1:$O$25,PROVEEDORES[[#This Row],[indicador de columna]],FALSE)</f>
        <v>#N/A</v>
      </c>
      <c r="Y1547" s="152" t="e">
        <f>+VLOOKUP(PROVEEDORES[[#This Row],[ID RETENCION]],Retenciones!$A$1:$O$25,2,FALSE)</f>
        <v>#N/A</v>
      </c>
      <c r="Z1547" s="153" t="b">
        <f>+OR(COUNTIF(PROVEEDORES[[#This Row],[PROVEEDOR]],"*"&amp;'Palabra que no opera y Listas d'!$A$2&amp;"*"))</f>
        <v>0</v>
      </c>
    </row>
    <row r="1548" spans="1:26" ht="27.75" customHeight="1" x14ac:dyDescent="0.3">
      <c r="A1548" s="144" t="str">
        <f>+IF(PROVEEDORES[[#This Row],[FECHA DE PAGO]]=PROVEEDORES[[#This Row],[FECHA DE FACTURACIÓN]],"DE CONTADO","CRÉDITO")</f>
        <v>CRÉDITO</v>
      </c>
      <c r="B1548" s="144" t="b">
        <f>+IF((PROVEEDORES[[#This Row],[FECHA DE PAGO]]-PROVEEDORES[[#This Row],[FECHA DE FACTURACIÓN]])&gt;PROVEEDORES[[#This Row],[PLAZO Días]],"PAGO VENCIDO")</f>
        <v>0</v>
      </c>
      <c r="C1548" s="144">
        <f>+VLOOKUP(PROVEEDORES[[#This Row],[PROVEEDOR]],TERCEROS_INFO[#All],2,FALSE)</f>
        <v>0</v>
      </c>
      <c r="D1548" s="145">
        <f>+SUMIFS(PROVEEDORES[Total],PROVEEDORES[PROVEEDOR],PROVEEDORES[[#This Row],[PROVEEDOR]],PROVEEDORES[FECHA DE PAGO],"")</f>
        <v>3130000</v>
      </c>
      <c r="E1548" s="146"/>
      <c r="F1548" s="144">
        <f>+VLOOKUP(PROVEEDORES[[#This Row],[PROVEEDOR]],
                       Terceros!$A:$G,
                       5,
                       FALSE)</f>
        <v>0</v>
      </c>
      <c r="G1548" s="122"/>
      <c r="H1548" s="102" t="s">
        <v>487</v>
      </c>
      <c r="I1548" s="122">
        <v>45386</v>
      </c>
      <c r="J1548" s="103" t="s">
        <v>1687</v>
      </c>
      <c r="K1548" s="103" t="s">
        <v>1512</v>
      </c>
      <c r="L1548" s="103"/>
      <c r="M1548" s="105">
        <v>2360000</v>
      </c>
      <c r="N1548" s="147">
        <v>0</v>
      </c>
      <c r="O1548" s="147">
        <v>0</v>
      </c>
      <c r="P1548" s="148">
        <v>0</v>
      </c>
      <c r="Q1548" s="147">
        <v>0</v>
      </c>
      <c r="R1548" s="149">
        <v>2360000</v>
      </c>
      <c r="S1548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8" s="150">
        <f ca="1">+IF(PROVEEDORES[[#This Row],[FECHA DE PAGO]]=0,TODAY()-PROVEEDORES[[#This Row],[FECHA DE FACTURACIÓN]]-PROVEEDORES[[#This Row],[PLAZO Días]],0)</f>
        <v>280</v>
      </c>
      <c r="U1548" s="150">
        <f>+VLOOKUP(PROVEEDORES[[#This Row],[PROVEEDOR]],Terceros!$A:$E,4,FALSE)</f>
        <v>0</v>
      </c>
      <c r="V1548" s="150">
        <f>+YEAR(PROVEEDORES[[#This Row],[FECHA DE FACTURACIÓN]])</f>
        <v>2024</v>
      </c>
      <c r="W1548" s="150">
        <f>+MATCH(PROVEEDORES[[#This Row],[año facturado]],Retenciones!$1:$1,0)</f>
        <v>7</v>
      </c>
      <c r="X1548" s="151">
        <f>+VLOOKUP(PROVEEDORES[[#This Row],[ID RETENCION]],Retenciones!$A$1:$O$25,PROVEEDORES[[#This Row],[indicador de columna]],FALSE)</f>
        <v>0</v>
      </c>
      <c r="Y1548" s="152">
        <f>+VLOOKUP(PROVEEDORES[[#This Row],[ID RETENCION]],Retenciones!$A$1:$O$25,2,FALSE)</f>
        <v>0</v>
      </c>
      <c r="Z1548" s="153" t="b">
        <f>+OR(COUNTIF(PROVEEDORES[[#This Row],[PROVEEDOR]],"*"&amp;'Palabra que no opera y Listas d'!$A$2&amp;"*"))</f>
        <v>0</v>
      </c>
    </row>
    <row r="1549" spans="1:26" ht="27.75" customHeight="1" x14ac:dyDescent="0.3">
      <c r="A1549" s="144" t="str">
        <f>+IF(PROVEEDORES[[#This Row],[FECHA DE PAGO]]=PROVEEDORES[[#This Row],[FECHA DE FACTURACIÓN]],"DE CONTADO","CRÉDITO")</f>
        <v>CRÉDITO</v>
      </c>
      <c r="B1549" s="144" t="b">
        <f>+IF((PROVEEDORES[[#This Row],[FECHA DE PAGO]]-PROVEEDORES[[#This Row],[FECHA DE FACTURACIÓN]])&gt;PROVEEDORES[[#This Row],[PLAZO Días]],"PAGO VENCIDO")</f>
        <v>0</v>
      </c>
      <c r="C1549" s="144">
        <f>+VLOOKUP(PROVEEDORES[[#This Row],[PROVEEDOR]],TERCEROS_INFO[#All],2,FALSE)</f>
        <v>0</v>
      </c>
      <c r="D1549" s="145">
        <f>+SUMIFS(PROVEEDORES[Total],PROVEEDORES[PROVEEDOR],PROVEEDORES[[#This Row],[PROVEEDOR]],PROVEEDORES[FECHA DE PAGO],"")</f>
        <v>353983.35</v>
      </c>
      <c r="E1549" s="146"/>
      <c r="F1549" s="144" t="str">
        <f>+VLOOKUP(PROVEEDORES[[#This Row],[PROVEEDOR]],
                       Terceros!$A:$G,
                       5,
                       FALSE)</f>
        <v>2,5% con base</v>
      </c>
      <c r="G1549" s="122"/>
      <c r="H1549" s="102" t="s">
        <v>385</v>
      </c>
      <c r="I1549" s="122">
        <v>45386</v>
      </c>
      <c r="J1549" s="103" t="s">
        <v>1690</v>
      </c>
      <c r="K1549" s="103" t="s">
        <v>1512</v>
      </c>
      <c r="L1549" s="103"/>
      <c r="M1549" s="105">
        <v>337127</v>
      </c>
      <c r="N1549" s="147">
        <v>16856.350000000002</v>
      </c>
      <c r="O1549" s="147">
        <v>0</v>
      </c>
      <c r="P1549" s="148">
        <v>0</v>
      </c>
      <c r="Q1549" s="147">
        <v>0</v>
      </c>
      <c r="R1549" s="149">
        <v>353983.35</v>
      </c>
      <c r="S1549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9" s="150">
        <f ca="1">+IF(PROVEEDORES[[#This Row],[FECHA DE PAGO]]=0,TODAY()-PROVEEDORES[[#This Row],[FECHA DE FACTURACIÓN]]-PROVEEDORES[[#This Row],[PLAZO Días]],0)</f>
        <v>280</v>
      </c>
      <c r="U1549" s="150">
        <f>+VLOOKUP(PROVEEDORES[[#This Row],[PROVEEDOR]],Terceros!$A:$E,4,FALSE)</f>
        <v>0.05</v>
      </c>
      <c r="V1549" s="150">
        <f>+YEAR(PROVEEDORES[[#This Row],[FECHA DE FACTURACIÓN]])</f>
        <v>2024</v>
      </c>
      <c r="W1549" s="150">
        <f>+MATCH(PROVEEDORES[[#This Row],[año facturado]],Retenciones!$1:$1,0)</f>
        <v>7</v>
      </c>
      <c r="X1549" s="151" t="e">
        <f>+VLOOKUP(PROVEEDORES[[#This Row],[ID RETENCION]],Retenciones!$A$1:$O$25,PROVEEDORES[[#This Row],[indicador de columna]],FALSE)</f>
        <v>#N/A</v>
      </c>
      <c r="Y1549" s="152" t="e">
        <f>+VLOOKUP(PROVEEDORES[[#This Row],[ID RETENCION]],Retenciones!$A$1:$O$25,2,FALSE)</f>
        <v>#N/A</v>
      </c>
      <c r="Z1549" s="153" t="b">
        <f>+OR(COUNTIF(PROVEEDORES[[#This Row],[PROVEEDOR]],"*"&amp;'Palabra que no opera y Listas d'!$A$2&amp;"*"))</f>
        <v>1</v>
      </c>
    </row>
    <row r="1550" spans="1:26" ht="27.75" customHeight="1" x14ac:dyDescent="0.3">
      <c r="A1550" s="144" t="str">
        <f>+IF(PROVEEDORES[[#This Row],[FECHA DE PAGO]]=PROVEEDORES[[#This Row],[FECHA DE FACTURACIÓN]],"DE CONTADO","CRÉDITO")</f>
        <v>CRÉDITO</v>
      </c>
      <c r="B1550" s="144" t="b">
        <f>+IF((PROVEEDORES[[#This Row],[FECHA DE PAGO]]-PROVEEDORES[[#This Row],[FECHA DE FACTURACIÓN]])&gt;PROVEEDORES[[#This Row],[PLAZO Días]],"PAGO VENCIDO")</f>
        <v>0</v>
      </c>
      <c r="C1550" s="144">
        <f>+VLOOKUP(PROVEEDORES[[#This Row],[PROVEEDOR]],TERCEROS_INFO[#All],2,FALSE)</f>
        <v>0</v>
      </c>
      <c r="D1550" s="145">
        <f>+SUMIFS(PROVEEDORES[Total],PROVEEDORES[PROVEEDOR],PROVEEDORES[[#This Row],[PROVEEDOR]],PROVEEDORES[FECHA DE PAGO],"")</f>
        <v>5820290</v>
      </c>
      <c r="E1550" s="146"/>
      <c r="F1550" s="144">
        <f>+VLOOKUP(PROVEEDORES[[#This Row],[PROVEEDOR]],
                       Terceros!$A:$G,
                       5,
                       FALSE)</f>
        <v>0</v>
      </c>
      <c r="G1550" s="122"/>
      <c r="H1550" s="102" t="s">
        <v>461</v>
      </c>
      <c r="I1550" s="122">
        <v>45391</v>
      </c>
      <c r="J1550" s="103" t="s">
        <v>1693</v>
      </c>
      <c r="K1550" s="103" t="s">
        <v>516</v>
      </c>
      <c r="L1550" s="103"/>
      <c r="M1550" s="105">
        <v>4891000</v>
      </c>
      <c r="N1550" s="147">
        <v>929290</v>
      </c>
      <c r="O1550" s="147">
        <v>0</v>
      </c>
      <c r="P1550" s="148">
        <v>0</v>
      </c>
      <c r="Q1550" s="147">
        <v>0</v>
      </c>
      <c r="R1550" s="149">
        <v>5820290</v>
      </c>
      <c r="S1550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0" s="150">
        <f ca="1">+IF(PROVEEDORES[[#This Row],[FECHA DE PAGO]]=0,TODAY()-PROVEEDORES[[#This Row],[FECHA DE FACTURACIÓN]]-PROVEEDORES[[#This Row],[PLAZO Días]],0)</f>
        <v>275</v>
      </c>
      <c r="U1550" s="150">
        <f>+VLOOKUP(PROVEEDORES[[#This Row],[PROVEEDOR]],Terceros!$A:$E,4,FALSE)</f>
        <v>0.19</v>
      </c>
      <c r="V1550" s="150">
        <f>+YEAR(PROVEEDORES[[#This Row],[FECHA DE FACTURACIÓN]])</f>
        <v>2024</v>
      </c>
      <c r="W1550" s="150">
        <f>+MATCH(PROVEEDORES[[#This Row],[año facturado]],Retenciones!$1:$1,0)</f>
        <v>7</v>
      </c>
      <c r="X1550" s="151" t="e">
        <f>+VLOOKUP(PROVEEDORES[[#This Row],[ID RETENCION]],Retenciones!$A$1:$O$25,PROVEEDORES[[#This Row],[indicador de columna]],FALSE)</f>
        <v>#N/A</v>
      </c>
      <c r="Y1550" s="152" t="e">
        <f>+VLOOKUP(PROVEEDORES[[#This Row],[ID RETENCION]],Retenciones!$A$1:$O$25,2,FALSE)</f>
        <v>#N/A</v>
      </c>
      <c r="Z1550" s="153" t="b">
        <f>+OR(COUNTIF(PROVEEDORES[[#This Row],[PROVEEDOR]],"*"&amp;'Palabra que no opera y Listas d'!$A$2&amp;"*"))</f>
        <v>0</v>
      </c>
    </row>
    <row r="1551" spans="1:26" ht="27.75" customHeight="1" x14ac:dyDescent="0.3">
      <c r="A1551" s="144" t="str">
        <f>+IF(PROVEEDORES[[#This Row],[FECHA DE PAGO]]=PROVEEDORES[[#This Row],[FECHA DE FACTURACIÓN]],"DE CONTADO","CRÉDITO")</f>
        <v>CRÉDITO</v>
      </c>
      <c r="B1551" s="144" t="b">
        <f>+IF((PROVEEDORES[[#This Row],[FECHA DE PAGO]]-PROVEEDORES[[#This Row],[FECHA DE FACTURACIÓN]])&gt;PROVEEDORES[[#This Row],[PLAZO Días]],"PAGO VENCIDO")</f>
        <v>0</v>
      </c>
      <c r="C1551" s="144">
        <f>+VLOOKUP(PROVEEDORES[[#This Row],[PROVEEDOR]],TERCEROS_INFO[#All],2,FALSE)</f>
        <v>0</v>
      </c>
      <c r="D1551" s="145">
        <f>+SUMIFS(PROVEEDORES[Total],PROVEEDORES[PROVEEDOR],PROVEEDORES[[#This Row],[PROVEEDOR]],PROVEEDORES[FECHA DE PAGO],"")</f>
        <v>7281829.8799999999</v>
      </c>
      <c r="E1551" s="146"/>
      <c r="F1551" s="144" t="str">
        <f>+VLOOKUP(PROVEEDORES[[#This Row],[PROVEEDOR]],
                       Terceros!$A:$G,
                       5,
                       FALSE)</f>
        <v>2,5% con base</v>
      </c>
      <c r="G1551" s="122"/>
      <c r="H1551" s="102" t="s">
        <v>1445</v>
      </c>
      <c r="I1551" s="122">
        <v>45392</v>
      </c>
      <c r="J1551" s="103" t="s">
        <v>1688</v>
      </c>
      <c r="K1551" s="103" t="s">
        <v>1512</v>
      </c>
      <c r="L1551" s="103"/>
      <c r="M1551" s="105">
        <v>43304</v>
      </c>
      <c r="N1551" s="147">
        <v>8227.76</v>
      </c>
      <c r="O1551" s="147">
        <v>0</v>
      </c>
      <c r="P1551" s="148">
        <v>0</v>
      </c>
      <c r="Q1551" s="147">
        <v>0</v>
      </c>
      <c r="R1551" s="149">
        <v>51531.76</v>
      </c>
      <c r="S1551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1" s="150">
        <f ca="1">+IF(PROVEEDORES[[#This Row],[FECHA DE PAGO]]=0,TODAY()-PROVEEDORES[[#This Row],[FECHA DE FACTURACIÓN]]-PROVEEDORES[[#This Row],[PLAZO Días]],0)</f>
        <v>274</v>
      </c>
      <c r="U1551" s="150">
        <f>+VLOOKUP(PROVEEDORES[[#This Row],[PROVEEDOR]],Terceros!$A:$E,4,FALSE)</f>
        <v>0.19</v>
      </c>
      <c r="V1551" s="150">
        <f>+YEAR(PROVEEDORES[[#This Row],[FECHA DE FACTURACIÓN]])</f>
        <v>2024</v>
      </c>
      <c r="W1551" s="150">
        <f>+MATCH(PROVEEDORES[[#This Row],[año facturado]],Retenciones!$1:$1,0)</f>
        <v>7</v>
      </c>
      <c r="X1551" s="151" t="e">
        <f>+VLOOKUP(PROVEEDORES[[#This Row],[ID RETENCION]],Retenciones!$A$1:$O$25,PROVEEDORES[[#This Row],[indicador de columna]],FALSE)</f>
        <v>#N/A</v>
      </c>
      <c r="Y1551" s="152" t="e">
        <f>+VLOOKUP(PROVEEDORES[[#This Row],[ID RETENCION]],Retenciones!$A$1:$O$25,2,FALSE)</f>
        <v>#N/A</v>
      </c>
      <c r="Z1551" s="153" t="b">
        <f>+OR(COUNTIF(PROVEEDORES[[#This Row],[PROVEEDOR]],"*"&amp;'Palabra que no opera y Listas d'!$A$2&amp;"*"))</f>
        <v>0</v>
      </c>
    </row>
    <row r="1552" spans="1:26" ht="27.75" customHeight="1" x14ac:dyDescent="0.3">
      <c r="A1552" s="144" t="str">
        <f>+IF(PROVEEDORES[[#This Row],[FECHA DE PAGO]]=PROVEEDORES[[#This Row],[FECHA DE FACTURACIÓN]],"DE CONTADO","CRÉDITO")</f>
        <v>CRÉDITO</v>
      </c>
      <c r="B1552" s="144" t="b">
        <f>+IF((PROVEEDORES[[#This Row],[FECHA DE PAGO]]-PROVEEDORES[[#This Row],[FECHA DE FACTURACIÓN]])&gt;PROVEEDORES[[#This Row],[PLAZO Días]],"PAGO VENCIDO")</f>
        <v>0</v>
      </c>
      <c r="C1552" s="144">
        <f>+VLOOKUP(PROVEEDORES[[#This Row],[PROVEEDOR]],TERCEROS_INFO[#All],2,FALSE)</f>
        <v>0</v>
      </c>
      <c r="D1552" s="145">
        <f>+SUMIFS(PROVEEDORES[Total],PROVEEDORES[PROVEEDOR],PROVEEDORES[[#This Row],[PROVEEDOR]],PROVEEDORES[FECHA DE PAGO],"")</f>
        <v>7281829.8799999999</v>
      </c>
      <c r="E1552" s="146"/>
      <c r="F1552" s="144" t="str">
        <f>+VLOOKUP(PROVEEDORES[[#This Row],[PROVEEDOR]],
                       Terceros!$A:$G,
                       5,
                       FALSE)</f>
        <v>2,5% con base</v>
      </c>
      <c r="G1552" s="122"/>
      <c r="H1552" s="102" t="s">
        <v>1445</v>
      </c>
      <c r="I1552" s="122">
        <v>45392</v>
      </c>
      <c r="J1552" s="103" t="s">
        <v>1689</v>
      </c>
      <c r="K1552" s="103" t="s">
        <v>1512</v>
      </c>
      <c r="L1552" s="103"/>
      <c r="M1552" s="105">
        <v>162004</v>
      </c>
      <c r="N1552" s="147">
        <v>30780.760000000002</v>
      </c>
      <c r="O1552" s="147">
        <v>0</v>
      </c>
      <c r="P1552" s="148">
        <v>0</v>
      </c>
      <c r="Q1552" s="147">
        <v>0</v>
      </c>
      <c r="R1552" s="149">
        <v>192784.76</v>
      </c>
      <c r="S1552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2" s="150">
        <f ca="1">+IF(PROVEEDORES[[#This Row],[FECHA DE PAGO]]=0,TODAY()-PROVEEDORES[[#This Row],[FECHA DE FACTURACIÓN]]-PROVEEDORES[[#This Row],[PLAZO Días]],0)</f>
        <v>274</v>
      </c>
      <c r="U1552" s="150">
        <f>+VLOOKUP(PROVEEDORES[[#This Row],[PROVEEDOR]],Terceros!$A:$E,4,FALSE)</f>
        <v>0.19</v>
      </c>
      <c r="V1552" s="150">
        <f>+YEAR(PROVEEDORES[[#This Row],[FECHA DE FACTURACIÓN]])</f>
        <v>2024</v>
      </c>
      <c r="W1552" s="150">
        <f>+MATCH(PROVEEDORES[[#This Row],[año facturado]],Retenciones!$1:$1,0)</f>
        <v>7</v>
      </c>
      <c r="X1552" s="151" t="e">
        <f>+VLOOKUP(PROVEEDORES[[#This Row],[ID RETENCION]],Retenciones!$A$1:$O$25,PROVEEDORES[[#This Row],[indicador de columna]],FALSE)</f>
        <v>#N/A</v>
      </c>
      <c r="Y1552" s="152" t="e">
        <f>+VLOOKUP(PROVEEDORES[[#This Row],[ID RETENCION]],Retenciones!$A$1:$O$25,2,FALSE)</f>
        <v>#N/A</v>
      </c>
      <c r="Z1552" s="153" t="b">
        <f>+OR(COUNTIF(PROVEEDORES[[#This Row],[PROVEEDOR]],"*"&amp;'Palabra que no opera y Listas d'!$A$2&amp;"*"))</f>
        <v>0</v>
      </c>
    </row>
    <row r="1553" spans="1:26" ht="27.75" customHeight="1" x14ac:dyDescent="0.3">
      <c r="A1553" s="144" t="str">
        <f>+IF(PROVEEDORES[[#This Row],[FECHA DE PAGO]]=PROVEEDORES[[#This Row],[FECHA DE FACTURACIÓN]],"DE CONTADO","CRÉDITO")</f>
        <v>CRÉDITO</v>
      </c>
      <c r="B1553" s="144" t="b">
        <f>+IF((PROVEEDORES[[#This Row],[FECHA DE PAGO]]-PROVEEDORES[[#This Row],[FECHA DE FACTURACIÓN]])&gt;PROVEEDORES[[#This Row],[PLAZO Días]],"PAGO VENCIDO")</f>
        <v>0</v>
      </c>
      <c r="C1553" s="144">
        <f>+VLOOKUP(PROVEEDORES[[#This Row],[PROVEEDOR]],TERCEROS_INFO[#All],2,FALSE)</f>
        <v>0</v>
      </c>
      <c r="D1553" s="145">
        <f>+SUMIFS(PROVEEDORES[Total],PROVEEDORES[PROVEEDOR],PROVEEDORES[[#This Row],[PROVEEDOR]],PROVEEDORES[FECHA DE PAGO],"")</f>
        <v>5813868.5099999998</v>
      </c>
      <c r="E1553" s="146"/>
      <c r="F1553" s="144" t="str">
        <f>+VLOOKUP(PROVEEDORES[[#This Row],[PROVEEDOR]],
                       Terceros!$A:$G,
                       5,
                       FALSE)</f>
        <v>2,5% con base</v>
      </c>
      <c r="G1553" s="122"/>
      <c r="H1553" s="102" t="s">
        <v>23</v>
      </c>
      <c r="I1553" s="122">
        <v>45393</v>
      </c>
      <c r="J1553" s="103" t="s">
        <v>1714</v>
      </c>
      <c r="K1553" s="103" t="s">
        <v>1512</v>
      </c>
      <c r="L1553" s="103"/>
      <c r="M1553" s="105">
        <v>706739</v>
      </c>
      <c r="N1553" s="147">
        <v>134280.41</v>
      </c>
      <c r="O1553" s="147">
        <v>0</v>
      </c>
      <c r="P1553" s="148">
        <v>0</v>
      </c>
      <c r="Q1553" s="147">
        <v>0</v>
      </c>
      <c r="R1553" s="149">
        <v>841019.41</v>
      </c>
      <c r="S1553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3" s="150">
        <f ca="1">+IF(PROVEEDORES[[#This Row],[FECHA DE PAGO]]=0,TODAY()-PROVEEDORES[[#This Row],[FECHA DE FACTURACIÓN]]-PROVEEDORES[[#This Row],[PLAZO Días]],0)</f>
        <v>273</v>
      </c>
      <c r="U1553" s="150">
        <f>+VLOOKUP(PROVEEDORES[[#This Row],[PROVEEDOR]],Terceros!$A:$E,4,FALSE)</f>
        <v>0.19</v>
      </c>
      <c r="V1553" s="150">
        <f>+YEAR(PROVEEDORES[[#This Row],[FECHA DE FACTURACIÓN]])</f>
        <v>2024</v>
      </c>
      <c r="W1553" s="150">
        <f>+MATCH(PROVEEDORES[[#This Row],[año facturado]],Retenciones!$1:$1,0)</f>
        <v>7</v>
      </c>
      <c r="X1553" s="151" t="e">
        <f>+VLOOKUP(PROVEEDORES[[#This Row],[ID RETENCION]],Retenciones!$A$1:$O$25,PROVEEDORES[[#This Row],[indicador de columna]],FALSE)</f>
        <v>#N/A</v>
      </c>
      <c r="Y1553" s="152" t="e">
        <f>+VLOOKUP(PROVEEDORES[[#This Row],[ID RETENCION]],Retenciones!$A$1:$O$25,2,FALSE)</f>
        <v>#N/A</v>
      </c>
      <c r="Z1553" s="153" t="b">
        <f>+OR(COUNTIF(PROVEEDORES[[#This Row],[PROVEEDOR]],"*"&amp;'Palabra que no opera y Listas d'!$A$2&amp;"*"))</f>
        <v>0</v>
      </c>
    </row>
    <row r="1554" spans="1:26" ht="27.75" customHeight="1" x14ac:dyDescent="0.3">
      <c r="A1554" s="144" t="str">
        <f>+IF(PROVEEDORES[[#This Row],[FECHA DE PAGO]]=PROVEEDORES[[#This Row],[FECHA DE FACTURACIÓN]],"DE CONTADO","CRÉDITO")</f>
        <v>CRÉDITO</v>
      </c>
      <c r="B1554" s="144" t="b">
        <f>+IF((PROVEEDORES[[#This Row],[FECHA DE PAGO]]-PROVEEDORES[[#This Row],[FECHA DE FACTURACIÓN]])&gt;PROVEEDORES[[#This Row],[PLAZO Días]],"PAGO VENCIDO")</f>
        <v>0</v>
      </c>
      <c r="C1554" s="144">
        <f>+VLOOKUP(PROVEEDORES[[#This Row],[PROVEEDOR]],TERCEROS_INFO[#All],2,FALSE)</f>
        <v>0</v>
      </c>
      <c r="D1554" s="145">
        <f>+SUMIFS(PROVEEDORES[Total],PROVEEDORES[PROVEEDOR],PROVEEDORES[[#This Row],[PROVEEDOR]],PROVEEDORES[FECHA DE PAGO],"")</f>
        <v>8493745.8849999998</v>
      </c>
      <c r="E1554" s="146"/>
      <c r="F1554" s="144" t="str">
        <f>+VLOOKUP(PROVEEDORES[[#This Row],[PROVEEDOR]],
                       Terceros!$A:$G,
                       5,
                       FALSE)</f>
        <v>2,5% con base</v>
      </c>
      <c r="G1554" s="122"/>
      <c r="H1554" s="102" t="s">
        <v>10</v>
      </c>
      <c r="I1554" s="122">
        <v>45394</v>
      </c>
      <c r="J1554" s="103" t="s">
        <v>1712</v>
      </c>
      <c r="K1554" s="103" t="s">
        <v>1512</v>
      </c>
      <c r="L1554" s="103"/>
      <c r="M1554" s="105">
        <v>3882360</v>
      </c>
      <c r="N1554" s="147">
        <v>737648.4</v>
      </c>
      <c r="O1554" s="147">
        <v>0</v>
      </c>
      <c r="P1554" s="148">
        <v>2.5000000000000001E-2</v>
      </c>
      <c r="Q1554" s="147">
        <v>97059</v>
      </c>
      <c r="R1554" s="149">
        <v>4522949.4000000004</v>
      </c>
      <c r="S1554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4" s="150">
        <f ca="1">+IF(PROVEEDORES[[#This Row],[FECHA DE PAGO]]=0,TODAY()-PROVEEDORES[[#This Row],[FECHA DE FACTURACIÓN]]-PROVEEDORES[[#This Row],[PLAZO Días]],0)</f>
        <v>272</v>
      </c>
      <c r="U1554" s="150">
        <f>+VLOOKUP(PROVEEDORES[[#This Row],[PROVEEDOR]],Terceros!$A:$E,4,FALSE)</f>
        <v>0.19</v>
      </c>
      <c r="V1554" s="150">
        <f>+YEAR(PROVEEDORES[[#This Row],[FECHA DE FACTURACIÓN]])</f>
        <v>2024</v>
      </c>
      <c r="W1554" s="150">
        <f>+MATCH(PROVEEDORES[[#This Row],[año facturado]],Retenciones!$1:$1,0)</f>
        <v>7</v>
      </c>
      <c r="X1554" s="151" t="e">
        <f>+VLOOKUP(PROVEEDORES[[#This Row],[ID RETENCION]],Retenciones!$A$1:$O$25,PROVEEDORES[[#This Row],[indicador de columna]],FALSE)</f>
        <v>#N/A</v>
      </c>
      <c r="Y1554" s="152" t="e">
        <f>+VLOOKUP(PROVEEDORES[[#This Row],[ID RETENCION]],Retenciones!$A$1:$O$25,2,FALSE)</f>
        <v>#N/A</v>
      </c>
      <c r="Z1554" s="153" t="b">
        <f>+OR(COUNTIF(PROVEEDORES[[#This Row],[PROVEEDOR]],"*"&amp;'Palabra que no opera y Listas d'!$A$2&amp;"*"))</f>
        <v>0</v>
      </c>
    </row>
    <row r="1555" spans="1:26" ht="27.75" customHeight="1" x14ac:dyDescent="0.3">
      <c r="A1555" s="144" t="str">
        <f>+IF(PROVEEDORES[[#This Row],[FECHA DE PAGO]]=PROVEEDORES[[#This Row],[FECHA DE FACTURACIÓN]],"DE CONTADO","CRÉDITO")</f>
        <v>CRÉDITO</v>
      </c>
      <c r="B1555" s="144" t="b">
        <f>+IF((PROVEEDORES[[#This Row],[FECHA DE PAGO]]-PROVEEDORES[[#This Row],[FECHA DE FACTURACIÓN]])&gt;PROVEEDORES[[#This Row],[PLAZO Días]],"PAGO VENCIDO")</f>
        <v>0</v>
      </c>
      <c r="C1555" s="144">
        <f>+VLOOKUP(PROVEEDORES[[#This Row],[PROVEEDOR]],TERCEROS_INFO[#All],2,FALSE)</f>
        <v>0</v>
      </c>
      <c r="D1555" s="145">
        <f>+SUMIFS(PROVEEDORES[Total],PROVEEDORES[PROVEEDOR],PROVEEDORES[[#This Row],[PROVEEDOR]],PROVEEDORES[FECHA DE PAGO],"")</f>
        <v>3533418.74</v>
      </c>
      <c r="E1555" s="146"/>
      <c r="F1555" s="144">
        <f>+VLOOKUP(PROVEEDORES[[#This Row],[PROVEEDOR]],
                       Terceros!$A:$G,
                       5,
                       FALSE)</f>
        <v>0</v>
      </c>
      <c r="G1555" s="122"/>
      <c r="H1555" s="102" t="s">
        <v>236</v>
      </c>
      <c r="I1555" s="122">
        <v>45394</v>
      </c>
      <c r="J1555" s="103" t="s">
        <v>1728</v>
      </c>
      <c r="K1555" s="103" t="s">
        <v>516</v>
      </c>
      <c r="L1555" s="103"/>
      <c r="M1555" s="105">
        <v>2380260</v>
      </c>
      <c r="N1555" s="147">
        <v>182856</v>
      </c>
      <c r="O1555" s="147">
        <v>1417860</v>
      </c>
      <c r="P1555" s="148">
        <v>0</v>
      </c>
      <c r="Q1555" s="147">
        <v>0</v>
      </c>
      <c r="R1555" s="149">
        <v>1145256</v>
      </c>
      <c r="S1555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5" s="150">
        <f ca="1">+IF(PROVEEDORES[[#This Row],[FECHA DE PAGO]]=0,TODAY()-PROVEEDORES[[#This Row],[FECHA DE FACTURACIÓN]]-PROVEEDORES[[#This Row],[PLAZO Días]],0)</f>
        <v>272</v>
      </c>
      <c r="U1555" s="150">
        <f>+VLOOKUP(PROVEEDORES[[#This Row],[PROVEEDOR]],Terceros!$A:$E,4,FALSE)</f>
        <v>0.19</v>
      </c>
      <c r="V1555" s="150">
        <f>+YEAR(PROVEEDORES[[#This Row],[FECHA DE FACTURACIÓN]])</f>
        <v>2024</v>
      </c>
      <c r="W1555" s="150">
        <f>+MATCH(PROVEEDORES[[#This Row],[año facturado]],Retenciones!$1:$1,0)</f>
        <v>7</v>
      </c>
      <c r="X1555" s="151" t="e">
        <f>+VLOOKUP(PROVEEDORES[[#This Row],[ID RETENCION]],Retenciones!$A$1:$O$25,PROVEEDORES[[#This Row],[indicador de columna]],FALSE)</f>
        <v>#N/A</v>
      </c>
      <c r="Y1555" s="152" t="e">
        <f>+VLOOKUP(PROVEEDORES[[#This Row],[ID RETENCION]],Retenciones!$A$1:$O$25,2,FALSE)</f>
        <v>#N/A</v>
      </c>
      <c r="Z1555" s="153" t="b">
        <f>+OR(COUNTIF(PROVEEDORES[[#This Row],[PROVEEDOR]],"*"&amp;'Palabra que no opera y Listas d'!$A$2&amp;"*"))</f>
        <v>0</v>
      </c>
    </row>
    <row r="1556" spans="1:26" ht="27.75" customHeight="1" x14ac:dyDescent="0.3">
      <c r="A1556" s="144" t="str">
        <f>+IF(PROVEEDORES[[#This Row],[FECHA DE PAGO]]=PROVEEDORES[[#This Row],[FECHA DE FACTURACIÓN]],"DE CONTADO","CRÉDITO")</f>
        <v>CRÉDITO</v>
      </c>
      <c r="B1556" s="144" t="b">
        <f>+IF((PROVEEDORES[[#This Row],[FECHA DE PAGO]]-PROVEEDORES[[#This Row],[FECHA DE FACTURACIÓN]])&gt;PROVEEDORES[[#This Row],[PLAZO Días]],"PAGO VENCIDO")</f>
        <v>0</v>
      </c>
      <c r="C1556" s="144">
        <f>+VLOOKUP(PROVEEDORES[[#This Row],[PROVEEDOR]],TERCEROS_INFO[#All],2,FALSE)</f>
        <v>0</v>
      </c>
      <c r="D1556" s="145">
        <f>+SUMIFS(PROVEEDORES[Total],PROVEEDORES[PROVEEDOR],PROVEEDORES[[#This Row],[PROVEEDOR]],PROVEEDORES[FECHA DE PAGO],"")</f>
        <v>1503120</v>
      </c>
      <c r="E1556" s="146"/>
      <c r="F1556" s="144">
        <f>+VLOOKUP(PROVEEDORES[[#This Row],[PROVEEDOR]],
                       Terceros!$A:$G,
                       5,
                       FALSE)</f>
        <v>0</v>
      </c>
      <c r="G1556" s="122"/>
      <c r="H1556" s="102" t="s">
        <v>1780</v>
      </c>
      <c r="I1556" s="122">
        <v>45394</v>
      </c>
      <c r="J1556" s="103" t="s">
        <v>1764</v>
      </c>
      <c r="K1556" s="103" t="s">
        <v>1512</v>
      </c>
      <c r="L1556" s="103" t="s">
        <v>1523</v>
      </c>
      <c r="M1556" s="105">
        <v>1503120</v>
      </c>
      <c r="N1556" s="147">
        <v>0</v>
      </c>
      <c r="O1556" s="147">
        <v>0</v>
      </c>
      <c r="P1556" s="148">
        <v>0</v>
      </c>
      <c r="Q1556" s="147">
        <v>0</v>
      </c>
      <c r="R1556" s="149">
        <v>1503120</v>
      </c>
      <c r="S1556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6" s="150">
        <f ca="1">+IF(PROVEEDORES[[#This Row],[FECHA DE PAGO]]=0,TODAY()-PROVEEDORES[[#This Row],[FECHA DE FACTURACIÓN]]-PROVEEDORES[[#This Row],[PLAZO Días]],0)</f>
        <v>272</v>
      </c>
      <c r="U1556" s="150">
        <f>+VLOOKUP(PROVEEDORES[[#This Row],[PROVEEDOR]],Terceros!$A:$E,4,FALSE)</f>
        <v>0</v>
      </c>
      <c r="V1556" s="150">
        <f>+YEAR(PROVEEDORES[[#This Row],[FECHA DE FACTURACIÓN]])</f>
        <v>2024</v>
      </c>
      <c r="W1556" s="150">
        <f>+MATCH(PROVEEDORES[[#This Row],[año facturado]],Retenciones!$1:$1,0)</f>
        <v>7</v>
      </c>
      <c r="X1556" s="151">
        <f>+VLOOKUP(PROVEEDORES[[#This Row],[ID RETENCION]],Retenciones!$A$1:$O$25,PROVEEDORES[[#This Row],[indicador de columna]],FALSE)</f>
        <v>0</v>
      </c>
      <c r="Y1556" s="152">
        <f>+VLOOKUP(PROVEEDORES[[#This Row],[ID RETENCION]],Retenciones!$A$1:$O$25,2,FALSE)</f>
        <v>0</v>
      </c>
      <c r="Z1556" s="153" t="b">
        <f>+OR(COUNTIF(PROVEEDORES[[#This Row],[PROVEEDOR]],"*"&amp;'Palabra que no opera y Listas d'!$A$2&amp;"*"))</f>
        <v>0</v>
      </c>
    </row>
    <row r="1557" spans="1:26" ht="27.75" customHeight="1" x14ac:dyDescent="0.3">
      <c r="A1557" s="144" t="str">
        <f>+IF(PROVEEDORES[[#This Row],[FECHA DE PAGO]]=PROVEEDORES[[#This Row],[FECHA DE FACTURACIÓN]],"DE CONTADO","CRÉDITO")</f>
        <v>CRÉDITO</v>
      </c>
      <c r="B1557" s="144" t="b">
        <f>+IF((PROVEEDORES[[#This Row],[FECHA DE PAGO]]-PROVEEDORES[[#This Row],[FECHA DE FACTURACIÓN]])&gt;PROVEEDORES[[#This Row],[PLAZO Días]],"PAGO VENCIDO")</f>
        <v>0</v>
      </c>
      <c r="C1557" s="144">
        <f>+VLOOKUP(PROVEEDORES[[#This Row],[PROVEEDOR]],TERCEROS_INFO[#All],2,FALSE)</f>
        <v>0</v>
      </c>
      <c r="D1557" s="145">
        <f>+SUMIFS(PROVEEDORES[Total],PROVEEDORES[PROVEEDOR],PROVEEDORES[[#This Row],[PROVEEDOR]],PROVEEDORES[FECHA DE PAGO],"")</f>
        <v>31461</v>
      </c>
      <c r="E1557" s="146"/>
      <c r="F1557" s="144">
        <f>+VLOOKUP(PROVEEDORES[[#This Row],[PROVEEDOR]],
                       Terceros!$A:$G,
                       5,
                       FALSE)</f>
        <v>0</v>
      </c>
      <c r="G1557" s="122"/>
      <c r="H1557" s="102" t="s">
        <v>1807</v>
      </c>
      <c r="I1557" s="122">
        <v>45395</v>
      </c>
      <c r="J1557" s="103" t="s">
        <v>1726</v>
      </c>
      <c r="K1557" s="103" t="s">
        <v>516</v>
      </c>
      <c r="L1557" s="103"/>
      <c r="M1557" s="105">
        <v>31461</v>
      </c>
      <c r="N1557" s="147">
        <v>0</v>
      </c>
      <c r="O1557" s="147">
        <v>0</v>
      </c>
      <c r="P1557" s="148">
        <v>0</v>
      </c>
      <c r="Q1557" s="147">
        <v>0</v>
      </c>
      <c r="R1557" s="149">
        <v>31461</v>
      </c>
      <c r="S1557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7" s="150">
        <f ca="1">+IF(PROVEEDORES[[#This Row],[FECHA DE PAGO]]=0,TODAY()-PROVEEDORES[[#This Row],[FECHA DE FACTURACIÓN]]-PROVEEDORES[[#This Row],[PLAZO Días]],0)</f>
        <v>271</v>
      </c>
      <c r="U1557" s="150">
        <f>+VLOOKUP(PROVEEDORES[[#This Row],[PROVEEDOR]],Terceros!$A:$E,4,FALSE)</f>
        <v>0</v>
      </c>
      <c r="V1557" s="150">
        <f>+YEAR(PROVEEDORES[[#This Row],[FECHA DE FACTURACIÓN]])</f>
        <v>2024</v>
      </c>
      <c r="W1557" s="150">
        <f>+MATCH(PROVEEDORES[[#This Row],[año facturado]],Retenciones!$1:$1,0)</f>
        <v>7</v>
      </c>
      <c r="X1557" s="151">
        <f>+VLOOKUP(PROVEEDORES[[#This Row],[ID RETENCION]],Retenciones!$A$1:$O$25,PROVEEDORES[[#This Row],[indicador de columna]],FALSE)</f>
        <v>0</v>
      </c>
      <c r="Y1557" s="152">
        <f>+VLOOKUP(PROVEEDORES[[#This Row],[ID RETENCION]],Retenciones!$A$1:$O$25,2,FALSE)</f>
        <v>0</v>
      </c>
      <c r="Z1557" s="153" t="b">
        <f>+OR(COUNTIF(PROVEEDORES[[#This Row],[PROVEEDOR]],"*"&amp;'Palabra que no opera y Listas d'!$A$2&amp;"*"))</f>
        <v>0</v>
      </c>
    </row>
    <row r="1558" spans="1:26" ht="27.75" customHeight="1" x14ac:dyDescent="0.3">
      <c r="A1558" s="144" t="str">
        <f>+IF(PROVEEDORES[[#This Row],[FECHA DE PAGO]]=PROVEEDORES[[#This Row],[FECHA DE FACTURACIÓN]],"DE CONTADO","CRÉDITO")</f>
        <v>CRÉDITO</v>
      </c>
      <c r="B1558" s="144" t="b">
        <f>+IF((PROVEEDORES[[#This Row],[FECHA DE PAGO]]-PROVEEDORES[[#This Row],[FECHA DE FACTURACIÓN]])&gt;PROVEEDORES[[#This Row],[PLAZO Días]],"PAGO VENCIDO")</f>
        <v>0</v>
      </c>
      <c r="C1558" s="144">
        <f>+VLOOKUP(PROVEEDORES[[#This Row],[PROVEEDOR]],TERCEROS_INFO[#All],2,FALSE)</f>
        <v>0</v>
      </c>
      <c r="D1558" s="145">
        <f>+SUMIFS(PROVEEDORES[Total],PROVEEDORES[PROVEEDOR],PROVEEDORES[[#This Row],[PROVEEDOR]],PROVEEDORES[FECHA DE PAGO],"")</f>
        <v>550000</v>
      </c>
      <c r="E1558" s="146"/>
      <c r="F1558" s="144">
        <f>+VLOOKUP(PROVEEDORES[[#This Row],[PROVEEDOR]],
                       Terceros!$A:$G,
                       5,
                       FALSE)</f>
        <v>0</v>
      </c>
      <c r="G1558" s="122"/>
      <c r="H1558" s="102" t="s">
        <v>1784</v>
      </c>
      <c r="I1558" s="122">
        <v>45395</v>
      </c>
      <c r="J1558" s="103" t="s">
        <v>1725</v>
      </c>
      <c r="K1558" s="103" t="s">
        <v>1512</v>
      </c>
      <c r="L1558" s="103"/>
      <c r="M1558" s="105">
        <v>550000</v>
      </c>
      <c r="N1558" s="147">
        <v>0</v>
      </c>
      <c r="O1558" s="147">
        <v>0</v>
      </c>
      <c r="P1558" s="148">
        <v>0</v>
      </c>
      <c r="Q1558" s="147">
        <v>0</v>
      </c>
      <c r="R1558" s="149">
        <v>550000</v>
      </c>
      <c r="S1558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8" s="150">
        <f ca="1">+IF(PROVEEDORES[[#This Row],[FECHA DE PAGO]]=0,TODAY()-PROVEEDORES[[#This Row],[FECHA DE FACTURACIÓN]]-PROVEEDORES[[#This Row],[PLAZO Días]],0)</f>
        <v>271</v>
      </c>
      <c r="U1558" s="150">
        <f>+VLOOKUP(PROVEEDORES[[#This Row],[PROVEEDOR]],Terceros!$A:$E,4,FALSE)</f>
        <v>0</v>
      </c>
      <c r="V1558" s="150">
        <f>+YEAR(PROVEEDORES[[#This Row],[FECHA DE FACTURACIÓN]])</f>
        <v>2024</v>
      </c>
      <c r="W1558" s="150">
        <f>+MATCH(PROVEEDORES[[#This Row],[año facturado]],Retenciones!$1:$1,0)</f>
        <v>7</v>
      </c>
      <c r="X1558" s="151">
        <f>+VLOOKUP(PROVEEDORES[[#This Row],[ID RETENCION]],Retenciones!$A$1:$O$25,PROVEEDORES[[#This Row],[indicador de columna]],FALSE)</f>
        <v>0</v>
      </c>
      <c r="Y1558" s="152">
        <f>+VLOOKUP(PROVEEDORES[[#This Row],[ID RETENCION]],Retenciones!$A$1:$O$25,2,FALSE)</f>
        <v>0</v>
      </c>
      <c r="Z1558" s="153" t="b">
        <f>+OR(COUNTIF(PROVEEDORES[[#This Row],[PROVEEDOR]],"*"&amp;'Palabra que no opera y Listas d'!$A$2&amp;"*"))</f>
        <v>0</v>
      </c>
    </row>
    <row r="1559" spans="1:26" ht="27.75" customHeight="1" x14ac:dyDescent="0.3">
      <c r="A1559" s="144" t="str">
        <f>+IF(PROVEEDORES[[#This Row],[FECHA DE PAGO]]=PROVEEDORES[[#This Row],[FECHA DE FACTURACIÓN]],"DE CONTADO","CRÉDITO")</f>
        <v>CRÉDITO</v>
      </c>
      <c r="B1559" s="144" t="b">
        <f>+IF((PROVEEDORES[[#This Row],[FECHA DE PAGO]]-PROVEEDORES[[#This Row],[FECHA DE FACTURACIÓN]])&gt;PROVEEDORES[[#This Row],[PLAZO Días]],"PAGO VENCIDO")</f>
        <v>0</v>
      </c>
      <c r="C1559" s="144">
        <f>+VLOOKUP(PROVEEDORES[[#This Row],[PROVEEDOR]],TERCEROS_INFO[#All],2,FALSE)</f>
        <v>0</v>
      </c>
      <c r="D1559" s="145">
        <f>+SUMIFS(PROVEEDORES[Total],PROVEEDORES[PROVEEDOR],PROVEEDORES[[#This Row],[PROVEEDOR]],PROVEEDORES[FECHA DE PAGO],"")</f>
        <v>3461120</v>
      </c>
      <c r="E1559" s="146"/>
      <c r="F1559" s="144" t="str">
        <f>+VLOOKUP(PROVEEDORES[[#This Row],[PROVEEDOR]],
                       Terceros!$A:$G,
                       5,
                       FALSE)</f>
        <v>2,5% con base</v>
      </c>
      <c r="G1559" s="122"/>
      <c r="H1559" s="102" t="s">
        <v>9</v>
      </c>
      <c r="I1559" s="122">
        <v>45397</v>
      </c>
      <c r="J1559" s="103" t="s">
        <v>1713</v>
      </c>
      <c r="K1559" s="103" t="s">
        <v>1512</v>
      </c>
      <c r="L1559" s="103"/>
      <c r="M1559" s="105">
        <v>808000</v>
      </c>
      <c r="N1559" s="147">
        <v>153520</v>
      </c>
      <c r="O1559" s="147">
        <v>0</v>
      </c>
      <c r="P1559" s="148">
        <v>0</v>
      </c>
      <c r="Q1559" s="147">
        <v>0</v>
      </c>
      <c r="R1559" s="149">
        <v>961520</v>
      </c>
      <c r="S1559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9" s="150">
        <f ca="1">+IF(PROVEEDORES[[#This Row],[FECHA DE PAGO]]=0,TODAY()-PROVEEDORES[[#This Row],[FECHA DE FACTURACIÓN]]-PROVEEDORES[[#This Row],[PLAZO Días]],0)</f>
        <v>269</v>
      </c>
      <c r="U1559" s="150">
        <f>+VLOOKUP(PROVEEDORES[[#This Row],[PROVEEDOR]],Terceros!$A:$E,4,FALSE)</f>
        <v>0.19</v>
      </c>
      <c r="V1559" s="150">
        <f>+YEAR(PROVEEDORES[[#This Row],[FECHA DE FACTURACIÓN]])</f>
        <v>2024</v>
      </c>
      <c r="W1559" s="150">
        <f>+MATCH(PROVEEDORES[[#This Row],[año facturado]],Retenciones!$1:$1,0)</f>
        <v>7</v>
      </c>
      <c r="X1559" s="151" t="e">
        <f>+VLOOKUP(PROVEEDORES[[#This Row],[ID RETENCION]],Retenciones!$A$1:$O$25,PROVEEDORES[[#This Row],[indicador de columna]],FALSE)</f>
        <v>#N/A</v>
      </c>
      <c r="Y1559" s="152" t="e">
        <f>+VLOOKUP(PROVEEDORES[[#This Row],[ID RETENCION]],Retenciones!$A$1:$O$25,2,FALSE)</f>
        <v>#N/A</v>
      </c>
      <c r="Z1559" s="153" t="b">
        <f>+OR(COUNTIF(PROVEEDORES[[#This Row],[PROVEEDOR]],"*"&amp;'Palabra que no opera y Listas d'!$A$2&amp;"*"))</f>
        <v>0</v>
      </c>
    </row>
    <row r="1560" spans="1:26" ht="27.75" customHeight="1" x14ac:dyDescent="0.3">
      <c r="A1560" s="144" t="str">
        <f>+IF(PROVEEDORES[[#This Row],[FECHA DE PAGO]]=PROVEEDORES[[#This Row],[FECHA DE FACTURACIÓN]],"DE CONTADO","CRÉDITO")</f>
        <v>CRÉDITO</v>
      </c>
      <c r="B1560" s="144" t="b">
        <f>+IF((PROVEEDORES[[#This Row],[FECHA DE PAGO]]-PROVEEDORES[[#This Row],[FECHA DE FACTURACIÓN]])&gt;PROVEEDORES[[#This Row],[PLAZO Días]],"PAGO VENCIDO")</f>
        <v>0</v>
      </c>
      <c r="C1560" s="144">
        <f>+VLOOKUP(PROVEEDORES[[#This Row],[PROVEEDOR]],TERCEROS_INFO[#All],2,FALSE)</f>
        <v>0</v>
      </c>
      <c r="D1560" s="145">
        <f>+SUMIFS(PROVEEDORES[Total],PROVEEDORES[PROVEEDOR],PROVEEDORES[[#This Row],[PROVEEDOR]],PROVEEDORES[FECHA DE PAGO],"")</f>
        <v>5813868.5099999998</v>
      </c>
      <c r="E1560" s="146"/>
      <c r="F1560" s="144" t="str">
        <f>+VLOOKUP(PROVEEDORES[[#This Row],[PROVEEDOR]],
                       Terceros!$A:$G,
                       5,
                       FALSE)</f>
        <v>2,5% con base</v>
      </c>
      <c r="G1560" s="122"/>
      <c r="H1560" s="102" t="s">
        <v>23</v>
      </c>
      <c r="I1560" s="122">
        <v>45399</v>
      </c>
      <c r="J1560" s="103" t="s">
        <v>1723</v>
      </c>
      <c r="K1560" s="103" t="s">
        <v>516</v>
      </c>
      <c r="L1560" s="103"/>
      <c r="M1560" s="105">
        <v>4268540</v>
      </c>
      <c r="N1560" s="147">
        <v>811022.6</v>
      </c>
      <c r="O1560" s="147">
        <v>0</v>
      </c>
      <c r="P1560" s="148">
        <v>2.5000000000000001E-2</v>
      </c>
      <c r="Q1560" s="147">
        <v>106713.5</v>
      </c>
      <c r="R1560" s="149">
        <v>4972849.0999999996</v>
      </c>
      <c r="S1560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0" s="150">
        <f ca="1">+IF(PROVEEDORES[[#This Row],[FECHA DE PAGO]]=0,TODAY()-PROVEEDORES[[#This Row],[FECHA DE FACTURACIÓN]]-PROVEEDORES[[#This Row],[PLAZO Días]],0)</f>
        <v>267</v>
      </c>
      <c r="U1560" s="150">
        <f>+VLOOKUP(PROVEEDORES[[#This Row],[PROVEEDOR]],Terceros!$A:$E,4,FALSE)</f>
        <v>0.19</v>
      </c>
      <c r="V1560" s="150">
        <f>+YEAR(PROVEEDORES[[#This Row],[FECHA DE FACTURACIÓN]])</f>
        <v>2024</v>
      </c>
      <c r="W1560" s="150">
        <f>+MATCH(PROVEEDORES[[#This Row],[año facturado]],Retenciones!$1:$1,0)</f>
        <v>7</v>
      </c>
      <c r="X1560" s="151" t="e">
        <f>+VLOOKUP(PROVEEDORES[[#This Row],[ID RETENCION]],Retenciones!$A$1:$O$25,PROVEEDORES[[#This Row],[indicador de columna]],FALSE)</f>
        <v>#N/A</v>
      </c>
      <c r="Y1560" s="152" t="e">
        <f>+VLOOKUP(PROVEEDORES[[#This Row],[ID RETENCION]],Retenciones!$A$1:$O$25,2,FALSE)</f>
        <v>#N/A</v>
      </c>
      <c r="Z1560" s="153" t="b">
        <f>+OR(COUNTIF(PROVEEDORES[[#This Row],[PROVEEDOR]],"*"&amp;'Palabra que no opera y Listas d'!$A$2&amp;"*"))</f>
        <v>0</v>
      </c>
    </row>
    <row r="1561" spans="1:26" ht="27.75" customHeight="1" x14ac:dyDescent="0.3">
      <c r="A1561" s="144" t="str">
        <f>+IF(PROVEEDORES[[#This Row],[FECHA DE PAGO]]=PROVEEDORES[[#This Row],[FECHA DE FACTURACIÓN]],"DE CONTADO","CRÉDITO")</f>
        <v>CRÉDITO</v>
      </c>
      <c r="B1561" s="144" t="b">
        <f>+IF((PROVEEDORES[[#This Row],[FECHA DE PAGO]]-PROVEEDORES[[#This Row],[FECHA DE FACTURACIÓN]])&gt;PROVEEDORES[[#This Row],[PLAZO Días]],"PAGO VENCIDO")</f>
        <v>0</v>
      </c>
      <c r="C1561" s="144">
        <f>+VLOOKUP(PROVEEDORES[[#This Row],[PROVEEDOR]],TERCEROS_INFO[#All],2,FALSE)</f>
        <v>0</v>
      </c>
      <c r="D1561" s="145">
        <f>+SUMIFS(PROVEEDORES[Total],PROVEEDORES[PROVEEDOR],PROVEEDORES[[#This Row],[PROVEEDOR]],PROVEEDORES[FECHA DE PAGO],"")</f>
        <v>31839627.134999998</v>
      </c>
      <c r="E1561" s="146"/>
      <c r="F1561" s="144" t="str">
        <f>+VLOOKUP(PROVEEDORES[[#This Row],[PROVEEDOR]],
                       Terceros!$A:$G,
                       5,
                       FALSE)</f>
        <v>2,5% con base</v>
      </c>
      <c r="G1561" s="122"/>
      <c r="H1561" s="102" t="s">
        <v>17</v>
      </c>
      <c r="I1561" s="122">
        <v>45399</v>
      </c>
      <c r="J1561" s="103" t="s">
        <v>1722</v>
      </c>
      <c r="K1561" s="103" t="s">
        <v>516</v>
      </c>
      <c r="L1561" s="103"/>
      <c r="M1561" s="105">
        <v>1683642</v>
      </c>
      <c r="N1561" s="147">
        <v>319891.98</v>
      </c>
      <c r="O1561" s="147">
        <v>0</v>
      </c>
      <c r="P1561" s="148">
        <v>2.5000000000000001E-2</v>
      </c>
      <c r="Q1561" s="147">
        <v>42091.05</v>
      </c>
      <c r="R1561" s="149">
        <v>1961442.93</v>
      </c>
      <c r="S1561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1" s="150">
        <f ca="1">+IF(PROVEEDORES[[#This Row],[FECHA DE PAGO]]=0,TODAY()-PROVEEDORES[[#This Row],[FECHA DE FACTURACIÓN]]-PROVEEDORES[[#This Row],[PLAZO Días]],0)</f>
        <v>267</v>
      </c>
      <c r="U1561" s="150">
        <f>+VLOOKUP(PROVEEDORES[[#This Row],[PROVEEDOR]],Terceros!$A:$E,4,FALSE)</f>
        <v>0.19</v>
      </c>
      <c r="V1561" s="150">
        <f>+YEAR(PROVEEDORES[[#This Row],[FECHA DE FACTURACIÓN]])</f>
        <v>2024</v>
      </c>
      <c r="W1561" s="150">
        <f>+MATCH(PROVEEDORES[[#This Row],[año facturado]],Retenciones!$1:$1,0)</f>
        <v>7</v>
      </c>
      <c r="X1561" s="151" t="e">
        <f>+VLOOKUP(PROVEEDORES[[#This Row],[ID RETENCION]],Retenciones!$A$1:$O$25,PROVEEDORES[[#This Row],[indicador de columna]],FALSE)</f>
        <v>#N/A</v>
      </c>
      <c r="Y1561" s="152" t="e">
        <f>+VLOOKUP(PROVEEDORES[[#This Row],[ID RETENCION]],Retenciones!$A$1:$O$25,2,FALSE)</f>
        <v>#N/A</v>
      </c>
      <c r="Z1561" s="153" t="b">
        <f>+OR(COUNTIF(PROVEEDORES[[#This Row],[PROVEEDOR]],"*"&amp;'Palabra que no opera y Listas d'!$A$2&amp;"*"))</f>
        <v>0</v>
      </c>
    </row>
    <row r="1562" spans="1:26" ht="27.75" customHeight="1" x14ac:dyDescent="0.3">
      <c r="A1562" s="144" t="str">
        <f>+IF(PROVEEDORES[[#This Row],[FECHA DE PAGO]]=PROVEEDORES[[#This Row],[FECHA DE FACTURACIÓN]],"DE CONTADO","CRÉDITO")</f>
        <v>CRÉDITO</v>
      </c>
      <c r="B1562" s="144" t="b">
        <f>+IF((PROVEEDORES[[#This Row],[FECHA DE PAGO]]-PROVEEDORES[[#This Row],[FECHA DE FACTURACIÓN]])&gt;PROVEEDORES[[#This Row],[PLAZO Días]],"PAGO VENCIDO")</f>
        <v>0</v>
      </c>
      <c r="C1562" s="144">
        <f>+VLOOKUP(PROVEEDORES[[#This Row],[PROVEEDOR]],TERCEROS_INFO[#All],2,FALSE)</f>
        <v>0</v>
      </c>
      <c r="D1562" s="145">
        <f>+SUMIFS(PROVEEDORES[Total],PROVEEDORES[PROVEEDOR],PROVEEDORES[[#This Row],[PROVEEDOR]],PROVEEDORES[FECHA DE PAGO],"")</f>
        <v>26134091.5</v>
      </c>
      <c r="E1562" s="146"/>
      <c r="F1562" s="144">
        <f>+VLOOKUP(PROVEEDORES[[#This Row],[PROVEEDOR]],
                       Terceros!$A:$G,
                       5,
                       FALSE)</f>
        <v>0</v>
      </c>
      <c r="G1562" s="122"/>
      <c r="H1562" s="102" t="s">
        <v>238</v>
      </c>
      <c r="I1562" s="122">
        <v>45399</v>
      </c>
      <c r="J1562" s="103">
        <v>1997</v>
      </c>
      <c r="K1562" s="103" t="s">
        <v>516</v>
      </c>
      <c r="L1562" s="103"/>
      <c r="M1562" s="105">
        <v>514800</v>
      </c>
      <c r="N1562" s="147">
        <v>0</v>
      </c>
      <c r="O1562" s="147">
        <v>0</v>
      </c>
      <c r="P1562" s="148">
        <v>0</v>
      </c>
      <c r="Q1562" s="147">
        <v>0</v>
      </c>
      <c r="R1562" s="149">
        <v>514800</v>
      </c>
      <c r="S1562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2" s="150">
        <f ca="1">+IF(PROVEEDORES[[#This Row],[FECHA DE PAGO]]=0,TODAY()-PROVEEDORES[[#This Row],[FECHA DE FACTURACIÓN]]-PROVEEDORES[[#This Row],[PLAZO Días]],0)</f>
        <v>267</v>
      </c>
      <c r="U1562" s="150">
        <f>+VLOOKUP(PROVEEDORES[[#This Row],[PROVEEDOR]],Terceros!$A:$E,4,FALSE)</f>
        <v>0</v>
      </c>
      <c r="V1562" s="150">
        <f>+YEAR(PROVEEDORES[[#This Row],[FECHA DE FACTURACIÓN]])</f>
        <v>2024</v>
      </c>
      <c r="W1562" s="150">
        <f>+MATCH(PROVEEDORES[[#This Row],[año facturado]],Retenciones!$1:$1,0)</f>
        <v>7</v>
      </c>
      <c r="X1562" s="151">
        <f>+VLOOKUP(PROVEEDORES[[#This Row],[ID RETENCION]],Retenciones!$A$1:$O$25,PROVEEDORES[[#This Row],[indicador de columna]],FALSE)</f>
        <v>0</v>
      </c>
      <c r="Y1562" s="152">
        <f>+VLOOKUP(PROVEEDORES[[#This Row],[ID RETENCION]],Retenciones!$A$1:$O$25,2,FALSE)</f>
        <v>0</v>
      </c>
      <c r="Z1562" s="153" t="b">
        <f>+OR(COUNTIF(PROVEEDORES[[#This Row],[PROVEEDOR]],"*"&amp;'Palabra que no opera y Listas d'!$A$2&amp;"*"))</f>
        <v>0</v>
      </c>
    </row>
    <row r="1563" spans="1:26" ht="27.75" customHeight="1" x14ac:dyDescent="0.3">
      <c r="A1563" s="144" t="str">
        <f>+IF(PROVEEDORES[[#This Row],[FECHA DE PAGO]]=PROVEEDORES[[#This Row],[FECHA DE FACTURACIÓN]],"DE CONTADO","CRÉDITO")</f>
        <v>CRÉDITO</v>
      </c>
      <c r="B1563" s="144" t="b">
        <f>+IF((PROVEEDORES[[#This Row],[FECHA DE PAGO]]-PROVEEDORES[[#This Row],[FECHA DE FACTURACIÓN]])&gt;PROVEEDORES[[#This Row],[PLAZO Días]],"PAGO VENCIDO")</f>
        <v>0</v>
      </c>
      <c r="C1563" s="144">
        <f>+VLOOKUP(PROVEEDORES[[#This Row],[PROVEEDOR]],TERCEROS_INFO[#All],2,FALSE)</f>
        <v>0</v>
      </c>
      <c r="D1563" s="145">
        <f>+SUMIFS(PROVEEDORES[Total],PROVEEDORES[PROVEEDOR],PROVEEDORES[[#This Row],[PROVEEDOR]],PROVEEDORES[FECHA DE PAGO],"")</f>
        <v>26134091.5</v>
      </c>
      <c r="E1563" s="146"/>
      <c r="F1563" s="144">
        <f>+VLOOKUP(PROVEEDORES[[#This Row],[PROVEEDOR]],
                       Terceros!$A:$G,
                       5,
                       FALSE)</f>
        <v>0</v>
      </c>
      <c r="G1563" s="122"/>
      <c r="H1563" s="102" t="s">
        <v>238</v>
      </c>
      <c r="I1563" s="122">
        <v>45399</v>
      </c>
      <c r="J1563" s="103">
        <v>2001</v>
      </c>
      <c r="K1563" s="103" t="s">
        <v>516</v>
      </c>
      <c r="L1563" s="103"/>
      <c r="M1563" s="105">
        <v>823127.5</v>
      </c>
      <c r="N1563" s="147">
        <v>0</v>
      </c>
      <c r="O1563" s="147">
        <v>0</v>
      </c>
      <c r="P1563" s="148">
        <v>0</v>
      </c>
      <c r="Q1563" s="147">
        <v>0</v>
      </c>
      <c r="R1563" s="149">
        <v>823127.5</v>
      </c>
      <c r="S1563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3" s="150">
        <f ca="1">+IF(PROVEEDORES[[#This Row],[FECHA DE PAGO]]=0,TODAY()-PROVEEDORES[[#This Row],[FECHA DE FACTURACIÓN]]-PROVEEDORES[[#This Row],[PLAZO Días]],0)</f>
        <v>267</v>
      </c>
      <c r="U1563" s="150">
        <f>+VLOOKUP(PROVEEDORES[[#This Row],[PROVEEDOR]],Terceros!$A:$E,4,FALSE)</f>
        <v>0</v>
      </c>
      <c r="V1563" s="150">
        <f>+YEAR(PROVEEDORES[[#This Row],[FECHA DE FACTURACIÓN]])</f>
        <v>2024</v>
      </c>
      <c r="W1563" s="150">
        <f>+MATCH(PROVEEDORES[[#This Row],[año facturado]],Retenciones!$1:$1,0)</f>
        <v>7</v>
      </c>
      <c r="X1563" s="151">
        <f>+VLOOKUP(PROVEEDORES[[#This Row],[ID RETENCION]],Retenciones!$A$1:$O$25,PROVEEDORES[[#This Row],[indicador de columna]],FALSE)</f>
        <v>0</v>
      </c>
      <c r="Y1563" s="152">
        <f>+VLOOKUP(PROVEEDORES[[#This Row],[ID RETENCION]],Retenciones!$A$1:$O$25,2,FALSE)</f>
        <v>0</v>
      </c>
      <c r="Z1563" s="153" t="b">
        <f>+OR(COUNTIF(PROVEEDORES[[#This Row],[PROVEEDOR]],"*"&amp;'Palabra que no opera y Listas d'!$A$2&amp;"*"))</f>
        <v>0</v>
      </c>
    </row>
    <row r="1564" spans="1:26" ht="27.75" customHeight="1" x14ac:dyDescent="0.3">
      <c r="A1564" s="144" t="str">
        <f>+IF(PROVEEDORES[[#This Row],[FECHA DE PAGO]]=PROVEEDORES[[#This Row],[FECHA DE FACTURACIÓN]],"DE CONTADO","CRÉDITO")</f>
        <v>CRÉDITO</v>
      </c>
      <c r="B1564" s="144" t="b">
        <f>+IF((PROVEEDORES[[#This Row],[FECHA DE PAGO]]-PROVEEDORES[[#This Row],[FECHA DE FACTURACIÓN]])&gt;PROVEEDORES[[#This Row],[PLAZO Días]],"PAGO VENCIDO")</f>
        <v>0</v>
      </c>
      <c r="C1564" s="144">
        <f>+VLOOKUP(PROVEEDORES[[#This Row],[PROVEEDOR]],TERCEROS_INFO[#All],2,FALSE)</f>
        <v>0</v>
      </c>
      <c r="D1564" s="145">
        <f>+SUMIFS(PROVEEDORES[Total],PROVEEDORES[PROVEEDOR],PROVEEDORES[[#This Row],[PROVEEDOR]],PROVEEDORES[FECHA DE PAGO],"")</f>
        <v>560900</v>
      </c>
      <c r="E1564" s="146"/>
      <c r="F1564" s="144" t="str">
        <f>+VLOOKUP(PROVEEDORES[[#This Row],[PROVEEDOR]],
                       Terceros!$A:$G,
                       5,
                       FALSE)</f>
        <v>2,5% con base</v>
      </c>
      <c r="G1564" s="122"/>
      <c r="H1564" s="102" t="s">
        <v>1464</v>
      </c>
      <c r="I1564" s="122">
        <v>45399</v>
      </c>
      <c r="J1564" s="103" t="s">
        <v>1763</v>
      </c>
      <c r="K1564" s="103" t="s">
        <v>1512</v>
      </c>
      <c r="L1564" s="103"/>
      <c r="M1564" s="105">
        <v>560900</v>
      </c>
      <c r="N1564" s="147">
        <v>0</v>
      </c>
      <c r="O1564" s="147">
        <v>0</v>
      </c>
      <c r="P1564" s="148">
        <v>0</v>
      </c>
      <c r="Q1564" s="147">
        <v>0</v>
      </c>
      <c r="R1564" s="149">
        <v>560900</v>
      </c>
      <c r="S1564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4" s="150">
        <f ca="1">+IF(PROVEEDORES[[#This Row],[FECHA DE PAGO]]=0,TODAY()-PROVEEDORES[[#This Row],[FECHA DE FACTURACIÓN]]-PROVEEDORES[[#This Row],[PLAZO Días]],0)</f>
        <v>267</v>
      </c>
      <c r="U1564" s="150">
        <f>+VLOOKUP(PROVEEDORES[[#This Row],[PROVEEDOR]],Terceros!$A:$E,4,FALSE)</f>
        <v>0.19</v>
      </c>
      <c r="V1564" s="150">
        <f>+YEAR(PROVEEDORES[[#This Row],[FECHA DE FACTURACIÓN]])</f>
        <v>2024</v>
      </c>
      <c r="W1564" s="150">
        <f>+MATCH(PROVEEDORES[[#This Row],[año facturado]],Retenciones!$1:$1,0)</f>
        <v>7</v>
      </c>
      <c r="X1564" s="151" t="e">
        <f>+VLOOKUP(PROVEEDORES[[#This Row],[ID RETENCION]],Retenciones!$A$1:$O$25,PROVEEDORES[[#This Row],[indicador de columna]],FALSE)</f>
        <v>#N/A</v>
      </c>
      <c r="Y1564" s="152" t="e">
        <f>+VLOOKUP(PROVEEDORES[[#This Row],[ID RETENCION]],Retenciones!$A$1:$O$25,2,FALSE)</f>
        <v>#N/A</v>
      </c>
      <c r="Z1564" s="153" t="b">
        <f>+OR(COUNTIF(PROVEEDORES[[#This Row],[PROVEEDOR]],"*"&amp;'Palabra que no opera y Listas d'!$A$2&amp;"*"))</f>
        <v>0</v>
      </c>
    </row>
    <row r="1565" spans="1:26" ht="27.75" customHeight="1" x14ac:dyDescent="0.3">
      <c r="A1565" s="144" t="str">
        <f>+IF(PROVEEDORES[[#This Row],[FECHA DE PAGO]]=PROVEEDORES[[#This Row],[FECHA DE FACTURACIÓN]],"DE CONTADO","CRÉDITO")</f>
        <v>CRÉDITO</v>
      </c>
      <c r="B1565" s="144" t="b">
        <f>+IF((PROVEEDORES[[#This Row],[FECHA DE PAGO]]-PROVEEDORES[[#This Row],[FECHA DE FACTURACIÓN]])&gt;PROVEEDORES[[#This Row],[PLAZO Días]],"PAGO VENCIDO")</f>
        <v>0</v>
      </c>
      <c r="C1565" s="144">
        <f>+VLOOKUP(PROVEEDORES[[#This Row],[PROVEEDOR]],TERCEROS_INFO[#All],2,FALSE)</f>
        <v>0</v>
      </c>
      <c r="D1565" s="145">
        <f>+SUMIFS(PROVEEDORES[Total],PROVEEDORES[PROVEEDOR],PROVEEDORES[[#This Row],[PROVEEDOR]],PROVEEDORES[FECHA DE PAGO],"")</f>
        <v>-12893</v>
      </c>
      <c r="E1565" s="146"/>
      <c r="F1565" s="144" t="str">
        <f>+VLOOKUP(PROVEEDORES[[#This Row],[PROVEEDOR]],
                       Terceros!$A:$G,
                       5,
                       FALSE)</f>
        <v>3,5% sin base</v>
      </c>
      <c r="G1565" s="122"/>
      <c r="H1565" s="102" t="s">
        <v>1433</v>
      </c>
      <c r="I1565" s="122">
        <v>45400</v>
      </c>
      <c r="J1565" s="103" t="s">
        <v>1724</v>
      </c>
      <c r="K1565" s="103" t="s">
        <v>1512</v>
      </c>
      <c r="L1565" s="103"/>
      <c r="M1565" s="105">
        <v>-12893</v>
      </c>
      <c r="N1565" s="147">
        <v>0</v>
      </c>
      <c r="O1565" s="147">
        <v>0</v>
      </c>
      <c r="P1565" s="148">
        <v>0</v>
      </c>
      <c r="Q1565" s="147">
        <v>0</v>
      </c>
      <c r="R1565" s="149">
        <v>-12893</v>
      </c>
      <c r="S1565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5" s="150">
        <f ca="1">+IF(PROVEEDORES[[#This Row],[FECHA DE PAGO]]=0,TODAY()-PROVEEDORES[[#This Row],[FECHA DE FACTURACIÓN]]-PROVEEDORES[[#This Row],[PLAZO Días]],0)</f>
        <v>266</v>
      </c>
      <c r="U1565" s="150">
        <f>+VLOOKUP(PROVEEDORES[[#This Row],[PROVEEDOR]],Terceros!$A:$E,4,FALSE)</f>
        <v>0.19</v>
      </c>
      <c r="V1565" s="150">
        <f>+YEAR(PROVEEDORES[[#This Row],[FECHA DE FACTURACIÓN]])</f>
        <v>2024</v>
      </c>
      <c r="W1565" s="150">
        <f>+MATCH(PROVEEDORES[[#This Row],[año facturado]],Retenciones!$1:$1,0)</f>
        <v>7</v>
      </c>
      <c r="X1565" s="151" t="e">
        <f>+VLOOKUP(PROVEEDORES[[#This Row],[ID RETENCION]],Retenciones!$A$1:$O$25,PROVEEDORES[[#This Row],[indicador de columna]],FALSE)</f>
        <v>#N/A</v>
      </c>
      <c r="Y1565" s="152" t="e">
        <f>+VLOOKUP(PROVEEDORES[[#This Row],[ID RETENCION]],Retenciones!$A$1:$O$25,2,FALSE)</f>
        <v>#N/A</v>
      </c>
      <c r="Z1565" s="153" t="b">
        <f>+OR(COUNTIF(PROVEEDORES[[#This Row],[PROVEEDOR]],"*"&amp;'Palabra que no opera y Listas d'!$A$2&amp;"*"))</f>
        <v>1</v>
      </c>
    </row>
    <row r="1566" spans="1:26" ht="27.75" customHeight="1" x14ac:dyDescent="0.3">
      <c r="A1566" s="144" t="str">
        <f>+IF(PROVEEDORES[[#This Row],[FECHA DE PAGO]]=PROVEEDORES[[#This Row],[FECHA DE FACTURACIÓN]],"DE CONTADO","CRÉDITO")</f>
        <v>CRÉDITO</v>
      </c>
      <c r="B1566" s="144" t="b">
        <f>+IF((PROVEEDORES[[#This Row],[FECHA DE PAGO]]-PROVEEDORES[[#This Row],[FECHA DE FACTURACIÓN]])&gt;PROVEEDORES[[#This Row],[PLAZO Días]],"PAGO VENCIDO")</f>
        <v>0</v>
      </c>
      <c r="C1566" s="144">
        <f>+VLOOKUP(PROVEEDORES[[#This Row],[PROVEEDOR]],TERCEROS_INFO[#All],2,FALSE)</f>
        <v>0</v>
      </c>
      <c r="D1566" s="145">
        <f>+SUMIFS(PROVEEDORES[Total],PROVEEDORES[PROVEEDOR],PROVEEDORES[[#This Row],[PROVEEDOR]],PROVEEDORES[FECHA DE PAGO],"")</f>
        <v>2129306.6150000002</v>
      </c>
      <c r="E1566" s="146"/>
      <c r="F1566" s="144" t="str">
        <f>+VLOOKUP(PROVEEDORES[[#This Row],[PROVEEDOR]],
                       Terceros!$A:$G,
                       5,
                       FALSE)</f>
        <v>2,5% con base</v>
      </c>
      <c r="G1566" s="122"/>
      <c r="H1566" s="102" t="s">
        <v>234</v>
      </c>
      <c r="I1566" s="122">
        <v>45401</v>
      </c>
      <c r="J1566" s="103" t="s">
        <v>1748</v>
      </c>
      <c r="K1566" s="103" t="s">
        <v>1512</v>
      </c>
      <c r="L1566" s="103"/>
      <c r="M1566" s="105">
        <v>1827731</v>
      </c>
      <c r="N1566" s="147">
        <v>347268.89</v>
      </c>
      <c r="O1566" s="147">
        <v>0</v>
      </c>
      <c r="P1566" s="148">
        <v>2.5000000000000001E-2</v>
      </c>
      <c r="Q1566" s="147">
        <v>45693.275000000001</v>
      </c>
      <c r="R1566" s="149">
        <v>2129306.6150000002</v>
      </c>
      <c r="S1566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6" s="150">
        <f ca="1">+IF(PROVEEDORES[[#This Row],[FECHA DE PAGO]]=0,TODAY()-PROVEEDORES[[#This Row],[FECHA DE FACTURACIÓN]]-PROVEEDORES[[#This Row],[PLAZO Días]],0)</f>
        <v>265</v>
      </c>
      <c r="U1566" s="150">
        <f>+VLOOKUP(PROVEEDORES[[#This Row],[PROVEEDOR]],Terceros!$A:$E,4,FALSE)</f>
        <v>0.19</v>
      </c>
      <c r="V1566" s="150">
        <f>+YEAR(PROVEEDORES[[#This Row],[FECHA DE FACTURACIÓN]])</f>
        <v>2024</v>
      </c>
      <c r="W1566" s="150">
        <f>+MATCH(PROVEEDORES[[#This Row],[año facturado]],Retenciones!$1:$1,0)</f>
        <v>7</v>
      </c>
      <c r="X1566" s="151" t="e">
        <f>+VLOOKUP(PROVEEDORES[[#This Row],[ID RETENCION]],Retenciones!$A$1:$O$25,PROVEEDORES[[#This Row],[indicador de columna]],FALSE)</f>
        <v>#N/A</v>
      </c>
      <c r="Y1566" s="152" t="e">
        <f>+VLOOKUP(PROVEEDORES[[#This Row],[ID RETENCION]],Retenciones!$A$1:$O$25,2,FALSE)</f>
        <v>#N/A</v>
      </c>
      <c r="Z1566" s="153" t="b">
        <f>+OR(COUNTIF(PROVEEDORES[[#This Row],[PROVEEDOR]],"*"&amp;'Palabra que no opera y Listas d'!$A$2&amp;"*"))</f>
        <v>0</v>
      </c>
    </row>
    <row r="1567" spans="1:26" ht="27.75" customHeight="1" x14ac:dyDescent="0.3">
      <c r="A1567" s="144" t="str">
        <f>+IF(PROVEEDORES[[#This Row],[FECHA DE PAGO]]=PROVEEDORES[[#This Row],[FECHA DE FACTURACIÓN]],"DE CONTADO","CRÉDITO")</f>
        <v>CRÉDITO</v>
      </c>
      <c r="B1567" s="144" t="b">
        <f>+IF((PROVEEDORES[[#This Row],[FECHA DE PAGO]]-PROVEEDORES[[#This Row],[FECHA DE FACTURACIÓN]])&gt;PROVEEDORES[[#This Row],[PLAZO Días]],"PAGO VENCIDO")</f>
        <v>0</v>
      </c>
      <c r="C1567" s="144">
        <f>+VLOOKUP(PROVEEDORES[[#This Row],[PROVEEDOR]],TERCEROS_INFO[#All],2,FALSE)</f>
        <v>0</v>
      </c>
      <c r="D1567" s="145">
        <f>+SUMIFS(PROVEEDORES[Total],PROVEEDORES[PROVEEDOR],PROVEEDORES[[#This Row],[PROVEEDOR]],PROVEEDORES[FECHA DE PAGO],"")</f>
        <v>3533418.74</v>
      </c>
      <c r="E1567" s="146"/>
      <c r="F1567" s="144">
        <f>+VLOOKUP(PROVEEDORES[[#This Row],[PROVEEDOR]],
                       Terceros!$A:$G,
                       5,
                       FALSE)</f>
        <v>0</v>
      </c>
      <c r="G1567" s="122"/>
      <c r="H1567" s="102" t="s">
        <v>236</v>
      </c>
      <c r="I1567" s="122">
        <v>45401</v>
      </c>
      <c r="J1567" s="103" t="s">
        <v>1750</v>
      </c>
      <c r="K1567" s="103" t="s">
        <v>516</v>
      </c>
      <c r="L1567" s="103"/>
      <c r="M1567" s="105">
        <v>702795</v>
      </c>
      <c r="N1567" s="147">
        <v>133531.04999999999</v>
      </c>
      <c r="O1567" s="147">
        <v>0</v>
      </c>
      <c r="P1567" s="148">
        <v>0</v>
      </c>
      <c r="Q1567" s="147">
        <v>0</v>
      </c>
      <c r="R1567" s="149">
        <v>836326.05</v>
      </c>
      <c r="S1567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7" s="150">
        <f ca="1">+IF(PROVEEDORES[[#This Row],[FECHA DE PAGO]]=0,TODAY()-PROVEEDORES[[#This Row],[FECHA DE FACTURACIÓN]]-PROVEEDORES[[#This Row],[PLAZO Días]],0)</f>
        <v>265</v>
      </c>
      <c r="U1567" s="150">
        <f>+VLOOKUP(PROVEEDORES[[#This Row],[PROVEEDOR]],Terceros!$A:$E,4,FALSE)</f>
        <v>0.19</v>
      </c>
      <c r="V1567" s="150">
        <f>+YEAR(PROVEEDORES[[#This Row],[FECHA DE FACTURACIÓN]])</f>
        <v>2024</v>
      </c>
      <c r="W1567" s="150">
        <f>+MATCH(PROVEEDORES[[#This Row],[año facturado]],Retenciones!$1:$1,0)</f>
        <v>7</v>
      </c>
      <c r="X1567" s="151" t="e">
        <f>+VLOOKUP(PROVEEDORES[[#This Row],[ID RETENCION]],Retenciones!$A$1:$O$25,PROVEEDORES[[#This Row],[indicador de columna]],FALSE)</f>
        <v>#N/A</v>
      </c>
      <c r="Y1567" s="152" t="e">
        <f>+VLOOKUP(PROVEEDORES[[#This Row],[ID RETENCION]],Retenciones!$A$1:$O$25,2,FALSE)</f>
        <v>#N/A</v>
      </c>
      <c r="Z1567" s="153" t="b">
        <f>+OR(COUNTIF(PROVEEDORES[[#This Row],[PROVEEDOR]],"*"&amp;'Palabra que no opera y Listas d'!$A$2&amp;"*"))</f>
        <v>0</v>
      </c>
    </row>
    <row r="1568" spans="1:26" ht="27.75" customHeight="1" x14ac:dyDescent="0.3">
      <c r="A1568" s="144" t="str">
        <f>+IF(PROVEEDORES[[#This Row],[FECHA DE PAGO]]=PROVEEDORES[[#This Row],[FECHA DE FACTURACIÓN]],"DE CONTADO","CRÉDITO")</f>
        <v>CRÉDITO</v>
      </c>
      <c r="B1568" s="144" t="b">
        <f>+IF((PROVEEDORES[[#This Row],[FECHA DE PAGO]]-PROVEEDORES[[#This Row],[FECHA DE FACTURACIÓN]])&gt;PROVEEDORES[[#This Row],[PLAZO Días]],"PAGO VENCIDO")</f>
        <v>0</v>
      </c>
      <c r="C1568" s="144">
        <f>+VLOOKUP(PROVEEDORES[[#This Row],[PROVEEDOR]],TERCEROS_INFO[#All],2,FALSE)</f>
        <v>0</v>
      </c>
      <c r="D1568" s="145">
        <f>+SUMIFS(PROVEEDORES[Total],PROVEEDORES[PROVEEDOR],PROVEEDORES[[#This Row],[PROVEEDOR]],PROVEEDORES[FECHA DE PAGO],"")</f>
        <v>3130000</v>
      </c>
      <c r="E1568" s="146"/>
      <c r="F1568" s="144">
        <f>+VLOOKUP(PROVEEDORES[[#This Row],[PROVEEDOR]],
                       Terceros!$A:$G,
                       5,
                       FALSE)</f>
        <v>0</v>
      </c>
      <c r="G1568" s="122"/>
      <c r="H1568" s="102" t="s">
        <v>487</v>
      </c>
      <c r="I1568" s="122">
        <v>45402</v>
      </c>
      <c r="J1568" s="103" t="s">
        <v>1762</v>
      </c>
      <c r="K1568" s="103" t="s">
        <v>1512</v>
      </c>
      <c r="L1568" s="103"/>
      <c r="M1568" s="105">
        <v>770000</v>
      </c>
      <c r="N1568" s="147">
        <v>0</v>
      </c>
      <c r="O1568" s="147">
        <v>0</v>
      </c>
      <c r="P1568" s="148">
        <v>0</v>
      </c>
      <c r="Q1568" s="147">
        <v>0</v>
      </c>
      <c r="R1568" s="149">
        <v>770000</v>
      </c>
      <c r="S1568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8" s="150">
        <f ca="1">+IF(PROVEEDORES[[#This Row],[FECHA DE PAGO]]=0,TODAY()-PROVEEDORES[[#This Row],[FECHA DE FACTURACIÓN]]-PROVEEDORES[[#This Row],[PLAZO Días]],0)</f>
        <v>264</v>
      </c>
      <c r="U1568" s="150">
        <f>+VLOOKUP(PROVEEDORES[[#This Row],[PROVEEDOR]],Terceros!$A:$E,4,FALSE)</f>
        <v>0</v>
      </c>
      <c r="V1568" s="150">
        <f>+YEAR(PROVEEDORES[[#This Row],[FECHA DE FACTURACIÓN]])</f>
        <v>2024</v>
      </c>
      <c r="W1568" s="150">
        <f>+MATCH(PROVEEDORES[[#This Row],[año facturado]],Retenciones!$1:$1,0)</f>
        <v>7</v>
      </c>
      <c r="X1568" s="151">
        <f>+VLOOKUP(PROVEEDORES[[#This Row],[ID RETENCION]],Retenciones!$A$1:$O$25,PROVEEDORES[[#This Row],[indicador de columna]],FALSE)</f>
        <v>0</v>
      </c>
      <c r="Y1568" s="152">
        <f>+VLOOKUP(PROVEEDORES[[#This Row],[ID RETENCION]],Retenciones!$A$1:$O$25,2,FALSE)</f>
        <v>0</v>
      </c>
      <c r="Z1568" s="153" t="b">
        <f>+OR(COUNTIF(PROVEEDORES[[#This Row],[PROVEEDOR]],"*"&amp;'Palabra que no opera y Listas d'!$A$2&amp;"*"))</f>
        <v>0</v>
      </c>
    </row>
    <row r="1569" spans="1:26" ht="27.75" customHeight="1" x14ac:dyDescent="0.3">
      <c r="A1569" s="144" t="str">
        <f>+IF(PROVEEDORES[[#This Row],[FECHA DE PAGO]]=PROVEEDORES[[#This Row],[FECHA DE FACTURACIÓN]],"DE CONTADO","CRÉDITO")</f>
        <v>CRÉDITO</v>
      </c>
      <c r="B1569" s="144" t="b">
        <f>+IF((PROVEEDORES[[#This Row],[FECHA DE PAGO]]-PROVEEDORES[[#This Row],[FECHA DE FACTURACIÓN]])&gt;PROVEEDORES[[#This Row],[PLAZO Días]],"PAGO VENCIDO")</f>
        <v>0</v>
      </c>
      <c r="C1569" s="144">
        <f>+VLOOKUP(PROVEEDORES[[#This Row],[PROVEEDOR]],TERCEROS_INFO[#All],2,FALSE)</f>
        <v>0</v>
      </c>
      <c r="D1569" s="145">
        <f>+SUMIFS(PROVEEDORES[Total],PROVEEDORES[PROVEEDOR],PROVEEDORES[[#This Row],[PROVEEDOR]],PROVEEDORES[FECHA DE PAGO],"")</f>
        <v>3533418.74</v>
      </c>
      <c r="E1569" s="146"/>
      <c r="F1569" s="144">
        <f>+VLOOKUP(PROVEEDORES[[#This Row],[PROVEEDOR]],
                       Terceros!$A:$G,
                       5,
                       FALSE)</f>
        <v>0</v>
      </c>
      <c r="G1569" s="122"/>
      <c r="H1569" s="102" t="s">
        <v>236</v>
      </c>
      <c r="I1569" s="122">
        <v>45404</v>
      </c>
      <c r="J1569" s="103" t="s">
        <v>1752</v>
      </c>
      <c r="K1569" s="103" t="s">
        <v>516</v>
      </c>
      <c r="L1569" s="103"/>
      <c r="M1569" s="105">
        <v>1909082</v>
      </c>
      <c r="N1569" s="147">
        <v>186944</v>
      </c>
      <c r="O1569" s="147">
        <v>925169</v>
      </c>
      <c r="P1569" s="148">
        <v>0</v>
      </c>
      <c r="Q1569" s="147">
        <v>0</v>
      </c>
      <c r="R1569" s="149">
        <v>1170857</v>
      </c>
      <c r="S1569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9" s="150">
        <f ca="1">+IF(PROVEEDORES[[#This Row],[FECHA DE PAGO]]=0,TODAY()-PROVEEDORES[[#This Row],[FECHA DE FACTURACIÓN]]-PROVEEDORES[[#This Row],[PLAZO Días]],0)</f>
        <v>262</v>
      </c>
      <c r="U1569" s="150">
        <f>+VLOOKUP(PROVEEDORES[[#This Row],[PROVEEDOR]],Terceros!$A:$E,4,FALSE)</f>
        <v>0.19</v>
      </c>
      <c r="V1569" s="150">
        <f>+YEAR(PROVEEDORES[[#This Row],[FECHA DE FACTURACIÓN]])</f>
        <v>2024</v>
      </c>
      <c r="W1569" s="150">
        <f>+MATCH(PROVEEDORES[[#This Row],[año facturado]],Retenciones!$1:$1,0)</f>
        <v>7</v>
      </c>
      <c r="X1569" s="151" t="e">
        <f>+VLOOKUP(PROVEEDORES[[#This Row],[ID RETENCION]],Retenciones!$A$1:$O$25,PROVEEDORES[[#This Row],[indicador de columna]],FALSE)</f>
        <v>#N/A</v>
      </c>
      <c r="Y1569" s="152" t="e">
        <f>+VLOOKUP(PROVEEDORES[[#This Row],[ID RETENCION]],Retenciones!$A$1:$O$25,2,FALSE)</f>
        <v>#N/A</v>
      </c>
      <c r="Z1569" s="153" t="b">
        <f>+OR(COUNTIF(PROVEEDORES[[#This Row],[PROVEEDOR]],"*"&amp;'Palabra que no opera y Listas d'!$A$2&amp;"*"))</f>
        <v>0</v>
      </c>
    </row>
    <row r="1570" spans="1:26" ht="27.75" customHeight="1" x14ac:dyDescent="0.3">
      <c r="A1570" s="144" t="str">
        <f>+IF(PROVEEDORES[[#This Row],[FECHA DE PAGO]]=PROVEEDORES[[#This Row],[FECHA DE FACTURACIÓN]],"DE CONTADO","CRÉDITO")</f>
        <v>CRÉDITO</v>
      </c>
      <c r="B1570" s="144" t="b">
        <f>+IF((PROVEEDORES[[#This Row],[FECHA DE PAGO]]-PROVEEDORES[[#This Row],[FECHA DE FACTURACIÓN]])&gt;PROVEEDORES[[#This Row],[PLAZO Días]],"PAGO VENCIDO")</f>
        <v>0</v>
      </c>
      <c r="C1570" s="144">
        <f>+VLOOKUP(PROVEEDORES[[#This Row],[PROVEEDOR]],TERCEROS_INFO[#All],2,FALSE)</f>
        <v>0</v>
      </c>
      <c r="D1570" s="145">
        <f>+SUMIFS(PROVEEDORES[Total],PROVEEDORES[PROVEEDOR],PROVEEDORES[[#This Row],[PROVEEDOR]],PROVEEDORES[FECHA DE PAGO],"")</f>
        <v>1460000.29</v>
      </c>
      <c r="E1570" s="146"/>
      <c r="F1570" s="144" t="str">
        <f>+VLOOKUP(PROVEEDORES[[#This Row],[PROVEEDOR]],
                       Terceros!$A:$G,
                       5,
                       FALSE)</f>
        <v>2,5% con base</v>
      </c>
      <c r="G1570" s="122"/>
      <c r="H1570" s="102" t="s">
        <v>142</v>
      </c>
      <c r="I1570" s="122">
        <v>45404</v>
      </c>
      <c r="J1570" s="103" t="s">
        <v>1749</v>
      </c>
      <c r="K1570" s="103" t="s">
        <v>1512</v>
      </c>
      <c r="L1570" s="103"/>
      <c r="M1570" s="105">
        <v>1226891</v>
      </c>
      <c r="N1570" s="147">
        <v>233109.29</v>
      </c>
      <c r="O1570" s="147">
        <v>0</v>
      </c>
      <c r="P1570" s="148">
        <v>0</v>
      </c>
      <c r="Q1570" s="147">
        <v>0</v>
      </c>
      <c r="R1570" s="149">
        <v>1460000.29</v>
      </c>
      <c r="S1570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0" s="150">
        <f ca="1">+IF(PROVEEDORES[[#This Row],[FECHA DE PAGO]]=0,TODAY()-PROVEEDORES[[#This Row],[FECHA DE FACTURACIÓN]]-PROVEEDORES[[#This Row],[PLAZO Días]],0)</f>
        <v>262</v>
      </c>
      <c r="U1570" s="150">
        <f>+VLOOKUP(PROVEEDORES[[#This Row],[PROVEEDOR]],Terceros!$A:$E,4,FALSE)</f>
        <v>0.19</v>
      </c>
      <c r="V1570" s="150">
        <f>+YEAR(PROVEEDORES[[#This Row],[FECHA DE FACTURACIÓN]])</f>
        <v>2024</v>
      </c>
      <c r="W1570" s="150">
        <f>+MATCH(PROVEEDORES[[#This Row],[año facturado]],Retenciones!$1:$1,0)</f>
        <v>7</v>
      </c>
      <c r="X1570" s="151" t="e">
        <f>+VLOOKUP(PROVEEDORES[[#This Row],[ID RETENCION]],Retenciones!$A$1:$O$25,PROVEEDORES[[#This Row],[indicador de columna]],FALSE)</f>
        <v>#N/A</v>
      </c>
      <c r="Y1570" s="152" t="e">
        <f>+VLOOKUP(PROVEEDORES[[#This Row],[ID RETENCION]],Retenciones!$A$1:$O$25,2,FALSE)</f>
        <v>#N/A</v>
      </c>
      <c r="Z1570" s="153" t="b">
        <f>+OR(COUNTIF(PROVEEDORES[[#This Row],[PROVEEDOR]],"*"&amp;'Palabra que no opera y Listas d'!$A$2&amp;"*"))</f>
        <v>0</v>
      </c>
    </row>
    <row r="1571" spans="1:26" ht="27.75" customHeight="1" x14ac:dyDescent="0.3">
      <c r="A1571" s="144" t="str">
        <f>+IF(PROVEEDORES[[#This Row],[FECHA DE PAGO]]=PROVEEDORES[[#This Row],[FECHA DE FACTURACIÓN]],"DE CONTADO","CRÉDITO")</f>
        <v>CRÉDITO</v>
      </c>
      <c r="B1571" s="144" t="b">
        <f>+IF((PROVEEDORES[[#This Row],[FECHA DE PAGO]]-PROVEEDORES[[#This Row],[FECHA DE FACTURACIÓN]])&gt;PROVEEDORES[[#This Row],[PLAZO Días]],"PAGO VENCIDO")</f>
        <v>0</v>
      </c>
      <c r="C1571" s="144">
        <f>+VLOOKUP(PROVEEDORES[[#This Row],[PROVEEDOR]],TERCEROS_INFO[#All],2,FALSE)</f>
        <v>0</v>
      </c>
      <c r="D1571" s="145">
        <f>+SUMIFS(PROVEEDORES[Total],PROVEEDORES[PROVEEDOR],PROVEEDORES[[#This Row],[PROVEEDOR]],PROVEEDORES[FECHA DE PAGO],"")</f>
        <v>2095000</v>
      </c>
      <c r="E1571" s="146"/>
      <c r="F1571" s="144">
        <f>+VLOOKUP(PROVEEDORES[[#This Row],[PROVEEDOR]],
                       Terceros!$A:$G,
                       5,
                       FALSE)</f>
        <v>0</v>
      </c>
      <c r="G1571" s="122"/>
      <c r="H1571" s="102" t="s">
        <v>1781</v>
      </c>
      <c r="I1571" s="122">
        <v>45405</v>
      </c>
      <c r="J1571" s="103" t="s">
        <v>1761</v>
      </c>
      <c r="K1571" s="103" t="s">
        <v>1512</v>
      </c>
      <c r="L1571" s="103"/>
      <c r="M1571" s="105">
        <v>2095000</v>
      </c>
      <c r="N1571" s="147">
        <v>0</v>
      </c>
      <c r="O1571" s="147">
        <v>0</v>
      </c>
      <c r="P1571" s="148">
        <v>0</v>
      </c>
      <c r="Q1571" s="147">
        <v>0</v>
      </c>
      <c r="R1571" s="149">
        <v>2095000</v>
      </c>
      <c r="S1571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1" s="150">
        <f ca="1">+IF(PROVEEDORES[[#This Row],[FECHA DE PAGO]]=0,TODAY()-PROVEEDORES[[#This Row],[FECHA DE FACTURACIÓN]]-PROVEEDORES[[#This Row],[PLAZO Días]],0)</f>
        <v>261</v>
      </c>
      <c r="U1571" s="150">
        <f>+VLOOKUP(PROVEEDORES[[#This Row],[PROVEEDOR]],Terceros!$A:$E,4,FALSE)</f>
        <v>0</v>
      </c>
      <c r="V1571" s="150">
        <f>+YEAR(PROVEEDORES[[#This Row],[FECHA DE FACTURACIÓN]])</f>
        <v>2024</v>
      </c>
      <c r="W1571" s="150">
        <f>+MATCH(PROVEEDORES[[#This Row],[año facturado]],Retenciones!$1:$1,0)</f>
        <v>7</v>
      </c>
      <c r="X1571" s="151">
        <f>+VLOOKUP(PROVEEDORES[[#This Row],[ID RETENCION]],Retenciones!$A$1:$O$25,PROVEEDORES[[#This Row],[indicador de columna]],FALSE)</f>
        <v>0</v>
      </c>
      <c r="Y1571" s="152">
        <f>+VLOOKUP(PROVEEDORES[[#This Row],[ID RETENCION]],Retenciones!$A$1:$O$25,2,FALSE)</f>
        <v>0</v>
      </c>
      <c r="Z1571" s="153" t="b">
        <f>+OR(COUNTIF(PROVEEDORES[[#This Row],[PROVEEDOR]],"*"&amp;'Palabra que no opera y Listas d'!$A$2&amp;"*"))</f>
        <v>0</v>
      </c>
    </row>
    <row r="1572" spans="1:26" ht="27.75" customHeight="1" x14ac:dyDescent="0.3">
      <c r="A1572" s="144" t="str">
        <f>+IF(PROVEEDORES[[#This Row],[FECHA DE PAGO]]=PROVEEDORES[[#This Row],[FECHA DE FACTURACIÓN]],"DE CONTADO","CRÉDITO")</f>
        <v>CRÉDITO</v>
      </c>
      <c r="B1572" s="144" t="b">
        <f>+IF((PROVEEDORES[[#This Row],[FECHA DE PAGO]]-PROVEEDORES[[#This Row],[FECHA DE FACTURACIÓN]])&gt;PROVEEDORES[[#This Row],[PLAZO Días]],"PAGO VENCIDO")</f>
        <v>0</v>
      </c>
      <c r="C1572" s="144">
        <f>+VLOOKUP(PROVEEDORES[[#This Row],[PROVEEDOR]],TERCEROS_INFO[#All],2,FALSE)</f>
        <v>0</v>
      </c>
      <c r="D1572" s="145">
        <f>+SUMIFS(PROVEEDORES[Total],PROVEEDORES[PROVEEDOR],PROVEEDORES[[#This Row],[PROVEEDOR]],PROVEEDORES[FECHA DE PAGO],"")</f>
        <v>28179645.060000002</v>
      </c>
      <c r="E1572" s="146"/>
      <c r="F1572" s="144">
        <f>+VLOOKUP(PROVEEDORES[[#This Row],[PROVEEDOR]],
                       Terceros!$A:$G,
                       5,
                       FALSE)</f>
        <v>0</v>
      </c>
      <c r="G1572" s="122"/>
      <c r="H1572" s="102" t="s">
        <v>18</v>
      </c>
      <c r="I1572" s="122">
        <v>45405</v>
      </c>
      <c r="J1572" s="103" t="s">
        <v>1753</v>
      </c>
      <c r="K1572" s="103" t="s">
        <v>516</v>
      </c>
      <c r="L1572" s="103"/>
      <c r="M1572" s="105">
        <v>7337100</v>
      </c>
      <c r="N1572" s="147">
        <v>1394049</v>
      </c>
      <c r="O1572" s="147">
        <v>0</v>
      </c>
      <c r="P1572" s="148">
        <v>0</v>
      </c>
      <c r="Q1572" s="147">
        <v>0</v>
      </c>
      <c r="R1572" s="149">
        <v>8731149</v>
      </c>
      <c r="S1572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2" s="150">
        <f ca="1">+IF(PROVEEDORES[[#This Row],[FECHA DE PAGO]]=0,TODAY()-PROVEEDORES[[#This Row],[FECHA DE FACTURACIÓN]]-PROVEEDORES[[#This Row],[PLAZO Días]],0)</f>
        <v>261</v>
      </c>
      <c r="U1572" s="150">
        <f>+VLOOKUP(PROVEEDORES[[#This Row],[PROVEEDOR]],Terceros!$A:$E,4,FALSE)</f>
        <v>0.19</v>
      </c>
      <c r="V1572" s="150">
        <f>+YEAR(PROVEEDORES[[#This Row],[FECHA DE FACTURACIÓN]])</f>
        <v>2024</v>
      </c>
      <c r="W1572" s="150">
        <f>+MATCH(PROVEEDORES[[#This Row],[año facturado]],Retenciones!$1:$1,0)</f>
        <v>7</v>
      </c>
      <c r="X1572" s="151" t="e">
        <f>+VLOOKUP(PROVEEDORES[[#This Row],[ID RETENCION]],Retenciones!$A$1:$O$25,PROVEEDORES[[#This Row],[indicador de columna]],FALSE)</f>
        <v>#N/A</v>
      </c>
      <c r="Y1572" s="152" t="e">
        <f>+VLOOKUP(PROVEEDORES[[#This Row],[ID RETENCION]],Retenciones!$A$1:$O$25,2,FALSE)</f>
        <v>#N/A</v>
      </c>
      <c r="Z1572" s="153" t="b">
        <f>+OR(COUNTIF(PROVEEDORES[[#This Row],[PROVEEDOR]],"*"&amp;'Palabra que no opera y Listas d'!$A$2&amp;"*"))</f>
        <v>0</v>
      </c>
    </row>
    <row r="1573" spans="1:26" ht="27.75" customHeight="1" x14ac:dyDescent="0.3">
      <c r="A1573" s="144" t="str">
        <f>+IF(PROVEEDORES[[#This Row],[FECHA DE PAGO]]=PROVEEDORES[[#This Row],[FECHA DE FACTURACIÓN]],"DE CONTADO","CRÉDITO")</f>
        <v>CRÉDITO</v>
      </c>
      <c r="B1573" s="144" t="b">
        <f>+IF((PROVEEDORES[[#This Row],[FECHA DE PAGO]]-PROVEEDORES[[#This Row],[FECHA DE FACTURACIÓN]])&gt;PROVEEDORES[[#This Row],[PLAZO Días]],"PAGO VENCIDO")</f>
        <v>0</v>
      </c>
      <c r="C1573" s="144">
        <f>+VLOOKUP(PROVEEDORES[[#This Row],[PROVEEDOR]],TERCEROS_INFO[#All],2,FALSE)</f>
        <v>0</v>
      </c>
      <c r="D1573" s="145">
        <f>+SUMIFS(PROVEEDORES[Total],PROVEEDORES[PROVEEDOR],PROVEEDORES[[#This Row],[PROVEEDOR]],PROVEEDORES[FECHA DE PAGO],"")</f>
        <v>7281829.8799999999</v>
      </c>
      <c r="E1573" s="146"/>
      <c r="F1573" s="144" t="str">
        <f>+VLOOKUP(PROVEEDORES[[#This Row],[PROVEEDOR]],
                       Terceros!$A:$G,
                       5,
                       FALSE)</f>
        <v>2,5% con base</v>
      </c>
      <c r="G1573" s="122"/>
      <c r="H1573" s="102" t="s">
        <v>1445</v>
      </c>
      <c r="I1573" s="122">
        <v>45407</v>
      </c>
      <c r="J1573" s="103" t="s">
        <v>1754</v>
      </c>
      <c r="K1573" s="103" t="s">
        <v>1512</v>
      </c>
      <c r="L1573" s="103"/>
      <c r="M1573" s="105">
        <v>3077052</v>
      </c>
      <c r="N1573" s="147">
        <v>584639.88</v>
      </c>
      <c r="O1573" s="147">
        <v>0</v>
      </c>
      <c r="P1573" s="148">
        <v>2.5000000000000001E-2</v>
      </c>
      <c r="Q1573" s="147">
        <v>76926.3</v>
      </c>
      <c r="R1573" s="149">
        <v>3584765.58</v>
      </c>
      <c r="S1573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3" s="150">
        <f ca="1">+IF(PROVEEDORES[[#This Row],[FECHA DE PAGO]]=0,TODAY()-PROVEEDORES[[#This Row],[FECHA DE FACTURACIÓN]]-PROVEEDORES[[#This Row],[PLAZO Días]],0)</f>
        <v>259</v>
      </c>
      <c r="U1573" s="150">
        <f>+VLOOKUP(PROVEEDORES[[#This Row],[PROVEEDOR]],Terceros!$A:$E,4,FALSE)</f>
        <v>0.19</v>
      </c>
      <c r="V1573" s="150">
        <f>+YEAR(PROVEEDORES[[#This Row],[FECHA DE FACTURACIÓN]])</f>
        <v>2024</v>
      </c>
      <c r="W1573" s="150">
        <f>+MATCH(PROVEEDORES[[#This Row],[año facturado]],Retenciones!$1:$1,0)</f>
        <v>7</v>
      </c>
      <c r="X1573" s="151" t="e">
        <f>+VLOOKUP(PROVEEDORES[[#This Row],[ID RETENCION]],Retenciones!$A$1:$O$25,PROVEEDORES[[#This Row],[indicador de columna]],FALSE)</f>
        <v>#N/A</v>
      </c>
      <c r="Y1573" s="152" t="e">
        <f>+VLOOKUP(PROVEEDORES[[#This Row],[ID RETENCION]],Retenciones!$A$1:$O$25,2,FALSE)</f>
        <v>#N/A</v>
      </c>
      <c r="Z1573" s="153" t="b">
        <f>+OR(COUNTIF(PROVEEDORES[[#This Row],[PROVEEDOR]],"*"&amp;'Palabra que no opera y Listas d'!$A$2&amp;"*"))</f>
        <v>0</v>
      </c>
    </row>
    <row r="1574" spans="1:26" ht="27.75" customHeight="1" x14ac:dyDescent="0.3">
      <c r="A1574" s="144" t="str">
        <f>+IF(PROVEEDORES[[#This Row],[FECHA DE PAGO]]=PROVEEDORES[[#This Row],[FECHA DE FACTURACIÓN]],"DE CONTADO","CRÉDITO")</f>
        <v>CRÉDITO</v>
      </c>
      <c r="B1574" s="144" t="b">
        <f>+IF((PROVEEDORES[[#This Row],[FECHA DE PAGO]]-PROVEEDORES[[#This Row],[FECHA DE FACTURACIÓN]])&gt;PROVEEDORES[[#This Row],[PLAZO Días]],"PAGO VENCIDO")</f>
        <v>0</v>
      </c>
      <c r="C1574" s="144">
        <f>+VLOOKUP(PROVEEDORES[[#This Row],[PROVEEDOR]],TERCEROS_INFO[#All],2,FALSE)</f>
        <v>0</v>
      </c>
      <c r="D1574" s="145">
        <f>+SUMIFS(PROVEEDORES[Total],PROVEEDORES[PROVEEDOR],PROVEEDORES[[#This Row],[PROVEEDOR]],PROVEEDORES[FECHA DE PAGO],"")</f>
        <v>1794100</v>
      </c>
      <c r="E1574" s="146"/>
      <c r="F1574" s="144" t="str">
        <f>+VLOOKUP(PROVEEDORES[[#This Row],[PROVEEDOR]],
                       Terceros!$A:$G,
                       5,
                       FALSE)</f>
        <v>2,5% con base</v>
      </c>
      <c r="G1574" s="122"/>
      <c r="H1574" s="102" t="s">
        <v>426</v>
      </c>
      <c r="I1574" s="122">
        <v>45407</v>
      </c>
      <c r="J1574" s="103" t="s">
        <v>1757</v>
      </c>
      <c r="K1574" s="103" t="s">
        <v>1512</v>
      </c>
      <c r="L1574" s="103"/>
      <c r="M1574" s="105">
        <v>1540000</v>
      </c>
      <c r="N1574" s="147">
        <v>292600</v>
      </c>
      <c r="O1574" s="147">
        <v>0</v>
      </c>
      <c r="P1574" s="148">
        <v>2.5000000000000001E-2</v>
      </c>
      <c r="Q1574" s="147">
        <v>38500</v>
      </c>
      <c r="R1574" s="149">
        <v>1794100</v>
      </c>
      <c r="S1574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4" s="150">
        <f ca="1">+IF(PROVEEDORES[[#This Row],[FECHA DE PAGO]]=0,TODAY()-PROVEEDORES[[#This Row],[FECHA DE FACTURACIÓN]]-PROVEEDORES[[#This Row],[PLAZO Días]],0)</f>
        <v>259</v>
      </c>
      <c r="U1574" s="150">
        <f>+VLOOKUP(PROVEEDORES[[#This Row],[PROVEEDOR]],Terceros!$A:$E,4,FALSE)</f>
        <v>0.19</v>
      </c>
      <c r="V1574" s="150">
        <f>+YEAR(PROVEEDORES[[#This Row],[FECHA DE FACTURACIÓN]])</f>
        <v>2024</v>
      </c>
      <c r="W1574" s="150">
        <f>+MATCH(PROVEEDORES[[#This Row],[año facturado]],Retenciones!$1:$1,0)</f>
        <v>7</v>
      </c>
      <c r="X1574" s="151" t="e">
        <f>+VLOOKUP(PROVEEDORES[[#This Row],[ID RETENCION]],Retenciones!$A$1:$O$25,PROVEEDORES[[#This Row],[indicador de columna]],FALSE)</f>
        <v>#N/A</v>
      </c>
      <c r="Y1574" s="152" t="e">
        <f>+VLOOKUP(PROVEEDORES[[#This Row],[ID RETENCION]],Retenciones!$A$1:$O$25,2,FALSE)</f>
        <v>#N/A</v>
      </c>
      <c r="Z1574" s="153" t="b">
        <f>+OR(COUNTIF(PROVEEDORES[[#This Row],[PROVEEDOR]],"*"&amp;'Palabra que no opera y Listas d'!$A$2&amp;"*"))</f>
        <v>0</v>
      </c>
    </row>
    <row r="1575" spans="1:26" ht="27.75" customHeight="1" x14ac:dyDescent="0.3">
      <c r="A1575" s="144" t="str">
        <f>+IF(PROVEEDORES[[#This Row],[FECHA DE PAGO]]=PROVEEDORES[[#This Row],[FECHA DE FACTURACIÓN]],"DE CONTADO","CRÉDITO")</f>
        <v>CRÉDITO</v>
      </c>
      <c r="B1575" s="144" t="b">
        <f>+IF((PROVEEDORES[[#This Row],[FECHA DE PAGO]]-PROVEEDORES[[#This Row],[FECHA DE FACTURACIÓN]])&gt;PROVEEDORES[[#This Row],[PLAZO Días]],"PAGO VENCIDO")</f>
        <v>0</v>
      </c>
      <c r="C1575" s="144">
        <f>+VLOOKUP(PROVEEDORES[[#This Row],[PROVEEDOR]],TERCEROS_INFO[#All],2,FALSE)</f>
        <v>0</v>
      </c>
      <c r="D1575" s="145">
        <f>+SUMIFS(PROVEEDORES[Total],PROVEEDORES[PROVEEDOR],PROVEEDORES[[#This Row],[PROVEEDOR]],PROVEEDORES[FECHA DE PAGO],"")</f>
        <v>181631</v>
      </c>
      <c r="E1575" s="146"/>
      <c r="F1575" s="144">
        <f>+VLOOKUP(PROVEEDORES[[#This Row],[PROVEEDOR]],
                       Terceros!$A:$G,
                       5,
                       FALSE)</f>
        <v>0</v>
      </c>
      <c r="G1575" s="122"/>
      <c r="H1575" s="102" t="s">
        <v>383</v>
      </c>
      <c r="I1575" s="122">
        <v>45407</v>
      </c>
      <c r="J1575" s="103" t="s">
        <v>1745</v>
      </c>
      <c r="K1575" s="103"/>
      <c r="L1575" s="103"/>
      <c r="M1575" s="105">
        <v>181631</v>
      </c>
      <c r="N1575" s="147">
        <v>0</v>
      </c>
      <c r="O1575" s="147">
        <v>0</v>
      </c>
      <c r="P1575" s="148">
        <v>0</v>
      </c>
      <c r="Q1575" s="147">
        <v>0</v>
      </c>
      <c r="R1575" s="149">
        <v>181631</v>
      </c>
      <c r="S1575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5" s="150">
        <f ca="1">+IF(PROVEEDORES[[#This Row],[FECHA DE PAGO]]=0,TODAY()-PROVEEDORES[[#This Row],[FECHA DE FACTURACIÓN]]-PROVEEDORES[[#This Row],[PLAZO Días]],0)</f>
        <v>259</v>
      </c>
      <c r="U1575" s="150">
        <f>+VLOOKUP(PROVEEDORES[[#This Row],[PROVEEDOR]],Terceros!$A:$E,4,FALSE)</f>
        <v>0.19</v>
      </c>
      <c r="V1575" s="150">
        <f>+YEAR(PROVEEDORES[[#This Row],[FECHA DE FACTURACIÓN]])</f>
        <v>2024</v>
      </c>
      <c r="W1575" s="150">
        <f>+MATCH(PROVEEDORES[[#This Row],[año facturado]],Retenciones!$1:$1,0)</f>
        <v>7</v>
      </c>
      <c r="X1575" s="151" t="e">
        <f>+VLOOKUP(PROVEEDORES[[#This Row],[ID RETENCION]],Retenciones!$A$1:$O$25,PROVEEDORES[[#This Row],[indicador de columna]],FALSE)</f>
        <v>#N/A</v>
      </c>
      <c r="Y1575" s="152" t="e">
        <f>+VLOOKUP(PROVEEDORES[[#This Row],[ID RETENCION]],Retenciones!$A$1:$O$25,2,FALSE)</f>
        <v>#N/A</v>
      </c>
      <c r="Z1575" s="153" t="b">
        <f>+OR(COUNTIF(PROVEEDORES[[#This Row],[PROVEEDOR]],"*"&amp;'Palabra que no opera y Listas d'!$A$2&amp;"*"))</f>
        <v>1</v>
      </c>
    </row>
    <row r="1576" spans="1:26" ht="27.75" customHeight="1" x14ac:dyDescent="0.3">
      <c r="A1576" s="144" t="str">
        <f>+IF(PROVEEDORES[[#This Row],[FECHA DE PAGO]]=PROVEEDORES[[#This Row],[FECHA DE FACTURACIÓN]],"DE CONTADO","CRÉDITO")</f>
        <v>CRÉDITO</v>
      </c>
      <c r="B1576" s="144" t="b">
        <f>+IF((PROVEEDORES[[#This Row],[FECHA DE PAGO]]-PROVEEDORES[[#This Row],[FECHA DE FACTURACIÓN]])&gt;PROVEEDORES[[#This Row],[PLAZO Días]],"PAGO VENCIDO")</f>
        <v>0</v>
      </c>
      <c r="C1576" s="144">
        <f>+VLOOKUP(PROVEEDORES[[#This Row],[PROVEEDOR]],TERCEROS_INFO[#All],2,FALSE)</f>
        <v>0</v>
      </c>
      <c r="D1576" s="145">
        <f>+SUMIFS(PROVEEDORES[Total],PROVEEDORES[PROVEEDOR],PROVEEDORES[[#This Row],[PROVEEDOR]],PROVEEDORES[FECHA DE PAGO],"")</f>
        <v>26134091.5</v>
      </c>
      <c r="E1576" s="146"/>
      <c r="F1576" s="144">
        <f>+VLOOKUP(PROVEEDORES[[#This Row],[PROVEEDOR]],
                       Terceros!$A:$G,
                       5,
                       FALSE)</f>
        <v>0</v>
      </c>
      <c r="G1576" s="122"/>
      <c r="H1576" s="102" t="s">
        <v>238</v>
      </c>
      <c r="I1576" s="122">
        <v>45407</v>
      </c>
      <c r="J1576" s="103">
        <v>2010</v>
      </c>
      <c r="K1576" s="103" t="s">
        <v>516</v>
      </c>
      <c r="L1576" s="103"/>
      <c r="M1576" s="105">
        <v>508160</v>
      </c>
      <c r="N1576" s="147">
        <v>0</v>
      </c>
      <c r="O1576" s="147">
        <v>0</v>
      </c>
      <c r="P1576" s="148">
        <v>0</v>
      </c>
      <c r="Q1576" s="147">
        <v>0</v>
      </c>
      <c r="R1576" s="149">
        <v>508160</v>
      </c>
      <c r="S1576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6" s="150">
        <f ca="1">+IF(PROVEEDORES[[#This Row],[FECHA DE PAGO]]=0,TODAY()-PROVEEDORES[[#This Row],[FECHA DE FACTURACIÓN]]-PROVEEDORES[[#This Row],[PLAZO Días]],0)</f>
        <v>259</v>
      </c>
      <c r="U1576" s="150">
        <f>+VLOOKUP(PROVEEDORES[[#This Row],[PROVEEDOR]],Terceros!$A:$E,4,FALSE)</f>
        <v>0</v>
      </c>
      <c r="V1576" s="150">
        <f>+YEAR(PROVEEDORES[[#This Row],[FECHA DE FACTURACIÓN]])</f>
        <v>2024</v>
      </c>
      <c r="W1576" s="150">
        <f>+MATCH(PROVEEDORES[[#This Row],[año facturado]],Retenciones!$1:$1,0)</f>
        <v>7</v>
      </c>
      <c r="X1576" s="151">
        <f>+VLOOKUP(PROVEEDORES[[#This Row],[ID RETENCION]],Retenciones!$A$1:$O$25,PROVEEDORES[[#This Row],[indicador de columna]],FALSE)</f>
        <v>0</v>
      </c>
      <c r="Y1576" s="152">
        <f>+VLOOKUP(PROVEEDORES[[#This Row],[ID RETENCION]],Retenciones!$A$1:$O$25,2,FALSE)</f>
        <v>0</v>
      </c>
      <c r="Z1576" s="153" t="b">
        <f>+OR(COUNTIF(PROVEEDORES[[#This Row],[PROVEEDOR]],"*"&amp;'Palabra que no opera y Listas d'!$A$2&amp;"*"))</f>
        <v>0</v>
      </c>
    </row>
    <row r="1577" spans="1:26" ht="27.75" customHeight="1" x14ac:dyDescent="0.3">
      <c r="A1577" s="144" t="str">
        <f>+IF(PROVEEDORES[[#This Row],[FECHA DE PAGO]]=PROVEEDORES[[#This Row],[FECHA DE FACTURACIÓN]],"DE CONTADO","CRÉDITO")</f>
        <v>CRÉDITO</v>
      </c>
      <c r="B1577" s="144" t="b">
        <f>+IF((PROVEEDORES[[#This Row],[FECHA DE PAGO]]-PROVEEDORES[[#This Row],[FECHA DE FACTURACIÓN]])&gt;PROVEEDORES[[#This Row],[PLAZO Días]],"PAGO VENCIDO")</f>
        <v>0</v>
      </c>
      <c r="C1577" s="144">
        <f>+VLOOKUP(PROVEEDORES[[#This Row],[PROVEEDOR]],TERCEROS_INFO[#All],2,FALSE)</f>
        <v>0</v>
      </c>
      <c r="D1577" s="145">
        <f>+SUMIFS(PROVEEDORES[Total],PROVEEDORES[PROVEEDOR],PROVEEDORES[[#This Row],[PROVEEDOR]],PROVEEDORES[FECHA DE PAGO],"")</f>
        <v>455608</v>
      </c>
      <c r="E1577" s="146"/>
      <c r="F1577" s="144">
        <f>+VLOOKUP(PROVEEDORES[[#This Row],[PROVEEDOR]],
                       Terceros!$A:$G,
                       5,
                       FALSE)</f>
        <v>0</v>
      </c>
      <c r="G1577" s="122"/>
      <c r="H1577" s="102" t="s">
        <v>1802</v>
      </c>
      <c r="I1577" s="122">
        <v>45407</v>
      </c>
      <c r="J1577" s="103" t="s">
        <v>899</v>
      </c>
      <c r="K1577" s="103" t="s">
        <v>516</v>
      </c>
      <c r="L1577" s="103"/>
      <c r="M1577" s="105">
        <v>455608</v>
      </c>
      <c r="N1577" s="147">
        <v>0</v>
      </c>
      <c r="O1577" s="147">
        <v>0</v>
      </c>
      <c r="P1577" s="148">
        <v>0</v>
      </c>
      <c r="Q1577" s="147">
        <v>0</v>
      </c>
      <c r="R1577" s="149">
        <v>455608</v>
      </c>
      <c r="S1577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7" s="150">
        <f ca="1">+IF(PROVEEDORES[[#This Row],[FECHA DE PAGO]]=0,TODAY()-PROVEEDORES[[#This Row],[FECHA DE FACTURACIÓN]]-PROVEEDORES[[#This Row],[PLAZO Días]],0)</f>
        <v>259</v>
      </c>
      <c r="U1577" s="150">
        <f>+VLOOKUP(PROVEEDORES[[#This Row],[PROVEEDOR]],Terceros!$A:$E,4,FALSE)</f>
        <v>0</v>
      </c>
      <c r="V1577" s="150">
        <f>+YEAR(PROVEEDORES[[#This Row],[FECHA DE FACTURACIÓN]])</f>
        <v>2024</v>
      </c>
      <c r="W1577" s="150">
        <f>+MATCH(PROVEEDORES[[#This Row],[año facturado]],Retenciones!$1:$1,0)</f>
        <v>7</v>
      </c>
      <c r="X1577" s="151">
        <f>+VLOOKUP(PROVEEDORES[[#This Row],[ID RETENCION]],Retenciones!$A$1:$O$25,PROVEEDORES[[#This Row],[indicador de columna]],FALSE)</f>
        <v>0</v>
      </c>
      <c r="Y1577" s="152">
        <f>+VLOOKUP(PROVEEDORES[[#This Row],[ID RETENCION]],Retenciones!$A$1:$O$25,2,FALSE)</f>
        <v>0</v>
      </c>
      <c r="Z1577" s="153" t="b">
        <f>+OR(COUNTIF(PROVEEDORES[[#This Row],[PROVEEDOR]],"*"&amp;'Palabra que no opera y Listas d'!$A$2&amp;"*"))</f>
        <v>0</v>
      </c>
    </row>
    <row r="1578" spans="1:26" ht="27.75" customHeight="1" x14ac:dyDescent="0.3">
      <c r="A1578" s="144" t="str">
        <f>+IF(PROVEEDORES[[#This Row],[FECHA DE PAGO]]=PROVEEDORES[[#This Row],[FECHA DE FACTURACIÓN]],"DE CONTADO","CRÉDITO")</f>
        <v>CRÉDITO</v>
      </c>
      <c r="B1578" s="144" t="b">
        <f>+IF((PROVEEDORES[[#This Row],[FECHA DE PAGO]]-PROVEEDORES[[#This Row],[FECHA DE FACTURACIÓN]])&gt;PROVEEDORES[[#This Row],[PLAZO Días]],"PAGO VENCIDO")</f>
        <v>0</v>
      </c>
      <c r="C1578" s="144">
        <f>+VLOOKUP(PROVEEDORES[[#This Row],[PROVEEDOR]],TERCEROS_INFO[#All],2,FALSE)</f>
        <v>0</v>
      </c>
      <c r="D1578" s="145">
        <f>+SUMIFS(PROVEEDORES[Total],PROVEEDORES[PROVEEDOR],PROVEEDORES[[#This Row],[PROVEEDOR]],PROVEEDORES[FECHA DE PAGO],"")</f>
        <v>1775000</v>
      </c>
      <c r="E1578" s="146"/>
      <c r="F1578" s="144">
        <f>+VLOOKUP(PROVEEDORES[[#This Row],[PROVEEDOR]],
                       Terceros!$A:$G,
                       5,
                       FALSE)</f>
        <v>0</v>
      </c>
      <c r="G1578" s="122"/>
      <c r="H1578" s="102" t="s">
        <v>1809</v>
      </c>
      <c r="I1578" s="122">
        <v>45407</v>
      </c>
      <c r="J1578" s="103" t="s">
        <v>1747</v>
      </c>
      <c r="K1578" s="103" t="s">
        <v>1512</v>
      </c>
      <c r="L1578" s="103"/>
      <c r="M1578" s="105">
        <v>1775000</v>
      </c>
      <c r="N1578" s="147">
        <v>0</v>
      </c>
      <c r="O1578" s="147">
        <v>0</v>
      </c>
      <c r="P1578" s="148">
        <v>0</v>
      </c>
      <c r="Q1578" s="147">
        <v>0</v>
      </c>
      <c r="R1578" s="149">
        <v>1775000</v>
      </c>
      <c r="S1578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8" s="150">
        <f ca="1">+IF(PROVEEDORES[[#This Row],[FECHA DE PAGO]]=0,TODAY()-PROVEEDORES[[#This Row],[FECHA DE FACTURACIÓN]]-PROVEEDORES[[#This Row],[PLAZO Días]],0)</f>
        <v>259</v>
      </c>
      <c r="U1578" s="150">
        <f>+VLOOKUP(PROVEEDORES[[#This Row],[PROVEEDOR]],Terceros!$A:$E,4,FALSE)</f>
        <v>0</v>
      </c>
      <c r="V1578" s="150">
        <f>+YEAR(PROVEEDORES[[#This Row],[FECHA DE FACTURACIÓN]])</f>
        <v>2024</v>
      </c>
      <c r="W1578" s="150">
        <f>+MATCH(PROVEEDORES[[#This Row],[año facturado]],Retenciones!$1:$1,0)</f>
        <v>7</v>
      </c>
      <c r="X1578" s="151">
        <f>+VLOOKUP(PROVEEDORES[[#This Row],[ID RETENCION]],Retenciones!$A$1:$O$25,PROVEEDORES[[#This Row],[indicador de columna]],FALSE)</f>
        <v>0</v>
      </c>
      <c r="Y1578" s="152">
        <f>+VLOOKUP(PROVEEDORES[[#This Row],[ID RETENCION]],Retenciones!$A$1:$O$25,2,FALSE)</f>
        <v>0</v>
      </c>
      <c r="Z1578" s="153" t="b">
        <f>+OR(COUNTIF(PROVEEDORES[[#This Row],[PROVEEDOR]],"*"&amp;'Palabra que no opera y Listas d'!$A$2&amp;"*"))</f>
        <v>0</v>
      </c>
    </row>
    <row r="1579" spans="1:26" ht="27.75" customHeight="1" x14ac:dyDescent="0.3">
      <c r="A1579" s="144" t="str">
        <f>+IF(PROVEEDORES[[#This Row],[FECHA DE PAGO]]=PROVEEDORES[[#This Row],[FECHA DE FACTURACIÓN]],"DE CONTADO","CRÉDITO")</f>
        <v>CRÉDITO</v>
      </c>
      <c r="B1579" s="144" t="b">
        <f>+IF((PROVEEDORES[[#This Row],[FECHA DE PAGO]]-PROVEEDORES[[#This Row],[FECHA DE FACTURACIÓN]])&gt;PROVEEDORES[[#This Row],[PLAZO Días]],"PAGO VENCIDO")</f>
        <v>0</v>
      </c>
      <c r="C1579" s="144">
        <f>+VLOOKUP(PROVEEDORES[[#This Row],[PROVEEDOR]],TERCEROS_INFO[#All],2,FALSE)</f>
        <v>0</v>
      </c>
      <c r="D1579" s="145" t="e">
        <f>+SUMIFS(PROVEEDORES[Total],PROVEEDORES[PROVEEDOR],PROVEEDORES[[#This Row],[PROVEEDOR]],PROVEEDORES[FECHA DE PAGO],"")</f>
        <v>#N/A</v>
      </c>
      <c r="E1579" s="146"/>
      <c r="F1579" s="144">
        <f>+VLOOKUP(PROVEEDORES[[#This Row],[PROVEEDOR]],
                       Terceros!$A:$G,
                       5,
                       FALSE)</f>
        <v>0</v>
      </c>
      <c r="G1579" s="122"/>
      <c r="H1579" s="102" t="s">
        <v>16</v>
      </c>
      <c r="I1579" s="122">
        <v>45407</v>
      </c>
      <c r="J1579" s="103" t="s">
        <v>1756</v>
      </c>
      <c r="K1579" s="103" t="s">
        <v>1512</v>
      </c>
      <c r="L1579" s="103"/>
      <c r="M1579" s="105">
        <v>406000</v>
      </c>
      <c r="N1579" s="147">
        <v>77140</v>
      </c>
      <c r="O1579" s="147">
        <v>0</v>
      </c>
      <c r="P1579" s="148">
        <v>0</v>
      </c>
      <c r="Q1579" s="147">
        <v>0</v>
      </c>
      <c r="R1579" s="149">
        <v>483140</v>
      </c>
      <c r="S1579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9" s="150">
        <f ca="1">+IF(PROVEEDORES[[#This Row],[FECHA DE PAGO]]=0,TODAY()-PROVEEDORES[[#This Row],[FECHA DE FACTURACIÓN]]-PROVEEDORES[[#This Row],[PLAZO Días]],0)</f>
        <v>259</v>
      </c>
      <c r="U1579" s="150">
        <f>+VLOOKUP(PROVEEDORES[[#This Row],[PROVEEDOR]],Terceros!$A:$E,4,FALSE)</f>
        <v>0.19</v>
      </c>
      <c r="V1579" s="150">
        <f>+YEAR(PROVEEDORES[[#This Row],[FECHA DE FACTURACIÓN]])</f>
        <v>2024</v>
      </c>
      <c r="W1579" s="150">
        <f>+MATCH(PROVEEDORES[[#This Row],[año facturado]],Retenciones!$1:$1,0)</f>
        <v>7</v>
      </c>
      <c r="X1579" s="151" t="e">
        <f>+VLOOKUP(PROVEEDORES[[#This Row],[ID RETENCION]],Retenciones!$A$1:$O$25,PROVEEDORES[[#This Row],[indicador de columna]],FALSE)</f>
        <v>#N/A</v>
      </c>
      <c r="Y1579" s="152" t="e">
        <f>+VLOOKUP(PROVEEDORES[[#This Row],[ID RETENCION]],Retenciones!$A$1:$O$25,2,FALSE)</f>
        <v>#N/A</v>
      </c>
      <c r="Z1579" s="153" t="b">
        <f>+OR(COUNTIF(PROVEEDORES[[#This Row],[PROVEEDOR]],"*"&amp;'Palabra que no opera y Listas d'!$A$2&amp;"*"))</f>
        <v>0</v>
      </c>
    </row>
    <row r="1580" spans="1:26" ht="27.75" customHeight="1" x14ac:dyDescent="0.3">
      <c r="A1580" s="144" t="str">
        <f>+IF(PROVEEDORES[[#This Row],[FECHA DE PAGO]]=PROVEEDORES[[#This Row],[FECHA DE FACTURACIÓN]],"DE CONTADO","CRÉDITO")</f>
        <v>CRÉDITO</v>
      </c>
      <c r="B1580" s="144" t="b">
        <f>+IF((PROVEEDORES[[#This Row],[FECHA DE PAGO]]-PROVEEDORES[[#This Row],[FECHA DE FACTURACIÓN]])&gt;PROVEEDORES[[#This Row],[PLAZO Días]],"PAGO VENCIDO")</f>
        <v>0</v>
      </c>
      <c r="C1580" s="144">
        <f>+VLOOKUP(PROVEEDORES[[#This Row],[PROVEEDOR]],TERCEROS_INFO[#All],2,FALSE)</f>
        <v>0</v>
      </c>
      <c r="D1580" s="145">
        <f>+SUMIFS(PROVEEDORES[Total],PROVEEDORES[PROVEEDOR],PROVEEDORES[[#This Row],[PROVEEDOR]],PROVEEDORES[FECHA DE PAGO],"")</f>
        <v>856185.96</v>
      </c>
      <c r="E1580" s="146"/>
      <c r="F1580" s="144">
        <f>+VLOOKUP(PROVEEDORES[[#This Row],[PROVEEDOR]],
                       Terceros!$A:$G,
                       5,
                       FALSE)</f>
        <v>0</v>
      </c>
      <c r="G1580" s="122"/>
      <c r="H1580" s="102" t="s">
        <v>209</v>
      </c>
      <c r="I1580" s="122">
        <v>45407</v>
      </c>
      <c r="J1580" s="103" t="s">
        <v>1755</v>
      </c>
      <c r="K1580" s="103" t="s">
        <v>516</v>
      </c>
      <c r="L1580" s="103"/>
      <c r="M1580" s="105">
        <v>719484</v>
      </c>
      <c r="N1580" s="147">
        <v>136701.96</v>
      </c>
      <c r="O1580" s="147">
        <v>0</v>
      </c>
      <c r="P1580" s="148">
        <v>0</v>
      </c>
      <c r="Q1580" s="147">
        <v>0</v>
      </c>
      <c r="R1580" s="149">
        <v>856185.96</v>
      </c>
      <c r="S1580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0" s="150">
        <f ca="1">+IF(PROVEEDORES[[#This Row],[FECHA DE PAGO]]=0,TODAY()-PROVEEDORES[[#This Row],[FECHA DE FACTURACIÓN]]-PROVEEDORES[[#This Row],[PLAZO Días]],0)</f>
        <v>259</v>
      </c>
      <c r="U1580" s="150">
        <f>+VLOOKUP(PROVEEDORES[[#This Row],[PROVEEDOR]],Terceros!$A:$E,4,FALSE)</f>
        <v>0.19</v>
      </c>
      <c r="V1580" s="150">
        <f>+YEAR(PROVEEDORES[[#This Row],[FECHA DE FACTURACIÓN]])</f>
        <v>2024</v>
      </c>
      <c r="W1580" s="150">
        <f>+MATCH(PROVEEDORES[[#This Row],[año facturado]],Retenciones!$1:$1,0)</f>
        <v>7</v>
      </c>
      <c r="X1580" s="151" t="e">
        <f>+VLOOKUP(PROVEEDORES[[#This Row],[ID RETENCION]],Retenciones!$A$1:$O$25,PROVEEDORES[[#This Row],[indicador de columna]],FALSE)</f>
        <v>#N/A</v>
      </c>
      <c r="Y1580" s="152" t="e">
        <f>+VLOOKUP(PROVEEDORES[[#This Row],[ID RETENCION]],Retenciones!$A$1:$O$25,2,FALSE)</f>
        <v>#N/A</v>
      </c>
      <c r="Z1580" s="153" t="b">
        <f>+OR(COUNTIF(PROVEEDORES[[#This Row],[PROVEEDOR]],"*"&amp;'Palabra que no opera y Listas d'!$A$2&amp;"*"))</f>
        <v>0</v>
      </c>
    </row>
    <row r="1581" spans="1:26" ht="27.75" customHeight="1" x14ac:dyDescent="0.3">
      <c r="A1581" s="144" t="str">
        <f>+IF(PROVEEDORES[[#This Row],[FECHA DE PAGO]]=PROVEEDORES[[#This Row],[FECHA DE FACTURACIÓN]],"DE CONTADO","CRÉDITO")</f>
        <v>CRÉDITO</v>
      </c>
      <c r="B1581" s="144" t="b">
        <f>+IF((PROVEEDORES[[#This Row],[FECHA DE PAGO]]-PROVEEDORES[[#This Row],[FECHA DE FACTURACIÓN]])&gt;PROVEEDORES[[#This Row],[PLAZO Días]],"PAGO VENCIDO")</f>
        <v>0</v>
      </c>
      <c r="C1581" s="144">
        <f>+VLOOKUP(PROVEEDORES[[#This Row],[PROVEEDOR]],TERCEROS_INFO[#All],2,FALSE)</f>
        <v>0</v>
      </c>
      <c r="D1581" s="145" t="e">
        <f>+SUMIFS(PROVEEDORES[Total],PROVEEDORES[PROVEEDOR],PROVEEDORES[[#This Row],[PROVEEDOR]],PROVEEDORES[FECHA DE PAGO],"")</f>
        <v>#N/A</v>
      </c>
      <c r="E1581" s="146"/>
      <c r="F1581" s="144">
        <f>+VLOOKUP(PROVEEDORES[[#This Row],[PROVEEDOR]],
                       Terceros!$A:$G,
                       5,
                       FALSE)</f>
        <v>0</v>
      </c>
      <c r="G1581" s="122"/>
      <c r="H1581" s="102" t="s">
        <v>16</v>
      </c>
      <c r="I1581" s="122">
        <v>45407</v>
      </c>
      <c r="J1581" s="103" t="s">
        <v>1776</v>
      </c>
      <c r="K1581" s="103" t="s">
        <v>1512</v>
      </c>
      <c r="L1581" s="103"/>
      <c r="M1581" s="105">
        <v>1453340</v>
      </c>
      <c r="N1581" s="147">
        <v>276134.59999999998</v>
      </c>
      <c r="O1581" s="147">
        <v>0</v>
      </c>
      <c r="P1581" s="148">
        <v>0</v>
      </c>
      <c r="Q1581" s="147">
        <v>0</v>
      </c>
      <c r="R1581" s="149">
        <v>1729474.6</v>
      </c>
      <c r="S1581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1" s="150">
        <f ca="1">+IF(PROVEEDORES[[#This Row],[FECHA DE PAGO]]=0,TODAY()-PROVEEDORES[[#This Row],[FECHA DE FACTURACIÓN]]-PROVEEDORES[[#This Row],[PLAZO Días]],0)</f>
        <v>259</v>
      </c>
      <c r="U1581" s="150">
        <f>+VLOOKUP(PROVEEDORES[[#This Row],[PROVEEDOR]],Terceros!$A:$E,4,FALSE)</f>
        <v>0.19</v>
      </c>
      <c r="V1581" s="150">
        <f>+YEAR(PROVEEDORES[[#This Row],[FECHA DE FACTURACIÓN]])</f>
        <v>2024</v>
      </c>
      <c r="W1581" s="150">
        <f>+MATCH(PROVEEDORES[[#This Row],[año facturado]],Retenciones!$1:$1,0)</f>
        <v>7</v>
      </c>
      <c r="X1581" s="151" t="e">
        <f>+VLOOKUP(PROVEEDORES[[#This Row],[ID RETENCION]],Retenciones!$A$1:$O$25,PROVEEDORES[[#This Row],[indicador de columna]],FALSE)</f>
        <v>#N/A</v>
      </c>
      <c r="Y1581" s="152" t="e">
        <f>+VLOOKUP(PROVEEDORES[[#This Row],[ID RETENCION]],Retenciones!$A$1:$O$25,2,FALSE)</f>
        <v>#N/A</v>
      </c>
      <c r="Z1581" s="153" t="b">
        <f>+OR(COUNTIF(PROVEEDORES[[#This Row],[PROVEEDOR]],"*"&amp;'Palabra que no opera y Listas d'!$A$2&amp;"*"))</f>
        <v>0</v>
      </c>
    </row>
    <row r="1582" spans="1:26" ht="27.75" customHeight="1" x14ac:dyDescent="0.3">
      <c r="A1582" s="144" t="str">
        <f>+IF(PROVEEDORES[[#This Row],[FECHA DE PAGO]]=PROVEEDORES[[#This Row],[FECHA DE FACTURACIÓN]],"DE CONTADO","CRÉDITO")</f>
        <v>CRÉDITO</v>
      </c>
      <c r="B1582" s="144" t="b">
        <f>+IF((PROVEEDORES[[#This Row],[FECHA DE PAGO]]-PROVEEDORES[[#This Row],[FECHA DE FACTURACIÓN]])&gt;PROVEEDORES[[#This Row],[PLAZO Días]],"PAGO VENCIDO")</f>
        <v>0</v>
      </c>
      <c r="C1582" s="144">
        <f>+VLOOKUP(PROVEEDORES[[#This Row],[PROVEEDOR]],TERCEROS_INFO[#All],2,FALSE)</f>
        <v>0</v>
      </c>
      <c r="D1582" s="145">
        <f>+SUMIFS(PROVEEDORES[Total],PROVEEDORES[PROVEEDOR],PROVEEDORES[[#This Row],[PROVEEDOR]],PROVEEDORES[FECHA DE PAGO],"")</f>
        <v>31839627.134999998</v>
      </c>
      <c r="E1582" s="146"/>
      <c r="F1582" s="144" t="str">
        <f>+VLOOKUP(PROVEEDORES[[#This Row],[PROVEEDOR]],
                       Terceros!$A:$G,
                       5,
                       FALSE)</f>
        <v>2,5% con base</v>
      </c>
      <c r="G1582" s="122"/>
      <c r="H1582" s="102" t="s">
        <v>17</v>
      </c>
      <c r="I1582" s="122">
        <v>45408</v>
      </c>
      <c r="J1582" s="103" t="s">
        <v>1758</v>
      </c>
      <c r="K1582" s="103" t="s">
        <v>516</v>
      </c>
      <c r="L1582" s="103"/>
      <c r="M1582" s="105">
        <v>1206027</v>
      </c>
      <c r="N1582" s="147">
        <v>229145.13</v>
      </c>
      <c r="O1582" s="147">
        <v>0</v>
      </c>
      <c r="P1582" s="148">
        <v>0</v>
      </c>
      <c r="Q1582" s="147">
        <v>0</v>
      </c>
      <c r="R1582" s="149">
        <v>1435172.13</v>
      </c>
      <c r="S1582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2" s="150">
        <f ca="1">+IF(PROVEEDORES[[#This Row],[FECHA DE PAGO]]=0,TODAY()-PROVEEDORES[[#This Row],[FECHA DE FACTURACIÓN]]-PROVEEDORES[[#This Row],[PLAZO Días]],0)</f>
        <v>258</v>
      </c>
      <c r="U1582" s="150">
        <f>+VLOOKUP(PROVEEDORES[[#This Row],[PROVEEDOR]],Terceros!$A:$E,4,FALSE)</f>
        <v>0.19</v>
      </c>
      <c r="V1582" s="150">
        <f>+YEAR(PROVEEDORES[[#This Row],[FECHA DE FACTURACIÓN]])</f>
        <v>2024</v>
      </c>
      <c r="W1582" s="150">
        <f>+MATCH(PROVEEDORES[[#This Row],[año facturado]],Retenciones!$1:$1,0)</f>
        <v>7</v>
      </c>
      <c r="X1582" s="151" t="e">
        <f>+VLOOKUP(PROVEEDORES[[#This Row],[ID RETENCION]],Retenciones!$A$1:$O$25,PROVEEDORES[[#This Row],[indicador de columna]],FALSE)</f>
        <v>#N/A</v>
      </c>
      <c r="Y1582" s="152" t="e">
        <f>+VLOOKUP(PROVEEDORES[[#This Row],[ID RETENCION]],Retenciones!$A$1:$O$25,2,FALSE)</f>
        <v>#N/A</v>
      </c>
      <c r="Z1582" s="153" t="b">
        <f>+OR(COUNTIF(PROVEEDORES[[#This Row],[PROVEEDOR]],"*"&amp;'Palabra que no opera y Listas d'!$A$2&amp;"*"))</f>
        <v>0</v>
      </c>
    </row>
    <row r="1583" spans="1:26" ht="27.75" customHeight="1" x14ac:dyDescent="0.3">
      <c r="A1583" s="144" t="str">
        <f>+IF(PROVEEDORES[[#This Row],[FECHA DE PAGO]]=PROVEEDORES[[#This Row],[FECHA DE FACTURACIÓN]],"DE CONTADO","CRÉDITO")</f>
        <v>CRÉDITO</v>
      </c>
      <c r="B1583" s="144" t="b">
        <f>+IF((PROVEEDORES[[#This Row],[FECHA DE PAGO]]-PROVEEDORES[[#This Row],[FECHA DE FACTURACIÓN]])&gt;PROVEEDORES[[#This Row],[PLAZO Días]],"PAGO VENCIDO")</f>
        <v>0</v>
      </c>
      <c r="C1583" s="144">
        <f>+VLOOKUP(PROVEEDORES[[#This Row],[PROVEEDOR]],TERCEROS_INFO[#All],2,FALSE)</f>
        <v>0</v>
      </c>
      <c r="D1583" s="145">
        <f>+SUMIFS(PROVEEDORES[Total],PROVEEDORES[PROVEEDOR],PROVEEDORES[[#This Row],[PROVEEDOR]],PROVEEDORES[FECHA DE PAGO],"")</f>
        <v>9343197</v>
      </c>
      <c r="E1583" s="146"/>
      <c r="F1583" s="144" t="str">
        <f>+VLOOKUP(PROVEEDORES[[#This Row],[PROVEEDOR]],
                       Terceros!$A:$G,
                       5,
                       FALSE)</f>
        <v>2,5% con base</v>
      </c>
      <c r="G1583" s="122"/>
      <c r="H1583" s="102" t="s">
        <v>466</v>
      </c>
      <c r="I1583" s="122">
        <v>45411</v>
      </c>
      <c r="J1583" s="103">
        <v>34578</v>
      </c>
      <c r="K1583" s="103" t="s">
        <v>1512</v>
      </c>
      <c r="L1583" s="103"/>
      <c r="M1583" s="105">
        <v>4116710</v>
      </c>
      <c r="N1583" s="147">
        <v>722008</v>
      </c>
      <c r="O1583" s="147">
        <v>316670</v>
      </c>
      <c r="P1583" s="148">
        <v>2.5000000000000001E-2</v>
      </c>
      <c r="Q1583" s="147">
        <v>95001</v>
      </c>
      <c r="R1583" s="149">
        <v>4427047</v>
      </c>
      <c r="S1583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3" s="150">
        <f ca="1">+IF(PROVEEDORES[[#This Row],[FECHA DE PAGO]]=0,TODAY()-PROVEEDORES[[#This Row],[FECHA DE FACTURACIÓN]]-PROVEEDORES[[#This Row],[PLAZO Días]],0)</f>
        <v>255</v>
      </c>
      <c r="U1583" s="150">
        <f>+VLOOKUP(PROVEEDORES[[#This Row],[PROVEEDOR]],Terceros!$A:$E,4,FALSE)</f>
        <v>0.19</v>
      </c>
      <c r="V1583" s="150">
        <f>+YEAR(PROVEEDORES[[#This Row],[FECHA DE FACTURACIÓN]])</f>
        <v>2024</v>
      </c>
      <c r="W1583" s="150">
        <f>+MATCH(PROVEEDORES[[#This Row],[año facturado]],Retenciones!$1:$1,0)</f>
        <v>7</v>
      </c>
      <c r="X1583" s="151" t="e">
        <f>+VLOOKUP(PROVEEDORES[[#This Row],[ID RETENCION]],Retenciones!$A$1:$O$25,PROVEEDORES[[#This Row],[indicador de columna]],FALSE)</f>
        <v>#N/A</v>
      </c>
      <c r="Y1583" s="152" t="e">
        <f>+VLOOKUP(PROVEEDORES[[#This Row],[ID RETENCION]],Retenciones!$A$1:$O$25,2,FALSE)</f>
        <v>#N/A</v>
      </c>
      <c r="Z1583" s="153" t="b">
        <f>+OR(COUNTIF(PROVEEDORES[[#This Row],[PROVEEDOR]],"*"&amp;'Palabra que no opera y Listas d'!$A$2&amp;"*"))</f>
        <v>0</v>
      </c>
    </row>
    <row r="1584" spans="1:26" ht="27.75" customHeight="1" x14ac:dyDescent="0.3">
      <c r="A1584" s="144" t="str">
        <f>+IF(PROVEEDORES[[#This Row],[FECHA DE PAGO]]=PROVEEDORES[[#This Row],[FECHA DE FACTURACIÓN]],"DE CONTADO","CRÉDITO")</f>
        <v>CRÉDITO</v>
      </c>
      <c r="B1584" s="144" t="b">
        <f>+IF((PROVEEDORES[[#This Row],[FECHA DE PAGO]]-PROVEEDORES[[#This Row],[FECHA DE FACTURACIÓN]])&gt;PROVEEDORES[[#This Row],[PLAZO Días]],"PAGO VENCIDO")</f>
        <v>0</v>
      </c>
      <c r="C1584" s="144">
        <f>+VLOOKUP(PROVEEDORES[[#This Row],[PROVEEDOR]],TERCEROS_INFO[#All],2,FALSE)</f>
        <v>0</v>
      </c>
      <c r="D1584" s="145">
        <f>+SUMIFS(PROVEEDORES[Total],PROVEEDORES[PROVEEDOR],PROVEEDORES[[#This Row],[PROVEEDOR]],PROVEEDORES[FECHA DE PAGO],"")</f>
        <v>119844463.84</v>
      </c>
      <c r="E1584" s="146"/>
      <c r="F1584" s="144" t="str">
        <f>+VLOOKUP(PROVEEDORES[[#This Row],[PROVEEDOR]],
                       Terceros!$A:$G,
                       5,
                       FALSE)</f>
        <v>2,5% con base</v>
      </c>
      <c r="G1584" s="122"/>
      <c r="H1584" s="102" t="s">
        <v>8</v>
      </c>
      <c r="I1584" s="122">
        <v>45412</v>
      </c>
      <c r="J1584" s="103">
        <v>88665</v>
      </c>
      <c r="K1584" s="103" t="s">
        <v>1512</v>
      </c>
      <c r="L1584" s="103"/>
      <c r="M1584" s="105">
        <v>59226912</v>
      </c>
      <c r="N1584" s="147">
        <v>11253113.279999999</v>
      </c>
      <c r="O1584" s="147">
        <v>0</v>
      </c>
      <c r="P1584" s="148">
        <v>2.5000000000000001E-2</v>
      </c>
      <c r="Q1584" s="147">
        <v>1480672.8</v>
      </c>
      <c r="R1584" s="149">
        <v>48959504</v>
      </c>
      <c r="S1584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4" s="150">
        <f ca="1">+IF(PROVEEDORES[[#This Row],[FECHA DE PAGO]]=0,TODAY()-PROVEEDORES[[#This Row],[FECHA DE FACTURACIÓN]]-PROVEEDORES[[#This Row],[PLAZO Días]],0)</f>
        <v>254</v>
      </c>
      <c r="U1584" s="150">
        <f>+VLOOKUP(PROVEEDORES[[#This Row],[PROVEEDOR]],Terceros!$A:$E,4,FALSE)</f>
        <v>0.19</v>
      </c>
      <c r="V1584" s="150">
        <f>+YEAR(PROVEEDORES[[#This Row],[FECHA DE FACTURACIÓN]])</f>
        <v>2024</v>
      </c>
      <c r="W1584" s="150">
        <f>+MATCH(PROVEEDORES[[#This Row],[año facturado]],Retenciones!$1:$1,0)</f>
        <v>7</v>
      </c>
      <c r="X1584" s="151" t="e">
        <f>+VLOOKUP(PROVEEDORES[[#This Row],[ID RETENCION]],Retenciones!$A$1:$O$25,PROVEEDORES[[#This Row],[indicador de columna]],FALSE)</f>
        <v>#N/A</v>
      </c>
      <c r="Y1584" s="152" t="e">
        <f>+VLOOKUP(PROVEEDORES[[#This Row],[ID RETENCION]],Retenciones!$A$1:$O$25,2,FALSE)</f>
        <v>#N/A</v>
      </c>
      <c r="Z1584" s="153" t="b">
        <f>+OR(COUNTIF(PROVEEDORES[[#This Row],[PROVEEDOR]],"*"&amp;'Palabra que no opera y Listas d'!$A$2&amp;"*"))</f>
        <v>0</v>
      </c>
    </row>
    <row r="1585" spans="1:26" ht="27.75" customHeight="1" x14ac:dyDescent="0.3">
      <c r="A1585" s="144" t="str">
        <f>+IF(PROVEEDORES[[#This Row],[FECHA DE PAGO]]=PROVEEDORES[[#This Row],[FECHA DE FACTURACIÓN]],"DE CONTADO","CRÉDITO")</f>
        <v>CRÉDITO</v>
      </c>
      <c r="B1585" s="144" t="b">
        <f>+IF((PROVEEDORES[[#This Row],[FECHA DE PAGO]]-PROVEEDORES[[#This Row],[FECHA DE FACTURACIÓN]])&gt;PROVEEDORES[[#This Row],[PLAZO Días]],"PAGO VENCIDO")</f>
        <v>0</v>
      </c>
      <c r="C1585" s="144">
        <f>+VLOOKUP(PROVEEDORES[[#This Row],[PROVEEDOR]],TERCEROS_INFO[#All],2,FALSE)</f>
        <v>0</v>
      </c>
      <c r="D1585" s="145">
        <f>+SUMIFS(PROVEEDORES[Total],PROVEEDORES[PROVEEDOR],PROVEEDORES[[#This Row],[PROVEEDOR]],PROVEEDORES[FECHA DE PAGO],"")</f>
        <v>31839627.134999998</v>
      </c>
      <c r="E1585" s="146"/>
      <c r="F1585" s="144" t="str">
        <f>+VLOOKUP(PROVEEDORES[[#This Row],[PROVEEDOR]],
                       Terceros!$A:$G,
                       5,
                       FALSE)</f>
        <v>2,5% con base</v>
      </c>
      <c r="G1585" s="122"/>
      <c r="H1585" s="102" t="s">
        <v>17</v>
      </c>
      <c r="I1585" s="122">
        <v>45412</v>
      </c>
      <c r="J1585" s="103" t="s">
        <v>1765</v>
      </c>
      <c r="K1585" s="103" t="s">
        <v>516</v>
      </c>
      <c r="L1585" s="103"/>
      <c r="M1585" s="105">
        <v>1606195</v>
      </c>
      <c r="N1585" s="147">
        <v>305177.05</v>
      </c>
      <c r="O1585" s="147">
        <v>0</v>
      </c>
      <c r="P1585" s="148">
        <v>2.5000000000000001E-2</v>
      </c>
      <c r="Q1585" s="147">
        <v>40154.875</v>
      </c>
      <c r="R1585" s="149">
        <v>1871217.175</v>
      </c>
      <c r="S1585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5" s="150">
        <f ca="1">+IF(PROVEEDORES[[#This Row],[FECHA DE PAGO]]=0,TODAY()-PROVEEDORES[[#This Row],[FECHA DE FACTURACIÓN]]-PROVEEDORES[[#This Row],[PLAZO Días]],0)</f>
        <v>254</v>
      </c>
      <c r="U1585" s="150">
        <f>+VLOOKUP(PROVEEDORES[[#This Row],[PROVEEDOR]],Terceros!$A:$E,4,FALSE)</f>
        <v>0.19</v>
      </c>
      <c r="V1585" s="150">
        <f>+YEAR(PROVEEDORES[[#This Row],[FECHA DE FACTURACIÓN]])</f>
        <v>2024</v>
      </c>
      <c r="W1585" s="150">
        <f>+MATCH(PROVEEDORES[[#This Row],[año facturado]],Retenciones!$1:$1,0)</f>
        <v>7</v>
      </c>
      <c r="X1585" s="151" t="e">
        <f>+VLOOKUP(PROVEEDORES[[#This Row],[ID RETENCION]],Retenciones!$A$1:$O$25,PROVEEDORES[[#This Row],[indicador de columna]],FALSE)</f>
        <v>#N/A</v>
      </c>
      <c r="Y1585" s="152" t="e">
        <f>+VLOOKUP(PROVEEDORES[[#This Row],[ID RETENCION]],Retenciones!$A$1:$O$25,2,FALSE)</f>
        <v>#N/A</v>
      </c>
      <c r="Z1585" s="153" t="b">
        <f>+OR(COUNTIF(PROVEEDORES[[#This Row],[PROVEEDOR]],"*"&amp;'Palabra que no opera y Listas d'!$A$2&amp;"*"))</f>
        <v>0</v>
      </c>
    </row>
    <row r="1586" spans="1:26" ht="27.75" customHeight="1" x14ac:dyDescent="0.3">
      <c r="A1586" s="144" t="str">
        <f>+IF(PROVEEDORES[[#This Row],[FECHA DE PAGO]]=PROVEEDORES[[#This Row],[FECHA DE FACTURACIÓN]],"DE CONTADO","CRÉDITO")</f>
        <v>CRÉDITO</v>
      </c>
      <c r="B1586" s="144" t="b">
        <f>+IF((PROVEEDORES[[#This Row],[FECHA DE PAGO]]-PROVEEDORES[[#This Row],[FECHA DE FACTURACIÓN]])&gt;PROVEEDORES[[#This Row],[PLAZO Días]],"PAGO VENCIDO")</f>
        <v>0</v>
      </c>
      <c r="C1586" s="144">
        <f>+VLOOKUP(PROVEEDORES[[#This Row],[PROVEEDOR]],TERCEROS_INFO[#All],2,FALSE)</f>
        <v>0</v>
      </c>
      <c r="D1586" s="145">
        <f>+SUMIFS(PROVEEDORES[Total],PROVEEDORES[PROVEEDOR],PROVEEDORES[[#This Row],[PROVEEDOR]],PROVEEDORES[FECHA DE PAGO],"")</f>
        <v>119844463.84</v>
      </c>
      <c r="E1586" s="146"/>
      <c r="F1586" s="144" t="str">
        <f>+VLOOKUP(PROVEEDORES[[#This Row],[PROVEEDOR]],
                       Terceros!$A:$G,
                       5,
                       FALSE)</f>
        <v>2,5% con base</v>
      </c>
      <c r="G1586" s="122"/>
      <c r="H1586" s="102" t="s">
        <v>8</v>
      </c>
      <c r="I1586" s="122">
        <v>45412</v>
      </c>
      <c r="J1586" s="103">
        <v>88666</v>
      </c>
      <c r="K1586" s="103" t="s">
        <v>1512</v>
      </c>
      <c r="L1586" s="103"/>
      <c r="M1586" s="105">
        <v>792272</v>
      </c>
      <c r="N1586" s="147">
        <v>150531.68</v>
      </c>
      <c r="O1586" s="147">
        <v>0</v>
      </c>
      <c r="P1586" s="148">
        <v>0</v>
      </c>
      <c r="Q1586" s="147">
        <v>0</v>
      </c>
      <c r="R1586" s="149">
        <v>942803.67999999993</v>
      </c>
      <c r="S1586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6" s="150">
        <f ca="1">+IF(PROVEEDORES[[#This Row],[FECHA DE PAGO]]=0,TODAY()-PROVEEDORES[[#This Row],[FECHA DE FACTURACIÓN]]-PROVEEDORES[[#This Row],[PLAZO Días]],0)</f>
        <v>254</v>
      </c>
      <c r="U1586" s="150">
        <f>+VLOOKUP(PROVEEDORES[[#This Row],[PROVEEDOR]],Terceros!$A:$E,4,FALSE)</f>
        <v>0.19</v>
      </c>
      <c r="V1586" s="150">
        <f>+YEAR(PROVEEDORES[[#This Row],[FECHA DE FACTURACIÓN]])</f>
        <v>2024</v>
      </c>
      <c r="W1586" s="150">
        <f>+MATCH(PROVEEDORES[[#This Row],[año facturado]],Retenciones!$1:$1,0)</f>
        <v>7</v>
      </c>
      <c r="X1586" s="151" t="e">
        <f>+VLOOKUP(PROVEEDORES[[#This Row],[ID RETENCION]],Retenciones!$A$1:$O$25,PROVEEDORES[[#This Row],[indicador de columna]],FALSE)</f>
        <v>#N/A</v>
      </c>
      <c r="Y1586" s="152" t="e">
        <f>+VLOOKUP(PROVEEDORES[[#This Row],[ID RETENCION]],Retenciones!$A$1:$O$25,2,FALSE)</f>
        <v>#N/A</v>
      </c>
      <c r="Z1586" s="153" t="b">
        <f>+OR(COUNTIF(PROVEEDORES[[#This Row],[PROVEEDOR]],"*"&amp;'Palabra que no opera y Listas d'!$A$2&amp;"*"))</f>
        <v>0</v>
      </c>
    </row>
    <row r="1587" spans="1:26" ht="27.75" customHeight="1" x14ac:dyDescent="0.3">
      <c r="A1587" s="144" t="str">
        <f>+IF(PROVEEDORES[[#This Row],[FECHA DE PAGO]]=PROVEEDORES[[#This Row],[FECHA DE FACTURACIÓN]],"DE CONTADO","CRÉDITO")</f>
        <v>CRÉDITO</v>
      </c>
      <c r="B1587" s="144" t="b">
        <f>+IF((PROVEEDORES[[#This Row],[FECHA DE PAGO]]-PROVEEDORES[[#This Row],[FECHA DE FACTURACIÓN]])&gt;PROVEEDORES[[#This Row],[PLAZO Días]],"PAGO VENCIDO")</f>
        <v>0</v>
      </c>
      <c r="C1587" s="144">
        <f>+VLOOKUP(PROVEEDORES[[#This Row],[PROVEEDOR]],TERCEROS_INFO[#All],2,FALSE)</f>
        <v>0</v>
      </c>
      <c r="D1587" s="145">
        <f>+SUMIFS(PROVEEDORES[Total],PROVEEDORES[PROVEEDOR],PROVEEDORES[[#This Row],[PROVEEDOR]],PROVEEDORES[FECHA DE PAGO],"")</f>
        <v>28179645.060000002</v>
      </c>
      <c r="E1587" s="146"/>
      <c r="F1587" s="144">
        <f>+VLOOKUP(PROVEEDORES[[#This Row],[PROVEEDOR]],
                       Terceros!$A:$G,
                       5,
                       FALSE)</f>
        <v>0</v>
      </c>
      <c r="G1587" s="122"/>
      <c r="H1587" s="102" t="s">
        <v>18</v>
      </c>
      <c r="I1587" s="122">
        <v>45412</v>
      </c>
      <c r="J1587" s="103" t="s">
        <v>1766</v>
      </c>
      <c r="K1587" s="103" t="s">
        <v>516</v>
      </c>
      <c r="L1587" s="103"/>
      <c r="M1587" s="105">
        <v>6003200</v>
      </c>
      <c r="N1587" s="147">
        <v>1140608</v>
      </c>
      <c r="O1587" s="147">
        <v>0</v>
      </c>
      <c r="P1587" s="148">
        <v>0</v>
      </c>
      <c r="Q1587" s="147">
        <v>0</v>
      </c>
      <c r="R1587" s="149">
        <v>7143808</v>
      </c>
      <c r="S1587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7" s="150">
        <f ca="1">+IF(PROVEEDORES[[#This Row],[FECHA DE PAGO]]=0,TODAY()-PROVEEDORES[[#This Row],[FECHA DE FACTURACIÓN]]-PROVEEDORES[[#This Row],[PLAZO Días]],0)</f>
        <v>254</v>
      </c>
      <c r="U1587" s="150">
        <f>+VLOOKUP(PROVEEDORES[[#This Row],[PROVEEDOR]],Terceros!$A:$E,4,FALSE)</f>
        <v>0.19</v>
      </c>
      <c r="V1587" s="150">
        <f>+YEAR(PROVEEDORES[[#This Row],[FECHA DE FACTURACIÓN]])</f>
        <v>2024</v>
      </c>
      <c r="W1587" s="150">
        <f>+MATCH(PROVEEDORES[[#This Row],[año facturado]],Retenciones!$1:$1,0)</f>
        <v>7</v>
      </c>
      <c r="X1587" s="151" t="e">
        <f>+VLOOKUP(PROVEEDORES[[#This Row],[ID RETENCION]],Retenciones!$A$1:$O$25,PROVEEDORES[[#This Row],[indicador de columna]],FALSE)</f>
        <v>#N/A</v>
      </c>
      <c r="Y1587" s="152" t="e">
        <f>+VLOOKUP(PROVEEDORES[[#This Row],[ID RETENCION]],Retenciones!$A$1:$O$25,2,FALSE)</f>
        <v>#N/A</v>
      </c>
      <c r="Z1587" s="153" t="b">
        <f>+OR(COUNTIF(PROVEEDORES[[#This Row],[PROVEEDOR]],"*"&amp;'Palabra que no opera y Listas d'!$A$2&amp;"*"))</f>
        <v>0</v>
      </c>
    </row>
    <row r="1588" spans="1:26" ht="27.75" customHeight="1" x14ac:dyDescent="0.3">
      <c r="A1588" s="144" t="str">
        <f>+IF(PROVEEDORES[[#This Row],[FECHA DE PAGO]]=PROVEEDORES[[#This Row],[FECHA DE FACTURACIÓN]],"DE CONTADO","CRÉDITO")</f>
        <v>CRÉDITO</v>
      </c>
      <c r="B1588" s="144" t="b">
        <f>+IF((PROVEEDORES[[#This Row],[FECHA DE PAGO]]-PROVEEDORES[[#This Row],[FECHA DE FACTURACIÓN]])&gt;PROVEEDORES[[#This Row],[PLAZO Días]],"PAGO VENCIDO")</f>
        <v>0</v>
      </c>
      <c r="C1588" s="144">
        <f>+VLOOKUP(PROVEEDORES[[#This Row],[PROVEEDOR]],TERCEROS_INFO[#All],2,FALSE)</f>
        <v>0</v>
      </c>
      <c r="D1588" s="145">
        <f>+SUMIFS(PROVEEDORES[Total],PROVEEDORES[PROVEEDOR],PROVEEDORES[[#This Row],[PROVEEDOR]],PROVEEDORES[FECHA DE PAGO],"")</f>
        <v>119844463.84</v>
      </c>
      <c r="E1588" s="146"/>
      <c r="F1588" s="144" t="str">
        <f>+VLOOKUP(PROVEEDORES[[#This Row],[PROVEEDOR]],
                       Terceros!$A:$G,
                       5,
                       FALSE)</f>
        <v>2,5% con base</v>
      </c>
      <c r="G1588" s="122"/>
      <c r="H1588" s="102" t="s">
        <v>8</v>
      </c>
      <c r="I1588" s="122">
        <v>45413</v>
      </c>
      <c r="J1588" s="103">
        <v>88665</v>
      </c>
      <c r="K1588" s="103" t="s">
        <v>1512</v>
      </c>
      <c r="L1588" s="103"/>
      <c r="M1588" s="105">
        <v>59226912</v>
      </c>
      <c r="N1588" s="147">
        <v>11253113.279999999</v>
      </c>
      <c r="O1588" s="147">
        <v>0</v>
      </c>
      <c r="P1588" s="148">
        <v>2.5000000000000001E-2</v>
      </c>
      <c r="Q1588" s="147">
        <v>1480672.8</v>
      </c>
      <c r="R1588" s="149">
        <v>68999352.480000004</v>
      </c>
      <c r="S1588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8" s="150">
        <f ca="1">+IF(PROVEEDORES[[#This Row],[FECHA DE PAGO]]=0,TODAY()-PROVEEDORES[[#This Row],[FECHA DE FACTURACIÓN]]-PROVEEDORES[[#This Row],[PLAZO Días]],0)</f>
        <v>253</v>
      </c>
      <c r="U1588" s="150">
        <f>+VLOOKUP(PROVEEDORES[[#This Row],[PROVEEDOR]],Terceros!$A:$E,4,FALSE)</f>
        <v>0.19</v>
      </c>
      <c r="V1588" s="150">
        <f>+YEAR(PROVEEDORES[[#This Row],[FECHA DE FACTURACIÓN]])</f>
        <v>2024</v>
      </c>
      <c r="W1588" s="150">
        <f>+MATCH(PROVEEDORES[[#This Row],[año facturado]],Retenciones!$1:$1,0)</f>
        <v>7</v>
      </c>
      <c r="X1588" s="151" t="e">
        <f>+VLOOKUP(PROVEEDORES[[#This Row],[ID RETENCION]],Retenciones!$A$1:$O$25,PROVEEDORES[[#This Row],[indicador de columna]],FALSE)</f>
        <v>#N/A</v>
      </c>
      <c r="Y1588" s="152" t="e">
        <f>+VLOOKUP(PROVEEDORES[[#This Row],[ID RETENCION]],Retenciones!$A$1:$O$25,2,FALSE)</f>
        <v>#N/A</v>
      </c>
      <c r="Z1588" s="153" t="b">
        <f>+OR(COUNTIF(PROVEEDORES[[#This Row],[PROVEEDOR]],"*"&amp;'Palabra que no opera y Listas d'!$A$2&amp;"*"))</f>
        <v>0</v>
      </c>
    </row>
    <row r="1589" spans="1:26" ht="27.75" customHeight="1" x14ac:dyDescent="0.3">
      <c r="A1589" s="144" t="str">
        <f>+IF(PROVEEDORES[[#This Row],[FECHA DE PAGO]]=PROVEEDORES[[#This Row],[FECHA DE FACTURACIÓN]],"DE CONTADO","CRÉDITO")</f>
        <v>CRÉDITO</v>
      </c>
      <c r="B1589" s="144" t="b">
        <f>+IF((PROVEEDORES[[#This Row],[FECHA DE PAGO]]-PROVEEDORES[[#This Row],[FECHA DE FACTURACIÓN]])&gt;PROVEEDORES[[#This Row],[PLAZO Días]],"PAGO VENCIDO")</f>
        <v>0</v>
      </c>
      <c r="C1589" s="144">
        <f>+VLOOKUP(PROVEEDORES[[#This Row],[PROVEEDOR]],TERCEROS_INFO[#All],2,FALSE)</f>
        <v>0</v>
      </c>
      <c r="D1589" s="145">
        <f>+SUMIFS(PROVEEDORES[Total],PROVEEDORES[PROVEEDOR],PROVEEDORES[[#This Row],[PROVEEDOR]],PROVEEDORES[FECHA DE PAGO],"")</f>
        <v>5013121.9850000003</v>
      </c>
      <c r="E1589" s="146"/>
      <c r="F1589" s="144" t="str">
        <f>+VLOOKUP(PROVEEDORES[[#This Row],[PROVEEDOR]],
                       Terceros!$A:$G,
                       5,
                       FALSE)</f>
        <v>2,5% con base</v>
      </c>
      <c r="G1589" s="122"/>
      <c r="H1589" s="102" t="s">
        <v>201</v>
      </c>
      <c r="I1589" s="122">
        <v>45413</v>
      </c>
      <c r="J1589" s="103" t="s">
        <v>1816</v>
      </c>
      <c r="K1589" s="103" t="s">
        <v>1512</v>
      </c>
      <c r="L1589" s="103"/>
      <c r="M1589" s="105">
        <v>4303109</v>
      </c>
      <c r="N1589" s="147">
        <v>817590.71</v>
      </c>
      <c r="O1589" s="147">
        <v>0</v>
      </c>
      <c r="P1589" s="148">
        <v>2.5000000000000001E-2</v>
      </c>
      <c r="Q1589" s="147">
        <v>107577.72500000001</v>
      </c>
      <c r="R1589" s="149">
        <v>5013121.9850000003</v>
      </c>
      <c r="S1589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9" s="150">
        <f ca="1">+IF(PROVEEDORES[[#This Row],[FECHA DE PAGO]]=0,TODAY()-PROVEEDORES[[#This Row],[FECHA DE FACTURACIÓN]]-PROVEEDORES[[#This Row],[PLAZO Días]],0)</f>
        <v>253</v>
      </c>
      <c r="U1589" s="150">
        <f>+VLOOKUP(PROVEEDORES[[#This Row],[PROVEEDOR]],Terceros!$A:$E,4,FALSE)</f>
        <v>0.19</v>
      </c>
      <c r="V1589" s="150">
        <f>+YEAR(PROVEEDORES[[#This Row],[FECHA DE FACTURACIÓN]])</f>
        <v>2024</v>
      </c>
      <c r="W1589" s="150">
        <f>+MATCH(PROVEEDORES[[#This Row],[año facturado]],Retenciones!$1:$1,0)</f>
        <v>7</v>
      </c>
      <c r="X1589" s="151" t="e">
        <f>+VLOOKUP(PROVEEDORES[[#This Row],[ID RETENCION]],Retenciones!$A$1:$O$25,PROVEEDORES[[#This Row],[indicador de columna]],FALSE)</f>
        <v>#N/A</v>
      </c>
      <c r="Y1589" s="152" t="e">
        <f>+VLOOKUP(PROVEEDORES[[#This Row],[ID RETENCION]],Retenciones!$A$1:$O$25,2,FALSE)</f>
        <v>#N/A</v>
      </c>
      <c r="Z1589" s="153" t="b">
        <f>+OR(COUNTIF(PROVEEDORES[[#This Row],[PROVEEDOR]],"*"&amp;'Palabra que no opera y Listas d'!$A$2&amp;"*"))</f>
        <v>0</v>
      </c>
    </row>
    <row r="1590" spans="1:26" ht="27.75" customHeight="1" x14ac:dyDescent="0.3">
      <c r="A1590" s="144" t="str">
        <f>+IF(PROVEEDORES[[#This Row],[FECHA DE PAGO]]=PROVEEDORES[[#This Row],[FECHA DE FACTURACIÓN]],"DE CONTADO","CRÉDITO")</f>
        <v>CRÉDITO</v>
      </c>
      <c r="B1590" s="144" t="b">
        <f>+IF((PROVEEDORES[[#This Row],[FECHA DE PAGO]]-PROVEEDORES[[#This Row],[FECHA DE FACTURACIÓN]])&gt;PROVEEDORES[[#This Row],[PLAZO Días]],"PAGO VENCIDO")</f>
        <v>0</v>
      </c>
      <c r="C1590" s="144">
        <f>+VLOOKUP(PROVEEDORES[[#This Row],[PROVEEDOR]],TERCEROS_INFO[#All],2,FALSE)</f>
        <v>0</v>
      </c>
      <c r="D1590" s="145">
        <f>+SUMIFS(PROVEEDORES[Total],PROVEEDORES[PROVEEDOR],PROVEEDORES[[#This Row],[PROVEEDOR]],PROVEEDORES[FECHA DE PAGO],"")</f>
        <v>119844463.84</v>
      </c>
      <c r="E1590" s="146"/>
      <c r="F1590" s="144" t="str">
        <f>+VLOOKUP(PROVEEDORES[[#This Row],[PROVEEDOR]],
                       Terceros!$A:$G,
                       5,
                       FALSE)</f>
        <v>2,5% con base</v>
      </c>
      <c r="G1590" s="122"/>
      <c r="H1590" s="102" t="s">
        <v>8</v>
      </c>
      <c r="I1590" s="122">
        <v>45413</v>
      </c>
      <c r="J1590" s="103">
        <v>88666</v>
      </c>
      <c r="K1590" s="103" t="s">
        <v>1512</v>
      </c>
      <c r="L1590" s="103"/>
      <c r="M1590" s="105">
        <v>792272</v>
      </c>
      <c r="N1590" s="147">
        <v>150531.68</v>
      </c>
      <c r="O1590" s="147">
        <v>0</v>
      </c>
      <c r="P1590" s="148">
        <v>0</v>
      </c>
      <c r="Q1590" s="147">
        <v>0</v>
      </c>
      <c r="R1590" s="149">
        <v>942803.67999999993</v>
      </c>
      <c r="S1590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90" s="150">
        <f ca="1">+IF(PROVEEDORES[[#This Row],[FECHA DE PAGO]]=0,TODAY()-PROVEEDORES[[#This Row],[FECHA DE FACTURACIÓN]]-PROVEEDORES[[#This Row],[PLAZO Días]],0)</f>
        <v>253</v>
      </c>
      <c r="U1590" s="150">
        <f>+VLOOKUP(PROVEEDORES[[#This Row],[PROVEEDOR]],Terceros!$A:$E,4,FALSE)</f>
        <v>0.19</v>
      </c>
      <c r="V1590" s="150">
        <f>+YEAR(PROVEEDORES[[#This Row],[FECHA DE FACTURACIÓN]])</f>
        <v>2024</v>
      </c>
      <c r="W1590" s="150">
        <f>+MATCH(PROVEEDORES[[#This Row],[año facturado]],Retenciones!$1:$1,0)</f>
        <v>7</v>
      </c>
      <c r="X1590" s="151" t="e">
        <f>+VLOOKUP(PROVEEDORES[[#This Row],[ID RETENCION]],Retenciones!$A$1:$O$25,PROVEEDORES[[#This Row],[indicador de columna]],FALSE)</f>
        <v>#N/A</v>
      </c>
      <c r="Y1590" s="152" t="e">
        <f>+VLOOKUP(PROVEEDORES[[#This Row],[ID RETENCION]],Retenciones!$A$1:$O$25,2,FALSE)</f>
        <v>#N/A</v>
      </c>
      <c r="Z1590" s="153" t="b">
        <f>+OR(COUNTIF(PROVEEDORES[[#This Row],[PROVEEDOR]],"*"&amp;'Palabra que no opera y Listas d'!$A$2&amp;"*"))</f>
        <v>0</v>
      </c>
    </row>
    <row r="1591" spans="1:26" ht="27.75" customHeight="1" x14ac:dyDescent="0.3">
      <c r="A1591" s="144" t="str">
        <f>+IF(PROVEEDORES[[#This Row],[FECHA DE PAGO]]=PROVEEDORES[[#This Row],[FECHA DE FACTURACIÓN]],"DE CONTADO","CRÉDITO")</f>
        <v>CRÉDITO</v>
      </c>
      <c r="B1591" s="144" t="b">
        <f>+IF((PROVEEDORES[[#This Row],[FECHA DE PAGO]]-PROVEEDORES[[#This Row],[FECHA DE FACTURACIÓN]])&gt;PROVEEDORES[[#This Row],[PLAZO Días]],"PAGO VENCIDO")</f>
        <v>0</v>
      </c>
      <c r="C1591" s="144">
        <f>+VLOOKUP(PROVEEDORES[[#This Row],[PROVEEDOR]],TERCEROS_INFO[#All],2,FALSE)</f>
        <v>0</v>
      </c>
      <c r="D1591" s="145">
        <f>+SUMIFS(PROVEEDORES[Total],PROVEEDORES[PROVEEDOR],PROVEEDORES[[#This Row],[PROVEEDOR]],PROVEEDORES[FECHA DE PAGO],"")</f>
        <v>26134091.5</v>
      </c>
      <c r="E1591" s="146"/>
      <c r="F1591" s="144">
        <f>+VLOOKUP(PROVEEDORES[[#This Row],[PROVEEDOR]],
                       Terceros!$A:$G,
                       5,
                       FALSE)</f>
        <v>0</v>
      </c>
      <c r="G1591" s="122"/>
      <c r="H1591" s="102" t="s">
        <v>238</v>
      </c>
      <c r="I1591" s="122">
        <v>45414</v>
      </c>
      <c r="J1591" s="103">
        <v>2020</v>
      </c>
      <c r="K1591" s="103" t="s">
        <v>516</v>
      </c>
      <c r="L1591" s="103"/>
      <c r="M1591" s="105">
        <v>398164</v>
      </c>
      <c r="N1591" s="147">
        <f>+(PROVEEDORES[[#This Row],[SUBTOTAL]])*VLOOKUP(PROVEEDORES[[#This Row],[PROVEEDOR]],TERCEROS_INFO[#All],3,FALSE)</f>
        <v>23889840</v>
      </c>
      <c r="O1591" s="147">
        <f>+'Palabra que no opera y Listas d'!$D$2</f>
        <v>0</v>
      </c>
      <c r="P1591" s="148">
        <f>+IF(PROVEEDORES[[#This Row],[SUBTOTAL]]&lt;PROVEEDORES[[#This Row],[base retencion]],0,PROVEEDORES[[#This Row],[retención aplicada]])</f>
        <v>0</v>
      </c>
      <c r="Q1591" s="147">
        <f>+PROVEEDORES[[#This Row],[ReteFuente
%]]*(PROVEEDORES[[#This Row],[SUBTOTAL]])</f>
        <v>0</v>
      </c>
      <c r="R1591" s="149">
        <f>+PROVEEDORES[[#This Row],[SUBTOTAL]]+PROVEEDORES[[#This Row],[IVA 19%]]-PROVEEDORES[[#This Row],[Descuento
$]]-PROVEEDORES[[#This Row],[ReteFuente
$]]</f>
        <v>24288004</v>
      </c>
      <c r="S1591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91" s="150">
        <f ca="1">+IF(PROVEEDORES[[#This Row],[FECHA DE PAGO]]=0,TODAY()-PROVEEDORES[[#This Row],[FECHA DE FACTURACIÓN]]-PROVEEDORES[[#This Row],[PLAZO Días]],0)</f>
        <v>252</v>
      </c>
      <c r="U1591" s="150">
        <f>+VLOOKUP(PROVEEDORES[[#This Row],[PROVEEDOR]],Terceros!$A:$E,4,FALSE)</f>
        <v>0</v>
      </c>
      <c r="V1591" s="150">
        <f>+YEAR(PROVEEDORES[[#This Row],[FECHA DE FACTURACIÓN]])</f>
        <v>2024</v>
      </c>
      <c r="W1591" s="150">
        <f>+MATCH(PROVEEDORES[[#This Row],[año facturado]],Retenciones!$1:$1,0)</f>
        <v>7</v>
      </c>
      <c r="X1591" s="151">
        <f>+VLOOKUP(PROVEEDORES[[#This Row],[ID RETENCION]],Retenciones!$A$1:$O$25,PROVEEDORES[[#This Row],[indicador de columna]],FALSE)</f>
        <v>0</v>
      </c>
      <c r="Y1591" s="152">
        <f>+VLOOKUP(PROVEEDORES[[#This Row],[ID RETENCION]],Retenciones!$A$1:$O$25,2,FALSE)</f>
        <v>0</v>
      </c>
      <c r="Z1591" s="153" t="b">
        <f>+OR(COUNTIF(PROVEEDORES[[#This Row],[PROVEEDOR]],"*"&amp;'Palabra que no opera y Listas d'!$A$2&amp;"*"))</f>
        <v>0</v>
      </c>
    </row>
    <row r="1592" spans="1:26" ht="27.75" customHeight="1" x14ac:dyDescent="0.3">
      <c r="A1592" s="144" t="str">
        <f>+IF(PROVEEDORES[[#This Row],[FECHA DE PAGO]]=PROVEEDORES[[#This Row],[FECHA DE FACTURACIÓN]],"DE CONTADO","CRÉDITO")</f>
        <v>CRÉDITO</v>
      </c>
      <c r="B1592" s="144" t="b">
        <f>+IF((PROVEEDORES[[#This Row],[FECHA DE PAGO]]-PROVEEDORES[[#This Row],[FECHA DE FACTURACIÓN]])&gt;PROVEEDORES[[#This Row],[PLAZO Días]],"PAGO VENCIDO")</f>
        <v>0</v>
      </c>
      <c r="C1592" s="144">
        <f>+VLOOKUP(PROVEEDORES[[#This Row],[PROVEEDOR]],TERCEROS_INFO[#All],2,FALSE)</f>
        <v>0</v>
      </c>
      <c r="D1592" s="145" t="e">
        <f>+SUMIFS(PROVEEDORES[Total],PROVEEDORES[PROVEEDOR],PROVEEDORES[[#This Row],[PROVEEDOR]],PROVEEDORES[FECHA DE PAGO],"")</f>
        <v>#N/A</v>
      </c>
      <c r="E1592" s="146"/>
      <c r="F1592" s="144">
        <f>+VLOOKUP(PROVEEDORES[[#This Row],[PROVEEDOR]],
                       Terceros!$A:$G,
                       5,
                       FALSE)</f>
        <v>0</v>
      </c>
      <c r="G1592" s="122"/>
      <c r="H1592" s="102" t="s">
        <v>16</v>
      </c>
      <c r="I1592" s="122">
        <v>45414</v>
      </c>
      <c r="J1592" s="103" t="s">
        <v>1817</v>
      </c>
      <c r="K1592" s="103" t="s">
        <v>1512</v>
      </c>
      <c r="L1592" s="103"/>
      <c r="M1592" s="105">
        <v>231275</v>
      </c>
      <c r="N1592" s="147">
        <f>+(PROVEEDORES[[#This Row],[SUBTOTAL]])*VLOOKUP(PROVEEDORES[[#This Row],[PROVEEDOR]],TERCEROS_INFO[#All],3,FALSE)</f>
        <v>6938250</v>
      </c>
      <c r="O1592" s="147">
        <f>+'Palabra que no opera y Listas d'!$D$2</f>
        <v>0</v>
      </c>
      <c r="P1592" s="148" t="e">
        <f>+IF(PROVEEDORES[[#This Row],[SUBTOTAL]]&lt;PROVEEDORES[[#This Row],[base retencion]],0,PROVEEDORES[[#This Row],[retención aplicada]])</f>
        <v>#N/A</v>
      </c>
      <c r="Q1592" s="147" t="e">
        <f>+PROVEEDORES[[#This Row],[ReteFuente
%]]*(PROVEEDORES[[#This Row],[SUBTOTAL]])</f>
        <v>#N/A</v>
      </c>
      <c r="R1592" s="149" t="e">
        <f>+PROVEEDORES[[#This Row],[SUBTOTAL]]+PROVEEDORES[[#This Row],[IVA 19%]]-PROVEEDORES[[#This Row],[Descuento
$]]-PROVEEDORES[[#This Row],[ReteFuente
$]]</f>
        <v>#N/A</v>
      </c>
      <c r="S1592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92" s="150">
        <f ca="1">+IF(PROVEEDORES[[#This Row],[FECHA DE PAGO]]=0,TODAY()-PROVEEDORES[[#This Row],[FECHA DE FACTURACIÓN]]-PROVEEDORES[[#This Row],[PLAZO Días]],0)</f>
        <v>252</v>
      </c>
      <c r="U1592" s="150">
        <f>+VLOOKUP(PROVEEDORES[[#This Row],[PROVEEDOR]],Terceros!$A:$E,4,FALSE)</f>
        <v>0.19</v>
      </c>
      <c r="V1592" s="150">
        <f>+YEAR(PROVEEDORES[[#This Row],[FECHA DE FACTURACIÓN]])</f>
        <v>2024</v>
      </c>
      <c r="W1592" s="150">
        <f>+MATCH(PROVEEDORES[[#This Row],[año facturado]],Retenciones!$1:$1,0)</f>
        <v>7</v>
      </c>
      <c r="X1592" s="151" t="e">
        <f>+VLOOKUP(PROVEEDORES[[#This Row],[ID RETENCION]],Retenciones!$A$1:$O$25,PROVEEDORES[[#This Row],[indicador de columna]],FALSE)</f>
        <v>#N/A</v>
      </c>
      <c r="Y1592" s="152" t="e">
        <f>+VLOOKUP(PROVEEDORES[[#This Row],[ID RETENCION]],Retenciones!$A$1:$O$25,2,FALSE)</f>
        <v>#N/A</v>
      </c>
      <c r="Z1592" s="153" t="b">
        <f>+OR(COUNTIF(PROVEEDORES[[#This Row],[PROVEEDOR]],"*"&amp;'Palabra que no opera y Listas d'!$A$2&amp;"*"))</f>
        <v>0</v>
      </c>
    </row>
    <row r="1593" spans="1:26" ht="27.75" customHeight="1" x14ac:dyDescent="0.3">
      <c r="A1593" s="144" t="str">
        <f>+IF(PROVEEDORES[[#This Row],[FECHA DE PAGO]]=PROVEEDORES[[#This Row],[FECHA DE FACTURACIÓN]],"DE CONTADO","CRÉDITO")</f>
        <v>CRÉDITO</v>
      </c>
      <c r="B1593" s="144" t="b">
        <f>+IF((PROVEEDORES[[#This Row],[FECHA DE PAGO]]-PROVEEDORES[[#This Row],[FECHA DE FACTURACIÓN]])&gt;PROVEEDORES[[#This Row],[PLAZO Días]],"PAGO VENCIDO")</f>
        <v>0</v>
      </c>
      <c r="C1593" s="144">
        <f>+VLOOKUP(PROVEEDORES[[#This Row],[PROVEEDOR]],TERCEROS_INFO[#All],2,FALSE)</f>
        <v>0</v>
      </c>
      <c r="D1593" s="145" t="e">
        <f>+SUMIFS(PROVEEDORES[Total],PROVEEDORES[PROVEEDOR],PROVEEDORES[[#This Row],[PROVEEDOR]],PROVEEDORES[FECHA DE PAGO],"")</f>
        <v>#N/A</v>
      </c>
      <c r="E1593" s="146"/>
      <c r="F1593" s="144">
        <f>+VLOOKUP(PROVEEDORES[[#This Row],[PROVEEDOR]],
                       Terceros!$A:$G,
                       5,
                       FALSE)</f>
        <v>0</v>
      </c>
      <c r="G1593" s="122"/>
      <c r="H1593" s="102" t="s">
        <v>16</v>
      </c>
      <c r="I1593" s="122">
        <v>45414</v>
      </c>
      <c r="J1593" s="103" t="s">
        <v>1818</v>
      </c>
      <c r="K1593" s="103" t="s">
        <v>1512</v>
      </c>
      <c r="L1593" s="103"/>
      <c r="M1593" s="105">
        <v>231275</v>
      </c>
      <c r="N1593" s="147">
        <f>+(PROVEEDORES[[#This Row],[SUBTOTAL]])*VLOOKUP(PROVEEDORES[[#This Row],[PROVEEDOR]],TERCEROS_INFO[#All],3,FALSE)</f>
        <v>6938250</v>
      </c>
      <c r="O1593" s="147">
        <f>+'Palabra que no opera y Listas d'!$D$2</f>
        <v>0</v>
      </c>
      <c r="P1593" s="148" t="e">
        <f>+IF(PROVEEDORES[[#This Row],[SUBTOTAL]]&lt;PROVEEDORES[[#This Row],[base retencion]],0,PROVEEDORES[[#This Row],[retención aplicada]])</f>
        <v>#N/A</v>
      </c>
      <c r="Q1593" s="147" t="e">
        <f>+PROVEEDORES[[#This Row],[ReteFuente
%]]*(PROVEEDORES[[#This Row],[SUBTOTAL]])</f>
        <v>#N/A</v>
      </c>
      <c r="R1593" s="149" t="e">
        <f>+PROVEEDORES[[#This Row],[SUBTOTAL]]+PROVEEDORES[[#This Row],[IVA 19%]]-PROVEEDORES[[#This Row],[Descuento
$]]-PROVEEDORES[[#This Row],[ReteFuente
$]]</f>
        <v>#N/A</v>
      </c>
      <c r="S1593" s="150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93" s="150">
        <f ca="1">+IF(PROVEEDORES[[#This Row],[FECHA DE PAGO]]=0,TODAY()-PROVEEDORES[[#This Row],[FECHA DE FACTURACIÓN]]-PROVEEDORES[[#This Row],[PLAZO Días]],0)</f>
        <v>252</v>
      </c>
      <c r="U1593" s="150">
        <f>+VLOOKUP(PROVEEDORES[[#This Row],[PROVEEDOR]],Terceros!$A:$E,4,FALSE)</f>
        <v>0.19</v>
      </c>
      <c r="V1593" s="150">
        <f>+YEAR(PROVEEDORES[[#This Row],[FECHA DE FACTURACIÓN]])</f>
        <v>2024</v>
      </c>
      <c r="W1593" s="150">
        <f>+MATCH(PROVEEDORES[[#This Row],[año facturado]],Retenciones!$1:$1,0)</f>
        <v>7</v>
      </c>
      <c r="X1593" s="151" t="e">
        <f>+VLOOKUP(PROVEEDORES[[#This Row],[ID RETENCION]],Retenciones!$A$1:$O$25,PROVEEDORES[[#This Row],[indicador de columna]],FALSE)</f>
        <v>#N/A</v>
      </c>
      <c r="Y1593" s="152" t="e">
        <f>+VLOOKUP(PROVEEDORES[[#This Row],[ID RETENCION]],Retenciones!$A$1:$O$25,2,FALSE)</f>
        <v>#N/A</v>
      </c>
      <c r="Z1593" s="153" t="b">
        <f>+OR(COUNTIF(PROVEEDORES[[#This Row],[PROVEEDOR]],"*"&amp;'Palabra que no opera y Listas d'!$A$2&amp;"*"))</f>
        <v>0</v>
      </c>
    </row>
  </sheetData>
  <conditionalFormatting sqref="A2:Z1593">
    <cfRule type="expression" dxfId="36" priority="1" stopIfTrue="1">
      <formula>$S2="Por pagar"</formula>
    </cfRule>
    <cfRule type="expression" dxfId="35" priority="2" stopIfTrue="1">
      <formula>$S2="Vencida"</formula>
    </cfRule>
    <cfRule type="expression" dxfId="34" priority="3" stopIfTrue="1">
      <formula>$S2="Pagada"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C7143C8-B87F-4D16-9219-C816E91C5623}">
          <x14:formula1>
            <xm:f>'Palabra que no opera y Listas d'!$C$2:$C$8</xm:f>
          </x14:formula1>
          <xm:sqref>L2:L1593</xm:sqref>
        </x14:dataValidation>
        <x14:dataValidation type="list" allowBlank="1" showInputMessage="1" showErrorMessage="1" xr:uid="{FCFD8EA6-BE32-4B7B-BA43-91F139E684E1}">
          <x14:formula1>
            <xm:f>'Palabra que no opera y Listas d'!$B$2:$B$3</xm:f>
          </x14:formula1>
          <xm:sqref>K2:K1593</xm:sqref>
        </x14:dataValidation>
        <x14:dataValidation type="list" allowBlank="1" showInputMessage="1" showErrorMessage="1" xr:uid="{E6D386C1-750F-4390-824C-1B6FB16C4390}">
          <x14:formula1>
            <xm:f>Terceros!$A:$A</xm:f>
          </x14:formula1>
          <xm:sqref>H2:H1593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03CC-5A0C-4916-99A0-2E4C399E9485}">
  <sheetPr codeName="Hoja12"/>
  <dimension ref="A1:XFC2"/>
  <sheetViews>
    <sheetView zoomScaleNormal="100" workbookViewId="0">
      <selection activeCell="B11" sqref="B11"/>
    </sheetView>
  </sheetViews>
  <sheetFormatPr defaultColWidth="0" defaultRowHeight="22.35" customHeight="1" x14ac:dyDescent="0.3"/>
  <cols>
    <col min="1" max="1" width="13.5546875" style="101" customWidth="1"/>
    <col min="2" max="2" width="39.44140625" style="109" customWidth="1"/>
    <col min="3" max="3" width="13.5546875" style="110" customWidth="1"/>
    <col min="4" max="4" width="17.44140625" style="110" customWidth="1"/>
    <col min="5" max="5" width="37.5546875" style="110" customWidth="1"/>
    <col min="6" max="6" width="14.44140625" style="111" customWidth="1"/>
    <col min="7" max="7" width="15.5546875" style="18" hidden="1" customWidth="1"/>
    <col min="8" max="8" width="14.44140625" style="18" hidden="1" customWidth="1"/>
    <col min="9" max="9" width="11.44140625" hidden="1" customWidth="1"/>
    <col min="10" max="10" width="11.44140625" style="16" hidden="1" customWidth="1"/>
    <col min="11" max="11" width="11.44140625" hidden="1" customWidth="1"/>
    <col min="12" max="13" width="11.44140625" style="7" hidden="1" customWidth="1"/>
    <col min="14" max="14" width="13.5546875" style="18" hidden="1" customWidth="1"/>
    <col min="15" max="15" width="11.44140625" style="6" hidden="1" customWidth="1"/>
    <col min="16" max="16" width="14.5546875" style="6" hidden="1" customWidth="1"/>
    <col min="17" max="17" width="23.5546875" style="6" hidden="1" customWidth="1"/>
    <col min="18" max="18" width="11.5546875" style="6" hidden="1" customWidth="1"/>
    <col min="19" max="19" width="12.44140625" style="18" hidden="1" customWidth="1"/>
    <col min="20" max="20" width="17.44140625" style="19" hidden="1" customWidth="1"/>
    <col min="21" max="21" width="11.44140625" style="6" hidden="1" customWidth="1"/>
    <col min="22" max="23" width="17.44140625" style="6" hidden="1" customWidth="1"/>
    <col min="24" max="24" width="11.44140625" style="6" hidden="1" customWidth="1"/>
    <col min="25" max="27" width="17.44140625" style="6" hidden="1" customWidth="1"/>
    <col min="28" max="28" width="11.44140625" style="6" hidden="1" customWidth="1"/>
    <col min="29" max="30" width="17.44140625" style="6" hidden="1" customWidth="1"/>
    <col min="31" max="31" width="11.44140625" style="6" hidden="1" customWidth="1"/>
    <col min="32" max="33" width="17.44140625" style="6" hidden="1" customWidth="1"/>
    <col min="34" max="16380" width="11.44140625" style="6" hidden="1"/>
    <col min="16381" max="16381" width="11.44140625" style="6" hidden="1" customWidth="1"/>
    <col min="16382" max="16383" width="11.44140625" style="6" hidden="1"/>
    <col min="16384" max="16384" width="1.44140625" style="6" hidden="1"/>
  </cols>
  <sheetData>
    <row r="1" spans="1:8" s="3" customFormat="1" ht="62.25" customHeight="1" x14ac:dyDescent="0.3">
      <c r="A1" s="96" t="s">
        <v>6</v>
      </c>
      <c r="B1" s="97" t="s">
        <v>3</v>
      </c>
      <c r="C1" s="98" t="s">
        <v>1</v>
      </c>
      <c r="D1" s="99" t="s">
        <v>2</v>
      </c>
      <c r="E1" s="97" t="s">
        <v>344</v>
      </c>
      <c r="F1" s="100" t="s">
        <v>357</v>
      </c>
      <c r="H1" s="16"/>
    </row>
    <row r="2" spans="1:8" ht="22.35" customHeight="1" x14ac:dyDescent="0.3">
      <c r="B2" s="106" t="s">
        <v>238</v>
      </c>
      <c r="C2" s="108">
        <v>45414</v>
      </c>
      <c r="D2" s="107">
        <v>2020</v>
      </c>
      <c r="E2" s="104">
        <v>104</v>
      </c>
      <c r="F2" s="105">
        <f>+PROVEEDORES3[[#This Row],[Total USD]]*3828.5</f>
        <v>398164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A1:F1">
    <cfRule type="expression" dxfId="33" priority="124">
      <formula>#REF!="Por pagar"</formula>
    </cfRule>
    <cfRule type="expression" dxfId="32" priority="125">
      <formula>#REF!="Vencida"</formula>
    </cfRule>
    <cfRule type="expression" dxfId="31" priority="126">
      <formula>#REF!="Pagada"</formula>
    </cfRule>
  </conditionalFormatting>
  <conditionalFormatting sqref="B2:D2">
    <cfRule type="expression" dxfId="30" priority="4" stopIfTrue="1">
      <formula>$P2="Por pagar"</formula>
    </cfRule>
    <cfRule type="expression" dxfId="29" priority="5" stopIfTrue="1">
      <formula>$P2="Vencida"</formula>
    </cfRule>
    <cfRule type="expression" dxfId="28" priority="6" stopIfTrue="1">
      <formula>$P2="Pagada"</formula>
    </cfRule>
  </conditionalFormatting>
  <conditionalFormatting sqref="B2">
    <cfRule type="expression" dxfId="27" priority="1" stopIfTrue="1">
      <formula>$P2="Por pagar"</formula>
    </cfRule>
    <cfRule type="expression" dxfId="26" priority="2" stopIfTrue="1">
      <formula>$P2="Vencida"</formula>
    </cfRule>
    <cfRule type="expression" dxfId="25" priority="3" stopIfTrue="1">
      <formula>$P2="Pagada"</formula>
    </cfRule>
  </conditionalFormatting>
  <pageMargins left="1.085" right="0.7" top="0.75" bottom="0.75" header="0.3" footer="0.3"/>
  <pageSetup scale="39" orientation="portrait" r:id="rId1"/>
  <colBreaks count="1" manualBreakCount="1">
    <brk id="7" max="1048575" man="1"/>
  </colBreak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23C873-C784-4801-B92B-758B19CF164C}">
          <x14:formula1>
            <xm:f>Terceros!$A:$A</xm:f>
          </x14:formula1>
          <xm:sqref>B2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6ACA-6084-4CD6-B691-3C5102800CEA}">
  <sheetPr codeName="Hoja10"/>
  <dimension ref="A1:B30"/>
  <sheetViews>
    <sheetView topLeftCell="A18" zoomScaleNormal="100" workbookViewId="0">
      <pane xSplit="1" topLeftCell="B1" activePane="topRight" state="frozen"/>
      <selection activeCell="W4" sqref="W4"/>
      <selection pane="topRight" activeCell="B12" sqref="B12"/>
    </sheetView>
  </sheetViews>
  <sheetFormatPr defaultColWidth="14.44140625" defaultRowHeight="22.5" customHeight="1" x14ac:dyDescent="0.3"/>
  <cols>
    <col min="1" max="1" width="41.88671875" style="9" customWidth="1"/>
    <col min="2" max="2" width="18.6640625" style="9" customWidth="1"/>
    <col min="3" max="16384" width="14.44140625" style="9"/>
  </cols>
  <sheetData>
    <row r="1" spans="1:2" s="40" customFormat="1" ht="22.5" customHeight="1" x14ac:dyDescent="0.3">
      <c r="A1" s="47" t="s">
        <v>110</v>
      </c>
      <c r="B1" s="46">
        <v>45383</v>
      </c>
    </row>
    <row r="2" spans="1:2" ht="22.5" customHeight="1" x14ac:dyDescent="0.3">
      <c r="A2" s="53" t="s">
        <v>136</v>
      </c>
      <c r="B2" s="48"/>
    </row>
    <row r="3" spans="1:2" ht="22.5" customHeight="1" x14ac:dyDescent="0.3">
      <c r="A3" s="54" t="s">
        <v>137</v>
      </c>
      <c r="B3" s="49"/>
    </row>
    <row r="4" spans="1:2" ht="22.5" customHeight="1" x14ac:dyDescent="0.3">
      <c r="A4" s="53" t="s">
        <v>138</v>
      </c>
      <c r="B4" s="48"/>
    </row>
    <row r="5" spans="1:2" ht="22.5" customHeight="1" x14ac:dyDescent="0.3">
      <c r="A5" s="55" t="s">
        <v>106</v>
      </c>
      <c r="B5" s="50"/>
    </row>
    <row r="6" spans="1:2" ht="22.5" customHeight="1" x14ac:dyDescent="0.3">
      <c r="A6" s="53" t="s">
        <v>135</v>
      </c>
      <c r="B6" s="50"/>
    </row>
    <row r="7" spans="1:2" ht="28.5" customHeight="1" x14ac:dyDescent="0.3">
      <c r="A7" s="57" t="s">
        <v>117</v>
      </c>
      <c r="B7" s="51">
        <f>SUMIFS(PROVEEDORES[[#All],[Total]],
PROVEEDORES[[#All],[FECHA DE PAGO]],"&gt;="&amp;B$1,
PROVEEDORES[[#All],[FECHA DE PAGO]],"&lt;="&amp;EOMONTH(B$1,0))
+
SUMIFS(FINANCIACION[[#All],[PAGO]],
FINANCIACION[[#All],[Fecha]],"&gt;="&amp;B$1,
FINANCIACION[[#All],[Fecha]],"&lt;="&amp;EOMONTH(B$1,0))</f>
        <v>273371846.76559997</v>
      </c>
    </row>
    <row r="8" spans="1:2" ht="22.5" customHeight="1" x14ac:dyDescent="0.3">
      <c r="A8" s="57" t="s">
        <v>98</v>
      </c>
      <c r="B8" s="52">
        <f>SUMIFS(PROVEEDORES[[#All],[Total]],
PROVEEDORES[[#All],[Total]],"&gt;0",
PROVEEDORES[[#All],[FECHA DE FACTURACIÓN]],"&gt;="&amp;B$1,
PROVEEDORES[[#All],[FECHA DE FACTURACIÓN]],"&lt;="&amp;EOMONTH(B$1,0),
PROVEEDORES[[#All],[a]],"De Contado")</f>
        <v>37224446.07</v>
      </c>
    </row>
    <row r="9" spans="1:2" ht="22.5" customHeight="1" x14ac:dyDescent="0.3">
      <c r="A9" s="56" t="s">
        <v>100</v>
      </c>
      <c r="B9" s="51">
        <f>SUMIFS(PROVEEDORES[[#All],[Total]],
PROVEEDORES[[#All],[Total]],"&gt;0",
PROVEEDORES[[#All],[FECHA DE FACTURACIÓN]],"&gt;="&amp;B$1,
PROVEEDORES[[#All],[FECHA DE FACTURACIÓN]],"&lt;="&amp;EOMONTH(B$1,0),
PROVEEDORES[[#All],[a]],"Crédito")</f>
        <v>237922048.48500004</v>
      </c>
    </row>
    <row r="10" spans="1:2" ht="22.5" customHeight="1" x14ac:dyDescent="0.3">
      <c r="A10" s="57" t="s">
        <v>101</v>
      </c>
      <c r="B10" s="52">
        <f>B8+B9</f>
        <v>275146494.55500007</v>
      </c>
    </row>
    <row r="11" spans="1:2" ht="22.5" customHeight="1" x14ac:dyDescent="0.3">
      <c r="A11" s="57" t="s">
        <v>104</v>
      </c>
      <c r="B11" s="52">
        <f>SUM(B22:B27)</f>
        <v>0</v>
      </c>
    </row>
    <row r="12" spans="1:2" ht="22.5" customHeight="1" x14ac:dyDescent="0.3">
      <c r="A12" s="56" t="s">
        <v>105</v>
      </c>
      <c r="B12" s="51">
        <f>SUM(B22:B30)</f>
        <v>0</v>
      </c>
    </row>
    <row r="13" spans="1:2" ht="22.5" customHeight="1" x14ac:dyDescent="0.3">
      <c r="A13" s="56" t="s">
        <v>107</v>
      </c>
      <c r="B13" s="51">
        <f xml:space="preserve">
SUMIFS(PROVEEDORES[[#All],[Descuento
$]],
PROVEEDORES[[#All],[FECHA DE PAGO]],"&gt;="&amp;B$1,
PROVEEDORES[[#All],[FECHA DE PAGO]],"&lt;="&amp;EOMONTH(B$1,0))</f>
        <v>1051831</v>
      </c>
    </row>
    <row r="14" spans="1:2" ht="22.5" customHeight="1" x14ac:dyDescent="0.3">
      <c r="A14" s="56" t="s">
        <v>139</v>
      </c>
      <c r="B14" s="51">
        <f>SUMIFS(FINANCIACION[[#All],[$ INTERESES]],
FINANCIACION[[#All],[Fecha]],"&gt;="&amp;B$1,
FINANCIACION[[#All],[Fecha]],"&lt;="&amp;EOMONTH(B$1,0))</f>
        <v>11257118.780000001</v>
      </c>
    </row>
    <row r="15" spans="1:2" ht="22.5" customHeight="1" x14ac:dyDescent="0.3">
      <c r="A15" s="56" t="s">
        <v>124</v>
      </c>
      <c r="B15" s="51">
        <f>B18+B19</f>
        <v>1455918691.6801143</v>
      </c>
    </row>
    <row r="16" spans="1:2" ht="22.5" customHeight="1" x14ac:dyDescent="0.3">
      <c r="A16" s="57" t="s">
        <v>1511</v>
      </c>
      <c r="B16" s="51">
        <f xml:space="preserve">
SUMIFS(PROVEEDORES[[#All],[Total]],
PROVEEDORES[[#All],[ALMA/INSTI]],"ALMACENES",
PROVEEDORES[[#All],[FECHA DE FACTURACIÓN]],"&lt;="&amp;EOMONTH(B$1,0),
PROVEEDORES[[#All],[FECHA DE PAGO]],"")
+
SUMIFS(PROVEEDORES[[#All],[Total]],
PROVEEDORES[[#All],[ALMA/INSTI]],"ALMACENES",
PROVEEDORES[[#All],[FECHA DE FACTURACIÓN]],"&lt;="&amp;EOMONTH(B$1,0),
PROVEEDORES[[#All],[FECHA DE PAGO]],"&gt;"&amp;EOMONTH(B$1,0))</f>
        <v>195307544.73065004</v>
      </c>
    </row>
    <row r="17" spans="1:2" ht="22.5" customHeight="1" x14ac:dyDescent="0.3">
      <c r="A17" s="57" t="s">
        <v>1510</v>
      </c>
      <c r="B17" s="51">
        <f xml:space="preserve">
SUMIFS(PROVEEDORES[[#All],[Total]],
PROVEEDORES[[#All],[ALMA/INSTI]],"INSTITUCIONALES",
PROVEEDORES[[#All],[FECHA DE FACTURACIÓN]],"&lt;="&amp;EOMONTH(B$1,0),
PROVEEDORES[[#All],[FECHA DE PAGO]],"")
+
SUMIFS(PROVEEDORES[[#All],[Total]],
PROVEEDORES[[#All],[ALMA/INSTI]],"INSTITUCIONALES",
PROVEEDORES[[#All],[FECHA DE FACTURACIÓN]],"&lt;="&amp;EOMONTH(B$1,0),
PROVEEDORES[[#All],[FECHA DE PAGO]],"&gt;"&amp;EOMONTH(B$1,0))</f>
        <v>81585695.704999983</v>
      </c>
    </row>
    <row r="18" spans="1:2" ht="22.5" customHeight="1" x14ac:dyDescent="0.3">
      <c r="A18" s="57" t="s">
        <v>102</v>
      </c>
      <c r="B18" s="52">
        <f>+B16+B17</f>
        <v>276893240.43564999</v>
      </c>
    </row>
    <row r="19" spans="1:2" ht="22.5" customHeight="1" x14ac:dyDescent="0.3">
      <c r="A19" s="56" t="s">
        <v>103</v>
      </c>
      <c r="B19" s="51">
        <f>ABS(SUMIFS(FINANCIACION[$ CAPITAL],
FINANCIACION[Fecha],"&lt;="&amp;EOMONTH(B$1,0)))</f>
        <v>1179025451.2444642</v>
      </c>
    </row>
    <row r="20" spans="1:2" ht="22.5" customHeight="1" x14ac:dyDescent="0.3">
      <c r="A20" s="56" t="s">
        <v>109</v>
      </c>
      <c r="B20" s="51">
        <f>B18-B21</f>
        <v>222827919.53564999</v>
      </c>
    </row>
    <row r="21" spans="1:2" ht="22.5" customHeight="1" x14ac:dyDescent="0.3">
      <c r="A21" s="45" t="s">
        <v>108</v>
      </c>
      <c r="B21" s="68">
        <v>54065320.899999999</v>
      </c>
    </row>
    <row r="22" spans="1:2" ht="22.5" customHeight="1" x14ac:dyDescent="0.3">
      <c r="A22" s="12" t="s">
        <v>223</v>
      </c>
      <c r="B22" s="67"/>
    </row>
    <row r="23" spans="1:2" ht="22.5" customHeight="1" x14ac:dyDescent="0.3">
      <c r="A23" s="12" t="s">
        <v>114</v>
      </c>
      <c r="B23" s="67"/>
    </row>
    <row r="24" spans="1:2" ht="22.5" customHeight="1" x14ac:dyDescent="0.3">
      <c r="A24" s="12" t="s">
        <v>140</v>
      </c>
      <c r="B24" s="67"/>
    </row>
    <row r="25" spans="1:2" ht="22.5" customHeight="1" x14ac:dyDescent="0.3">
      <c r="A25" s="12" t="s">
        <v>115</v>
      </c>
      <c r="B25" s="67"/>
    </row>
    <row r="26" spans="1:2" ht="22.5" customHeight="1" x14ac:dyDescent="0.3">
      <c r="A26" s="12" t="s">
        <v>118</v>
      </c>
      <c r="B26" s="67"/>
    </row>
    <row r="27" spans="1:2" ht="22.5" customHeight="1" x14ac:dyDescent="0.3">
      <c r="A27" s="12" t="s">
        <v>119</v>
      </c>
      <c r="B27" s="67"/>
    </row>
    <row r="28" spans="1:2" ht="22.5" customHeight="1" x14ac:dyDescent="0.3">
      <c r="A28" s="12" t="s">
        <v>116</v>
      </c>
      <c r="B28" s="67"/>
    </row>
    <row r="29" spans="1:2" ht="22.5" customHeight="1" x14ac:dyDescent="0.3">
      <c r="A29" s="12" t="s">
        <v>416</v>
      </c>
      <c r="B29" s="67"/>
    </row>
    <row r="30" spans="1:2" ht="22.5" customHeight="1" x14ac:dyDescent="0.3">
      <c r="A30" s="12" t="s">
        <v>1484</v>
      </c>
      <c r="B30" s="67"/>
    </row>
  </sheetData>
  <pageMargins left="0.7" right="0.7" top="0.75" bottom="0.75" header="0.3" footer="0.3"/>
  <pageSetup paperSize="9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L788"/>
  <sheetViews>
    <sheetView zoomScaleNormal="100" workbookViewId="0">
      <pane xSplit="1" ySplit="1" topLeftCell="B757" activePane="bottomRight" state="frozen"/>
      <selection activeCell="W4" sqref="W4"/>
      <selection pane="topRight" activeCell="W4" sqref="W4"/>
      <selection pane="bottomLeft" activeCell="W4" sqref="W4"/>
      <selection pane="bottomRight" activeCell="B650" sqref="B650"/>
    </sheetView>
  </sheetViews>
  <sheetFormatPr defaultColWidth="11.44140625" defaultRowHeight="24" customHeight="1" x14ac:dyDescent="0.3"/>
  <cols>
    <col min="1" max="1" width="14.5546875" style="112" customWidth="1"/>
    <col min="2" max="2" width="35.5546875" style="118" customWidth="1"/>
    <col min="3" max="3" width="18.5546875" style="117" customWidth="1"/>
    <col min="4" max="4" width="16.44140625" style="117" customWidth="1"/>
    <col min="5" max="5" width="18.44140625" style="117" customWidth="1"/>
    <col min="6" max="7" width="15.5546875" style="117" customWidth="1"/>
    <col min="8" max="8" width="13.5546875" style="119" customWidth="1"/>
    <col min="9" max="9" width="15.44140625" style="117" customWidth="1"/>
    <col min="10" max="10" width="18.44140625" style="117" customWidth="1"/>
    <col min="11" max="11" width="26.44140625" style="123" customWidth="1"/>
    <col min="12" max="12" width="43" style="117" customWidth="1"/>
    <col min="13" max="13" width="16.44140625" style="117" customWidth="1"/>
    <col min="14" max="14" width="13.5546875" style="117" customWidth="1"/>
    <col min="15" max="15" width="14.5546875" style="119" customWidth="1"/>
    <col min="16" max="16" width="28.5546875" style="121" customWidth="1"/>
    <col min="17" max="17" width="15.5546875" style="117" customWidth="1"/>
    <col min="18" max="18" width="14.44140625" style="117" customWidth="1"/>
    <col min="19" max="19" width="28" style="117" customWidth="1"/>
    <col min="20" max="20" width="12.44140625" style="117" customWidth="1"/>
    <col min="21" max="21" width="8.44140625" style="117" customWidth="1"/>
    <col min="22" max="22" width="28" style="117" customWidth="1"/>
    <col min="23" max="23" width="13.44140625" style="117" customWidth="1"/>
    <col min="24" max="24" width="18.44140625" style="117" customWidth="1"/>
    <col min="25" max="25" width="19.5546875" style="117" customWidth="1"/>
    <col min="26" max="26" width="5.44140625" style="117" customWidth="1"/>
    <col min="27" max="27" width="9.44140625" style="117" customWidth="1"/>
    <col min="28" max="28" width="14.44140625" style="117" customWidth="1"/>
    <col min="29" max="29" width="16.5546875" style="117" customWidth="1"/>
    <col min="30" max="30" width="9.5546875" style="117" customWidth="1"/>
    <col min="31" max="35" width="12.5546875" style="117" customWidth="1"/>
    <col min="36" max="36" width="11.44140625" style="117" customWidth="1"/>
    <col min="37" max="37" width="16.44140625" style="117" customWidth="1"/>
    <col min="38" max="38" width="14.44140625" style="117" customWidth="1"/>
    <col min="39" max="16384" width="11.44140625" style="117"/>
  </cols>
  <sheetData>
    <row r="1" spans="1:16" ht="46.2" customHeight="1" x14ac:dyDescent="0.3">
      <c r="A1" s="112" t="s">
        <v>211</v>
      </c>
      <c r="B1" s="97" t="s">
        <v>141</v>
      </c>
      <c r="C1" s="97" t="s">
        <v>72</v>
      </c>
      <c r="D1" s="97" t="s">
        <v>34</v>
      </c>
      <c r="E1" s="97" t="s">
        <v>75</v>
      </c>
      <c r="F1" s="113" t="s">
        <v>73</v>
      </c>
      <c r="G1" s="114" t="s">
        <v>1514</v>
      </c>
      <c r="H1" s="97" t="s">
        <v>74</v>
      </c>
      <c r="I1" s="115" t="s">
        <v>36</v>
      </c>
      <c r="J1" s="97" t="s">
        <v>33</v>
      </c>
      <c r="K1" s="116" t="s">
        <v>37</v>
      </c>
      <c r="O1" s="117"/>
      <c r="P1" s="117"/>
    </row>
    <row r="2" spans="1:16" ht="30.75" customHeight="1" x14ac:dyDescent="0.3">
      <c r="A2" s="112">
        <v>44197</v>
      </c>
      <c r="B2" s="118" t="s">
        <v>351</v>
      </c>
      <c r="C2" s="113">
        <v>-13000000</v>
      </c>
      <c r="D2" s="113"/>
      <c r="E2" s="113" t="str">
        <f>+IF(FINANCIACION[[#This Row],[$ CAPITAL]]&gt;=0,FINANCIACION[[#This Row],[$ CAPITAL]]+FINANCIACION[[#This Row],[$ INTERESES]],"")</f>
        <v/>
      </c>
      <c r="F2" s="113">
        <f>+SUMIFS(FINANCIACION[$ CAPITAL],FINANCIACION[Fecha],"&lt;="&amp;FINANCIACION[[#This Row],[Fecha]],FINANCIACION[PRESTAMO],FINANCIACION[[#This Row],[PRESTAMO]])</f>
        <v>-13000000</v>
      </c>
      <c r="G2" s="113"/>
      <c r="H2" s="117"/>
      <c r="I2" s="119"/>
      <c r="J2" s="113" t="b">
        <f>IF(FINANCIACION[[#This Row],[$ CAPITAL]]&gt;0,FINANCIACION[[#This Row],[$ CAPITAL]])</f>
        <v>0</v>
      </c>
      <c r="K2" s="120">
        <f>IF(FINANCIACION[[#This Row],[$ CAPITAL]]&gt;=0,FINANCIACION[[#This Row],[$ CAPITAL]]+FINANCIACION[[#This Row],[$ INTERESES]],0)</f>
        <v>0</v>
      </c>
      <c r="O2" s="117"/>
      <c r="P2" s="117"/>
    </row>
    <row r="3" spans="1:16" ht="24" customHeight="1" x14ac:dyDescent="0.3">
      <c r="A3" s="112">
        <v>44247</v>
      </c>
      <c r="B3" s="118" t="s">
        <v>351</v>
      </c>
      <c r="C3" s="113"/>
      <c r="D3" s="113">
        <v>130000</v>
      </c>
      <c r="E3" s="113">
        <f>+IF(FINANCIACION[[#This Row],[$ CAPITAL]]&gt;=0,FINANCIACION[[#This Row],[$ CAPITAL]]+FINANCIACION[[#This Row],[$ INTERESES]],"")</f>
        <v>130000</v>
      </c>
      <c r="F3" s="113">
        <f>+SUMIFS(FINANCIACION[$ CAPITAL],FINANCIACION[Fecha],"&lt;="&amp;FINANCIACION[[#This Row],[Fecha]],FINANCIACION[PRESTAMO],FINANCIACION[[#This Row],[PRESTAMO]])</f>
        <v>-13000000</v>
      </c>
      <c r="G3" s="113"/>
      <c r="H3" s="117"/>
      <c r="I3" s="119"/>
      <c r="J3" s="113" t="b">
        <f>IF(FINANCIACION[[#This Row],[$ CAPITAL]]&gt;0,FINANCIACION[[#This Row],[$ CAPITAL]])</f>
        <v>0</v>
      </c>
      <c r="K3" s="120">
        <f>IF(FINANCIACION[[#This Row],[$ CAPITAL]]&gt;=0,FINANCIACION[[#This Row],[$ CAPITAL]]+FINANCIACION[[#This Row],[$ INTERESES]],0)</f>
        <v>130000</v>
      </c>
    </row>
    <row r="4" spans="1:16" ht="24" customHeight="1" x14ac:dyDescent="0.3">
      <c r="A4" s="112">
        <v>44265</v>
      </c>
      <c r="B4" s="118" t="s">
        <v>351</v>
      </c>
      <c r="C4" s="113"/>
      <c r="D4" s="113">
        <v>130000</v>
      </c>
      <c r="E4" s="113">
        <f>+IF(FINANCIACION[[#This Row],[$ CAPITAL]]&gt;=0,FINANCIACION[[#This Row],[$ CAPITAL]]+FINANCIACION[[#This Row],[$ INTERESES]],"")</f>
        <v>130000</v>
      </c>
      <c r="F4" s="113">
        <f>+SUMIFS(FINANCIACION[$ CAPITAL],FINANCIACION[Fecha],"&lt;="&amp;FINANCIACION[[#This Row],[Fecha]],FINANCIACION[PRESTAMO],FINANCIACION[[#This Row],[PRESTAMO]])</f>
        <v>-13000000</v>
      </c>
      <c r="G4" s="113"/>
      <c r="H4" s="117"/>
      <c r="I4" s="119"/>
      <c r="J4" s="113" t="b">
        <f>IF(FINANCIACION[[#This Row],[$ CAPITAL]]&gt;0,FINANCIACION[[#This Row],[$ CAPITAL]])</f>
        <v>0</v>
      </c>
      <c r="K4" s="120">
        <f>IF(FINANCIACION[[#This Row],[$ CAPITAL]]&gt;=0,FINANCIACION[[#This Row],[$ CAPITAL]]+FINANCIACION[[#This Row],[$ INTERESES]],0)</f>
        <v>130000</v>
      </c>
    </row>
    <row r="5" spans="1:16" ht="24" customHeight="1" x14ac:dyDescent="0.3">
      <c r="A5" s="112">
        <v>44363</v>
      </c>
      <c r="B5" s="118" t="s">
        <v>351</v>
      </c>
      <c r="C5" s="113"/>
      <c r="D5" s="113">
        <v>390000</v>
      </c>
      <c r="E5" s="113">
        <f>+IF(FINANCIACION[[#This Row],[$ CAPITAL]]&gt;=0,FINANCIACION[[#This Row],[$ CAPITAL]]+FINANCIACION[[#This Row],[$ INTERESES]],"")</f>
        <v>390000</v>
      </c>
      <c r="F5" s="113">
        <f>+SUMIFS(FINANCIACION[$ CAPITAL],FINANCIACION[Fecha],"&lt;="&amp;FINANCIACION[[#This Row],[Fecha]],FINANCIACION[PRESTAMO],FINANCIACION[[#This Row],[PRESTAMO]])</f>
        <v>-13000000</v>
      </c>
      <c r="G5" s="113"/>
      <c r="I5" s="119"/>
      <c r="J5" s="113" t="b">
        <f>IF(FINANCIACION[[#This Row],[$ CAPITAL]]&gt;0,FINANCIACION[[#This Row],[$ CAPITAL]])</f>
        <v>0</v>
      </c>
      <c r="K5" s="120">
        <f>IF(FINANCIACION[[#This Row],[$ CAPITAL]]&gt;=0,FINANCIACION[[#This Row],[$ CAPITAL]]+FINANCIACION[[#This Row],[$ INTERESES]],0)</f>
        <v>390000</v>
      </c>
    </row>
    <row r="6" spans="1:16" ht="24" customHeight="1" x14ac:dyDescent="0.3">
      <c r="A6" s="112">
        <v>44390</v>
      </c>
      <c r="B6" s="118" t="s">
        <v>351</v>
      </c>
      <c r="C6" s="113"/>
      <c r="D6" s="113">
        <v>130000</v>
      </c>
      <c r="E6" s="113">
        <f>+IF(FINANCIACION[[#This Row],[$ CAPITAL]]&gt;=0,FINANCIACION[[#This Row],[$ CAPITAL]]+FINANCIACION[[#This Row],[$ INTERESES]],"")</f>
        <v>130000</v>
      </c>
      <c r="F6" s="113">
        <f>+SUMIFS(FINANCIACION[$ CAPITAL],FINANCIACION[Fecha],"&lt;="&amp;FINANCIACION[[#This Row],[Fecha]],FINANCIACION[PRESTAMO],FINANCIACION[[#This Row],[PRESTAMO]])</f>
        <v>-13000000</v>
      </c>
      <c r="G6" s="113"/>
      <c r="I6" s="119"/>
      <c r="J6" s="113" t="b">
        <f>IF(FINANCIACION[[#This Row],[$ CAPITAL]]&gt;0,FINANCIACION[[#This Row],[$ CAPITAL]])</f>
        <v>0</v>
      </c>
      <c r="K6" s="120">
        <f>IF(FINANCIACION[[#This Row],[$ CAPITAL]]&gt;=0,FINANCIACION[[#This Row],[$ CAPITAL]]+FINANCIACION[[#This Row],[$ INTERESES]],0)</f>
        <v>130000</v>
      </c>
    </row>
    <row r="7" spans="1:16" ht="24" customHeight="1" x14ac:dyDescent="0.3">
      <c r="A7" s="112">
        <v>44425</v>
      </c>
      <c r="B7" s="118" t="s">
        <v>351</v>
      </c>
      <c r="C7" s="113"/>
      <c r="D7" s="113">
        <v>130000</v>
      </c>
      <c r="E7" s="113">
        <f>+IF(FINANCIACION[[#This Row],[$ CAPITAL]]&gt;=0,FINANCIACION[[#This Row],[$ CAPITAL]]+FINANCIACION[[#This Row],[$ INTERESES]],"")</f>
        <v>130000</v>
      </c>
      <c r="F7" s="113">
        <f>+SUMIFS(FINANCIACION[$ CAPITAL],FINANCIACION[Fecha],"&lt;="&amp;FINANCIACION[[#This Row],[Fecha]],FINANCIACION[PRESTAMO],FINANCIACION[[#This Row],[PRESTAMO]])</f>
        <v>-13000000</v>
      </c>
      <c r="G7" s="113"/>
      <c r="I7" s="119"/>
      <c r="J7" s="113" t="b">
        <f>IF(FINANCIACION[[#This Row],[$ CAPITAL]]&gt;0,FINANCIACION[[#This Row],[$ CAPITAL]])</f>
        <v>0</v>
      </c>
      <c r="K7" s="120">
        <f>IF(FINANCIACION[[#This Row],[$ CAPITAL]]&gt;=0,FINANCIACION[[#This Row],[$ CAPITAL]]+FINANCIACION[[#This Row],[$ INTERESES]],0)</f>
        <v>130000</v>
      </c>
    </row>
    <row r="8" spans="1:16" ht="24" customHeight="1" x14ac:dyDescent="0.3">
      <c r="A8" s="112">
        <v>44450</v>
      </c>
      <c r="B8" s="118" t="s">
        <v>351</v>
      </c>
      <c r="C8" s="113"/>
      <c r="D8" s="113">
        <v>130000</v>
      </c>
      <c r="E8" s="113">
        <f>+IF(FINANCIACION[[#This Row],[$ CAPITAL]]&gt;=0,FINANCIACION[[#This Row],[$ CAPITAL]]+FINANCIACION[[#This Row],[$ INTERESES]],"")</f>
        <v>130000</v>
      </c>
      <c r="F8" s="113">
        <f>+SUMIFS(FINANCIACION[$ CAPITAL],FINANCIACION[Fecha],"&lt;="&amp;FINANCIACION[[#This Row],[Fecha]],FINANCIACION[PRESTAMO],FINANCIACION[[#This Row],[PRESTAMO]])</f>
        <v>-13000000</v>
      </c>
      <c r="G8" s="113"/>
      <c r="I8" s="119"/>
      <c r="J8" s="113" t="b">
        <f>IF(FINANCIACION[[#This Row],[$ CAPITAL]]&gt;0,FINANCIACION[[#This Row],[$ CAPITAL]])</f>
        <v>0</v>
      </c>
      <c r="K8" s="120">
        <f>IF(FINANCIACION[[#This Row],[$ CAPITAL]]&gt;=0,FINANCIACION[[#This Row],[$ CAPITAL]]+FINANCIACION[[#This Row],[$ INTERESES]],0)</f>
        <v>130000</v>
      </c>
    </row>
    <row r="9" spans="1:16" ht="24" customHeight="1" x14ac:dyDescent="0.3">
      <c r="A9" s="112">
        <v>44510</v>
      </c>
      <c r="B9" s="118" t="s">
        <v>351</v>
      </c>
      <c r="C9" s="113"/>
      <c r="D9" s="113">
        <v>130000</v>
      </c>
      <c r="E9" s="113">
        <f>+IF(FINANCIACION[[#This Row],[$ CAPITAL]]&gt;=0,FINANCIACION[[#This Row],[$ CAPITAL]]+FINANCIACION[[#This Row],[$ INTERESES]],"")</f>
        <v>130000</v>
      </c>
      <c r="F9" s="113">
        <f>+SUMIFS(FINANCIACION[$ CAPITAL],FINANCIACION[Fecha],"&lt;="&amp;FINANCIACION[[#This Row],[Fecha]],FINANCIACION[PRESTAMO],FINANCIACION[[#This Row],[PRESTAMO]])</f>
        <v>-13000000</v>
      </c>
      <c r="G9" s="113"/>
      <c r="I9" s="119"/>
      <c r="J9" s="113" t="b">
        <f>IF(FINANCIACION[[#This Row],[$ CAPITAL]]&gt;0,FINANCIACION[[#This Row],[$ CAPITAL]])</f>
        <v>0</v>
      </c>
      <c r="K9" s="120">
        <f>IF(FINANCIACION[[#This Row],[$ CAPITAL]]&gt;=0,FINANCIACION[[#This Row],[$ CAPITAL]]+FINANCIACION[[#This Row],[$ INTERESES]],0)</f>
        <v>130000</v>
      </c>
    </row>
    <row r="10" spans="1:16" ht="24" customHeight="1" x14ac:dyDescent="0.3">
      <c r="A10" s="112">
        <v>44539</v>
      </c>
      <c r="B10" s="118" t="s">
        <v>351</v>
      </c>
      <c r="C10" s="113"/>
      <c r="D10" s="113">
        <v>130000</v>
      </c>
      <c r="E10" s="113">
        <f>+IF(FINANCIACION[[#This Row],[$ CAPITAL]]&gt;=0,FINANCIACION[[#This Row],[$ CAPITAL]]+FINANCIACION[[#This Row],[$ INTERESES]],"")</f>
        <v>130000</v>
      </c>
      <c r="F10" s="113">
        <f>+SUMIFS(FINANCIACION[$ CAPITAL],FINANCIACION[Fecha],"&lt;="&amp;FINANCIACION[[#This Row],[Fecha]],FINANCIACION[PRESTAMO],FINANCIACION[[#This Row],[PRESTAMO]])</f>
        <v>-13000000</v>
      </c>
      <c r="G10" s="113"/>
      <c r="I10" s="119"/>
      <c r="J10" s="113" t="b">
        <f>IF(FINANCIACION[[#This Row],[$ CAPITAL]]&gt;0,FINANCIACION[[#This Row],[$ CAPITAL]])</f>
        <v>0</v>
      </c>
      <c r="K10" s="120">
        <f>IF(FINANCIACION[[#This Row],[$ CAPITAL]]&gt;=0,FINANCIACION[[#This Row],[$ CAPITAL]]+FINANCIACION[[#This Row],[$ INTERESES]],0)</f>
        <v>130000</v>
      </c>
    </row>
    <row r="11" spans="1:16" ht="24" customHeight="1" x14ac:dyDescent="0.3">
      <c r="A11" s="112">
        <v>44572</v>
      </c>
      <c r="B11" s="118" t="s">
        <v>351</v>
      </c>
      <c r="C11" s="113"/>
      <c r="D11" s="113">
        <v>130000</v>
      </c>
      <c r="E11" s="113">
        <f>+IF(FINANCIACION[[#This Row],[$ CAPITAL]]&gt;=0,FINANCIACION[[#This Row],[$ CAPITAL]]+FINANCIACION[[#This Row],[$ INTERESES]],"")</f>
        <v>130000</v>
      </c>
      <c r="F11" s="113">
        <f>+SUMIFS(FINANCIACION[$ CAPITAL],FINANCIACION[Fecha],"&lt;="&amp;FINANCIACION[[#This Row],[Fecha]],FINANCIACION[PRESTAMO],FINANCIACION[[#This Row],[PRESTAMO]])</f>
        <v>-13000000</v>
      </c>
      <c r="G11" s="113"/>
      <c r="I11" s="119"/>
      <c r="J11" s="113" t="b">
        <f>IF(FINANCIACION[[#This Row],[$ CAPITAL]]&gt;0,FINANCIACION[[#This Row],[$ CAPITAL]])</f>
        <v>0</v>
      </c>
      <c r="K11" s="120">
        <f>IF(FINANCIACION[[#This Row],[$ CAPITAL]]&gt;=0,FINANCIACION[[#This Row],[$ CAPITAL]]+FINANCIACION[[#This Row],[$ INTERESES]],0)</f>
        <v>130000</v>
      </c>
    </row>
    <row r="12" spans="1:16" ht="24" customHeight="1" x14ac:dyDescent="0.3">
      <c r="A12" s="112">
        <v>44602</v>
      </c>
      <c r="B12" s="118" t="s">
        <v>351</v>
      </c>
      <c r="C12" s="113"/>
      <c r="D12" s="113">
        <v>130000</v>
      </c>
      <c r="E12" s="113">
        <f>+IF(FINANCIACION[[#This Row],[$ CAPITAL]]&gt;=0,FINANCIACION[[#This Row],[$ CAPITAL]]+FINANCIACION[[#This Row],[$ INTERESES]],"")</f>
        <v>130000</v>
      </c>
      <c r="F12" s="113">
        <f>+SUMIFS(FINANCIACION[$ CAPITAL],FINANCIACION[Fecha],"&lt;="&amp;FINANCIACION[[#This Row],[Fecha]],FINANCIACION[PRESTAMO],FINANCIACION[[#This Row],[PRESTAMO]])</f>
        <v>-13000000</v>
      </c>
      <c r="G12" s="113"/>
      <c r="I12" s="119"/>
      <c r="J12" s="113" t="b">
        <f>+IF(FINANCIACION[[#This Row],[$ CAPITAL]]&gt;0,FINANCIACION[[#This Row],[$ CAPITAL]])</f>
        <v>0</v>
      </c>
      <c r="K12" s="120">
        <f>+IF(FINANCIACION[[#This Row],[$ CAPITAL]]&gt;=0,FINANCIACION[[#This Row],[$ CAPITAL]]+FINANCIACION[[#This Row],[$ INTERESES]],0)</f>
        <v>130000</v>
      </c>
    </row>
    <row r="13" spans="1:16" ht="24" customHeight="1" x14ac:dyDescent="0.3">
      <c r="A13" s="112">
        <v>44629</v>
      </c>
      <c r="B13" s="118" t="s">
        <v>351</v>
      </c>
      <c r="C13" s="113"/>
      <c r="D13" s="113">
        <v>130000</v>
      </c>
      <c r="E13" s="113">
        <f>+IF(FINANCIACION[[#This Row],[$ CAPITAL]]&gt;=0,FINANCIACION[[#This Row],[$ CAPITAL]]+FINANCIACION[[#This Row],[$ INTERESES]],"")</f>
        <v>130000</v>
      </c>
      <c r="F13" s="113">
        <f>+SUMIFS(FINANCIACION[$ CAPITAL],FINANCIACION[Fecha],"&lt;="&amp;FINANCIACION[[#This Row],[Fecha]],FINANCIACION[PRESTAMO],FINANCIACION[[#This Row],[PRESTAMO]])</f>
        <v>-13000000</v>
      </c>
      <c r="G13" s="113"/>
      <c r="I13" s="119"/>
      <c r="J13" s="113" t="b">
        <f>+IF(FINANCIACION[[#This Row],[$ CAPITAL]]&gt;0,FINANCIACION[[#This Row],[$ CAPITAL]])</f>
        <v>0</v>
      </c>
      <c r="K13" s="120">
        <f>+IF(FINANCIACION[[#This Row],[$ CAPITAL]]&gt;=0,FINANCIACION[[#This Row],[$ CAPITAL]]+FINANCIACION[[#This Row],[$ INTERESES]],0)</f>
        <v>130000</v>
      </c>
    </row>
    <row r="14" spans="1:16" ht="24" customHeight="1" x14ac:dyDescent="0.3">
      <c r="A14" s="112">
        <v>44662</v>
      </c>
      <c r="B14" s="118" t="s">
        <v>351</v>
      </c>
      <c r="C14" s="113"/>
      <c r="D14" s="113">
        <v>130000</v>
      </c>
      <c r="E14" s="113">
        <f>+IF(FINANCIACION[[#This Row],[$ CAPITAL]]&gt;=0,FINANCIACION[[#This Row],[$ CAPITAL]]+FINANCIACION[[#This Row],[$ INTERESES]],"")</f>
        <v>130000</v>
      </c>
      <c r="F14" s="113">
        <f>+SUMIFS(FINANCIACION[$ CAPITAL],FINANCIACION[Fecha],"&lt;="&amp;FINANCIACION[[#This Row],[Fecha]],FINANCIACION[PRESTAMO],FINANCIACION[[#This Row],[PRESTAMO]])</f>
        <v>-13000000</v>
      </c>
      <c r="G14" s="113"/>
      <c r="I14" s="119"/>
      <c r="J14" s="113" t="b">
        <f>+IF(FINANCIACION[[#This Row],[$ CAPITAL]]&gt;0,FINANCIACION[[#This Row],[$ CAPITAL]])</f>
        <v>0</v>
      </c>
      <c r="K14" s="120">
        <f>+IF(FINANCIACION[[#This Row],[$ CAPITAL]]&gt;=0,FINANCIACION[[#This Row],[$ CAPITAL]]+FINANCIACION[[#This Row],[$ INTERESES]],0)</f>
        <v>130000</v>
      </c>
    </row>
    <row r="15" spans="1:16" ht="24" customHeight="1" x14ac:dyDescent="0.3">
      <c r="A15" s="112">
        <v>44691</v>
      </c>
      <c r="B15" s="118" t="s">
        <v>351</v>
      </c>
      <c r="C15" s="113"/>
      <c r="D15" s="113">
        <v>130000</v>
      </c>
      <c r="E15" s="113">
        <f>+IF(FINANCIACION[[#This Row],[$ CAPITAL]]&gt;=0,FINANCIACION[[#This Row],[$ CAPITAL]]+FINANCIACION[[#This Row],[$ INTERESES]],"")</f>
        <v>130000</v>
      </c>
      <c r="F15" s="113">
        <f>+SUMIFS(FINANCIACION[$ CAPITAL],FINANCIACION[Fecha],"&lt;="&amp;FINANCIACION[[#This Row],[Fecha]],FINANCIACION[PRESTAMO],FINANCIACION[[#This Row],[PRESTAMO]])</f>
        <v>-13000000</v>
      </c>
      <c r="G15" s="113"/>
      <c r="I15" s="119"/>
      <c r="J15" s="113" t="b">
        <f>+IF(FINANCIACION[[#This Row],[$ CAPITAL]]&gt;0,FINANCIACION[[#This Row],[$ CAPITAL]])</f>
        <v>0</v>
      </c>
      <c r="K15" s="120">
        <f>+IF(FINANCIACION[[#This Row],[$ CAPITAL]]&gt;=0,FINANCIACION[[#This Row],[$ CAPITAL]]+FINANCIACION[[#This Row],[$ INTERESES]],0)</f>
        <v>130000</v>
      </c>
    </row>
    <row r="16" spans="1:16" ht="24" customHeight="1" x14ac:dyDescent="0.3">
      <c r="A16" s="112">
        <v>44753</v>
      </c>
      <c r="B16" s="118" t="s">
        <v>351</v>
      </c>
      <c r="C16" s="113"/>
      <c r="D16" s="113">
        <v>130000</v>
      </c>
      <c r="E16" s="113">
        <f>+IF(FINANCIACION[[#This Row],[$ CAPITAL]]&gt;=0,FINANCIACION[[#This Row],[$ CAPITAL]]+FINANCIACION[[#This Row],[$ INTERESES]],"")</f>
        <v>130000</v>
      </c>
      <c r="F16" s="113">
        <f>+SUMIFS(FINANCIACION[$ CAPITAL],FINANCIACION[Fecha],"&lt;="&amp;FINANCIACION[[#This Row],[Fecha]],FINANCIACION[PRESTAMO],FINANCIACION[[#This Row],[PRESTAMO]])</f>
        <v>-13000000</v>
      </c>
      <c r="G16" s="113"/>
      <c r="I16" s="119"/>
      <c r="J16" s="113" t="b">
        <f>+IF(FINANCIACION[[#This Row],[$ CAPITAL]]&gt;0,FINANCIACION[[#This Row],[$ CAPITAL]])</f>
        <v>0</v>
      </c>
      <c r="K16" s="120">
        <f>+IF(FINANCIACION[[#This Row],[$ CAPITAL]]&gt;=0,FINANCIACION[[#This Row],[$ CAPITAL]]+FINANCIACION[[#This Row],[$ INTERESES]],0)</f>
        <v>130000</v>
      </c>
    </row>
    <row r="17" spans="1:11" ht="24" customHeight="1" x14ac:dyDescent="0.3">
      <c r="A17" s="112">
        <v>44777</v>
      </c>
      <c r="B17" s="118" t="s">
        <v>351</v>
      </c>
      <c r="C17" s="113">
        <v>-8000000</v>
      </c>
      <c r="D17" s="113"/>
      <c r="E17" s="113" t="str">
        <f>+IF(FINANCIACION[[#This Row],[$ CAPITAL]]&gt;=0,FINANCIACION[[#This Row],[$ CAPITAL]]+FINANCIACION[[#This Row],[$ INTERESES]],"")</f>
        <v/>
      </c>
      <c r="F17" s="113">
        <f>+SUMIFS(FINANCIACION[$ CAPITAL],FINANCIACION[Fecha],"&lt;="&amp;FINANCIACION[[#This Row],[Fecha]],FINANCIACION[PRESTAMO],FINANCIACION[[#This Row],[PRESTAMO]])</f>
        <v>-15347000</v>
      </c>
      <c r="G17" s="113"/>
      <c r="H17" s="119" t="s">
        <v>452</v>
      </c>
      <c r="I17" s="119"/>
      <c r="J17" s="113" t="b">
        <f>+IF(FINANCIACION[[#This Row],[$ CAPITAL]]&gt;0,FINANCIACION[[#This Row],[$ CAPITAL]])</f>
        <v>0</v>
      </c>
      <c r="K17" s="120">
        <f>+IF(FINANCIACION[[#This Row],[$ CAPITAL]]&gt;=0,FINANCIACION[[#This Row],[$ CAPITAL]]+FINANCIACION[[#This Row],[$ INTERESES]],0)</f>
        <v>0</v>
      </c>
    </row>
    <row r="18" spans="1:11" ht="24" customHeight="1" x14ac:dyDescent="0.3">
      <c r="A18" s="112">
        <v>44777</v>
      </c>
      <c r="B18" s="118" t="s">
        <v>351</v>
      </c>
      <c r="C18" s="113">
        <v>1530000</v>
      </c>
      <c r="D18" s="113"/>
      <c r="E18" s="113">
        <f>+IF(FINANCIACION[[#This Row],[$ CAPITAL]]&gt;=0,FINANCIACION[[#This Row],[$ CAPITAL]]+FINANCIACION[[#This Row],[$ INTERESES]],"")</f>
        <v>1530000</v>
      </c>
      <c r="F18" s="113">
        <f>+SUMIFS(FINANCIACION[$ CAPITAL],FINANCIACION[Fecha],"&lt;="&amp;FINANCIACION[[#This Row],[Fecha]],FINANCIACION[PRESTAMO],FINANCIACION[[#This Row],[PRESTAMO]])</f>
        <v>-15347000</v>
      </c>
      <c r="G18" s="113"/>
      <c r="H18" s="119" t="s">
        <v>452</v>
      </c>
      <c r="I18" s="119"/>
      <c r="J18" s="113">
        <f>+IF(FINANCIACION[[#This Row],[$ CAPITAL]]&gt;0,FINANCIACION[[#This Row],[$ CAPITAL]])</f>
        <v>1530000</v>
      </c>
      <c r="K18" s="120">
        <f>+IF(FINANCIACION[[#This Row],[$ CAPITAL]]&gt;=0,FINANCIACION[[#This Row],[$ CAPITAL]]+FINANCIACION[[#This Row],[$ INTERESES]],0)</f>
        <v>1530000</v>
      </c>
    </row>
    <row r="19" spans="1:11" ht="24" customHeight="1" x14ac:dyDescent="0.3">
      <c r="A19" s="112">
        <v>44777</v>
      </c>
      <c r="B19" s="118" t="s">
        <v>351</v>
      </c>
      <c r="C19" s="113">
        <v>3300000</v>
      </c>
      <c r="D19" s="113"/>
      <c r="E19" s="113">
        <f>+IF(FINANCIACION[[#This Row],[$ CAPITAL]]&gt;=0,FINANCIACION[[#This Row],[$ CAPITAL]]+FINANCIACION[[#This Row],[$ INTERESES]],"")</f>
        <v>3300000</v>
      </c>
      <c r="F19" s="113">
        <f>+SUMIFS(FINANCIACION[$ CAPITAL],FINANCIACION[Fecha],"&lt;="&amp;FINANCIACION[[#This Row],[Fecha]],FINANCIACION[PRESTAMO],FINANCIACION[[#This Row],[PRESTAMO]])</f>
        <v>-15347000</v>
      </c>
      <c r="G19" s="113"/>
      <c r="H19" s="119" t="s">
        <v>452</v>
      </c>
      <c r="I19" s="119"/>
      <c r="J19" s="113">
        <f>+IF(FINANCIACION[[#This Row],[$ CAPITAL]]&gt;0,FINANCIACION[[#This Row],[$ CAPITAL]])</f>
        <v>3300000</v>
      </c>
      <c r="K19" s="120">
        <f>+IF(FINANCIACION[[#This Row],[$ CAPITAL]]&gt;=0,FINANCIACION[[#This Row],[$ CAPITAL]]+FINANCIACION[[#This Row],[$ INTERESES]],0)</f>
        <v>3300000</v>
      </c>
    </row>
    <row r="20" spans="1:11" ht="24" customHeight="1" x14ac:dyDescent="0.3">
      <c r="A20" s="112">
        <v>44777</v>
      </c>
      <c r="B20" s="118" t="s">
        <v>351</v>
      </c>
      <c r="C20" s="113">
        <v>823000</v>
      </c>
      <c r="D20" s="113"/>
      <c r="E20" s="113">
        <f>+IF(FINANCIACION[[#This Row],[$ CAPITAL]]&gt;=0,FINANCIACION[[#This Row],[$ CAPITAL]]+FINANCIACION[[#This Row],[$ INTERESES]],"")</f>
        <v>823000</v>
      </c>
      <c r="F20" s="113">
        <f>+SUMIFS(FINANCIACION[$ CAPITAL],FINANCIACION[Fecha],"&lt;="&amp;FINANCIACION[[#This Row],[Fecha]],FINANCIACION[PRESTAMO],FINANCIACION[[#This Row],[PRESTAMO]])</f>
        <v>-15347000</v>
      </c>
      <c r="G20" s="113"/>
      <c r="H20" s="119" t="s">
        <v>452</v>
      </c>
      <c r="I20" s="119"/>
      <c r="J20" s="113">
        <f>+IF(FINANCIACION[[#This Row],[$ CAPITAL]]&gt;0,FINANCIACION[[#This Row],[$ CAPITAL]])</f>
        <v>823000</v>
      </c>
      <c r="K20" s="120">
        <f>+IF(FINANCIACION[[#This Row],[$ CAPITAL]]&gt;=0,FINANCIACION[[#This Row],[$ CAPITAL]]+FINANCIACION[[#This Row],[$ INTERESES]],0)</f>
        <v>823000</v>
      </c>
    </row>
    <row r="21" spans="1:11" ht="24" customHeight="1" x14ac:dyDescent="0.3">
      <c r="A21" s="112">
        <v>44781</v>
      </c>
      <c r="B21" s="118" t="s">
        <v>351</v>
      </c>
      <c r="C21" s="113">
        <v>2347000</v>
      </c>
      <c r="D21" s="113"/>
      <c r="E21" s="113">
        <f>+IF(FINANCIACION[[#This Row],[$ CAPITAL]]&gt;=0,FINANCIACION[[#This Row],[$ CAPITAL]]+FINANCIACION[[#This Row],[$ INTERESES]],"")</f>
        <v>2347000</v>
      </c>
      <c r="F21" s="113">
        <f>+SUMIFS(FINANCIACION[$ CAPITAL],FINANCIACION[Fecha],"&lt;="&amp;FINANCIACION[[#This Row],[Fecha]],FINANCIACION[PRESTAMO],FINANCIACION[[#This Row],[PRESTAMO]])</f>
        <v>-13000000</v>
      </c>
      <c r="G21" s="113"/>
      <c r="H21" s="119" t="s">
        <v>452</v>
      </c>
      <c r="I21" s="119"/>
      <c r="J21" s="113">
        <f>+IF(FINANCIACION[[#This Row],[$ CAPITAL]]&gt;0,FINANCIACION[[#This Row],[$ CAPITAL]])</f>
        <v>2347000</v>
      </c>
      <c r="K21" s="120">
        <f>+IF(FINANCIACION[[#This Row],[$ CAPITAL]]&gt;=0,FINANCIACION[[#This Row],[$ CAPITAL]]+FINANCIACION[[#This Row],[$ INTERESES]],0)</f>
        <v>2347000</v>
      </c>
    </row>
    <row r="22" spans="1:11" ht="24" customHeight="1" x14ac:dyDescent="0.3">
      <c r="A22" s="112">
        <v>44786</v>
      </c>
      <c r="B22" s="118" t="s">
        <v>351</v>
      </c>
      <c r="C22" s="113"/>
      <c r="D22" s="113">
        <v>130000</v>
      </c>
      <c r="E22" s="113">
        <f>+IF(FINANCIACION[[#This Row],[$ CAPITAL]]&gt;=0,FINANCIACION[[#This Row],[$ CAPITAL]]+FINANCIACION[[#This Row],[$ INTERESES]],"")</f>
        <v>130000</v>
      </c>
      <c r="F22" s="113">
        <f>+SUMIFS(FINANCIACION[$ CAPITAL],FINANCIACION[Fecha],"&lt;="&amp;FINANCIACION[[#This Row],[Fecha]],FINANCIACION[PRESTAMO],FINANCIACION[[#This Row],[PRESTAMO]])</f>
        <v>-13000000</v>
      </c>
      <c r="G22" s="113"/>
      <c r="I22" s="119"/>
      <c r="J22" s="113" t="b">
        <f>+IF(FINANCIACION[[#This Row],[$ CAPITAL]]&gt;0,FINANCIACION[[#This Row],[$ CAPITAL]])</f>
        <v>0</v>
      </c>
      <c r="K22" s="120">
        <f>+IF(FINANCIACION[[#This Row],[$ CAPITAL]]&gt;=0,FINANCIACION[[#This Row],[$ CAPITAL]]+FINANCIACION[[#This Row],[$ INTERESES]],0)</f>
        <v>130000</v>
      </c>
    </row>
    <row r="23" spans="1:11" ht="24" customHeight="1" x14ac:dyDescent="0.3">
      <c r="A23" s="112">
        <v>44817</v>
      </c>
      <c r="B23" s="118" t="s">
        <v>351</v>
      </c>
      <c r="C23" s="113"/>
      <c r="D23" s="113">
        <v>130000</v>
      </c>
      <c r="E23" s="113">
        <f>+IF(FINANCIACION[[#This Row],[$ CAPITAL]]&gt;=0,FINANCIACION[[#This Row],[$ CAPITAL]]+FINANCIACION[[#This Row],[$ INTERESES]],"")</f>
        <v>130000</v>
      </c>
      <c r="F23" s="113">
        <f>+SUMIFS(FINANCIACION[$ CAPITAL],FINANCIACION[Fecha],"&lt;="&amp;FINANCIACION[[#This Row],[Fecha]],FINANCIACION[PRESTAMO],FINANCIACION[[#This Row],[PRESTAMO]])</f>
        <v>-13000000</v>
      </c>
      <c r="G23" s="113"/>
      <c r="I23" s="119"/>
      <c r="J23" s="113" t="b">
        <f>+IF(FINANCIACION[[#This Row],[$ CAPITAL]]&gt;0,FINANCIACION[[#This Row],[$ CAPITAL]])</f>
        <v>0</v>
      </c>
      <c r="K23" s="120">
        <f>+IF(FINANCIACION[[#This Row],[$ CAPITAL]]&gt;=0,FINANCIACION[[#This Row],[$ CAPITAL]]+FINANCIACION[[#This Row],[$ INTERESES]],0)</f>
        <v>130000</v>
      </c>
    </row>
    <row r="24" spans="1:11" ht="24" customHeight="1" x14ac:dyDescent="0.3">
      <c r="A24" s="112">
        <v>44846</v>
      </c>
      <c r="B24" s="118" t="s">
        <v>351</v>
      </c>
      <c r="C24" s="113"/>
      <c r="D24" s="113">
        <v>130000</v>
      </c>
      <c r="E24" s="113">
        <f>+IF(FINANCIACION[[#This Row],[$ CAPITAL]]&gt;=0,FINANCIACION[[#This Row],[$ CAPITAL]]+FINANCIACION[[#This Row],[$ INTERESES]],"")</f>
        <v>130000</v>
      </c>
      <c r="F24" s="113">
        <f>+SUMIFS(FINANCIACION[$ CAPITAL],FINANCIACION[Fecha],"&lt;="&amp;FINANCIACION[[#This Row],[Fecha]],FINANCIACION[PRESTAMO],FINANCIACION[[#This Row],[PRESTAMO]])</f>
        <v>-13000000</v>
      </c>
      <c r="G24" s="113"/>
      <c r="I24" s="119"/>
      <c r="J24" s="113" t="b">
        <f>+IF(FINANCIACION[[#This Row],[$ CAPITAL]]&gt;0,FINANCIACION[[#This Row],[$ CAPITAL]])</f>
        <v>0</v>
      </c>
      <c r="K24" s="120">
        <f>+IF(FINANCIACION[[#This Row],[$ CAPITAL]]&gt;=0,FINANCIACION[[#This Row],[$ CAPITAL]]+FINANCIACION[[#This Row],[$ INTERESES]],0)</f>
        <v>130000</v>
      </c>
    </row>
    <row r="25" spans="1:11" ht="24" customHeight="1" x14ac:dyDescent="0.3">
      <c r="A25" s="112">
        <v>44876</v>
      </c>
      <c r="B25" s="118" t="s">
        <v>351</v>
      </c>
      <c r="C25" s="113"/>
      <c r="D25" s="113">
        <v>130000</v>
      </c>
      <c r="E25" s="113">
        <f>+IF(FINANCIACION[[#This Row],[$ CAPITAL]]&gt;=0,FINANCIACION[[#This Row],[$ CAPITAL]]+FINANCIACION[[#This Row],[$ INTERESES]],"")</f>
        <v>130000</v>
      </c>
      <c r="F25" s="113">
        <f>+SUMIFS(FINANCIACION[$ CAPITAL],FINANCIACION[Fecha],"&lt;="&amp;FINANCIACION[[#This Row],[Fecha]],FINANCIACION[PRESTAMO],FINANCIACION[[#This Row],[PRESTAMO]])</f>
        <v>-13000000</v>
      </c>
      <c r="G25" s="113"/>
      <c r="I25" s="119"/>
      <c r="J25" s="113" t="b">
        <f>+IF(FINANCIACION[[#This Row],[$ CAPITAL]]&gt;0,FINANCIACION[[#This Row],[$ CAPITAL]])</f>
        <v>0</v>
      </c>
      <c r="K25" s="120">
        <f>+IF(FINANCIACION[[#This Row],[$ CAPITAL]]&gt;=0,FINANCIACION[[#This Row],[$ CAPITAL]]+FINANCIACION[[#This Row],[$ INTERESES]],0)</f>
        <v>130000</v>
      </c>
    </row>
    <row r="26" spans="1:11" ht="24" customHeight="1" x14ac:dyDescent="0.3">
      <c r="A26" s="112">
        <v>44909</v>
      </c>
      <c r="B26" s="118" t="s">
        <v>351</v>
      </c>
      <c r="C26" s="113"/>
      <c r="D26" s="113">
        <v>130000</v>
      </c>
      <c r="E26" s="113">
        <f>+IF(FINANCIACION[[#This Row],[$ CAPITAL]]&gt;=0,FINANCIACION[[#This Row],[$ CAPITAL]]+FINANCIACION[[#This Row],[$ INTERESES]],"")</f>
        <v>130000</v>
      </c>
      <c r="F26" s="113">
        <f>+SUMIFS(FINANCIACION[$ CAPITAL],FINANCIACION[Fecha],"&lt;="&amp;FINANCIACION[[#This Row],[Fecha]],FINANCIACION[PRESTAMO],FINANCIACION[[#This Row],[PRESTAMO]])</f>
        <v>-13000000</v>
      </c>
      <c r="G26" s="113"/>
      <c r="I26" s="119"/>
      <c r="J26" s="113" t="b">
        <f>+IF(FINANCIACION[[#This Row],[$ CAPITAL]]&gt;0,FINANCIACION[[#This Row],[$ CAPITAL]])</f>
        <v>0</v>
      </c>
      <c r="K26" s="120">
        <f>+IF(FINANCIACION[[#This Row],[$ CAPITAL]]&gt;=0,FINANCIACION[[#This Row],[$ CAPITAL]]+FINANCIACION[[#This Row],[$ INTERESES]],0)</f>
        <v>130000</v>
      </c>
    </row>
    <row r="27" spans="1:11" ht="24" customHeight="1" x14ac:dyDescent="0.3">
      <c r="A27" s="112">
        <v>44938</v>
      </c>
      <c r="B27" s="118" t="s">
        <v>351</v>
      </c>
      <c r="C27" s="113"/>
      <c r="D27" s="113">
        <v>130000</v>
      </c>
      <c r="E27" s="113">
        <f>+IF(FINANCIACION[[#This Row],[$ CAPITAL]]&gt;=0,FINANCIACION[[#This Row],[$ CAPITAL]]+FINANCIACION[[#This Row],[$ INTERESES]],"")</f>
        <v>130000</v>
      </c>
      <c r="F27" s="113">
        <f>+SUMIFS(FINANCIACION[$ CAPITAL],FINANCIACION[Fecha],"&lt;="&amp;FINANCIACION[[#This Row],[Fecha]],FINANCIACION[PRESTAMO],FINANCIACION[[#This Row],[PRESTAMO]])</f>
        <v>-13000000</v>
      </c>
      <c r="G27" s="113"/>
      <c r="I27" s="119"/>
      <c r="J27" s="113" t="b">
        <f>+IF(FINANCIACION[[#This Row],[$ CAPITAL]]&gt;0,FINANCIACION[[#This Row],[$ CAPITAL]])</f>
        <v>0</v>
      </c>
      <c r="K27" s="120">
        <f>+IF(FINANCIACION[[#This Row],[$ CAPITAL]]&gt;=0,FINANCIACION[[#This Row],[$ CAPITAL]]+FINANCIACION[[#This Row],[$ INTERESES]],0)</f>
        <v>130000</v>
      </c>
    </row>
    <row r="28" spans="1:11" ht="24" customHeight="1" x14ac:dyDescent="0.3">
      <c r="A28" s="112">
        <v>44970</v>
      </c>
      <c r="B28" s="118" t="s">
        <v>351</v>
      </c>
      <c r="C28" s="113"/>
      <c r="D28" s="113">
        <v>130000</v>
      </c>
      <c r="E28" s="113">
        <f>+IF(FINANCIACION[[#This Row],[$ CAPITAL]]&gt;=0,FINANCIACION[[#This Row],[$ CAPITAL]]+FINANCIACION[[#This Row],[$ INTERESES]],"")</f>
        <v>130000</v>
      </c>
      <c r="F28" s="113">
        <f>+SUMIFS(FINANCIACION[$ CAPITAL],FINANCIACION[Fecha],"&lt;="&amp;FINANCIACION[[#This Row],[Fecha]],FINANCIACION[PRESTAMO],FINANCIACION[[#This Row],[PRESTAMO]])</f>
        <v>-13000000</v>
      </c>
      <c r="G28" s="113"/>
      <c r="I28" s="119"/>
      <c r="J28" s="113" t="b">
        <f>+IF(FINANCIACION[[#This Row],[$ CAPITAL]]&gt;0,FINANCIACION[[#This Row],[$ CAPITAL]])</f>
        <v>0</v>
      </c>
      <c r="K28" s="120">
        <f>+IF(FINANCIACION[[#This Row],[$ CAPITAL]]&gt;=0,FINANCIACION[[#This Row],[$ CAPITAL]]+FINANCIACION[[#This Row],[$ INTERESES]],0)</f>
        <v>130000</v>
      </c>
    </row>
    <row r="29" spans="1:11" ht="24" customHeight="1" x14ac:dyDescent="0.3">
      <c r="A29" s="112">
        <v>44999</v>
      </c>
      <c r="B29" s="118" t="s">
        <v>351</v>
      </c>
      <c r="C29" s="113"/>
      <c r="D29" s="113">
        <v>130000</v>
      </c>
      <c r="E29" s="113">
        <f>+IF(FINANCIACION[[#This Row],[$ CAPITAL]]&gt;=0,FINANCIACION[[#This Row],[$ CAPITAL]]+FINANCIACION[[#This Row],[$ INTERESES]],"")</f>
        <v>130000</v>
      </c>
      <c r="F29" s="113">
        <f>+SUMIFS(FINANCIACION[$ CAPITAL],FINANCIACION[Fecha],"&lt;="&amp;FINANCIACION[[#This Row],[Fecha]],FINANCIACION[PRESTAMO],FINANCIACION[[#This Row],[PRESTAMO]])</f>
        <v>-13000000</v>
      </c>
      <c r="G29" s="113"/>
      <c r="I29" s="119"/>
      <c r="J29" s="113" t="b">
        <f>+IF(FINANCIACION[[#This Row],[$ CAPITAL]]&gt;0,FINANCIACION[[#This Row],[$ CAPITAL]])</f>
        <v>0</v>
      </c>
      <c r="K29" s="120">
        <f>+IF(FINANCIACION[[#This Row],[$ CAPITAL]]&gt;=0,FINANCIACION[[#This Row],[$ CAPITAL]]+FINANCIACION[[#This Row],[$ INTERESES]],0)</f>
        <v>130000</v>
      </c>
    </row>
    <row r="30" spans="1:11" ht="24" customHeight="1" x14ac:dyDescent="0.3">
      <c r="A30" s="112">
        <v>45026</v>
      </c>
      <c r="B30" s="118" t="s">
        <v>351</v>
      </c>
      <c r="C30" s="113"/>
      <c r="D30" s="113">
        <v>130000</v>
      </c>
      <c r="E30" s="113">
        <f>+IF(FINANCIACION[[#This Row],[$ CAPITAL]]&gt;=0,FINANCIACION[[#This Row],[$ CAPITAL]]+FINANCIACION[[#This Row],[$ INTERESES]],"")</f>
        <v>130000</v>
      </c>
      <c r="F30" s="113">
        <f>+SUMIFS(FINANCIACION[$ CAPITAL],FINANCIACION[Fecha],"&lt;="&amp;FINANCIACION[[#This Row],[Fecha]],FINANCIACION[PRESTAMO],FINANCIACION[[#This Row],[PRESTAMO]])</f>
        <v>-13000000</v>
      </c>
      <c r="G30" s="113"/>
      <c r="I30" s="119"/>
      <c r="J30" s="113" t="b">
        <f>+IF(FINANCIACION[[#This Row],[$ CAPITAL]]&gt;0,FINANCIACION[[#This Row],[$ CAPITAL]])</f>
        <v>0</v>
      </c>
      <c r="K30" s="120">
        <f>+IF(FINANCIACION[[#This Row],[$ CAPITAL]]&gt;=0,FINANCIACION[[#This Row],[$ CAPITAL]]+FINANCIACION[[#This Row],[$ INTERESES]],0)</f>
        <v>130000</v>
      </c>
    </row>
    <row r="31" spans="1:11" ht="24" customHeight="1" x14ac:dyDescent="0.3">
      <c r="A31" s="112">
        <v>45054</v>
      </c>
      <c r="B31" s="118" t="s">
        <v>351</v>
      </c>
      <c r="C31" s="113"/>
      <c r="D31" s="113">
        <v>130000</v>
      </c>
      <c r="E31" s="113">
        <f>+IF(FINANCIACION[[#This Row],[$ CAPITAL]]&gt;=0,FINANCIACION[[#This Row],[$ CAPITAL]]+FINANCIACION[[#This Row],[$ INTERESES]],"")</f>
        <v>130000</v>
      </c>
      <c r="F31" s="113">
        <f>+SUMIFS(FINANCIACION[$ CAPITAL],FINANCIACION[Fecha],"&lt;="&amp;FINANCIACION[[#This Row],[Fecha]],FINANCIACION[PRESTAMO],FINANCIACION[[#This Row],[PRESTAMO]])</f>
        <v>-13000000</v>
      </c>
      <c r="G31" s="113"/>
      <c r="I31" s="119"/>
      <c r="J31" s="113" t="b">
        <f>+IF(FINANCIACION[[#This Row],[$ CAPITAL]]&gt;0,FINANCIACION[[#This Row],[$ CAPITAL]])</f>
        <v>0</v>
      </c>
      <c r="K31" s="120">
        <f>+IF(FINANCIACION[[#This Row],[$ CAPITAL]]&gt;=0,FINANCIACION[[#This Row],[$ CAPITAL]]+FINANCIACION[[#This Row],[$ INTERESES]],0)</f>
        <v>130000</v>
      </c>
    </row>
    <row r="32" spans="1:11" ht="24" customHeight="1" x14ac:dyDescent="0.3">
      <c r="A32" s="112">
        <v>45091</v>
      </c>
      <c r="B32" s="118" t="s">
        <v>351</v>
      </c>
      <c r="C32" s="113"/>
      <c r="D32" s="113">
        <v>130000</v>
      </c>
      <c r="E32" s="113">
        <f>+IF(FINANCIACION[[#This Row],[$ CAPITAL]]&gt;=0,FINANCIACION[[#This Row],[$ CAPITAL]]+FINANCIACION[[#This Row],[$ INTERESES]],"")</f>
        <v>130000</v>
      </c>
      <c r="F32" s="113">
        <f>+SUMIFS(FINANCIACION[$ CAPITAL],FINANCIACION[Fecha],"&lt;="&amp;FINANCIACION[[#This Row],[Fecha]],FINANCIACION[PRESTAMO],FINANCIACION[[#This Row],[PRESTAMO]])</f>
        <v>-13000000</v>
      </c>
      <c r="G32" s="113"/>
      <c r="I32" s="119"/>
      <c r="J32" s="113" t="b">
        <f>+IF(FINANCIACION[[#This Row],[$ CAPITAL]]&gt;0,FINANCIACION[[#This Row],[$ CAPITAL]])</f>
        <v>0</v>
      </c>
      <c r="K32" s="120">
        <f>+IF(FINANCIACION[[#This Row],[$ CAPITAL]]&gt;=0,FINANCIACION[[#This Row],[$ CAPITAL]]+FINANCIACION[[#This Row],[$ INTERESES]],0)</f>
        <v>130000</v>
      </c>
    </row>
    <row r="33" spans="1:11" ht="24" customHeight="1" x14ac:dyDescent="0.3">
      <c r="A33" s="112">
        <v>45118</v>
      </c>
      <c r="B33" s="118" t="s">
        <v>351</v>
      </c>
      <c r="C33" s="113"/>
      <c r="D33" s="113">
        <v>130000</v>
      </c>
      <c r="E33" s="113">
        <f>+IF(FINANCIACION[[#This Row],[$ CAPITAL]]&gt;=0,FINANCIACION[[#This Row],[$ CAPITAL]]+FINANCIACION[[#This Row],[$ INTERESES]],"")</f>
        <v>130000</v>
      </c>
      <c r="F33" s="113">
        <f>+SUMIFS(FINANCIACION[$ CAPITAL],FINANCIACION[Fecha],"&lt;="&amp;FINANCIACION[[#This Row],[Fecha]],FINANCIACION[PRESTAMO],FINANCIACION[[#This Row],[PRESTAMO]])</f>
        <v>-13000000</v>
      </c>
      <c r="G33" s="113"/>
      <c r="I33" s="119"/>
      <c r="J33" s="113" t="b">
        <f>+IF(FINANCIACION[[#This Row],[$ CAPITAL]]&gt;0,FINANCIACION[[#This Row],[$ CAPITAL]])</f>
        <v>0</v>
      </c>
      <c r="K33" s="120">
        <f>+IF(FINANCIACION[[#This Row],[$ CAPITAL]]&gt;=0,FINANCIACION[[#This Row],[$ CAPITAL]]+FINANCIACION[[#This Row],[$ INTERESES]],0)</f>
        <v>130000</v>
      </c>
    </row>
    <row r="34" spans="1:11" ht="24" customHeight="1" x14ac:dyDescent="0.3">
      <c r="A34" s="112">
        <v>45149</v>
      </c>
      <c r="B34" s="118" t="s">
        <v>351</v>
      </c>
      <c r="C34" s="113"/>
      <c r="D34" s="113">
        <v>130000</v>
      </c>
      <c r="E34" s="113">
        <f>+IF(FINANCIACION[[#This Row],[$ CAPITAL]]&gt;=0,FINANCIACION[[#This Row],[$ CAPITAL]]+FINANCIACION[[#This Row],[$ INTERESES]],"")</f>
        <v>130000</v>
      </c>
      <c r="F34" s="113">
        <f>+SUMIFS(FINANCIACION[$ CAPITAL],FINANCIACION[Fecha],"&lt;="&amp;FINANCIACION[[#This Row],[Fecha]],FINANCIACION[PRESTAMO],FINANCIACION[[#This Row],[PRESTAMO]])</f>
        <v>-13000000</v>
      </c>
      <c r="G34" s="113"/>
      <c r="I34" s="119"/>
      <c r="J34" s="113" t="b">
        <f>+IF(FINANCIACION[[#This Row],[$ CAPITAL]]&gt;0,FINANCIACION[[#This Row],[$ CAPITAL]])</f>
        <v>0</v>
      </c>
      <c r="K34" s="120">
        <f>+IF(FINANCIACION[[#This Row],[$ CAPITAL]]&gt;=0,FINANCIACION[[#This Row],[$ CAPITAL]]+FINANCIACION[[#This Row],[$ INTERESES]],0)</f>
        <v>130000</v>
      </c>
    </row>
    <row r="35" spans="1:11" ht="24" customHeight="1" x14ac:dyDescent="0.3">
      <c r="A35" s="112">
        <v>45187</v>
      </c>
      <c r="B35" s="118" t="s">
        <v>351</v>
      </c>
      <c r="C35" s="113"/>
      <c r="D35" s="113">
        <v>130000</v>
      </c>
      <c r="E35" s="113">
        <f>+IF(FINANCIACION[[#This Row],[$ CAPITAL]]&gt;=0,FINANCIACION[[#This Row],[$ CAPITAL]]+FINANCIACION[[#This Row],[$ INTERESES]],"")</f>
        <v>130000</v>
      </c>
      <c r="F35" s="113">
        <f>+SUMIFS(FINANCIACION[$ CAPITAL],FINANCIACION[Fecha],"&lt;="&amp;FINANCIACION[[#This Row],[Fecha]],FINANCIACION[PRESTAMO],FINANCIACION[[#This Row],[PRESTAMO]])</f>
        <v>-13000000</v>
      </c>
      <c r="G35" s="113"/>
      <c r="I35" s="119"/>
      <c r="J35" s="113" t="b">
        <f>+IF(FINANCIACION[[#This Row],[$ CAPITAL]]&gt;0,FINANCIACION[[#This Row],[$ CAPITAL]])</f>
        <v>0</v>
      </c>
      <c r="K35" s="120">
        <f>+IF(FINANCIACION[[#This Row],[$ CAPITAL]]&gt;=0,FINANCIACION[[#This Row],[$ CAPITAL]]+FINANCIACION[[#This Row],[$ INTERESES]],0)</f>
        <v>130000</v>
      </c>
    </row>
    <row r="36" spans="1:11" ht="24" customHeight="1" x14ac:dyDescent="0.3">
      <c r="A36" s="112">
        <v>45210</v>
      </c>
      <c r="B36" s="118" t="s">
        <v>351</v>
      </c>
      <c r="C36" s="113"/>
      <c r="D36" s="113">
        <v>130000</v>
      </c>
      <c r="E36" s="113">
        <f>+IF(FINANCIACION[[#This Row],[$ CAPITAL]]&gt;=0,FINANCIACION[[#This Row],[$ CAPITAL]]+FINANCIACION[[#This Row],[$ INTERESES]],"")</f>
        <v>130000</v>
      </c>
      <c r="F36" s="113">
        <f>+SUMIFS(FINANCIACION[$ CAPITAL],FINANCIACION[Fecha],"&lt;="&amp;FINANCIACION[[#This Row],[Fecha]],FINANCIACION[PRESTAMO],FINANCIACION[[#This Row],[PRESTAMO]])</f>
        <v>-13000000</v>
      </c>
      <c r="G36" s="113"/>
      <c r="I36" s="119"/>
      <c r="J36" s="113" t="b">
        <f>+IF(FINANCIACION[[#This Row],[$ CAPITAL]]&gt;0,FINANCIACION[[#This Row],[$ CAPITAL]])</f>
        <v>0</v>
      </c>
      <c r="K36" s="120">
        <f>+IF(FINANCIACION[[#This Row],[$ CAPITAL]]&gt;=0,FINANCIACION[[#This Row],[$ CAPITAL]]+FINANCIACION[[#This Row],[$ INTERESES]],0)</f>
        <v>130000</v>
      </c>
    </row>
    <row r="37" spans="1:11" ht="24" customHeight="1" x14ac:dyDescent="0.3">
      <c r="A37" s="112">
        <v>45244</v>
      </c>
      <c r="B37" s="118" t="s">
        <v>351</v>
      </c>
      <c r="C37" s="113"/>
      <c r="D37" s="113">
        <v>130000</v>
      </c>
      <c r="E37" s="113">
        <f>+IF(FINANCIACION[[#This Row],[$ CAPITAL]]&gt;=0,FINANCIACION[[#This Row],[$ CAPITAL]]+FINANCIACION[[#This Row],[$ INTERESES]],"")</f>
        <v>130000</v>
      </c>
      <c r="F37" s="113">
        <f>+SUMIFS(FINANCIACION[$ CAPITAL],FINANCIACION[Fecha],"&lt;="&amp;FINANCIACION[[#This Row],[Fecha]],FINANCIACION[PRESTAMO],FINANCIACION[[#This Row],[PRESTAMO]])</f>
        <v>-13000000</v>
      </c>
      <c r="G37" s="113"/>
      <c r="I37" s="119"/>
      <c r="J37" s="113" t="b">
        <f>+IF(FINANCIACION[[#This Row],[$ CAPITAL]]&gt;0,FINANCIACION[[#This Row],[$ CAPITAL]])</f>
        <v>0</v>
      </c>
      <c r="K37" s="120">
        <f>+IF(FINANCIACION[[#This Row],[$ CAPITAL]]&gt;=0,FINANCIACION[[#This Row],[$ CAPITAL]]+FINANCIACION[[#This Row],[$ INTERESES]],0)</f>
        <v>130000</v>
      </c>
    </row>
    <row r="38" spans="1:11" ht="24" customHeight="1" x14ac:dyDescent="0.3">
      <c r="A38" s="112">
        <v>45271</v>
      </c>
      <c r="B38" s="118" t="s">
        <v>351</v>
      </c>
      <c r="C38" s="113"/>
      <c r="D38" s="113">
        <v>130000</v>
      </c>
      <c r="E38" s="113">
        <f>+IF(FINANCIACION[[#This Row],[$ CAPITAL]]&gt;=0,FINANCIACION[[#This Row],[$ CAPITAL]]+FINANCIACION[[#This Row],[$ INTERESES]],"")</f>
        <v>130000</v>
      </c>
      <c r="F38" s="113">
        <f>+SUMIFS(FINANCIACION[$ CAPITAL],FINANCIACION[Fecha],"&lt;="&amp;FINANCIACION[[#This Row],[Fecha]],FINANCIACION[PRESTAMO],FINANCIACION[[#This Row],[PRESTAMO]])</f>
        <v>-13000000</v>
      </c>
      <c r="G38" s="113"/>
      <c r="I38" s="119"/>
      <c r="J38" s="113" t="b">
        <f>+IF(FINANCIACION[[#This Row],[$ CAPITAL]]&gt;0,FINANCIACION[[#This Row],[$ CAPITAL]])</f>
        <v>0</v>
      </c>
      <c r="K38" s="120">
        <f>+IF(FINANCIACION[[#This Row],[$ CAPITAL]]&gt;=0,FINANCIACION[[#This Row],[$ CAPITAL]]+FINANCIACION[[#This Row],[$ INTERESES]],0)</f>
        <v>130000</v>
      </c>
    </row>
    <row r="39" spans="1:11" ht="24" customHeight="1" x14ac:dyDescent="0.3">
      <c r="A39" s="112">
        <v>45302</v>
      </c>
      <c r="B39" s="118" t="s">
        <v>351</v>
      </c>
      <c r="C39" s="113">
        <v>0</v>
      </c>
      <c r="D39" s="113">
        <v>130000</v>
      </c>
      <c r="E39" s="113">
        <f>+IF(FINANCIACION[[#This Row],[$ CAPITAL]]&gt;=0,FINANCIACION[[#This Row],[$ CAPITAL]]+FINANCIACION[[#This Row],[$ INTERESES]],"")</f>
        <v>130000</v>
      </c>
      <c r="F39" s="113">
        <f>+SUMIFS(FINANCIACION[$ CAPITAL],FINANCIACION[Fecha],"&lt;="&amp;FINANCIACION[[#This Row],[Fecha]],FINANCIACION[PRESTAMO],FINANCIACION[[#This Row],[PRESTAMO]])</f>
        <v>-13000000</v>
      </c>
      <c r="G39" s="113"/>
      <c r="I39" s="119"/>
      <c r="J39" s="113" t="b">
        <f>+IF(FINANCIACION[[#This Row],[$ CAPITAL]]&gt;0,FINANCIACION[[#This Row],[$ CAPITAL]])</f>
        <v>0</v>
      </c>
      <c r="K39" s="120">
        <f>+IF(FINANCIACION[[#This Row],[$ CAPITAL]]&gt;=0,FINANCIACION[[#This Row],[$ CAPITAL]]+FINANCIACION[[#This Row],[$ INTERESES]],0)</f>
        <v>130000</v>
      </c>
    </row>
    <row r="40" spans="1:11" ht="24" customHeight="1" x14ac:dyDescent="0.3">
      <c r="A40" s="112">
        <v>45010</v>
      </c>
      <c r="B40" s="118" t="s">
        <v>679</v>
      </c>
      <c r="C40" s="113">
        <v>-20000000</v>
      </c>
      <c r="D40" s="113"/>
      <c r="E40" s="113" t="str">
        <f>+IF(FINANCIACION[[#This Row],[$ CAPITAL]]&gt;=0,FINANCIACION[[#This Row],[$ CAPITAL]]+FINANCIACION[[#This Row],[$ INTERESES]],"")</f>
        <v/>
      </c>
      <c r="F40" s="113">
        <f>+SUMIFS(FINANCIACION[$ CAPITAL],FINANCIACION[Fecha],"&lt;="&amp;FINANCIACION[[#This Row],[Fecha]],FINANCIACION[PRESTAMO],FINANCIACION[[#This Row],[PRESTAMO]])</f>
        <v>-20000000</v>
      </c>
      <c r="G40" s="113"/>
      <c r="I40" s="119"/>
      <c r="J40" s="113" t="b">
        <f>+IF(FINANCIACION[[#This Row],[$ CAPITAL]]&gt;0,FINANCIACION[[#This Row],[$ CAPITAL]])</f>
        <v>0</v>
      </c>
      <c r="K40" s="120">
        <f>+IF(FINANCIACION[[#This Row],[$ CAPITAL]]&gt;=0,FINANCIACION[[#This Row],[$ CAPITAL]]+FINANCIACION[[#This Row],[$ INTERESES]],0)</f>
        <v>0</v>
      </c>
    </row>
    <row r="41" spans="1:11" ht="24" customHeight="1" x14ac:dyDescent="0.3">
      <c r="A41" s="112">
        <v>45036</v>
      </c>
      <c r="B41" s="118" t="s">
        <v>679</v>
      </c>
      <c r="C41" s="113"/>
      <c r="D41" s="113">
        <v>200000</v>
      </c>
      <c r="E41" s="113">
        <f>+IF(FINANCIACION[[#This Row],[$ CAPITAL]]&gt;=0,FINANCIACION[[#This Row],[$ CAPITAL]]+FINANCIACION[[#This Row],[$ INTERESES]],"")</f>
        <v>200000</v>
      </c>
      <c r="F41" s="113">
        <f>+SUMIFS(FINANCIACION[$ CAPITAL],FINANCIACION[Fecha],"&lt;="&amp;FINANCIACION[[#This Row],[Fecha]],FINANCIACION[PRESTAMO],FINANCIACION[[#This Row],[PRESTAMO]])</f>
        <v>-20000000</v>
      </c>
      <c r="G41" s="113"/>
      <c r="I41" s="119"/>
      <c r="J41" s="113" t="b">
        <f>+IF(FINANCIACION[[#This Row],[$ CAPITAL]]&gt;0,FINANCIACION[[#This Row],[$ CAPITAL]])</f>
        <v>0</v>
      </c>
      <c r="K41" s="120">
        <f>+IF(FINANCIACION[[#This Row],[$ CAPITAL]]&gt;=0,FINANCIACION[[#This Row],[$ CAPITAL]]+FINANCIACION[[#This Row],[$ INTERESES]],0)</f>
        <v>200000</v>
      </c>
    </row>
    <row r="42" spans="1:11" ht="24" customHeight="1" x14ac:dyDescent="0.3">
      <c r="A42" s="112">
        <v>45054</v>
      </c>
      <c r="B42" s="118" t="s">
        <v>679</v>
      </c>
      <c r="C42" s="113"/>
      <c r="D42" s="113">
        <v>200000</v>
      </c>
      <c r="E42" s="113">
        <f>+IF(FINANCIACION[[#This Row],[$ CAPITAL]]&gt;=0,FINANCIACION[[#This Row],[$ CAPITAL]]+FINANCIACION[[#This Row],[$ INTERESES]],"")</f>
        <v>200000</v>
      </c>
      <c r="F42" s="113">
        <f>+SUMIFS(FINANCIACION[$ CAPITAL],FINANCIACION[Fecha],"&lt;="&amp;FINANCIACION[[#This Row],[Fecha]],FINANCIACION[PRESTAMO],FINANCIACION[[#This Row],[PRESTAMO]])</f>
        <v>-20000000</v>
      </c>
      <c r="G42" s="113"/>
      <c r="I42" s="119"/>
      <c r="J42" s="113" t="b">
        <f>+IF(FINANCIACION[[#This Row],[$ CAPITAL]]&gt;0,FINANCIACION[[#This Row],[$ CAPITAL]])</f>
        <v>0</v>
      </c>
      <c r="K42" s="120">
        <f>+IF(FINANCIACION[[#This Row],[$ CAPITAL]]&gt;=0,FINANCIACION[[#This Row],[$ CAPITAL]]+FINANCIACION[[#This Row],[$ INTERESES]],0)</f>
        <v>200000</v>
      </c>
    </row>
    <row r="43" spans="1:11" ht="24" customHeight="1" x14ac:dyDescent="0.3">
      <c r="A43" s="112">
        <v>45091</v>
      </c>
      <c r="B43" s="118" t="s">
        <v>679</v>
      </c>
      <c r="C43" s="113"/>
      <c r="D43" s="113">
        <v>200000</v>
      </c>
      <c r="E43" s="113">
        <f>+IF(FINANCIACION[[#This Row],[$ CAPITAL]]&gt;=0,FINANCIACION[[#This Row],[$ CAPITAL]]+FINANCIACION[[#This Row],[$ INTERESES]],"")</f>
        <v>200000</v>
      </c>
      <c r="F43" s="113">
        <f>+SUMIFS(FINANCIACION[$ CAPITAL],FINANCIACION[Fecha],"&lt;="&amp;FINANCIACION[[#This Row],[Fecha]],FINANCIACION[PRESTAMO],FINANCIACION[[#This Row],[PRESTAMO]])</f>
        <v>-20000000</v>
      </c>
      <c r="G43" s="113"/>
      <c r="I43" s="119"/>
      <c r="J43" s="113" t="b">
        <f>+IF(FINANCIACION[[#This Row],[$ CAPITAL]]&gt;0,FINANCIACION[[#This Row],[$ CAPITAL]])</f>
        <v>0</v>
      </c>
      <c r="K43" s="120">
        <f>+IF(FINANCIACION[[#This Row],[$ CAPITAL]]&gt;=0,FINANCIACION[[#This Row],[$ CAPITAL]]+FINANCIACION[[#This Row],[$ INTERESES]],0)</f>
        <v>200000</v>
      </c>
    </row>
    <row r="44" spans="1:11" ht="24" customHeight="1" x14ac:dyDescent="0.3">
      <c r="A44" s="112">
        <v>45118</v>
      </c>
      <c r="B44" s="118" t="s">
        <v>679</v>
      </c>
      <c r="C44" s="113"/>
      <c r="D44" s="113">
        <v>200000</v>
      </c>
      <c r="E44" s="113">
        <f>+IF(FINANCIACION[[#This Row],[$ CAPITAL]]&gt;=0,FINANCIACION[[#This Row],[$ CAPITAL]]+FINANCIACION[[#This Row],[$ INTERESES]],"")</f>
        <v>200000</v>
      </c>
      <c r="F44" s="113">
        <f>+SUMIFS(FINANCIACION[$ CAPITAL],FINANCIACION[Fecha],"&lt;="&amp;FINANCIACION[[#This Row],[Fecha]],FINANCIACION[PRESTAMO],FINANCIACION[[#This Row],[PRESTAMO]])</f>
        <v>-20000000</v>
      </c>
      <c r="G44" s="113"/>
      <c r="I44" s="119"/>
      <c r="J44" s="113" t="b">
        <f>+IF(FINANCIACION[[#This Row],[$ CAPITAL]]&gt;0,FINANCIACION[[#This Row],[$ CAPITAL]])</f>
        <v>0</v>
      </c>
      <c r="K44" s="120">
        <f>+IF(FINANCIACION[[#This Row],[$ CAPITAL]]&gt;=0,FINANCIACION[[#This Row],[$ CAPITAL]]+FINANCIACION[[#This Row],[$ INTERESES]],0)</f>
        <v>200000</v>
      </c>
    </row>
    <row r="45" spans="1:11" ht="24" customHeight="1" x14ac:dyDescent="0.3">
      <c r="A45" s="112">
        <v>45120</v>
      </c>
      <c r="B45" s="118" t="s">
        <v>679</v>
      </c>
      <c r="C45" s="113">
        <v>-50000000</v>
      </c>
      <c r="D45" s="113"/>
      <c r="E45" s="113" t="str">
        <f>+IF(FINANCIACION[[#This Row],[$ CAPITAL]]&gt;=0,FINANCIACION[[#This Row],[$ CAPITAL]]+FINANCIACION[[#This Row],[$ INTERESES]],"")</f>
        <v/>
      </c>
      <c r="F45" s="113">
        <f>+SUMIFS(FINANCIACION[$ CAPITAL],FINANCIACION[Fecha],"&lt;="&amp;FINANCIACION[[#This Row],[Fecha]],FINANCIACION[PRESTAMO],FINANCIACION[[#This Row],[PRESTAMO]])</f>
        <v>-70000000</v>
      </c>
      <c r="G45" s="113"/>
      <c r="I45" s="119"/>
      <c r="J45" s="113" t="b">
        <f>+IF(FINANCIACION[[#This Row],[$ CAPITAL]]&gt;0,FINANCIACION[[#This Row],[$ CAPITAL]])</f>
        <v>0</v>
      </c>
      <c r="K45" s="120">
        <f>+IF(FINANCIACION[[#This Row],[$ CAPITAL]]&gt;=0,FINANCIACION[[#This Row],[$ CAPITAL]]+FINANCIACION[[#This Row],[$ INTERESES]],0)</f>
        <v>0</v>
      </c>
    </row>
    <row r="46" spans="1:11" ht="24" customHeight="1" x14ac:dyDescent="0.3">
      <c r="A46" s="112">
        <v>45149</v>
      </c>
      <c r="B46" s="118" t="s">
        <v>679</v>
      </c>
      <c r="C46" s="113"/>
      <c r="D46" s="113">
        <v>700000</v>
      </c>
      <c r="E46" s="113">
        <f>+IF(FINANCIACION[[#This Row],[$ CAPITAL]]&gt;=0,FINANCIACION[[#This Row],[$ CAPITAL]]+FINANCIACION[[#This Row],[$ INTERESES]],"")</f>
        <v>700000</v>
      </c>
      <c r="F46" s="113">
        <f>+SUMIFS(FINANCIACION[$ CAPITAL],FINANCIACION[Fecha],"&lt;="&amp;FINANCIACION[[#This Row],[Fecha]],FINANCIACION[PRESTAMO],FINANCIACION[[#This Row],[PRESTAMO]])</f>
        <v>-70000000</v>
      </c>
      <c r="G46" s="113"/>
      <c r="I46" s="119"/>
      <c r="J46" s="113" t="b">
        <f>+IF(FINANCIACION[[#This Row],[$ CAPITAL]]&gt;0,FINANCIACION[[#This Row],[$ CAPITAL]])</f>
        <v>0</v>
      </c>
      <c r="K46" s="120">
        <f>+IF(FINANCIACION[[#This Row],[$ CAPITAL]]&gt;=0,FINANCIACION[[#This Row],[$ CAPITAL]]+FINANCIACION[[#This Row],[$ INTERESES]],0)</f>
        <v>700000</v>
      </c>
    </row>
    <row r="47" spans="1:11" ht="24" customHeight="1" x14ac:dyDescent="0.3">
      <c r="A47" s="112">
        <v>45187</v>
      </c>
      <c r="B47" s="118" t="s">
        <v>679</v>
      </c>
      <c r="C47" s="113"/>
      <c r="D47" s="113">
        <v>700000</v>
      </c>
      <c r="E47" s="113">
        <f>+IF(FINANCIACION[[#This Row],[$ CAPITAL]]&gt;=0,FINANCIACION[[#This Row],[$ CAPITAL]]+FINANCIACION[[#This Row],[$ INTERESES]],"")</f>
        <v>700000</v>
      </c>
      <c r="F47" s="113">
        <f>+SUMIFS(FINANCIACION[$ CAPITAL],FINANCIACION[Fecha],"&lt;="&amp;FINANCIACION[[#This Row],[Fecha]],FINANCIACION[PRESTAMO],FINANCIACION[[#This Row],[PRESTAMO]])</f>
        <v>-70000000</v>
      </c>
      <c r="G47" s="113"/>
      <c r="I47" s="119"/>
      <c r="J47" s="113" t="b">
        <f>+IF(FINANCIACION[[#This Row],[$ CAPITAL]]&gt;0,FINANCIACION[[#This Row],[$ CAPITAL]])</f>
        <v>0</v>
      </c>
      <c r="K47" s="120">
        <f>+IF(FINANCIACION[[#This Row],[$ CAPITAL]]&gt;=0,FINANCIACION[[#This Row],[$ CAPITAL]]+FINANCIACION[[#This Row],[$ INTERESES]],0)</f>
        <v>700000</v>
      </c>
    </row>
    <row r="48" spans="1:11" ht="24" customHeight="1" x14ac:dyDescent="0.3">
      <c r="A48" s="112">
        <v>45211</v>
      </c>
      <c r="B48" s="118" t="s">
        <v>679</v>
      </c>
      <c r="C48" s="113"/>
      <c r="D48" s="113">
        <v>700000</v>
      </c>
      <c r="E48" s="113">
        <f>+IF(FINANCIACION[[#This Row],[$ CAPITAL]]&gt;=0,FINANCIACION[[#This Row],[$ CAPITAL]]+FINANCIACION[[#This Row],[$ INTERESES]],"")</f>
        <v>700000</v>
      </c>
      <c r="F48" s="113">
        <f>+SUMIFS(FINANCIACION[$ CAPITAL],FINANCIACION[Fecha],"&lt;="&amp;FINANCIACION[[#This Row],[Fecha]],FINANCIACION[PRESTAMO],FINANCIACION[[#This Row],[PRESTAMO]])</f>
        <v>-70000000</v>
      </c>
      <c r="G48" s="113"/>
      <c r="I48" s="119"/>
      <c r="J48" s="113" t="b">
        <f>+IF(FINANCIACION[[#This Row],[$ CAPITAL]]&gt;0,FINANCIACION[[#This Row],[$ CAPITAL]])</f>
        <v>0</v>
      </c>
      <c r="K48" s="120">
        <f>+IF(FINANCIACION[[#This Row],[$ CAPITAL]]&gt;=0,FINANCIACION[[#This Row],[$ CAPITAL]]+FINANCIACION[[#This Row],[$ INTERESES]],0)</f>
        <v>700000</v>
      </c>
    </row>
    <row r="49" spans="1:11" ht="24" customHeight="1" x14ac:dyDescent="0.3">
      <c r="A49" s="112">
        <v>45244</v>
      </c>
      <c r="B49" s="118" t="s">
        <v>679</v>
      </c>
      <c r="C49" s="113"/>
      <c r="D49" s="113">
        <v>700000</v>
      </c>
      <c r="E49" s="113">
        <f>+IF(FINANCIACION[[#This Row],[$ CAPITAL]]&gt;=0,FINANCIACION[[#This Row],[$ CAPITAL]]+FINANCIACION[[#This Row],[$ INTERESES]],"")</f>
        <v>700000</v>
      </c>
      <c r="F49" s="113">
        <f>+SUMIFS(FINANCIACION[$ CAPITAL],FINANCIACION[Fecha],"&lt;="&amp;FINANCIACION[[#This Row],[Fecha]],FINANCIACION[PRESTAMO],FINANCIACION[[#This Row],[PRESTAMO]])</f>
        <v>-70000000</v>
      </c>
      <c r="G49" s="113"/>
      <c r="I49" s="119"/>
      <c r="J49" s="113" t="b">
        <f>+IF(FINANCIACION[[#This Row],[$ CAPITAL]]&gt;0,FINANCIACION[[#This Row],[$ CAPITAL]])</f>
        <v>0</v>
      </c>
      <c r="K49" s="120">
        <f>+IF(FINANCIACION[[#This Row],[$ CAPITAL]]&gt;=0,FINANCIACION[[#This Row],[$ CAPITAL]]+FINANCIACION[[#This Row],[$ INTERESES]],0)</f>
        <v>700000</v>
      </c>
    </row>
    <row r="50" spans="1:11" ht="24" customHeight="1" x14ac:dyDescent="0.3">
      <c r="A50" s="112">
        <v>45271</v>
      </c>
      <c r="B50" s="118" t="s">
        <v>679</v>
      </c>
      <c r="C50" s="113"/>
      <c r="D50" s="113">
        <v>700000</v>
      </c>
      <c r="E50" s="113">
        <f>+IF(FINANCIACION[[#This Row],[$ CAPITAL]]&gt;=0,FINANCIACION[[#This Row],[$ CAPITAL]]+FINANCIACION[[#This Row],[$ INTERESES]],"")</f>
        <v>700000</v>
      </c>
      <c r="F50" s="113">
        <f>+SUMIFS(FINANCIACION[$ CAPITAL],FINANCIACION[Fecha],"&lt;="&amp;FINANCIACION[[#This Row],[Fecha]],FINANCIACION[PRESTAMO],FINANCIACION[[#This Row],[PRESTAMO]])</f>
        <v>-70000000</v>
      </c>
      <c r="G50" s="113"/>
      <c r="I50" s="119"/>
      <c r="J50" s="113" t="b">
        <f>+IF(FINANCIACION[[#This Row],[$ CAPITAL]]&gt;0,FINANCIACION[[#This Row],[$ CAPITAL]])</f>
        <v>0</v>
      </c>
      <c r="K50" s="120">
        <f>+IF(FINANCIACION[[#This Row],[$ CAPITAL]]&gt;=0,FINANCIACION[[#This Row],[$ CAPITAL]]+FINANCIACION[[#This Row],[$ INTERESES]],0)</f>
        <v>700000</v>
      </c>
    </row>
    <row r="51" spans="1:11" ht="24" customHeight="1" x14ac:dyDescent="0.3">
      <c r="A51" s="112">
        <v>45302</v>
      </c>
      <c r="B51" s="118" t="s">
        <v>679</v>
      </c>
      <c r="C51" s="113">
        <v>0</v>
      </c>
      <c r="D51" s="113">
        <v>700000</v>
      </c>
      <c r="E51" s="113">
        <f>+IF(FINANCIACION[[#This Row],[$ CAPITAL]]&gt;=0,FINANCIACION[[#This Row],[$ CAPITAL]]+FINANCIACION[[#This Row],[$ INTERESES]],"")</f>
        <v>700000</v>
      </c>
      <c r="F51" s="113">
        <f>+SUMIFS(FINANCIACION[$ CAPITAL],FINANCIACION[Fecha],"&lt;="&amp;FINANCIACION[[#This Row],[Fecha]],FINANCIACION[PRESTAMO],FINANCIACION[[#This Row],[PRESTAMO]])</f>
        <v>-70000000</v>
      </c>
      <c r="G51" s="113"/>
      <c r="I51" s="119"/>
      <c r="J51" s="113" t="b">
        <f>+IF(FINANCIACION[[#This Row],[$ CAPITAL]]&gt;0,FINANCIACION[[#This Row],[$ CAPITAL]])</f>
        <v>0</v>
      </c>
      <c r="K51" s="120">
        <f>+IF(FINANCIACION[[#This Row],[$ CAPITAL]]&gt;=0,FINANCIACION[[#This Row],[$ CAPITAL]]+FINANCIACION[[#This Row],[$ INTERESES]],0)</f>
        <v>700000</v>
      </c>
    </row>
    <row r="52" spans="1:11" ht="24" customHeight="1" x14ac:dyDescent="0.3">
      <c r="A52" s="122">
        <v>43900</v>
      </c>
      <c r="B52" s="118" t="s">
        <v>349</v>
      </c>
      <c r="C52" s="113">
        <v>-75000000</v>
      </c>
      <c r="D52" s="113"/>
      <c r="E52" s="113" t="str">
        <f>+IF(FINANCIACION[[#This Row],[$ CAPITAL]]&gt;=0,FINANCIACION[[#This Row],[$ CAPITAL]]+FINANCIACION[[#This Row],[$ INTERESES]],"")</f>
        <v/>
      </c>
      <c r="F52" s="113">
        <f>+SUMIFS(FINANCIACION[$ CAPITAL],FINANCIACION[Fecha],"&lt;="&amp;FINANCIACION[[#This Row],[Fecha]],FINANCIACION[PRESTAMO],FINANCIACION[[#This Row],[PRESTAMO]])</f>
        <v>-75000000</v>
      </c>
      <c r="G52" s="113"/>
      <c r="H52" s="117"/>
      <c r="I52" s="119"/>
      <c r="J52" s="113" t="b">
        <f>IF(FINANCIACION[[#This Row],[$ CAPITAL]]&gt;0,FINANCIACION[[#This Row],[$ CAPITAL]])</f>
        <v>0</v>
      </c>
      <c r="K52" s="120">
        <f>IF(FINANCIACION[[#This Row],[$ CAPITAL]]&gt;=0,FINANCIACION[[#This Row],[$ CAPITAL]]+FINANCIACION[[#This Row],[$ INTERESES]],0)</f>
        <v>0</v>
      </c>
    </row>
    <row r="53" spans="1:11" ht="24" customHeight="1" x14ac:dyDescent="0.3">
      <c r="A53" s="122">
        <v>44191</v>
      </c>
      <c r="B53" s="118" t="s">
        <v>349</v>
      </c>
      <c r="C53" s="113"/>
      <c r="D53" s="113">
        <v>6750000</v>
      </c>
      <c r="E53" s="113">
        <f>+IF(FINANCIACION[[#This Row],[$ CAPITAL]]&gt;=0,FINANCIACION[[#This Row],[$ CAPITAL]]+FINANCIACION[[#This Row],[$ INTERESES]],"")</f>
        <v>6750000</v>
      </c>
      <c r="F53" s="113">
        <f>+SUMIFS(FINANCIACION[$ CAPITAL],FINANCIACION[Fecha],"&lt;="&amp;FINANCIACION[[#This Row],[Fecha]],FINANCIACION[PRESTAMO],FINANCIACION[[#This Row],[PRESTAMO]])</f>
        <v>-75000000</v>
      </c>
      <c r="G53" s="113"/>
      <c r="H53" s="117"/>
      <c r="I53" s="119"/>
      <c r="J53" s="113" t="b">
        <f>IF(FINANCIACION[[#This Row],[$ CAPITAL]]&gt;0,FINANCIACION[[#This Row],[$ CAPITAL]])</f>
        <v>0</v>
      </c>
      <c r="K53" s="120">
        <f>IF(FINANCIACION[[#This Row],[$ CAPITAL]]&gt;=0,FINANCIACION[[#This Row],[$ CAPITAL]]+FINANCIACION[[#This Row],[$ INTERESES]],0)</f>
        <v>6750000</v>
      </c>
    </row>
    <row r="54" spans="1:11" ht="24" customHeight="1" x14ac:dyDescent="0.3">
      <c r="A54" s="112">
        <v>44554</v>
      </c>
      <c r="B54" s="118" t="s">
        <v>349</v>
      </c>
      <c r="C54" s="113"/>
      <c r="D54" s="113">
        <v>9000000</v>
      </c>
      <c r="E54" s="113">
        <f>+IF(FINANCIACION[[#This Row],[$ CAPITAL]]&gt;=0,FINANCIACION[[#This Row],[$ CAPITAL]]+FINANCIACION[[#This Row],[$ INTERESES]],"")</f>
        <v>9000000</v>
      </c>
      <c r="F54" s="113">
        <f>+SUMIFS(FINANCIACION[$ CAPITAL],FINANCIACION[Fecha],"&lt;="&amp;FINANCIACION[[#This Row],[Fecha]],FINANCIACION[PRESTAMO],FINANCIACION[[#This Row],[PRESTAMO]])</f>
        <v>-75000000</v>
      </c>
      <c r="G54" s="113"/>
      <c r="I54" s="119"/>
      <c r="J54" s="113" t="b">
        <f>IF(FINANCIACION[[#This Row],[$ CAPITAL]]&gt;0,FINANCIACION[[#This Row],[$ CAPITAL]])</f>
        <v>0</v>
      </c>
      <c r="K54" s="120">
        <f>IF(FINANCIACION[[#This Row],[$ CAPITAL]]&gt;=0,FINANCIACION[[#This Row],[$ CAPITAL]]+FINANCIACION[[#This Row],[$ INTERESES]],0)</f>
        <v>9000000</v>
      </c>
    </row>
    <row r="55" spans="1:11" ht="24" customHeight="1" x14ac:dyDescent="0.3">
      <c r="A55" s="112">
        <v>44915</v>
      </c>
      <c r="B55" s="118" t="s">
        <v>349</v>
      </c>
      <c r="C55" s="113"/>
      <c r="D55" s="113">
        <v>9000000</v>
      </c>
      <c r="E55" s="113">
        <f>+IF(FINANCIACION[[#This Row],[$ CAPITAL]]&gt;=0,FINANCIACION[[#This Row],[$ CAPITAL]]+FINANCIACION[[#This Row],[$ INTERESES]],"")</f>
        <v>9000000</v>
      </c>
      <c r="F55" s="113">
        <f>+SUMIFS(FINANCIACION[$ CAPITAL],FINANCIACION[Fecha],"&lt;="&amp;FINANCIACION[[#This Row],[Fecha]],FINANCIACION[PRESTAMO],FINANCIACION[[#This Row],[PRESTAMO]])</f>
        <v>-75000000</v>
      </c>
      <c r="G55" s="113"/>
      <c r="I55" s="119"/>
      <c r="J55" s="113" t="b">
        <f>+IF(FINANCIACION[[#This Row],[$ CAPITAL]]&gt;0,FINANCIACION[[#This Row],[$ CAPITAL]])</f>
        <v>0</v>
      </c>
      <c r="K55" s="120">
        <f>+IF(FINANCIACION[[#This Row],[$ CAPITAL]]&gt;=0,FINANCIACION[[#This Row],[$ CAPITAL]]+FINANCIACION[[#This Row],[$ INTERESES]],0)</f>
        <v>9000000</v>
      </c>
    </row>
    <row r="56" spans="1:11" ht="24" customHeight="1" x14ac:dyDescent="0.3">
      <c r="A56" s="112">
        <v>44928</v>
      </c>
      <c r="B56" s="118" t="s">
        <v>349</v>
      </c>
      <c r="C56" s="113"/>
      <c r="D56" s="113">
        <v>197070</v>
      </c>
      <c r="E56" s="113">
        <f>+IF(FINANCIACION[[#This Row],[$ CAPITAL]]&gt;=0,FINANCIACION[[#This Row],[$ CAPITAL]]+FINANCIACION[[#This Row],[$ INTERESES]],"")</f>
        <v>197070</v>
      </c>
      <c r="F56" s="113">
        <f>+SUMIFS(FINANCIACION[$ CAPITAL],FINANCIACION[Fecha],"&lt;="&amp;FINANCIACION[[#This Row],[Fecha]],FINANCIACION[PRESTAMO],FINANCIACION[[#This Row],[PRESTAMO]])</f>
        <v>-75000000</v>
      </c>
      <c r="G56" s="113"/>
      <c r="H56" s="119" t="s">
        <v>1391</v>
      </c>
      <c r="I56" s="119"/>
      <c r="J56" s="113" t="b">
        <f>+IF(FINANCIACION[[#This Row],[$ CAPITAL]]&gt;0,FINANCIACION[[#This Row],[$ CAPITAL]])</f>
        <v>0</v>
      </c>
      <c r="K56" s="120">
        <f>+IF(FINANCIACION[[#This Row],[$ CAPITAL]]&gt;=0,FINANCIACION[[#This Row],[$ CAPITAL]]+FINANCIACION[[#This Row],[$ INTERESES]],0)</f>
        <v>197070</v>
      </c>
    </row>
    <row r="57" spans="1:11" ht="24" customHeight="1" x14ac:dyDescent="0.3">
      <c r="A57" s="112">
        <v>45232</v>
      </c>
      <c r="B57" s="118" t="s">
        <v>349</v>
      </c>
      <c r="C57" s="113"/>
      <c r="D57" s="113">
        <f>28373+32860+32860+53200</f>
        <v>147293</v>
      </c>
      <c r="E57" s="113">
        <f>+IF(FINANCIACION[[#This Row],[$ CAPITAL]]&gt;=0,FINANCIACION[[#This Row],[$ CAPITAL]]+FINANCIACION[[#This Row],[$ INTERESES]],"")</f>
        <v>147293</v>
      </c>
      <c r="F57" s="113">
        <f>+SUMIFS(FINANCIACION[$ CAPITAL],FINANCIACION[Fecha],"&lt;="&amp;FINANCIACION[[#This Row],[Fecha]],FINANCIACION[PRESTAMO],FINANCIACION[[#This Row],[PRESTAMO]])</f>
        <v>-75000000</v>
      </c>
      <c r="G57" s="113"/>
      <c r="H57" s="119" t="s">
        <v>1299</v>
      </c>
      <c r="I57" s="119"/>
      <c r="J57" s="113" t="b">
        <f>+IF(FINANCIACION[[#This Row],[$ CAPITAL]]&gt;0,FINANCIACION[[#This Row],[$ CAPITAL]])</f>
        <v>0</v>
      </c>
      <c r="K57" s="120">
        <f>+IF(FINANCIACION[[#This Row],[$ CAPITAL]]&gt;=0,FINANCIACION[[#This Row],[$ CAPITAL]]+FINANCIACION[[#This Row],[$ INTERESES]],0)</f>
        <v>147293</v>
      </c>
    </row>
    <row r="58" spans="1:11" ht="24" customHeight="1" x14ac:dyDescent="0.3">
      <c r="A58" s="112">
        <v>45263</v>
      </c>
      <c r="B58" s="118" t="s">
        <v>349</v>
      </c>
      <c r="C58" s="113"/>
      <c r="D58" s="113">
        <v>289402</v>
      </c>
      <c r="E58" s="113">
        <f>+IF(FINANCIACION[[#This Row],[$ CAPITAL]]&gt;=0,FINANCIACION[[#This Row],[$ CAPITAL]]+FINANCIACION[[#This Row],[$ INTERESES]],"")</f>
        <v>289402</v>
      </c>
      <c r="F58" s="113">
        <f>+SUMIFS(FINANCIACION[$ CAPITAL],FINANCIACION[Fecha],"&lt;="&amp;FINANCIACION[[#This Row],[Fecha]],FINANCIACION[PRESTAMO],FINANCIACION[[#This Row],[PRESTAMO]])</f>
        <v>-75000000</v>
      </c>
      <c r="G58" s="113"/>
      <c r="H58" s="119" t="s">
        <v>1300</v>
      </c>
      <c r="I58" s="119"/>
      <c r="J58" s="113" t="b">
        <f>+IF(FINANCIACION[[#This Row],[$ CAPITAL]]&gt;0,FINANCIACION[[#This Row],[$ CAPITAL]])</f>
        <v>0</v>
      </c>
      <c r="K58" s="120">
        <f>+IF(FINANCIACION[[#This Row],[$ CAPITAL]]&gt;=0,FINANCIACION[[#This Row],[$ CAPITAL]]+FINANCIACION[[#This Row],[$ INTERESES]],0)</f>
        <v>289402</v>
      </c>
    </row>
    <row r="59" spans="1:11" ht="24" customHeight="1" x14ac:dyDescent="0.3">
      <c r="A59" s="112">
        <v>45271</v>
      </c>
      <c r="B59" s="118" t="s">
        <v>349</v>
      </c>
      <c r="C59" s="113">
        <v>-5000000</v>
      </c>
      <c r="D59" s="113"/>
      <c r="E59" s="113" t="str">
        <f>+IF(FINANCIACION[[#This Row],[$ CAPITAL]]&gt;=0,FINANCIACION[[#This Row],[$ CAPITAL]]+FINANCIACION[[#This Row],[$ INTERESES]],"")</f>
        <v/>
      </c>
      <c r="F59" s="113">
        <f>+SUMIFS(FINANCIACION[$ CAPITAL],FINANCIACION[Fecha],"&lt;="&amp;FINANCIACION[[#This Row],[Fecha]],FINANCIACION[PRESTAMO],FINANCIACION[[#This Row],[PRESTAMO]])</f>
        <v>-80000000</v>
      </c>
      <c r="G59" s="113"/>
      <c r="I59" s="119"/>
      <c r="J59" s="113" t="b">
        <f>+IF(FINANCIACION[[#This Row],[$ CAPITAL]]&gt;0,FINANCIACION[[#This Row],[$ CAPITAL]])</f>
        <v>0</v>
      </c>
      <c r="K59" s="120">
        <f>+IF(FINANCIACION[[#This Row],[$ CAPITAL]]&gt;=0,FINANCIACION[[#This Row],[$ CAPITAL]]+FINANCIACION[[#This Row],[$ INTERESES]],0)</f>
        <v>0</v>
      </c>
    </row>
    <row r="60" spans="1:11" ht="24" customHeight="1" x14ac:dyDescent="0.3">
      <c r="A60" s="112">
        <v>45272</v>
      </c>
      <c r="B60" s="118" t="s">
        <v>349</v>
      </c>
      <c r="C60" s="113"/>
      <c r="D60" s="113">
        <f>9000000-147293-289402-5000000</f>
        <v>3563305</v>
      </c>
      <c r="E60" s="113">
        <f>+IF(FINANCIACION[[#This Row],[$ CAPITAL]]&gt;=0,FINANCIACION[[#This Row],[$ CAPITAL]]+FINANCIACION[[#This Row],[$ INTERESES]],"")</f>
        <v>3563305</v>
      </c>
      <c r="F60" s="113">
        <f>+SUMIFS(FINANCIACION[$ CAPITAL],FINANCIACION[Fecha],"&lt;="&amp;FINANCIACION[[#This Row],[Fecha]],FINANCIACION[PRESTAMO],FINANCIACION[[#This Row],[PRESTAMO]])</f>
        <v>-80000000</v>
      </c>
      <c r="G60" s="113"/>
      <c r="I60" s="119"/>
      <c r="J60" s="113" t="b">
        <f>+IF(FINANCIACION[[#This Row],[$ CAPITAL]]&gt;0,FINANCIACION[[#This Row],[$ CAPITAL]])</f>
        <v>0</v>
      </c>
      <c r="K60" s="120">
        <f>+IF(FINANCIACION[[#This Row],[$ CAPITAL]]&gt;=0,FINANCIACION[[#This Row],[$ CAPITAL]]+FINANCIACION[[#This Row],[$ INTERESES]],0)</f>
        <v>3563305</v>
      </c>
    </row>
    <row r="61" spans="1:11" ht="24" customHeight="1" x14ac:dyDescent="0.3">
      <c r="A61" s="112">
        <v>44420</v>
      </c>
      <c r="B61" s="118" t="s">
        <v>353</v>
      </c>
      <c r="C61" s="113">
        <v>-40000000</v>
      </c>
      <c r="D61" s="113"/>
      <c r="E61" s="113" t="str">
        <f>+IF(FINANCIACION[[#This Row],[$ CAPITAL]]&gt;=0,FINANCIACION[[#This Row],[$ CAPITAL]]+FINANCIACION[[#This Row],[$ INTERESES]],"")</f>
        <v/>
      </c>
      <c r="F61" s="113">
        <f>+SUMIFS(FINANCIACION[$ CAPITAL],FINANCIACION[Fecha],"&lt;="&amp;FINANCIACION[[#This Row],[Fecha]],FINANCIACION[PRESTAMO],FINANCIACION[[#This Row],[PRESTAMO]])</f>
        <v>-40000000</v>
      </c>
      <c r="G61" s="113"/>
      <c r="H61" s="117" t="s">
        <v>210</v>
      </c>
      <c r="I61" s="119"/>
      <c r="J61" s="113" t="b">
        <f>IF(FINANCIACION[[#This Row],[$ CAPITAL]]&gt;0,FINANCIACION[[#This Row],[$ CAPITAL]])</f>
        <v>0</v>
      </c>
      <c r="K61" s="120">
        <f>IF(FINANCIACION[[#This Row],[$ CAPITAL]]&gt;=0,FINANCIACION[[#This Row],[$ CAPITAL]]+FINANCIACION[[#This Row],[$ INTERESES]],0)</f>
        <v>0</v>
      </c>
    </row>
    <row r="62" spans="1:11" ht="24" customHeight="1" x14ac:dyDescent="0.3">
      <c r="A62" s="112">
        <v>44450</v>
      </c>
      <c r="B62" s="118" t="s">
        <v>353</v>
      </c>
      <c r="C62" s="113"/>
      <c r="D62" s="113">
        <v>400000</v>
      </c>
      <c r="E62" s="113">
        <f>+IF(FINANCIACION[[#This Row],[$ CAPITAL]]&gt;=0,FINANCIACION[[#This Row],[$ CAPITAL]]+FINANCIACION[[#This Row],[$ INTERESES]],"")</f>
        <v>400000</v>
      </c>
      <c r="F62" s="113">
        <f>+SUMIFS(FINANCIACION[$ CAPITAL],FINANCIACION[Fecha],"&lt;="&amp;FINANCIACION[[#This Row],[Fecha]],FINANCIACION[PRESTAMO],FINANCIACION[[#This Row],[PRESTAMO]])</f>
        <v>-40000000</v>
      </c>
      <c r="G62" s="113"/>
      <c r="H62" s="119" t="s">
        <v>227</v>
      </c>
      <c r="I62" s="119"/>
      <c r="J62" s="113" t="b">
        <f>IF(FINANCIACION[[#This Row],[$ CAPITAL]]&gt;0,FINANCIACION[[#This Row],[$ CAPITAL]])</f>
        <v>0</v>
      </c>
      <c r="K62" s="120">
        <f>IF(FINANCIACION[[#This Row],[$ CAPITAL]]&gt;=0,FINANCIACION[[#This Row],[$ CAPITAL]]+FINANCIACION[[#This Row],[$ INTERESES]],0)</f>
        <v>400000</v>
      </c>
    </row>
    <row r="63" spans="1:11" ht="24" customHeight="1" x14ac:dyDescent="0.3">
      <c r="A63" s="112">
        <v>44480</v>
      </c>
      <c r="B63" s="118" t="s">
        <v>353</v>
      </c>
      <c r="C63" s="113"/>
      <c r="D63" s="113">
        <v>400000</v>
      </c>
      <c r="E63" s="113">
        <f>+IF(FINANCIACION[[#This Row],[$ CAPITAL]]&gt;=0,FINANCIACION[[#This Row],[$ CAPITAL]]+FINANCIACION[[#This Row],[$ INTERESES]],"")</f>
        <v>400000</v>
      </c>
      <c r="F63" s="113">
        <f>+SUMIFS(FINANCIACION[$ CAPITAL],FINANCIACION[Fecha],"&lt;="&amp;FINANCIACION[[#This Row],[Fecha]],FINANCIACION[PRESTAMO],FINANCIACION[[#This Row],[PRESTAMO]])</f>
        <v>-40000000</v>
      </c>
      <c r="G63" s="113"/>
      <c r="H63" s="117" t="s">
        <v>227</v>
      </c>
      <c r="I63" s="119"/>
      <c r="J63" s="113" t="b">
        <f>IF(FINANCIACION[[#This Row],[$ CAPITAL]]&gt;0,FINANCIACION[[#This Row],[$ CAPITAL]])</f>
        <v>0</v>
      </c>
      <c r="K63" s="120">
        <f>IF(FINANCIACION[[#This Row],[$ CAPITAL]]&gt;=0,FINANCIACION[[#This Row],[$ CAPITAL]]+FINANCIACION[[#This Row],[$ INTERESES]],0)</f>
        <v>400000</v>
      </c>
    </row>
    <row r="64" spans="1:11" ht="24" customHeight="1" x14ac:dyDescent="0.3">
      <c r="A64" s="112">
        <v>44510</v>
      </c>
      <c r="B64" s="118" t="s">
        <v>353</v>
      </c>
      <c r="C64" s="113"/>
      <c r="D64" s="113">
        <v>400000</v>
      </c>
      <c r="E64" s="113">
        <f>+IF(FINANCIACION[[#This Row],[$ CAPITAL]]&gt;=0,FINANCIACION[[#This Row],[$ CAPITAL]]+FINANCIACION[[#This Row],[$ INTERESES]],"")</f>
        <v>400000</v>
      </c>
      <c r="F64" s="113">
        <f>+SUMIFS(FINANCIACION[$ CAPITAL],FINANCIACION[Fecha],"&lt;="&amp;FINANCIACION[[#This Row],[Fecha]],FINANCIACION[PRESTAMO],FINANCIACION[[#This Row],[PRESTAMO]])</f>
        <v>-40000000</v>
      </c>
      <c r="G64" s="113"/>
      <c r="H64" s="117"/>
      <c r="I64" s="119"/>
      <c r="J64" s="113" t="b">
        <f>IF(FINANCIACION[[#This Row],[$ CAPITAL]]&gt;0,FINANCIACION[[#This Row],[$ CAPITAL]])</f>
        <v>0</v>
      </c>
      <c r="K64" s="120">
        <f>IF(FINANCIACION[[#This Row],[$ CAPITAL]]&gt;=0,FINANCIACION[[#This Row],[$ CAPITAL]]+FINANCIACION[[#This Row],[$ INTERESES]],0)</f>
        <v>400000</v>
      </c>
    </row>
    <row r="65" spans="1:11" ht="24" customHeight="1" x14ac:dyDescent="0.3">
      <c r="A65" s="112">
        <v>44539</v>
      </c>
      <c r="B65" s="118" t="s">
        <v>353</v>
      </c>
      <c r="C65" s="113"/>
      <c r="D65" s="113">
        <v>400000</v>
      </c>
      <c r="E65" s="113">
        <f>+IF(FINANCIACION[[#This Row],[$ CAPITAL]]&gt;=0,FINANCIACION[[#This Row],[$ CAPITAL]]+FINANCIACION[[#This Row],[$ INTERESES]],"")</f>
        <v>400000</v>
      </c>
      <c r="F65" s="113">
        <f>+SUMIFS(FINANCIACION[$ CAPITAL],FINANCIACION[Fecha],"&lt;="&amp;FINANCIACION[[#This Row],[Fecha]],FINANCIACION[PRESTAMO],FINANCIACION[[#This Row],[PRESTAMO]])</f>
        <v>-40000000</v>
      </c>
      <c r="G65" s="113"/>
      <c r="I65" s="119"/>
      <c r="J65" s="113" t="b">
        <f>IF(FINANCIACION[[#This Row],[$ CAPITAL]]&gt;0,FINANCIACION[[#This Row],[$ CAPITAL]])</f>
        <v>0</v>
      </c>
      <c r="K65" s="120">
        <f>IF(FINANCIACION[[#This Row],[$ CAPITAL]]&gt;=0,FINANCIACION[[#This Row],[$ CAPITAL]]+FINANCIACION[[#This Row],[$ INTERESES]],0)</f>
        <v>400000</v>
      </c>
    </row>
    <row r="66" spans="1:11" ht="24" customHeight="1" x14ac:dyDescent="0.3">
      <c r="A66" s="112">
        <v>44572</v>
      </c>
      <c r="B66" s="118" t="s">
        <v>353</v>
      </c>
      <c r="C66" s="113"/>
      <c r="D66" s="113">
        <v>400000</v>
      </c>
      <c r="E66" s="113">
        <f>+IF(FINANCIACION[[#This Row],[$ CAPITAL]]&gt;=0,FINANCIACION[[#This Row],[$ CAPITAL]]+FINANCIACION[[#This Row],[$ INTERESES]],"")</f>
        <v>400000</v>
      </c>
      <c r="F66" s="113">
        <f>+SUMIFS(FINANCIACION[$ CAPITAL],FINANCIACION[Fecha],"&lt;="&amp;FINANCIACION[[#This Row],[Fecha]],FINANCIACION[PRESTAMO],FINANCIACION[[#This Row],[PRESTAMO]])</f>
        <v>-40000000</v>
      </c>
      <c r="G66" s="113"/>
      <c r="I66" s="119"/>
      <c r="J66" s="113" t="b">
        <f>IF(FINANCIACION[[#This Row],[$ CAPITAL]]&gt;0,FINANCIACION[[#This Row],[$ CAPITAL]])</f>
        <v>0</v>
      </c>
      <c r="K66" s="120">
        <f>IF(FINANCIACION[[#This Row],[$ CAPITAL]]&gt;=0,FINANCIACION[[#This Row],[$ CAPITAL]]+FINANCIACION[[#This Row],[$ INTERESES]],0)</f>
        <v>400000</v>
      </c>
    </row>
    <row r="67" spans="1:11" ht="24" customHeight="1" x14ac:dyDescent="0.3">
      <c r="A67" s="112">
        <v>44602</v>
      </c>
      <c r="B67" s="118" t="s">
        <v>353</v>
      </c>
      <c r="C67" s="113"/>
      <c r="D67" s="113">
        <v>400000</v>
      </c>
      <c r="E67" s="113">
        <f>+IF(FINANCIACION[[#This Row],[$ CAPITAL]]&gt;=0,FINANCIACION[[#This Row],[$ CAPITAL]]+FINANCIACION[[#This Row],[$ INTERESES]],"")</f>
        <v>400000</v>
      </c>
      <c r="F67" s="113">
        <f>+SUMIFS(FINANCIACION[$ CAPITAL],FINANCIACION[Fecha],"&lt;="&amp;FINANCIACION[[#This Row],[Fecha]],FINANCIACION[PRESTAMO],FINANCIACION[[#This Row],[PRESTAMO]])</f>
        <v>-40000000</v>
      </c>
      <c r="G67" s="113"/>
      <c r="I67" s="119"/>
      <c r="J67" s="113" t="b">
        <f>+IF(FINANCIACION[[#This Row],[$ CAPITAL]]&gt;0,FINANCIACION[[#This Row],[$ CAPITAL]])</f>
        <v>0</v>
      </c>
      <c r="K67" s="120">
        <f>+IF(FINANCIACION[[#This Row],[$ CAPITAL]]&gt;=0,FINANCIACION[[#This Row],[$ CAPITAL]]+FINANCIACION[[#This Row],[$ INTERESES]],0)</f>
        <v>400000</v>
      </c>
    </row>
    <row r="68" spans="1:11" ht="24" customHeight="1" x14ac:dyDescent="0.3">
      <c r="A68" s="112">
        <v>44629</v>
      </c>
      <c r="B68" s="118" t="s">
        <v>353</v>
      </c>
      <c r="C68" s="113"/>
      <c r="D68" s="113">
        <v>400000</v>
      </c>
      <c r="E68" s="113">
        <f>+IF(FINANCIACION[[#This Row],[$ CAPITAL]]&gt;=0,FINANCIACION[[#This Row],[$ CAPITAL]]+FINANCIACION[[#This Row],[$ INTERESES]],"")</f>
        <v>400000</v>
      </c>
      <c r="F68" s="113">
        <f>+SUMIFS(FINANCIACION[$ CAPITAL],FINANCIACION[Fecha],"&lt;="&amp;FINANCIACION[[#This Row],[Fecha]],FINANCIACION[PRESTAMO],FINANCIACION[[#This Row],[PRESTAMO]])</f>
        <v>-40000000</v>
      </c>
      <c r="G68" s="113"/>
      <c r="I68" s="119"/>
      <c r="J68" s="113" t="b">
        <f>+IF(FINANCIACION[[#This Row],[$ CAPITAL]]&gt;0,FINANCIACION[[#This Row],[$ CAPITAL]])</f>
        <v>0</v>
      </c>
      <c r="K68" s="120">
        <f>+IF(FINANCIACION[[#This Row],[$ CAPITAL]]&gt;=0,FINANCIACION[[#This Row],[$ CAPITAL]]+FINANCIACION[[#This Row],[$ INTERESES]],0)</f>
        <v>400000</v>
      </c>
    </row>
    <row r="69" spans="1:11" ht="24" customHeight="1" x14ac:dyDescent="0.3">
      <c r="A69" s="112">
        <v>44663</v>
      </c>
      <c r="B69" s="118" t="s">
        <v>353</v>
      </c>
      <c r="C69" s="113"/>
      <c r="D69" s="113">
        <v>400000</v>
      </c>
      <c r="E69" s="113">
        <f>+IF(FINANCIACION[[#This Row],[$ CAPITAL]]&gt;=0,FINANCIACION[[#This Row],[$ CAPITAL]]+FINANCIACION[[#This Row],[$ INTERESES]],"")</f>
        <v>400000</v>
      </c>
      <c r="F69" s="113">
        <f>+SUMIFS(FINANCIACION[$ CAPITAL],FINANCIACION[Fecha],"&lt;="&amp;FINANCIACION[[#This Row],[Fecha]],FINANCIACION[PRESTAMO],FINANCIACION[[#This Row],[PRESTAMO]])</f>
        <v>-40000000</v>
      </c>
      <c r="G69" s="113"/>
      <c r="I69" s="119"/>
      <c r="J69" s="113" t="b">
        <f>+IF(FINANCIACION[[#This Row],[$ CAPITAL]]&gt;0,FINANCIACION[[#This Row],[$ CAPITAL]])</f>
        <v>0</v>
      </c>
      <c r="K69" s="120">
        <f>+IF(FINANCIACION[[#This Row],[$ CAPITAL]]&gt;=0,FINANCIACION[[#This Row],[$ CAPITAL]]+FINANCIACION[[#This Row],[$ INTERESES]],0)</f>
        <v>400000</v>
      </c>
    </row>
    <row r="70" spans="1:11" ht="24" customHeight="1" x14ac:dyDescent="0.3">
      <c r="A70" s="112">
        <v>44691</v>
      </c>
      <c r="B70" s="118" t="s">
        <v>353</v>
      </c>
      <c r="C70" s="113"/>
      <c r="D70" s="113">
        <v>400000</v>
      </c>
      <c r="E70" s="113">
        <f>+IF(FINANCIACION[[#This Row],[$ CAPITAL]]&gt;=0,FINANCIACION[[#This Row],[$ CAPITAL]]+FINANCIACION[[#This Row],[$ INTERESES]],"")</f>
        <v>400000</v>
      </c>
      <c r="F70" s="113">
        <f>+SUMIFS(FINANCIACION[$ CAPITAL],FINANCIACION[Fecha],"&lt;="&amp;FINANCIACION[[#This Row],[Fecha]],FINANCIACION[PRESTAMO],FINANCIACION[[#This Row],[PRESTAMO]])</f>
        <v>-40000000</v>
      </c>
      <c r="G70" s="113"/>
      <c r="I70" s="119"/>
      <c r="J70" s="113" t="b">
        <f>+IF(FINANCIACION[[#This Row],[$ CAPITAL]]&gt;0,FINANCIACION[[#This Row],[$ CAPITAL]])</f>
        <v>0</v>
      </c>
      <c r="K70" s="120">
        <f>+IF(FINANCIACION[[#This Row],[$ CAPITAL]]&gt;=0,FINANCIACION[[#This Row],[$ CAPITAL]]+FINANCIACION[[#This Row],[$ INTERESES]],0)</f>
        <v>400000</v>
      </c>
    </row>
    <row r="71" spans="1:11" ht="24" customHeight="1" x14ac:dyDescent="0.3">
      <c r="A71" s="112">
        <v>44722</v>
      </c>
      <c r="B71" s="118" t="s">
        <v>353</v>
      </c>
      <c r="C71" s="113"/>
      <c r="D71" s="113">
        <v>400000</v>
      </c>
      <c r="E71" s="113">
        <f>+IF(FINANCIACION[[#This Row],[$ CAPITAL]]&gt;=0,FINANCIACION[[#This Row],[$ CAPITAL]]+FINANCIACION[[#This Row],[$ INTERESES]],"")</f>
        <v>400000</v>
      </c>
      <c r="F71" s="113">
        <f>+SUMIFS(FINANCIACION[$ CAPITAL],FINANCIACION[Fecha],"&lt;="&amp;FINANCIACION[[#This Row],[Fecha]],FINANCIACION[PRESTAMO],FINANCIACION[[#This Row],[PRESTAMO]])</f>
        <v>-40000000</v>
      </c>
      <c r="G71" s="113"/>
      <c r="I71" s="119"/>
      <c r="J71" s="113" t="b">
        <f>+IF(FINANCIACION[[#This Row],[$ CAPITAL]]&gt;0,FINANCIACION[[#This Row],[$ CAPITAL]])</f>
        <v>0</v>
      </c>
      <c r="K71" s="120">
        <f>+IF(FINANCIACION[[#This Row],[$ CAPITAL]]&gt;=0,FINANCIACION[[#This Row],[$ CAPITAL]]+FINANCIACION[[#This Row],[$ INTERESES]],0)</f>
        <v>400000</v>
      </c>
    </row>
    <row r="72" spans="1:11" ht="24" customHeight="1" x14ac:dyDescent="0.3">
      <c r="A72" s="112">
        <v>44753</v>
      </c>
      <c r="B72" s="118" t="s">
        <v>353</v>
      </c>
      <c r="C72" s="113"/>
      <c r="D72" s="113">
        <v>400000</v>
      </c>
      <c r="E72" s="113">
        <f>+IF(FINANCIACION[[#This Row],[$ CAPITAL]]&gt;=0,FINANCIACION[[#This Row],[$ CAPITAL]]+FINANCIACION[[#This Row],[$ INTERESES]],"")</f>
        <v>400000</v>
      </c>
      <c r="F72" s="113">
        <f>+SUMIFS(FINANCIACION[$ CAPITAL],FINANCIACION[Fecha],"&lt;="&amp;FINANCIACION[[#This Row],[Fecha]],FINANCIACION[PRESTAMO],FINANCIACION[[#This Row],[PRESTAMO]])</f>
        <v>-40000000</v>
      </c>
      <c r="G72" s="113"/>
      <c r="I72" s="119"/>
      <c r="J72" s="113" t="b">
        <f>+IF(FINANCIACION[[#This Row],[$ CAPITAL]]&gt;0,FINANCIACION[[#This Row],[$ CAPITAL]])</f>
        <v>0</v>
      </c>
      <c r="K72" s="120">
        <f>+IF(FINANCIACION[[#This Row],[$ CAPITAL]]&gt;=0,FINANCIACION[[#This Row],[$ CAPITAL]]+FINANCIACION[[#This Row],[$ INTERESES]],0)</f>
        <v>400000</v>
      </c>
    </row>
    <row r="73" spans="1:11" ht="24" customHeight="1" x14ac:dyDescent="0.3">
      <c r="A73" s="112">
        <v>44786</v>
      </c>
      <c r="B73" s="118" t="s">
        <v>353</v>
      </c>
      <c r="C73" s="113"/>
      <c r="D73" s="113">
        <v>400000</v>
      </c>
      <c r="E73" s="113">
        <f>+IF(FINANCIACION[[#This Row],[$ CAPITAL]]&gt;=0,FINANCIACION[[#This Row],[$ CAPITAL]]+FINANCIACION[[#This Row],[$ INTERESES]],"")</f>
        <v>400000</v>
      </c>
      <c r="F73" s="113">
        <f>+SUMIFS(FINANCIACION[$ CAPITAL],FINANCIACION[Fecha],"&lt;="&amp;FINANCIACION[[#This Row],[Fecha]],FINANCIACION[PRESTAMO],FINANCIACION[[#This Row],[PRESTAMO]])</f>
        <v>-40000000</v>
      </c>
      <c r="G73" s="113"/>
      <c r="I73" s="119"/>
      <c r="J73" s="113" t="b">
        <f>+IF(FINANCIACION[[#This Row],[$ CAPITAL]]&gt;0,FINANCIACION[[#This Row],[$ CAPITAL]])</f>
        <v>0</v>
      </c>
      <c r="K73" s="120">
        <f>+IF(FINANCIACION[[#This Row],[$ CAPITAL]]&gt;=0,FINANCIACION[[#This Row],[$ CAPITAL]]+FINANCIACION[[#This Row],[$ INTERESES]],0)</f>
        <v>400000</v>
      </c>
    </row>
    <row r="74" spans="1:11" ht="24" customHeight="1" x14ac:dyDescent="0.3">
      <c r="A74" s="112">
        <v>44817</v>
      </c>
      <c r="B74" s="118" t="s">
        <v>353</v>
      </c>
      <c r="C74" s="113"/>
      <c r="D74" s="113">
        <v>400000</v>
      </c>
      <c r="E74" s="113">
        <f>+IF(FINANCIACION[[#This Row],[$ CAPITAL]]&gt;=0,FINANCIACION[[#This Row],[$ CAPITAL]]+FINANCIACION[[#This Row],[$ INTERESES]],"")</f>
        <v>400000</v>
      </c>
      <c r="F74" s="113">
        <f>+SUMIFS(FINANCIACION[$ CAPITAL],FINANCIACION[Fecha],"&lt;="&amp;FINANCIACION[[#This Row],[Fecha]],FINANCIACION[PRESTAMO],FINANCIACION[[#This Row],[PRESTAMO]])</f>
        <v>-40000000</v>
      </c>
      <c r="G74" s="113"/>
      <c r="I74" s="119"/>
      <c r="J74" s="113" t="b">
        <f>+IF(FINANCIACION[[#This Row],[$ CAPITAL]]&gt;0,FINANCIACION[[#This Row],[$ CAPITAL]])</f>
        <v>0</v>
      </c>
      <c r="K74" s="120">
        <f>+IF(FINANCIACION[[#This Row],[$ CAPITAL]]&gt;=0,FINANCIACION[[#This Row],[$ CAPITAL]]+FINANCIACION[[#This Row],[$ INTERESES]],0)</f>
        <v>400000</v>
      </c>
    </row>
    <row r="75" spans="1:11" ht="24" customHeight="1" x14ac:dyDescent="0.3">
      <c r="A75" s="112">
        <v>44846</v>
      </c>
      <c r="B75" s="118" t="s">
        <v>353</v>
      </c>
      <c r="C75" s="113"/>
      <c r="D75" s="113">
        <v>400000</v>
      </c>
      <c r="E75" s="113">
        <f>+IF(FINANCIACION[[#This Row],[$ CAPITAL]]&gt;=0,FINANCIACION[[#This Row],[$ CAPITAL]]+FINANCIACION[[#This Row],[$ INTERESES]],"")</f>
        <v>400000</v>
      </c>
      <c r="F75" s="113">
        <f>+SUMIFS(FINANCIACION[$ CAPITAL],FINANCIACION[Fecha],"&lt;="&amp;FINANCIACION[[#This Row],[Fecha]],FINANCIACION[PRESTAMO],FINANCIACION[[#This Row],[PRESTAMO]])</f>
        <v>-40000000</v>
      </c>
      <c r="G75" s="113"/>
      <c r="I75" s="119"/>
      <c r="J75" s="113" t="b">
        <f>+IF(FINANCIACION[[#This Row],[$ CAPITAL]]&gt;0,FINANCIACION[[#This Row],[$ CAPITAL]])</f>
        <v>0</v>
      </c>
      <c r="K75" s="120">
        <f>+IF(FINANCIACION[[#This Row],[$ CAPITAL]]&gt;=0,FINANCIACION[[#This Row],[$ CAPITAL]]+FINANCIACION[[#This Row],[$ INTERESES]],0)</f>
        <v>400000</v>
      </c>
    </row>
    <row r="76" spans="1:11" ht="24" customHeight="1" x14ac:dyDescent="0.3">
      <c r="A76" s="112">
        <v>44876</v>
      </c>
      <c r="B76" s="118" t="s">
        <v>353</v>
      </c>
      <c r="C76" s="113"/>
      <c r="D76" s="113">
        <v>400000</v>
      </c>
      <c r="E76" s="113">
        <f>+IF(FINANCIACION[[#This Row],[$ CAPITAL]]&gt;=0,FINANCIACION[[#This Row],[$ CAPITAL]]+FINANCIACION[[#This Row],[$ INTERESES]],"")</f>
        <v>400000</v>
      </c>
      <c r="F76" s="113">
        <f>+SUMIFS(FINANCIACION[$ CAPITAL],FINANCIACION[Fecha],"&lt;="&amp;FINANCIACION[[#This Row],[Fecha]],FINANCIACION[PRESTAMO],FINANCIACION[[#This Row],[PRESTAMO]])</f>
        <v>-40000000</v>
      </c>
      <c r="G76" s="113"/>
      <c r="I76" s="119"/>
      <c r="J76" s="113" t="b">
        <f>+IF(FINANCIACION[[#This Row],[$ CAPITAL]]&gt;0,FINANCIACION[[#This Row],[$ CAPITAL]])</f>
        <v>0</v>
      </c>
      <c r="K76" s="120">
        <f>+IF(FINANCIACION[[#This Row],[$ CAPITAL]]&gt;=0,FINANCIACION[[#This Row],[$ CAPITAL]]+FINANCIACION[[#This Row],[$ INTERESES]],0)</f>
        <v>400000</v>
      </c>
    </row>
    <row r="77" spans="1:11" ht="24" customHeight="1" x14ac:dyDescent="0.3">
      <c r="A77" s="112">
        <v>44909</v>
      </c>
      <c r="B77" s="118" t="s">
        <v>353</v>
      </c>
      <c r="C77" s="113"/>
      <c r="D77" s="113">
        <v>400000</v>
      </c>
      <c r="E77" s="113">
        <f>+IF(FINANCIACION[[#This Row],[$ CAPITAL]]&gt;=0,FINANCIACION[[#This Row],[$ CAPITAL]]+FINANCIACION[[#This Row],[$ INTERESES]],"")</f>
        <v>400000</v>
      </c>
      <c r="F77" s="113">
        <f>+SUMIFS(FINANCIACION[$ CAPITAL],FINANCIACION[Fecha],"&lt;="&amp;FINANCIACION[[#This Row],[Fecha]],FINANCIACION[PRESTAMO],FINANCIACION[[#This Row],[PRESTAMO]])</f>
        <v>-40000000</v>
      </c>
      <c r="G77" s="113"/>
      <c r="I77" s="119"/>
      <c r="J77" s="113" t="b">
        <f>+IF(FINANCIACION[[#This Row],[$ CAPITAL]]&gt;0,FINANCIACION[[#This Row],[$ CAPITAL]])</f>
        <v>0</v>
      </c>
      <c r="K77" s="120">
        <f>+IF(FINANCIACION[[#This Row],[$ CAPITAL]]&gt;=0,FINANCIACION[[#This Row],[$ CAPITAL]]+FINANCIACION[[#This Row],[$ INTERESES]],0)</f>
        <v>400000</v>
      </c>
    </row>
    <row r="78" spans="1:11" ht="24" customHeight="1" x14ac:dyDescent="0.3">
      <c r="A78" s="112">
        <v>44938</v>
      </c>
      <c r="B78" s="118" t="s">
        <v>353</v>
      </c>
      <c r="C78" s="113"/>
      <c r="D78" s="113">
        <v>400000</v>
      </c>
      <c r="E78" s="113">
        <f>+IF(FINANCIACION[[#This Row],[$ CAPITAL]]&gt;=0,FINANCIACION[[#This Row],[$ CAPITAL]]+FINANCIACION[[#This Row],[$ INTERESES]],"")</f>
        <v>400000</v>
      </c>
      <c r="F78" s="113">
        <f>+SUMIFS(FINANCIACION[$ CAPITAL],FINANCIACION[Fecha],"&lt;="&amp;FINANCIACION[[#This Row],[Fecha]],FINANCIACION[PRESTAMO],FINANCIACION[[#This Row],[PRESTAMO]])</f>
        <v>-40000000</v>
      </c>
      <c r="G78" s="113"/>
      <c r="I78" s="119"/>
      <c r="J78" s="113" t="b">
        <f>+IF(FINANCIACION[[#This Row],[$ CAPITAL]]&gt;0,FINANCIACION[[#This Row],[$ CAPITAL]])</f>
        <v>0</v>
      </c>
      <c r="K78" s="120">
        <f>+IF(FINANCIACION[[#This Row],[$ CAPITAL]]&gt;=0,FINANCIACION[[#This Row],[$ CAPITAL]]+FINANCIACION[[#This Row],[$ INTERESES]],0)</f>
        <v>400000</v>
      </c>
    </row>
    <row r="79" spans="1:11" ht="24" customHeight="1" x14ac:dyDescent="0.3">
      <c r="A79" s="112">
        <v>44946</v>
      </c>
      <c r="B79" s="118" t="s">
        <v>353</v>
      </c>
      <c r="C79" s="113">
        <v>5000000</v>
      </c>
      <c r="D79" s="113"/>
      <c r="E79" s="113">
        <f>+IF(FINANCIACION[[#This Row],[$ CAPITAL]]&gt;=0,FINANCIACION[[#This Row],[$ CAPITAL]]+FINANCIACION[[#This Row],[$ INTERESES]],"")</f>
        <v>5000000</v>
      </c>
      <c r="F79" s="113">
        <f>+SUMIFS(FINANCIACION[$ CAPITAL],FINANCIACION[Fecha],"&lt;="&amp;FINANCIACION[[#This Row],[Fecha]],FINANCIACION[PRESTAMO],FINANCIACION[[#This Row],[PRESTAMO]])</f>
        <v>-35000000</v>
      </c>
      <c r="G79" s="113"/>
      <c r="I79" s="119"/>
      <c r="J79" s="113">
        <f>+IF(FINANCIACION[[#This Row],[$ CAPITAL]]&gt;0,FINANCIACION[[#This Row],[$ CAPITAL]])</f>
        <v>5000000</v>
      </c>
      <c r="K79" s="120">
        <f>+IF(FINANCIACION[[#This Row],[$ CAPITAL]]&gt;=0,FINANCIACION[[#This Row],[$ CAPITAL]]+FINANCIACION[[#This Row],[$ INTERESES]],0)</f>
        <v>5000000</v>
      </c>
    </row>
    <row r="80" spans="1:11" ht="24" customHeight="1" x14ac:dyDescent="0.3">
      <c r="A80" s="112">
        <v>44970</v>
      </c>
      <c r="B80" s="118" t="s">
        <v>353</v>
      </c>
      <c r="C80" s="113"/>
      <c r="D80" s="113">
        <v>400000</v>
      </c>
      <c r="E80" s="113">
        <f>+IF(FINANCIACION[[#This Row],[$ CAPITAL]]&gt;=0,FINANCIACION[[#This Row],[$ CAPITAL]]+FINANCIACION[[#This Row],[$ INTERESES]],"")</f>
        <v>400000</v>
      </c>
      <c r="F80" s="113">
        <f>+SUMIFS(FINANCIACION[$ CAPITAL],FINANCIACION[Fecha],"&lt;="&amp;FINANCIACION[[#This Row],[Fecha]],FINANCIACION[PRESTAMO],FINANCIACION[[#This Row],[PRESTAMO]])</f>
        <v>-35000000</v>
      </c>
      <c r="G80" s="113"/>
      <c r="I80" s="119"/>
      <c r="J80" s="113" t="b">
        <f>+IF(FINANCIACION[[#This Row],[$ CAPITAL]]&gt;0,FINANCIACION[[#This Row],[$ CAPITAL]])</f>
        <v>0</v>
      </c>
      <c r="K80" s="120">
        <f>+IF(FINANCIACION[[#This Row],[$ CAPITAL]]&gt;=0,FINANCIACION[[#This Row],[$ CAPITAL]]+FINANCIACION[[#This Row],[$ INTERESES]],0)</f>
        <v>400000</v>
      </c>
    </row>
    <row r="81" spans="1:11" ht="24" customHeight="1" x14ac:dyDescent="0.3">
      <c r="A81" s="112">
        <v>44998</v>
      </c>
      <c r="B81" s="118" t="s">
        <v>353</v>
      </c>
      <c r="C81" s="113"/>
      <c r="D81" s="113">
        <v>350000</v>
      </c>
      <c r="E81" s="113">
        <f>+IF(FINANCIACION[[#This Row],[$ CAPITAL]]&gt;=0,FINANCIACION[[#This Row],[$ CAPITAL]]+FINANCIACION[[#This Row],[$ INTERESES]],"")</f>
        <v>350000</v>
      </c>
      <c r="F81" s="113">
        <f>+SUMIFS(FINANCIACION[$ CAPITAL],FINANCIACION[Fecha],"&lt;="&amp;FINANCIACION[[#This Row],[Fecha]],FINANCIACION[PRESTAMO],FINANCIACION[[#This Row],[PRESTAMO]])</f>
        <v>-35000000</v>
      </c>
      <c r="G81" s="113"/>
      <c r="I81" s="119"/>
      <c r="J81" s="113" t="b">
        <f>+IF(FINANCIACION[[#This Row],[$ CAPITAL]]&gt;0,FINANCIACION[[#This Row],[$ CAPITAL]])</f>
        <v>0</v>
      </c>
      <c r="K81" s="120">
        <f>+IF(FINANCIACION[[#This Row],[$ CAPITAL]]&gt;=0,FINANCIACION[[#This Row],[$ CAPITAL]]+FINANCIACION[[#This Row],[$ INTERESES]],0)</f>
        <v>350000</v>
      </c>
    </row>
    <row r="82" spans="1:11" ht="24" customHeight="1" x14ac:dyDescent="0.3">
      <c r="A82" s="112">
        <v>45026</v>
      </c>
      <c r="B82" s="118" t="s">
        <v>353</v>
      </c>
      <c r="C82" s="113"/>
      <c r="D82" s="113">
        <v>350000</v>
      </c>
      <c r="E82" s="113">
        <f>+IF(FINANCIACION[[#This Row],[$ CAPITAL]]&gt;=0,FINANCIACION[[#This Row],[$ CAPITAL]]+FINANCIACION[[#This Row],[$ INTERESES]],"")</f>
        <v>350000</v>
      </c>
      <c r="F82" s="113">
        <f>+SUMIFS(FINANCIACION[$ CAPITAL],FINANCIACION[Fecha],"&lt;="&amp;FINANCIACION[[#This Row],[Fecha]],FINANCIACION[PRESTAMO],FINANCIACION[[#This Row],[PRESTAMO]])</f>
        <v>-35000000</v>
      </c>
      <c r="G82" s="113"/>
      <c r="I82" s="119"/>
      <c r="J82" s="113" t="b">
        <f>+IF(FINANCIACION[[#This Row],[$ CAPITAL]]&gt;0,FINANCIACION[[#This Row],[$ CAPITAL]])</f>
        <v>0</v>
      </c>
      <c r="K82" s="120">
        <f>+IF(FINANCIACION[[#This Row],[$ CAPITAL]]&gt;=0,FINANCIACION[[#This Row],[$ CAPITAL]]+FINANCIACION[[#This Row],[$ INTERESES]],0)</f>
        <v>350000</v>
      </c>
    </row>
    <row r="83" spans="1:11" ht="24" customHeight="1" x14ac:dyDescent="0.3">
      <c r="A83" s="112">
        <v>45054</v>
      </c>
      <c r="B83" s="118" t="s">
        <v>353</v>
      </c>
      <c r="C83" s="113"/>
      <c r="D83" s="113">
        <v>350000</v>
      </c>
      <c r="E83" s="113">
        <f>+IF(FINANCIACION[[#This Row],[$ CAPITAL]]&gt;=0,FINANCIACION[[#This Row],[$ CAPITAL]]+FINANCIACION[[#This Row],[$ INTERESES]],"")</f>
        <v>350000</v>
      </c>
      <c r="F83" s="113">
        <f>+SUMIFS(FINANCIACION[$ CAPITAL],FINANCIACION[Fecha],"&lt;="&amp;FINANCIACION[[#This Row],[Fecha]],FINANCIACION[PRESTAMO],FINANCIACION[[#This Row],[PRESTAMO]])</f>
        <v>-35000000</v>
      </c>
      <c r="G83" s="113"/>
      <c r="I83" s="119"/>
      <c r="J83" s="113" t="b">
        <f>+IF(FINANCIACION[[#This Row],[$ CAPITAL]]&gt;0,FINANCIACION[[#This Row],[$ CAPITAL]])</f>
        <v>0</v>
      </c>
      <c r="K83" s="120">
        <f>+IF(FINANCIACION[[#This Row],[$ CAPITAL]]&gt;=0,FINANCIACION[[#This Row],[$ CAPITAL]]+FINANCIACION[[#This Row],[$ INTERESES]],0)</f>
        <v>350000</v>
      </c>
    </row>
    <row r="84" spans="1:11" ht="24" customHeight="1" x14ac:dyDescent="0.3">
      <c r="A84" s="112">
        <v>45090</v>
      </c>
      <c r="B84" s="118" t="s">
        <v>353</v>
      </c>
      <c r="C84" s="113"/>
      <c r="D84" s="113">
        <v>350000</v>
      </c>
      <c r="E84" s="113">
        <f>+IF(FINANCIACION[[#This Row],[$ CAPITAL]]&gt;=0,FINANCIACION[[#This Row],[$ CAPITAL]]+FINANCIACION[[#This Row],[$ INTERESES]],"")</f>
        <v>350000</v>
      </c>
      <c r="F84" s="113">
        <f>+SUMIFS(FINANCIACION[$ CAPITAL],FINANCIACION[Fecha],"&lt;="&amp;FINANCIACION[[#This Row],[Fecha]],FINANCIACION[PRESTAMO],FINANCIACION[[#This Row],[PRESTAMO]])</f>
        <v>-35000000</v>
      </c>
      <c r="G84" s="113"/>
      <c r="I84" s="119"/>
      <c r="J84" s="113" t="b">
        <f>+IF(FINANCIACION[[#This Row],[$ CAPITAL]]&gt;0,FINANCIACION[[#This Row],[$ CAPITAL]])</f>
        <v>0</v>
      </c>
      <c r="K84" s="120">
        <f>+IF(FINANCIACION[[#This Row],[$ CAPITAL]]&gt;=0,FINANCIACION[[#This Row],[$ CAPITAL]]+FINANCIACION[[#This Row],[$ INTERESES]],0)</f>
        <v>350000</v>
      </c>
    </row>
    <row r="85" spans="1:11" ht="24" customHeight="1" x14ac:dyDescent="0.3">
      <c r="A85" s="112">
        <v>45118</v>
      </c>
      <c r="B85" s="118" t="s">
        <v>353</v>
      </c>
      <c r="C85" s="113"/>
      <c r="D85" s="113">
        <v>350000</v>
      </c>
      <c r="E85" s="113">
        <f>+IF(FINANCIACION[[#This Row],[$ CAPITAL]]&gt;=0,FINANCIACION[[#This Row],[$ CAPITAL]]+FINANCIACION[[#This Row],[$ INTERESES]],"")</f>
        <v>350000</v>
      </c>
      <c r="F85" s="113">
        <f>+SUMIFS(FINANCIACION[$ CAPITAL],FINANCIACION[Fecha],"&lt;="&amp;FINANCIACION[[#This Row],[Fecha]],FINANCIACION[PRESTAMO],FINANCIACION[[#This Row],[PRESTAMO]])</f>
        <v>-35000000</v>
      </c>
      <c r="G85" s="113"/>
      <c r="I85" s="119"/>
      <c r="J85" s="113" t="b">
        <f>+IF(FINANCIACION[[#This Row],[$ CAPITAL]]&gt;0,FINANCIACION[[#This Row],[$ CAPITAL]])</f>
        <v>0</v>
      </c>
      <c r="K85" s="120">
        <f>+IF(FINANCIACION[[#This Row],[$ CAPITAL]]&gt;=0,FINANCIACION[[#This Row],[$ CAPITAL]]+FINANCIACION[[#This Row],[$ INTERESES]],0)</f>
        <v>350000</v>
      </c>
    </row>
    <row r="86" spans="1:11" ht="24" customHeight="1" x14ac:dyDescent="0.3">
      <c r="A86" s="112">
        <v>45149</v>
      </c>
      <c r="B86" s="118" t="s">
        <v>353</v>
      </c>
      <c r="C86" s="113"/>
      <c r="D86" s="113">
        <v>350000</v>
      </c>
      <c r="E86" s="113">
        <f>+IF(FINANCIACION[[#This Row],[$ CAPITAL]]&gt;=0,FINANCIACION[[#This Row],[$ CAPITAL]]+FINANCIACION[[#This Row],[$ INTERESES]],"")</f>
        <v>350000</v>
      </c>
      <c r="F86" s="113">
        <f>+SUMIFS(FINANCIACION[$ CAPITAL],FINANCIACION[Fecha],"&lt;="&amp;FINANCIACION[[#This Row],[Fecha]],FINANCIACION[PRESTAMO],FINANCIACION[[#This Row],[PRESTAMO]])</f>
        <v>-35000000</v>
      </c>
      <c r="G86" s="113"/>
      <c r="I86" s="119"/>
      <c r="J86" s="113" t="b">
        <f>+IF(FINANCIACION[[#This Row],[$ CAPITAL]]&gt;0,FINANCIACION[[#This Row],[$ CAPITAL]])</f>
        <v>0</v>
      </c>
      <c r="K86" s="120">
        <f>+IF(FINANCIACION[[#This Row],[$ CAPITAL]]&gt;=0,FINANCIACION[[#This Row],[$ CAPITAL]]+FINANCIACION[[#This Row],[$ INTERESES]],0)</f>
        <v>350000</v>
      </c>
    </row>
    <row r="87" spans="1:11" ht="24" customHeight="1" x14ac:dyDescent="0.3">
      <c r="A87" s="112">
        <v>45184</v>
      </c>
      <c r="B87" s="118" t="s">
        <v>353</v>
      </c>
      <c r="C87" s="113"/>
      <c r="D87" s="113">
        <v>350000</v>
      </c>
      <c r="E87" s="113">
        <f>+IF(FINANCIACION[[#This Row],[$ CAPITAL]]&gt;=0,FINANCIACION[[#This Row],[$ CAPITAL]]+FINANCIACION[[#This Row],[$ INTERESES]],"")</f>
        <v>350000</v>
      </c>
      <c r="F87" s="113">
        <f>+SUMIFS(FINANCIACION[$ CAPITAL],FINANCIACION[Fecha],"&lt;="&amp;FINANCIACION[[#This Row],[Fecha]],FINANCIACION[PRESTAMO],FINANCIACION[[#This Row],[PRESTAMO]])</f>
        <v>-35000000</v>
      </c>
      <c r="G87" s="113"/>
      <c r="I87" s="119"/>
      <c r="J87" s="113" t="b">
        <f>+IF(FINANCIACION[[#This Row],[$ CAPITAL]]&gt;0,FINANCIACION[[#This Row],[$ CAPITAL]])</f>
        <v>0</v>
      </c>
      <c r="K87" s="120">
        <f>+IF(FINANCIACION[[#This Row],[$ CAPITAL]]&gt;=0,FINANCIACION[[#This Row],[$ CAPITAL]]+FINANCIACION[[#This Row],[$ INTERESES]],0)</f>
        <v>350000</v>
      </c>
    </row>
    <row r="88" spans="1:11" ht="24" customHeight="1" x14ac:dyDescent="0.3">
      <c r="A88" s="112">
        <v>45210</v>
      </c>
      <c r="B88" s="118" t="s">
        <v>353</v>
      </c>
      <c r="C88" s="113"/>
      <c r="D88" s="113">
        <v>350000</v>
      </c>
      <c r="E88" s="113">
        <f>+IF(FINANCIACION[[#This Row],[$ CAPITAL]]&gt;=0,FINANCIACION[[#This Row],[$ CAPITAL]]+FINANCIACION[[#This Row],[$ INTERESES]],"")</f>
        <v>350000</v>
      </c>
      <c r="F88" s="113">
        <f>+SUMIFS(FINANCIACION[$ CAPITAL],FINANCIACION[Fecha],"&lt;="&amp;FINANCIACION[[#This Row],[Fecha]],FINANCIACION[PRESTAMO],FINANCIACION[[#This Row],[PRESTAMO]])</f>
        <v>-35000000</v>
      </c>
      <c r="G88" s="113"/>
      <c r="I88" s="119"/>
      <c r="J88" s="113" t="b">
        <f>+IF(FINANCIACION[[#This Row],[$ CAPITAL]]&gt;0,FINANCIACION[[#This Row],[$ CAPITAL]])</f>
        <v>0</v>
      </c>
      <c r="K88" s="120">
        <f>+IF(FINANCIACION[[#This Row],[$ CAPITAL]]&gt;=0,FINANCIACION[[#This Row],[$ CAPITAL]]+FINANCIACION[[#This Row],[$ INTERESES]],0)</f>
        <v>350000</v>
      </c>
    </row>
    <row r="89" spans="1:11" ht="24" customHeight="1" x14ac:dyDescent="0.3">
      <c r="A89" s="112">
        <v>45244</v>
      </c>
      <c r="B89" s="118" t="s">
        <v>353</v>
      </c>
      <c r="C89" s="113"/>
      <c r="D89" s="113">
        <v>350000</v>
      </c>
      <c r="E89" s="113">
        <f>+IF(FINANCIACION[[#This Row],[$ CAPITAL]]&gt;=0,FINANCIACION[[#This Row],[$ CAPITAL]]+FINANCIACION[[#This Row],[$ INTERESES]],"")</f>
        <v>350000</v>
      </c>
      <c r="F89" s="113">
        <f>+SUMIFS(FINANCIACION[$ CAPITAL],FINANCIACION[Fecha],"&lt;="&amp;FINANCIACION[[#This Row],[Fecha]],FINANCIACION[PRESTAMO],FINANCIACION[[#This Row],[PRESTAMO]])</f>
        <v>-35000000</v>
      </c>
      <c r="G89" s="113"/>
      <c r="I89" s="119"/>
      <c r="J89" s="113" t="b">
        <f>+IF(FINANCIACION[[#This Row],[$ CAPITAL]]&gt;0,FINANCIACION[[#This Row],[$ CAPITAL]])</f>
        <v>0</v>
      </c>
      <c r="K89" s="120">
        <f>+IF(FINANCIACION[[#This Row],[$ CAPITAL]]&gt;=0,FINANCIACION[[#This Row],[$ CAPITAL]]+FINANCIACION[[#This Row],[$ INTERESES]],0)</f>
        <v>350000</v>
      </c>
    </row>
    <row r="90" spans="1:11" ht="24" customHeight="1" x14ac:dyDescent="0.3">
      <c r="A90" s="112">
        <v>45271</v>
      </c>
      <c r="B90" s="118" t="s">
        <v>353</v>
      </c>
      <c r="C90" s="113"/>
      <c r="D90" s="113">
        <v>350000</v>
      </c>
      <c r="E90" s="113">
        <f>+IF(FINANCIACION[[#This Row],[$ CAPITAL]]&gt;=0,FINANCIACION[[#This Row],[$ CAPITAL]]+FINANCIACION[[#This Row],[$ INTERESES]],"")</f>
        <v>350000</v>
      </c>
      <c r="F90" s="113">
        <f>+SUMIFS(FINANCIACION[$ CAPITAL],FINANCIACION[Fecha],"&lt;="&amp;FINANCIACION[[#This Row],[Fecha]],FINANCIACION[PRESTAMO],FINANCIACION[[#This Row],[PRESTAMO]])</f>
        <v>-35000000</v>
      </c>
      <c r="G90" s="113"/>
      <c r="I90" s="119"/>
      <c r="J90" s="113" t="b">
        <f>+IF(FINANCIACION[[#This Row],[$ CAPITAL]]&gt;0,FINANCIACION[[#This Row],[$ CAPITAL]])</f>
        <v>0</v>
      </c>
      <c r="K90" s="120">
        <f>+IF(FINANCIACION[[#This Row],[$ CAPITAL]]&gt;=0,FINANCIACION[[#This Row],[$ CAPITAL]]+FINANCIACION[[#This Row],[$ INTERESES]],0)</f>
        <v>350000</v>
      </c>
    </row>
    <row r="91" spans="1:11" ht="24" customHeight="1" x14ac:dyDescent="0.3">
      <c r="A91" s="112">
        <v>45302</v>
      </c>
      <c r="B91" s="118" t="s">
        <v>353</v>
      </c>
      <c r="C91" s="113">
        <v>0</v>
      </c>
      <c r="D91" s="113">
        <v>350000</v>
      </c>
      <c r="E91" s="113">
        <f>+IF(FINANCIACION[[#This Row],[$ CAPITAL]]&gt;=0,FINANCIACION[[#This Row],[$ CAPITAL]]+FINANCIACION[[#This Row],[$ INTERESES]],"")</f>
        <v>350000</v>
      </c>
      <c r="F91" s="113">
        <f>+SUMIFS(FINANCIACION[$ CAPITAL],FINANCIACION[Fecha],"&lt;="&amp;FINANCIACION[[#This Row],[Fecha]],FINANCIACION[PRESTAMO],FINANCIACION[[#This Row],[PRESTAMO]])</f>
        <v>-35000000</v>
      </c>
      <c r="G91" s="113"/>
      <c r="I91" s="119"/>
      <c r="J91" s="113" t="b">
        <f>+IF(FINANCIACION[[#This Row],[$ CAPITAL]]&gt;0,FINANCIACION[[#This Row],[$ CAPITAL]])</f>
        <v>0</v>
      </c>
      <c r="K91" s="120">
        <f>+IF(FINANCIACION[[#This Row],[$ CAPITAL]]&gt;=0,FINANCIACION[[#This Row],[$ CAPITAL]]+FINANCIACION[[#This Row],[$ INTERESES]],0)</f>
        <v>350000</v>
      </c>
    </row>
    <row r="92" spans="1:11" ht="24" customHeight="1" x14ac:dyDescent="0.3">
      <c r="A92" s="112">
        <v>43074</v>
      </c>
      <c r="B92" s="118" t="s">
        <v>345</v>
      </c>
      <c r="C92" s="113">
        <v>-94935167</v>
      </c>
      <c r="D92" s="113"/>
      <c r="E92" s="113" t="str">
        <f>+IF(FINANCIACION[[#This Row],[$ CAPITAL]]&gt;=0,FINANCIACION[[#This Row],[$ CAPITAL]]+FINANCIACION[[#This Row],[$ INTERESES]],"")</f>
        <v/>
      </c>
      <c r="F92" s="113">
        <f>+SUMIFS(FINANCIACION[$ CAPITAL],FINANCIACION[Fecha],"&lt;="&amp;FINANCIACION[[#This Row],[Fecha]],FINANCIACION[PRESTAMO],FINANCIACION[[#This Row],[PRESTAMO]])</f>
        <v>-94935167</v>
      </c>
      <c r="G92" s="113"/>
      <c r="I92" s="119"/>
      <c r="J92" s="113" t="b">
        <f>IF(FINANCIACION[[#This Row],[$ CAPITAL]]&gt;0,FINANCIACION[[#This Row],[$ CAPITAL]])</f>
        <v>0</v>
      </c>
      <c r="K92" s="120">
        <f>IF(FINANCIACION[[#This Row],[$ CAPITAL]]&gt;=0,FINANCIACION[[#This Row],[$ CAPITAL]]+FINANCIACION[[#This Row],[$ INTERESES]],0)</f>
        <v>0</v>
      </c>
    </row>
    <row r="93" spans="1:11" ht="24" customHeight="1" x14ac:dyDescent="0.3">
      <c r="A93" s="112">
        <v>43475</v>
      </c>
      <c r="B93" s="118" t="s">
        <v>345</v>
      </c>
      <c r="C93" s="113"/>
      <c r="D93" s="113">
        <v>950000</v>
      </c>
      <c r="E93" s="113">
        <f>+IF(FINANCIACION[[#This Row],[$ CAPITAL]]&gt;=0,FINANCIACION[[#This Row],[$ CAPITAL]]+FINANCIACION[[#This Row],[$ INTERESES]],"")</f>
        <v>950000</v>
      </c>
      <c r="F93" s="113">
        <f>+SUMIFS(FINANCIACION[$ CAPITAL],FINANCIACION[Fecha],"&lt;="&amp;FINANCIACION[[#This Row],[Fecha]],FINANCIACION[PRESTAMO],FINANCIACION[[#This Row],[PRESTAMO]])</f>
        <v>-94935167</v>
      </c>
      <c r="G93" s="113"/>
      <c r="H93" s="117"/>
      <c r="I93" s="119"/>
      <c r="J93" s="113" t="b">
        <f>IF(FINANCIACION[[#This Row],[$ CAPITAL]]&gt;0,FINANCIACION[[#This Row],[$ CAPITAL]])</f>
        <v>0</v>
      </c>
      <c r="K93" s="120">
        <f>IF(FINANCIACION[[#This Row],[$ CAPITAL]]&gt;=0,FINANCIACION[[#This Row],[$ CAPITAL]]+FINANCIACION[[#This Row],[$ INTERESES]],0)</f>
        <v>950000</v>
      </c>
    </row>
    <row r="94" spans="1:11" ht="24" customHeight="1" x14ac:dyDescent="0.3">
      <c r="A94" s="112">
        <v>43506</v>
      </c>
      <c r="B94" s="118" t="s">
        <v>345</v>
      </c>
      <c r="C94" s="113"/>
      <c r="D94" s="113">
        <v>950000</v>
      </c>
      <c r="E94" s="113">
        <f>+IF(FINANCIACION[[#This Row],[$ CAPITAL]]&gt;=0,FINANCIACION[[#This Row],[$ CAPITAL]]+FINANCIACION[[#This Row],[$ INTERESES]],"")</f>
        <v>950000</v>
      </c>
      <c r="F94" s="113">
        <f>+SUMIFS(FINANCIACION[$ CAPITAL],FINANCIACION[Fecha],"&lt;="&amp;FINANCIACION[[#This Row],[Fecha]],FINANCIACION[PRESTAMO],FINANCIACION[[#This Row],[PRESTAMO]])</f>
        <v>-94935167</v>
      </c>
      <c r="G94" s="113"/>
      <c r="I94" s="119"/>
      <c r="J94" s="113" t="b">
        <f>IF(FINANCIACION[[#This Row],[$ CAPITAL]]&gt;0,FINANCIACION[[#This Row],[$ CAPITAL]])</f>
        <v>0</v>
      </c>
      <c r="K94" s="120">
        <f>IF(FINANCIACION[[#This Row],[$ CAPITAL]]&gt;=0,FINANCIACION[[#This Row],[$ CAPITAL]]+FINANCIACION[[#This Row],[$ INTERESES]],0)</f>
        <v>950000</v>
      </c>
    </row>
    <row r="95" spans="1:11" ht="24" customHeight="1" x14ac:dyDescent="0.3">
      <c r="A95" s="112">
        <v>43534</v>
      </c>
      <c r="B95" s="118" t="s">
        <v>345</v>
      </c>
      <c r="C95" s="113"/>
      <c r="D95" s="113">
        <v>950000</v>
      </c>
      <c r="E95" s="113">
        <f>+IF(FINANCIACION[[#This Row],[$ CAPITAL]]&gt;=0,FINANCIACION[[#This Row],[$ CAPITAL]]+FINANCIACION[[#This Row],[$ INTERESES]],"")</f>
        <v>950000</v>
      </c>
      <c r="F95" s="113">
        <f>+SUMIFS(FINANCIACION[$ CAPITAL],FINANCIACION[Fecha],"&lt;="&amp;FINANCIACION[[#This Row],[Fecha]],FINANCIACION[PRESTAMO],FINANCIACION[[#This Row],[PRESTAMO]])</f>
        <v>-94935167</v>
      </c>
      <c r="G95" s="113"/>
      <c r="H95" s="117"/>
      <c r="I95" s="119"/>
      <c r="J95" s="113" t="b">
        <f>IF(FINANCIACION[[#This Row],[$ CAPITAL]]&gt;0,FINANCIACION[[#This Row],[$ CAPITAL]])</f>
        <v>0</v>
      </c>
      <c r="K95" s="120">
        <f>IF(FINANCIACION[[#This Row],[$ CAPITAL]]&gt;=0,FINANCIACION[[#This Row],[$ CAPITAL]]+FINANCIACION[[#This Row],[$ INTERESES]],0)</f>
        <v>950000</v>
      </c>
    </row>
    <row r="96" spans="1:11" ht="24" customHeight="1" x14ac:dyDescent="0.3">
      <c r="A96" s="112">
        <v>43565</v>
      </c>
      <c r="B96" s="118" t="s">
        <v>345</v>
      </c>
      <c r="C96" s="113"/>
      <c r="D96" s="113">
        <v>950000</v>
      </c>
      <c r="E96" s="113">
        <f>+IF(FINANCIACION[[#This Row],[$ CAPITAL]]&gt;=0,FINANCIACION[[#This Row],[$ CAPITAL]]+FINANCIACION[[#This Row],[$ INTERESES]],"")</f>
        <v>950000</v>
      </c>
      <c r="F96" s="113">
        <f>+SUMIFS(FINANCIACION[$ CAPITAL],FINANCIACION[Fecha],"&lt;="&amp;FINANCIACION[[#This Row],[Fecha]],FINANCIACION[PRESTAMO],FINANCIACION[[#This Row],[PRESTAMO]])</f>
        <v>-94935167</v>
      </c>
      <c r="G96" s="113"/>
      <c r="H96" s="117"/>
      <c r="I96" s="119"/>
      <c r="J96" s="113" t="b">
        <f>IF(FINANCIACION[[#This Row],[$ CAPITAL]]&gt;0,FINANCIACION[[#This Row],[$ CAPITAL]])</f>
        <v>0</v>
      </c>
      <c r="K96" s="120">
        <f>IF(FINANCIACION[[#This Row],[$ CAPITAL]]&gt;=0,FINANCIACION[[#This Row],[$ CAPITAL]]+FINANCIACION[[#This Row],[$ INTERESES]],0)</f>
        <v>950000</v>
      </c>
    </row>
    <row r="97" spans="1:11" ht="24" customHeight="1" x14ac:dyDescent="0.3">
      <c r="A97" s="112">
        <v>43595</v>
      </c>
      <c r="B97" s="118" t="s">
        <v>345</v>
      </c>
      <c r="C97" s="113"/>
      <c r="D97" s="113">
        <v>950000</v>
      </c>
      <c r="E97" s="113">
        <f>+IF(FINANCIACION[[#This Row],[$ CAPITAL]]&gt;=0,FINANCIACION[[#This Row],[$ CAPITAL]]+FINANCIACION[[#This Row],[$ INTERESES]],"")</f>
        <v>950000</v>
      </c>
      <c r="F97" s="113">
        <f>+SUMIFS(FINANCIACION[$ CAPITAL],FINANCIACION[Fecha],"&lt;="&amp;FINANCIACION[[#This Row],[Fecha]],FINANCIACION[PRESTAMO],FINANCIACION[[#This Row],[PRESTAMO]])</f>
        <v>-94935167</v>
      </c>
      <c r="G97" s="113"/>
      <c r="H97" s="117"/>
      <c r="I97" s="119"/>
      <c r="J97" s="113" t="b">
        <f>IF(FINANCIACION[[#This Row],[$ CAPITAL]]&gt;0,FINANCIACION[[#This Row],[$ CAPITAL]])</f>
        <v>0</v>
      </c>
      <c r="K97" s="120">
        <f>IF(FINANCIACION[[#This Row],[$ CAPITAL]]&gt;=0,FINANCIACION[[#This Row],[$ CAPITAL]]+FINANCIACION[[#This Row],[$ INTERESES]],0)</f>
        <v>950000</v>
      </c>
    </row>
    <row r="98" spans="1:11" ht="24" customHeight="1" x14ac:dyDescent="0.3">
      <c r="A98" s="112">
        <v>43626</v>
      </c>
      <c r="B98" s="118" t="s">
        <v>345</v>
      </c>
      <c r="C98" s="113"/>
      <c r="D98" s="113">
        <v>950000</v>
      </c>
      <c r="E98" s="113">
        <f>+IF(FINANCIACION[[#This Row],[$ CAPITAL]]&gt;=0,FINANCIACION[[#This Row],[$ CAPITAL]]+FINANCIACION[[#This Row],[$ INTERESES]],"")</f>
        <v>950000</v>
      </c>
      <c r="F98" s="113">
        <f>+SUMIFS(FINANCIACION[$ CAPITAL],FINANCIACION[Fecha],"&lt;="&amp;FINANCIACION[[#This Row],[Fecha]],FINANCIACION[PRESTAMO],FINANCIACION[[#This Row],[PRESTAMO]])</f>
        <v>-94935167</v>
      </c>
      <c r="G98" s="113"/>
      <c r="I98" s="119"/>
      <c r="J98" s="113" t="b">
        <f>IF(FINANCIACION[[#This Row],[$ CAPITAL]]&gt;0,FINANCIACION[[#This Row],[$ CAPITAL]])</f>
        <v>0</v>
      </c>
      <c r="K98" s="120">
        <f>IF(FINANCIACION[[#This Row],[$ CAPITAL]]&gt;=0,FINANCIACION[[#This Row],[$ CAPITAL]]+FINANCIACION[[#This Row],[$ INTERESES]],0)</f>
        <v>950000</v>
      </c>
    </row>
    <row r="99" spans="1:11" ht="24" customHeight="1" x14ac:dyDescent="0.3">
      <c r="A99" s="112">
        <v>43656</v>
      </c>
      <c r="B99" s="118" t="s">
        <v>345</v>
      </c>
      <c r="C99" s="113"/>
      <c r="D99" s="113">
        <v>950000</v>
      </c>
      <c r="E99" s="113">
        <f>+IF(FINANCIACION[[#This Row],[$ CAPITAL]]&gt;=0,FINANCIACION[[#This Row],[$ CAPITAL]]+FINANCIACION[[#This Row],[$ INTERESES]],"")</f>
        <v>950000</v>
      </c>
      <c r="F99" s="113">
        <f>+SUMIFS(FINANCIACION[$ CAPITAL],FINANCIACION[Fecha],"&lt;="&amp;FINANCIACION[[#This Row],[Fecha]],FINANCIACION[PRESTAMO],FINANCIACION[[#This Row],[PRESTAMO]])</f>
        <v>-94935167</v>
      </c>
      <c r="G99" s="113"/>
      <c r="H99" s="117"/>
      <c r="I99" s="119"/>
      <c r="J99" s="113" t="b">
        <f>IF(FINANCIACION[[#This Row],[$ CAPITAL]]&gt;0,FINANCIACION[[#This Row],[$ CAPITAL]])</f>
        <v>0</v>
      </c>
      <c r="K99" s="120">
        <f>IF(FINANCIACION[[#This Row],[$ CAPITAL]]&gt;=0,FINANCIACION[[#This Row],[$ CAPITAL]]+FINANCIACION[[#This Row],[$ INTERESES]],0)</f>
        <v>950000</v>
      </c>
    </row>
    <row r="100" spans="1:11" ht="24" customHeight="1" x14ac:dyDescent="0.3">
      <c r="A100" s="112">
        <v>43687</v>
      </c>
      <c r="B100" s="118" t="s">
        <v>345</v>
      </c>
      <c r="C100" s="113"/>
      <c r="D100" s="113">
        <v>950000</v>
      </c>
      <c r="E100" s="113">
        <f>+IF(FINANCIACION[[#This Row],[$ CAPITAL]]&gt;=0,FINANCIACION[[#This Row],[$ CAPITAL]]+FINANCIACION[[#This Row],[$ INTERESES]],"")</f>
        <v>950000</v>
      </c>
      <c r="F100" s="113">
        <f>+SUMIFS(FINANCIACION[$ CAPITAL],FINANCIACION[Fecha],"&lt;="&amp;FINANCIACION[[#This Row],[Fecha]],FINANCIACION[PRESTAMO],FINANCIACION[[#This Row],[PRESTAMO]])</f>
        <v>-94935167</v>
      </c>
      <c r="G100" s="113"/>
      <c r="H100" s="117"/>
      <c r="I100" s="119"/>
      <c r="J100" s="113" t="b">
        <f>IF(FINANCIACION[[#This Row],[$ CAPITAL]]&gt;0,FINANCIACION[[#This Row],[$ CAPITAL]])</f>
        <v>0</v>
      </c>
      <c r="K100" s="120">
        <f>IF(FINANCIACION[[#This Row],[$ CAPITAL]]&gt;=0,FINANCIACION[[#This Row],[$ CAPITAL]]+FINANCIACION[[#This Row],[$ INTERESES]],0)</f>
        <v>950000</v>
      </c>
    </row>
    <row r="101" spans="1:11" ht="24" customHeight="1" x14ac:dyDescent="0.3">
      <c r="A101" s="112">
        <v>43718</v>
      </c>
      <c r="B101" s="118" t="s">
        <v>345</v>
      </c>
      <c r="C101" s="113"/>
      <c r="D101" s="113">
        <v>950000</v>
      </c>
      <c r="E101" s="113">
        <f>+IF(FINANCIACION[[#This Row],[$ CAPITAL]]&gt;=0,FINANCIACION[[#This Row],[$ CAPITAL]]+FINANCIACION[[#This Row],[$ INTERESES]],"")</f>
        <v>950000</v>
      </c>
      <c r="F101" s="113">
        <f>+SUMIFS(FINANCIACION[$ CAPITAL],FINANCIACION[Fecha],"&lt;="&amp;FINANCIACION[[#This Row],[Fecha]],FINANCIACION[PRESTAMO],FINANCIACION[[#This Row],[PRESTAMO]])</f>
        <v>-94935167</v>
      </c>
      <c r="G101" s="113"/>
      <c r="H101" s="117"/>
      <c r="I101" s="119"/>
      <c r="J101" s="113" t="b">
        <f>IF(FINANCIACION[[#This Row],[$ CAPITAL]]&gt;0,FINANCIACION[[#This Row],[$ CAPITAL]])</f>
        <v>0</v>
      </c>
      <c r="K101" s="121">
        <f>IF(FINANCIACION[[#This Row],[$ CAPITAL]]&gt;=0,FINANCIACION[[#This Row],[$ CAPITAL]]+FINANCIACION[[#This Row],[$ INTERESES]],0)</f>
        <v>950000</v>
      </c>
    </row>
    <row r="102" spans="1:11" ht="24" customHeight="1" x14ac:dyDescent="0.3">
      <c r="A102" s="112">
        <v>43748</v>
      </c>
      <c r="B102" s="118" t="s">
        <v>345</v>
      </c>
      <c r="C102" s="113"/>
      <c r="D102" s="113">
        <v>950000</v>
      </c>
      <c r="E102" s="113">
        <f>+IF(FINANCIACION[[#This Row],[$ CAPITAL]]&gt;=0,FINANCIACION[[#This Row],[$ CAPITAL]]+FINANCIACION[[#This Row],[$ INTERESES]],"")</f>
        <v>950000</v>
      </c>
      <c r="F102" s="113">
        <f>+SUMIFS(FINANCIACION[$ CAPITAL],FINANCIACION[Fecha],"&lt;="&amp;FINANCIACION[[#This Row],[Fecha]],FINANCIACION[PRESTAMO],FINANCIACION[[#This Row],[PRESTAMO]])</f>
        <v>-94935167</v>
      </c>
      <c r="G102" s="113"/>
      <c r="H102" s="117"/>
      <c r="I102" s="119"/>
      <c r="J102" s="113" t="b">
        <f>IF(FINANCIACION[[#This Row],[$ CAPITAL]]&gt;0,FINANCIACION[[#This Row],[$ CAPITAL]])</f>
        <v>0</v>
      </c>
      <c r="K102" s="120">
        <f>IF(FINANCIACION[[#This Row],[$ CAPITAL]]&gt;=0,FINANCIACION[[#This Row],[$ CAPITAL]]+FINANCIACION[[#This Row],[$ INTERESES]],0)</f>
        <v>950000</v>
      </c>
    </row>
    <row r="103" spans="1:11" ht="24" customHeight="1" x14ac:dyDescent="0.3">
      <c r="A103" s="112">
        <v>43779</v>
      </c>
      <c r="B103" s="118" t="s">
        <v>345</v>
      </c>
      <c r="C103" s="113"/>
      <c r="D103" s="113">
        <v>950000</v>
      </c>
      <c r="E103" s="113">
        <f>+IF(FINANCIACION[[#This Row],[$ CAPITAL]]&gt;=0,FINANCIACION[[#This Row],[$ CAPITAL]]+FINANCIACION[[#This Row],[$ INTERESES]],"")</f>
        <v>950000</v>
      </c>
      <c r="F103" s="113">
        <f>+SUMIFS(FINANCIACION[$ CAPITAL],FINANCIACION[Fecha],"&lt;="&amp;FINANCIACION[[#This Row],[Fecha]],FINANCIACION[PRESTAMO],FINANCIACION[[#This Row],[PRESTAMO]])</f>
        <v>-94935167</v>
      </c>
      <c r="G103" s="113"/>
      <c r="H103" s="117"/>
      <c r="I103" s="119"/>
      <c r="J103" s="113" t="b">
        <f>IF(FINANCIACION[[#This Row],[$ CAPITAL]]&gt;0,FINANCIACION[[#This Row],[$ CAPITAL]])</f>
        <v>0</v>
      </c>
      <c r="K103" s="121">
        <f>IF(FINANCIACION[[#This Row],[$ CAPITAL]]&gt;=0,FINANCIACION[[#This Row],[$ CAPITAL]]+FINANCIACION[[#This Row],[$ INTERESES]],0)</f>
        <v>950000</v>
      </c>
    </row>
    <row r="104" spans="1:11" ht="24" customHeight="1" x14ac:dyDescent="0.3">
      <c r="A104" s="112">
        <v>43809</v>
      </c>
      <c r="B104" s="118" t="s">
        <v>345</v>
      </c>
      <c r="C104" s="113"/>
      <c r="D104" s="113">
        <v>950000</v>
      </c>
      <c r="E104" s="113">
        <f>+IF(FINANCIACION[[#This Row],[$ CAPITAL]]&gt;=0,FINANCIACION[[#This Row],[$ CAPITAL]]+FINANCIACION[[#This Row],[$ INTERESES]],"")</f>
        <v>950000</v>
      </c>
      <c r="F104" s="113">
        <f>+SUMIFS(FINANCIACION[$ CAPITAL],FINANCIACION[Fecha],"&lt;="&amp;FINANCIACION[[#This Row],[Fecha]],FINANCIACION[PRESTAMO],FINANCIACION[[#This Row],[PRESTAMO]])</f>
        <v>-94935167</v>
      </c>
      <c r="G104" s="113"/>
      <c r="H104" s="117"/>
      <c r="I104" s="119"/>
      <c r="J104" s="113" t="b">
        <f>IF(FINANCIACION[[#This Row],[$ CAPITAL]]&gt;0,FINANCIACION[[#This Row],[$ CAPITAL]])</f>
        <v>0</v>
      </c>
      <c r="K104" s="120">
        <f>IF(FINANCIACION[[#This Row],[$ CAPITAL]]&gt;=0,FINANCIACION[[#This Row],[$ CAPITAL]]+FINANCIACION[[#This Row],[$ INTERESES]],0)</f>
        <v>950000</v>
      </c>
    </row>
    <row r="105" spans="1:11" ht="24" customHeight="1" x14ac:dyDescent="0.3">
      <c r="A105" s="122">
        <v>43840</v>
      </c>
      <c r="B105" s="118" t="s">
        <v>345</v>
      </c>
      <c r="C105" s="113"/>
      <c r="D105" s="113">
        <v>950000</v>
      </c>
      <c r="E105" s="113">
        <f>+IF(FINANCIACION[[#This Row],[$ CAPITAL]]&gt;=0,FINANCIACION[[#This Row],[$ CAPITAL]]+FINANCIACION[[#This Row],[$ INTERESES]],"")</f>
        <v>950000</v>
      </c>
      <c r="F105" s="113">
        <f>+SUMIFS(FINANCIACION[$ CAPITAL],FINANCIACION[Fecha],"&lt;="&amp;FINANCIACION[[#This Row],[Fecha]],FINANCIACION[PRESTAMO],FINANCIACION[[#This Row],[PRESTAMO]])</f>
        <v>-94935167</v>
      </c>
      <c r="G105" s="113"/>
      <c r="I105" s="119"/>
      <c r="J105" s="113" t="b">
        <f>IF(FINANCIACION[[#This Row],[$ CAPITAL]]&gt;0,FINANCIACION[[#This Row],[$ CAPITAL]])</f>
        <v>0</v>
      </c>
      <c r="K105" s="120">
        <f>IF(FINANCIACION[[#This Row],[$ CAPITAL]]&gt;=0,FINANCIACION[[#This Row],[$ CAPITAL]]+FINANCIACION[[#This Row],[$ INTERESES]],0)</f>
        <v>950000</v>
      </c>
    </row>
    <row r="106" spans="1:11" ht="24" customHeight="1" x14ac:dyDescent="0.3">
      <c r="A106" s="122">
        <v>43871</v>
      </c>
      <c r="B106" s="118" t="s">
        <v>345</v>
      </c>
      <c r="C106" s="113"/>
      <c r="D106" s="113">
        <v>950000</v>
      </c>
      <c r="E106" s="113">
        <f>+IF(FINANCIACION[[#This Row],[$ CAPITAL]]&gt;=0,FINANCIACION[[#This Row],[$ CAPITAL]]+FINANCIACION[[#This Row],[$ INTERESES]],"")</f>
        <v>950000</v>
      </c>
      <c r="F106" s="113">
        <f>+SUMIFS(FINANCIACION[$ CAPITAL],FINANCIACION[Fecha],"&lt;="&amp;FINANCIACION[[#This Row],[Fecha]],FINANCIACION[PRESTAMO],FINANCIACION[[#This Row],[PRESTAMO]])</f>
        <v>-94935167</v>
      </c>
      <c r="G106" s="113"/>
      <c r="I106" s="119"/>
      <c r="J106" s="113" t="b">
        <f>IF(FINANCIACION[[#This Row],[$ CAPITAL]]&gt;0,FINANCIACION[[#This Row],[$ CAPITAL]])</f>
        <v>0</v>
      </c>
      <c r="K106" s="120">
        <f>IF(FINANCIACION[[#This Row],[$ CAPITAL]]&gt;=0,FINANCIACION[[#This Row],[$ CAPITAL]]+FINANCIACION[[#This Row],[$ INTERESES]],0)</f>
        <v>950000</v>
      </c>
    </row>
    <row r="107" spans="1:11" ht="24" customHeight="1" x14ac:dyDescent="0.3">
      <c r="A107" s="122">
        <v>44083</v>
      </c>
      <c r="B107" s="118" t="s">
        <v>345</v>
      </c>
      <c r="C107" s="113"/>
      <c r="D107" s="113">
        <v>950000</v>
      </c>
      <c r="E107" s="113">
        <f>+IF(FINANCIACION[[#This Row],[$ CAPITAL]]&gt;=0,FINANCIACION[[#This Row],[$ CAPITAL]]+FINANCIACION[[#This Row],[$ INTERESES]],"")</f>
        <v>950000</v>
      </c>
      <c r="F107" s="113">
        <f>+SUMIFS(FINANCIACION[$ CAPITAL],FINANCIACION[Fecha],"&lt;="&amp;FINANCIACION[[#This Row],[Fecha]],FINANCIACION[PRESTAMO],FINANCIACION[[#This Row],[PRESTAMO]])</f>
        <v>-94935167</v>
      </c>
      <c r="G107" s="113"/>
      <c r="H107" s="117"/>
      <c r="I107" s="119"/>
      <c r="J107" s="113" t="b">
        <f>IF(FINANCIACION[[#This Row],[$ CAPITAL]]&gt;0,FINANCIACION[[#This Row],[$ CAPITAL]])</f>
        <v>0</v>
      </c>
      <c r="K107" s="120">
        <f>IF(FINANCIACION[[#This Row],[$ CAPITAL]]&gt;=0,FINANCIACION[[#This Row],[$ CAPITAL]]+FINANCIACION[[#This Row],[$ INTERESES]],0)</f>
        <v>950000</v>
      </c>
    </row>
    <row r="108" spans="1:11" ht="24" customHeight="1" x14ac:dyDescent="0.3">
      <c r="A108" s="122">
        <v>44109</v>
      </c>
      <c r="B108" s="118" t="s">
        <v>345</v>
      </c>
      <c r="C108" s="113"/>
      <c r="D108" s="113">
        <v>950000</v>
      </c>
      <c r="E108" s="113">
        <f>+IF(FINANCIACION[[#This Row],[$ CAPITAL]]&gt;=0,FINANCIACION[[#This Row],[$ CAPITAL]]+FINANCIACION[[#This Row],[$ INTERESES]],"")</f>
        <v>950000</v>
      </c>
      <c r="F108" s="113">
        <f>+SUMIFS(FINANCIACION[$ CAPITAL],FINANCIACION[Fecha],"&lt;="&amp;FINANCIACION[[#This Row],[Fecha]],FINANCIACION[PRESTAMO],FINANCIACION[[#This Row],[PRESTAMO]])</f>
        <v>-94935167</v>
      </c>
      <c r="G108" s="113"/>
      <c r="H108" s="117"/>
      <c r="I108" s="119"/>
      <c r="J108" s="113" t="b">
        <f>IF(FINANCIACION[[#This Row],[$ CAPITAL]]&gt;0,FINANCIACION[[#This Row],[$ CAPITAL]])</f>
        <v>0</v>
      </c>
      <c r="K108" s="120">
        <f>IF(FINANCIACION[[#This Row],[$ CAPITAL]]&gt;=0,FINANCIACION[[#This Row],[$ CAPITAL]]+FINANCIACION[[#This Row],[$ INTERESES]],0)</f>
        <v>950000</v>
      </c>
    </row>
    <row r="109" spans="1:11" ht="24" customHeight="1" x14ac:dyDescent="0.3">
      <c r="A109" s="122">
        <v>44142</v>
      </c>
      <c r="B109" s="118" t="s">
        <v>345</v>
      </c>
      <c r="C109" s="113"/>
      <c r="D109" s="113">
        <v>950000</v>
      </c>
      <c r="E109" s="113">
        <f>+IF(FINANCIACION[[#This Row],[$ CAPITAL]]&gt;=0,FINANCIACION[[#This Row],[$ CAPITAL]]+FINANCIACION[[#This Row],[$ INTERESES]],"")</f>
        <v>950000</v>
      </c>
      <c r="F109" s="113">
        <f>+SUMIFS(FINANCIACION[$ CAPITAL],FINANCIACION[Fecha],"&lt;="&amp;FINANCIACION[[#This Row],[Fecha]],FINANCIACION[PRESTAMO],FINANCIACION[[#This Row],[PRESTAMO]])</f>
        <v>-94935167</v>
      </c>
      <c r="G109" s="113"/>
      <c r="H109" s="117"/>
      <c r="I109" s="119"/>
      <c r="J109" s="113" t="b">
        <f>IF(FINANCIACION[[#This Row],[$ CAPITAL]]&gt;0,FINANCIACION[[#This Row],[$ CAPITAL]])</f>
        <v>0</v>
      </c>
      <c r="K109" s="120">
        <f>IF(FINANCIACION[[#This Row],[$ CAPITAL]]&gt;=0,FINANCIACION[[#This Row],[$ CAPITAL]]+FINANCIACION[[#This Row],[$ INTERESES]],0)</f>
        <v>950000</v>
      </c>
    </row>
    <row r="110" spans="1:11" ht="24" customHeight="1" x14ac:dyDescent="0.3">
      <c r="A110" s="122">
        <v>44144</v>
      </c>
      <c r="B110" s="118" t="s">
        <v>345</v>
      </c>
      <c r="C110" s="113">
        <v>3917000</v>
      </c>
      <c r="D110" s="113"/>
      <c r="E110" s="113">
        <f>+IF(FINANCIACION[[#This Row],[$ CAPITAL]]&gt;=0,FINANCIACION[[#This Row],[$ CAPITAL]]+FINANCIACION[[#This Row],[$ INTERESES]],"")</f>
        <v>3917000</v>
      </c>
      <c r="F110" s="113">
        <f>+SUMIFS(FINANCIACION[$ CAPITAL],FINANCIACION[Fecha],"&lt;="&amp;FINANCIACION[[#This Row],[Fecha]],FINANCIACION[PRESTAMO],FINANCIACION[[#This Row],[PRESTAMO]])</f>
        <v>-91018167</v>
      </c>
      <c r="G110" s="113"/>
      <c r="H110" s="117"/>
      <c r="I110" s="119"/>
      <c r="J110" s="113">
        <f>IF(FINANCIACION[[#This Row],[$ CAPITAL]]&gt;0,FINANCIACION[[#This Row],[$ CAPITAL]])</f>
        <v>3917000</v>
      </c>
      <c r="K110" s="120">
        <f>IF(FINANCIACION[[#This Row],[$ CAPITAL]]&gt;=0,FINANCIACION[[#This Row],[$ CAPITAL]]+FINANCIACION[[#This Row],[$ INTERESES]],0)</f>
        <v>3917000</v>
      </c>
    </row>
    <row r="111" spans="1:11" ht="24" customHeight="1" x14ac:dyDescent="0.3">
      <c r="A111" s="122">
        <v>44175</v>
      </c>
      <c r="B111" s="118" t="s">
        <v>345</v>
      </c>
      <c r="C111" s="113">
        <v>1655718.33</v>
      </c>
      <c r="D111" s="113">
        <v>910181.67</v>
      </c>
      <c r="E111" s="113">
        <f>+IF(FINANCIACION[[#This Row],[$ CAPITAL]]&gt;=0,FINANCIACION[[#This Row],[$ CAPITAL]]+FINANCIACION[[#This Row],[$ INTERESES]],"")</f>
        <v>2565900</v>
      </c>
      <c r="F111" s="113">
        <f>+SUMIFS(FINANCIACION[$ CAPITAL],FINANCIACION[Fecha],"&lt;="&amp;FINANCIACION[[#This Row],[Fecha]],FINANCIACION[PRESTAMO],FINANCIACION[[#This Row],[PRESTAMO]])</f>
        <v>-89362448.670000002</v>
      </c>
      <c r="G111" s="113"/>
      <c r="H111" s="117"/>
      <c r="I111" s="119"/>
      <c r="J111" s="113">
        <f>IF(FINANCIACION[[#This Row],[$ CAPITAL]]&gt;0,FINANCIACION[[#This Row],[$ CAPITAL]])</f>
        <v>1655718.33</v>
      </c>
      <c r="K111" s="120">
        <f>IF(FINANCIACION[[#This Row],[$ CAPITAL]]&gt;=0,FINANCIACION[[#This Row],[$ CAPITAL]]+FINANCIACION[[#This Row],[$ INTERESES]],0)</f>
        <v>2565900</v>
      </c>
    </row>
    <row r="112" spans="1:11" ht="24" customHeight="1" x14ac:dyDescent="0.3">
      <c r="A112" s="112">
        <v>44204</v>
      </c>
      <c r="B112" s="118" t="s">
        <v>345</v>
      </c>
      <c r="C112" s="113">
        <v>1672275.5133</v>
      </c>
      <c r="D112" s="113">
        <v>893624.48670000001</v>
      </c>
      <c r="E112" s="113">
        <f>+IF(FINANCIACION[[#This Row],[$ CAPITAL]]&gt;=0,FINANCIACION[[#This Row],[$ CAPITAL]]+FINANCIACION[[#This Row],[$ INTERESES]],"")</f>
        <v>2565900</v>
      </c>
      <c r="F112" s="113">
        <f>+SUMIFS(FINANCIACION[$ CAPITAL],FINANCIACION[Fecha],"&lt;="&amp;FINANCIACION[[#This Row],[Fecha]],FINANCIACION[PRESTAMO],FINANCIACION[[#This Row],[PRESTAMO]])</f>
        <v>-87690173.1567</v>
      </c>
      <c r="G112" s="113"/>
      <c r="H112" s="117"/>
      <c r="I112" s="119"/>
      <c r="J112" s="113">
        <f>IF(FINANCIACION[[#This Row],[$ CAPITAL]]&gt;0,FINANCIACION[[#This Row],[$ CAPITAL]])</f>
        <v>1672275.5133</v>
      </c>
      <c r="K112" s="120">
        <f>IF(FINANCIACION[[#This Row],[$ CAPITAL]]&gt;=0,FINANCIACION[[#This Row],[$ CAPITAL]]+FINANCIACION[[#This Row],[$ INTERESES]],0)</f>
        <v>2565900</v>
      </c>
    </row>
    <row r="113" spans="1:11" ht="24" customHeight="1" x14ac:dyDescent="0.3">
      <c r="A113" s="112">
        <v>44237</v>
      </c>
      <c r="B113" s="118" t="s">
        <v>345</v>
      </c>
      <c r="C113" s="113">
        <v>1672275.5133</v>
      </c>
      <c r="D113" s="113">
        <v>893624.48670000001</v>
      </c>
      <c r="E113" s="113">
        <f>+IF(FINANCIACION[[#This Row],[$ CAPITAL]]&gt;=0,FINANCIACION[[#This Row],[$ CAPITAL]]+FINANCIACION[[#This Row],[$ INTERESES]],"")</f>
        <v>2565900</v>
      </c>
      <c r="F113" s="113">
        <f>+SUMIFS(FINANCIACION[$ CAPITAL],FINANCIACION[Fecha],"&lt;="&amp;FINANCIACION[[#This Row],[Fecha]],FINANCIACION[PRESTAMO],FINANCIACION[[#This Row],[PRESTAMO]])</f>
        <v>-86017897.643399999</v>
      </c>
      <c r="G113" s="113"/>
      <c r="H113" s="117"/>
      <c r="I113" s="119"/>
      <c r="J113" s="113">
        <f>IF(FINANCIACION[[#This Row],[$ CAPITAL]]&gt;0,FINANCIACION[[#This Row],[$ CAPITAL]])</f>
        <v>1672275.5133</v>
      </c>
      <c r="K113" s="120">
        <f>IF(FINANCIACION[[#This Row],[$ CAPITAL]]&gt;=0,FINANCIACION[[#This Row],[$ CAPITAL]]+FINANCIACION[[#This Row],[$ INTERESES]],0)</f>
        <v>2565900</v>
      </c>
    </row>
    <row r="114" spans="1:11" ht="24" customHeight="1" x14ac:dyDescent="0.3">
      <c r="A114" s="112">
        <v>44264</v>
      </c>
      <c r="B114" s="118" t="s">
        <v>345</v>
      </c>
      <c r="C114" s="113">
        <v>1705721.0235660002</v>
      </c>
      <c r="D114" s="113">
        <v>860178.97643399995</v>
      </c>
      <c r="E114" s="113">
        <f>+IF(FINANCIACION[[#This Row],[$ CAPITAL]]&gt;=0,FINANCIACION[[#This Row],[$ CAPITAL]]+FINANCIACION[[#This Row],[$ INTERESES]],"")</f>
        <v>2565900</v>
      </c>
      <c r="F114" s="113">
        <f>+SUMIFS(FINANCIACION[$ CAPITAL],FINANCIACION[Fecha],"&lt;="&amp;FINANCIACION[[#This Row],[Fecha]],FINANCIACION[PRESTAMO],FINANCIACION[[#This Row],[PRESTAMO]])</f>
        <v>-84312176.619834006</v>
      </c>
      <c r="G114" s="113"/>
      <c r="H114" s="117"/>
      <c r="I114" s="119"/>
      <c r="J114" s="113">
        <f>IF(FINANCIACION[[#This Row],[$ CAPITAL]]&gt;0,FINANCIACION[[#This Row],[$ CAPITAL]])</f>
        <v>1705721.0235660002</v>
      </c>
      <c r="K114" s="120">
        <f>IF(FINANCIACION[[#This Row],[$ CAPITAL]]&gt;=0,FINANCIACION[[#This Row],[$ CAPITAL]]+FINANCIACION[[#This Row],[$ INTERESES]],0)</f>
        <v>2565900</v>
      </c>
    </row>
    <row r="115" spans="1:11" ht="24" customHeight="1" x14ac:dyDescent="0.3">
      <c r="A115" s="112">
        <v>44299</v>
      </c>
      <c r="B115" s="118" t="s">
        <v>345</v>
      </c>
      <c r="C115" s="113">
        <v>1722778.2338016599</v>
      </c>
      <c r="D115" s="113">
        <v>843121.7661983401</v>
      </c>
      <c r="E115" s="113">
        <f>+IF(FINANCIACION[[#This Row],[$ CAPITAL]]&gt;=0,FINANCIACION[[#This Row],[$ CAPITAL]]+FINANCIACION[[#This Row],[$ INTERESES]],"")</f>
        <v>2565900</v>
      </c>
      <c r="F115" s="113">
        <f>+SUMIFS(FINANCIACION[$ CAPITAL],FINANCIACION[Fecha],"&lt;="&amp;FINANCIACION[[#This Row],[Fecha]],FINANCIACION[PRESTAMO],FINANCIACION[[#This Row],[PRESTAMO]])</f>
        <v>-82589398.386032343</v>
      </c>
      <c r="G115" s="113"/>
      <c r="H115" s="117"/>
      <c r="I115" s="119"/>
      <c r="J115" s="113">
        <f>IF(FINANCIACION[[#This Row],[$ CAPITAL]]&gt;0,FINANCIACION[[#This Row],[$ CAPITAL]])</f>
        <v>1722778.2338016599</v>
      </c>
      <c r="K115" s="120">
        <f>IF(FINANCIACION[[#This Row],[$ CAPITAL]]&gt;=0,FINANCIACION[[#This Row],[$ CAPITAL]]+FINANCIACION[[#This Row],[$ INTERESES]],0)</f>
        <v>2565900</v>
      </c>
    </row>
    <row r="116" spans="1:11" ht="24" customHeight="1" x14ac:dyDescent="0.3">
      <c r="A116" s="112">
        <v>44357</v>
      </c>
      <c r="B116" s="118" t="s">
        <v>345</v>
      </c>
      <c r="C116" s="113">
        <v>1851506.0161396766</v>
      </c>
      <c r="D116" s="113">
        <v>825893.98386032344</v>
      </c>
      <c r="E116" s="113">
        <f>+IF(FINANCIACION[[#This Row],[$ CAPITAL]]&gt;=0,FINANCIACION[[#This Row],[$ CAPITAL]]+FINANCIACION[[#This Row],[$ INTERESES]],"")</f>
        <v>2677400</v>
      </c>
      <c r="F116" s="113">
        <f>+SUMIFS(FINANCIACION[$ CAPITAL],FINANCIACION[Fecha],"&lt;="&amp;FINANCIACION[[#This Row],[Fecha]],FINANCIACION[PRESTAMO],FINANCIACION[[#This Row],[PRESTAMO]])</f>
        <v>-80737892.369892672</v>
      </c>
      <c r="G116" s="113"/>
      <c r="H116" s="117"/>
      <c r="I116" s="119"/>
      <c r="J116" s="113">
        <f>IF(FINANCIACION[[#This Row],[$ CAPITAL]]&gt;0,FINANCIACION[[#This Row],[$ CAPITAL]])</f>
        <v>1851506.0161396766</v>
      </c>
      <c r="K116" s="121">
        <f>IF(FINANCIACION[[#This Row],[$ CAPITAL]]&gt;=0,FINANCIACION[[#This Row],[$ CAPITAL]]+FINANCIACION[[#This Row],[$ INTERESES]],0)</f>
        <v>2677400</v>
      </c>
    </row>
    <row r="117" spans="1:11" ht="24" customHeight="1" x14ac:dyDescent="0.3">
      <c r="A117" s="112">
        <v>44390</v>
      </c>
      <c r="B117" s="118" t="s">
        <v>345</v>
      </c>
      <c r="C117" s="113">
        <v>1859999.0763010732</v>
      </c>
      <c r="D117" s="113">
        <v>807378.92369892669</v>
      </c>
      <c r="E117" s="113">
        <f>+IF(FINANCIACION[[#This Row],[$ CAPITAL]]&gt;=0,FINANCIACION[[#This Row],[$ CAPITAL]]+FINANCIACION[[#This Row],[$ INTERESES]],"")</f>
        <v>2667378</v>
      </c>
      <c r="F117" s="113">
        <f>+SUMIFS(FINANCIACION[$ CAPITAL],FINANCIACION[Fecha],"&lt;="&amp;FINANCIACION[[#This Row],[Fecha]],FINANCIACION[PRESTAMO],FINANCIACION[[#This Row],[PRESTAMO]])</f>
        <v>-78877893.293591604</v>
      </c>
      <c r="G117" s="113"/>
      <c r="H117" s="117"/>
      <c r="I117" s="119"/>
      <c r="J117" s="113">
        <f>IF(FINANCIACION[[#This Row],[$ CAPITAL]]&gt;0,FINANCIACION[[#This Row],[$ CAPITAL]])</f>
        <v>1859999.0763010732</v>
      </c>
      <c r="K117" s="120">
        <f>IF(FINANCIACION[[#This Row],[$ CAPITAL]]&gt;=0,FINANCIACION[[#This Row],[$ CAPITAL]]+FINANCIACION[[#This Row],[$ INTERESES]],0)</f>
        <v>2667378</v>
      </c>
    </row>
    <row r="118" spans="1:11" ht="24" customHeight="1" x14ac:dyDescent="0.3">
      <c r="A118" s="112">
        <v>44422</v>
      </c>
      <c r="B118" s="118" t="s">
        <v>345</v>
      </c>
      <c r="C118" s="113">
        <v>1878599.0670640841</v>
      </c>
      <c r="D118" s="113">
        <v>788778.932935916</v>
      </c>
      <c r="E118" s="113">
        <f>+IF(FINANCIACION[[#This Row],[$ CAPITAL]]&gt;=0,FINANCIACION[[#This Row],[$ CAPITAL]]+FINANCIACION[[#This Row],[$ INTERESES]],"")</f>
        <v>2667378</v>
      </c>
      <c r="F118" s="113">
        <f>+SUMIFS(FINANCIACION[$ CAPITAL],FINANCIACION[Fecha],"&lt;="&amp;FINANCIACION[[#This Row],[Fecha]],FINANCIACION[PRESTAMO],FINANCIACION[[#This Row],[PRESTAMO]])</f>
        <v>-76999294.226527512</v>
      </c>
      <c r="G118" s="113"/>
      <c r="I118" s="119"/>
      <c r="J118" s="113">
        <f>IF(FINANCIACION[[#This Row],[$ CAPITAL]]&gt;0,FINANCIACION[[#This Row],[$ CAPITAL]])</f>
        <v>1878599.0670640841</v>
      </c>
      <c r="K118" s="120">
        <f>IF(FINANCIACION[[#This Row],[$ CAPITAL]]&gt;=0,FINANCIACION[[#This Row],[$ CAPITAL]]+FINANCIACION[[#This Row],[$ INTERESES]],0)</f>
        <v>2667378</v>
      </c>
    </row>
    <row r="119" spans="1:11" ht="24" customHeight="1" x14ac:dyDescent="0.3">
      <c r="A119" s="112">
        <v>44450</v>
      </c>
      <c r="B119" s="118" t="s">
        <v>345</v>
      </c>
      <c r="C119" s="113">
        <v>1907385.0577347248</v>
      </c>
      <c r="D119" s="113">
        <v>769992.94226527517</v>
      </c>
      <c r="E119" s="113">
        <f>+IF(FINANCIACION[[#This Row],[$ CAPITAL]]&gt;=0,FINANCIACION[[#This Row],[$ CAPITAL]]+FINANCIACION[[#This Row],[$ INTERESES]],"")</f>
        <v>2677378</v>
      </c>
      <c r="F119" s="113">
        <f>+SUMIFS(FINANCIACION[$ CAPITAL],FINANCIACION[Fecha],"&lt;="&amp;FINANCIACION[[#This Row],[Fecha]],FINANCIACION[PRESTAMO],FINANCIACION[[#This Row],[PRESTAMO]])</f>
        <v>-75091909.168792784</v>
      </c>
      <c r="G119" s="113"/>
      <c r="I119" s="119"/>
      <c r="J119" s="113">
        <f>IF(FINANCIACION[[#This Row],[$ CAPITAL]]&gt;0,FINANCIACION[[#This Row],[$ CAPITAL]])</f>
        <v>1907385.0577347248</v>
      </c>
      <c r="K119" s="120">
        <f>IF(FINANCIACION[[#This Row],[$ CAPITAL]]&gt;=0,FINANCIACION[[#This Row],[$ CAPITAL]]+FINANCIACION[[#This Row],[$ INTERESES]],0)</f>
        <v>2677378</v>
      </c>
    </row>
    <row r="120" spans="1:11" ht="24" customHeight="1" x14ac:dyDescent="0.3">
      <c r="A120" s="112">
        <v>44477</v>
      </c>
      <c r="B120" s="118" t="s">
        <v>345</v>
      </c>
      <c r="C120" s="113">
        <v>1926458.90831207</v>
      </c>
      <c r="D120" s="113">
        <v>750919.09168792795</v>
      </c>
      <c r="E120" s="113">
        <f>+IF(FINANCIACION[[#This Row],[$ CAPITAL]]&gt;=0,FINANCIACION[[#This Row],[$ CAPITAL]]+FINANCIACION[[#This Row],[$ INTERESES]],"")</f>
        <v>2677377.9999999981</v>
      </c>
      <c r="F120" s="113">
        <f>+SUMIFS(FINANCIACION[$ CAPITAL],FINANCIACION[Fecha],"&lt;="&amp;FINANCIACION[[#This Row],[Fecha]],FINANCIACION[PRESTAMO],FINANCIACION[[#This Row],[PRESTAMO]])</f>
        <v>-73165450.260480717</v>
      </c>
      <c r="G120" s="113"/>
      <c r="H120" s="117"/>
      <c r="I120" s="119"/>
      <c r="J120" s="113">
        <f>IF(FINANCIACION[[#This Row],[$ CAPITAL]]&gt;0,FINANCIACION[[#This Row],[$ CAPITAL]])</f>
        <v>1926458.90831207</v>
      </c>
      <c r="K120" s="120">
        <f>IF(FINANCIACION[[#This Row],[$ CAPITAL]]&gt;=0,FINANCIACION[[#This Row],[$ CAPITAL]]+FINANCIACION[[#This Row],[$ INTERESES]],0)</f>
        <v>2677377.9999999981</v>
      </c>
    </row>
    <row r="121" spans="1:11" ht="24" customHeight="1" x14ac:dyDescent="0.3">
      <c r="A121" s="112">
        <v>44510</v>
      </c>
      <c r="B121" s="118" t="s">
        <v>345</v>
      </c>
      <c r="C121" s="113">
        <v>1945723.4973951909</v>
      </c>
      <c r="D121" s="113">
        <v>731654.50260480714</v>
      </c>
      <c r="E121" s="113">
        <f>+IF(FINANCIACION[[#This Row],[$ CAPITAL]]&gt;=0,FINANCIACION[[#This Row],[$ CAPITAL]]+FINANCIACION[[#This Row],[$ INTERESES]],"")</f>
        <v>2677377.9999999981</v>
      </c>
      <c r="F121" s="113">
        <f>+SUMIFS(FINANCIACION[$ CAPITAL],FINANCIACION[Fecha],"&lt;="&amp;FINANCIACION[[#This Row],[Fecha]],FINANCIACION[PRESTAMO],FINANCIACION[[#This Row],[PRESTAMO]])</f>
        <v>-71219726.763085529</v>
      </c>
      <c r="G121" s="113"/>
      <c r="I121" s="119"/>
      <c r="J121" s="113">
        <f>IF(FINANCIACION[[#This Row],[$ CAPITAL]]&gt;0,FINANCIACION[[#This Row],[$ CAPITAL]])</f>
        <v>1945723.4973951909</v>
      </c>
      <c r="K121" s="120">
        <f>IF(FINANCIACION[[#This Row],[$ CAPITAL]]&gt;=0,FINANCIACION[[#This Row],[$ CAPITAL]]+FINANCIACION[[#This Row],[$ INTERESES]],0)</f>
        <v>2677377.9999999981</v>
      </c>
    </row>
    <row r="122" spans="1:11" ht="24" customHeight="1" x14ac:dyDescent="0.3">
      <c r="A122" s="112">
        <v>44539</v>
      </c>
      <c r="B122" s="118" t="s">
        <v>345</v>
      </c>
      <c r="C122" s="113">
        <v>1965180.7323691447</v>
      </c>
      <c r="D122" s="113">
        <v>712197.26763085532</v>
      </c>
      <c r="E122" s="113">
        <f>+IF(FINANCIACION[[#This Row],[$ CAPITAL]]&gt;=0,FINANCIACION[[#This Row],[$ CAPITAL]]+FINANCIACION[[#This Row],[$ INTERESES]],"")</f>
        <v>2677378</v>
      </c>
      <c r="F122" s="113">
        <f>+SUMIFS(FINANCIACION[$ CAPITAL],FINANCIACION[Fecha],"&lt;="&amp;FINANCIACION[[#This Row],[Fecha]],FINANCIACION[PRESTAMO],FINANCIACION[[#This Row],[PRESTAMO]])</f>
        <v>-69254546.030716389</v>
      </c>
      <c r="G122" s="113"/>
      <c r="I122" s="119"/>
      <c r="J122" s="113">
        <f>IF(FINANCIACION[[#This Row],[$ CAPITAL]]&gt;0,FINANCIACION[[#This Row],[$ CAPITAL]])</f>
        <v>1965180.7323691447</v>
      </c>
      <c r="K122" s="120">
        <f>IF(FINANCIACION[[#This Row],[$ CAPITAL]]&gt;=0,FINANCIACION[[#This Row],[$ CAPITAL]]+FINANCIACION[[#This Row],[$ INTERESES]],0)</f>
        <v>2677378</v>
      </c>
    </row>
    <row r="123" spans="1:11" ht="24" customHeight="1" x14ac:dyDescent="0.3">
      <c r="A123" s="112">
        <v>44572</v>
      </c>
      <c r="B123" s="118" t="s">
        <v>345</v>
      </c>
      <c r="C123" s="113">
        <v>1984832.5396928361</v>
      </c>
      <c r="D123" s="113">
        <v>692545.46030716388</v>
      </c>
      <c r="E123" s="113">
        <f>+IF(FINANCIACION[[#This Row],[$ CAPITAL]]&gt;=0,FINANCIACION[[#This Row],[$ CAPITAL]]+FINANCIACION[[#This Row],[$ INTERESES]],"")</f>
        <v>2677378</v>
      </c>
      <c r="F123" s="113">
        <f>+SUMIFS(FINANCIACION[$ CAPITAL],FINANCIACION[Fecha],"&lt;="&amp;FINANCIACION[[#This Row],[Fecha]],FINANCIACION[PRESTAMO],FINANCIACION[[#This Row],[PRESTAMO]])</f>
        <v>-67269713.491023555</v>
      </c>
      <c r="G123" s="113"/>
      <c r="I123" s="119"/>
      <c r="J123" s="113">
        <f>IF(FINANCIACION[[#This Row],[$ CAPITAL]]&gt;0,FINANCIACION[[#This Row],[$ CAPITAL]])</f>
        <v>1984832.5396928361</v>
      </c>
      <c r="K123" s="120">
        <f>IF(FINANCIACION[[#This Row],[$ CAPITAL]]&gt;=0,FINANCIACION[[#This Row],[$ CAPITAL]]+FINANCIACION[[#This Row],[$ INTERESES]],0)</f>
        <v>2677378</v>
      </c>
    </row>
    <row r="124" spans="1:11" ht="24" customHeight="1" x14ac:dyDescent="0.3">
      <c r="A124" s="112">
        <v>44602</v>
      </c>
      <c r="B124" s="118" t="s">
        <v>345</v>
      </c>
      <c r="C124" s="113">
        <v>2004680.8650897644</v>
      </c>
      <c r="D124" s="113">
        <v>672697.13491023553</v>
      </c>
      <c r="E124" s="113">
        <f>+IF(FINANCIACION[[#This Row],[$ CAPITAL]]&gt;=0,FINANCIACION[[#This Row],[$ CAPITAL]]+FINANCIACION[[#This Row],[$ INTERESES]],"")</f>
        <v>2677378</v>
      </c>
      <c r="F124" s="113">
        <f>+SUMIFS(FINANCIACION[$ CAPITAL],FINANCIACION[Fecha],"&lt;="&amp;FINANCIACION[[#This Row],[Fecha]],FINANCIACION[PRESTAMO],FINANCIACION[[#This Row],[PRESTAMO]])</f>
        <v>-65265032.625933789</v>
      </c>
      <c r="G124" s="113"/>
      <c r="I124" s="119"/>
      <c r="J124" s="113">
        <f>+IF(FINANCIACION[[#This Row],[$ CAPITAL]]&gt;0,FINANCIACION[[#This Row],[$ CAPITAL]])</f>
        <v>2004680.8650897644</v>
      </c>
      <c r="K124" s="120">
        <f>+IF(FINANCIACION[[#This Row],[$ CAPITAL]]&gt;=0,FINANCIACION[[#This Row],[$ CAPITAL]]+FINANCIACION[[#This Row],[$ INTERESES]],0)</f>
        <v>2677378</v>
      </c>
    </row>
    <row r="125" spans="1:11" ht="24" customHeight="1" x14ac:dyDescent="0.3">
      <c r="A125" s="112">
        <v>44630</v>
      </c>
      <c r="B125" s="118" t="s">
        <v>345</v>
      </c>
      <c r="C125" s="113">
        <v>2024727.6737406622</v>
      </c>
      <c r="D125" s="113">
        <v>652650.32625933795</v>
      </c>
      <c r="E125" s="113">
        <f>+IF(FINANCIACION[[#This Row],[$ CAPITAL]]&gt;=0,FINANCIACION[[#This Row],[$ CAPITAL]]+FINANCIACION[[#This Row],[$ INTERESES]],"")</f>
        <v>2677378</v>
      </c>
      <c r="F125" s="113">
        <f>+SUMIFS(FINANCIACION[$ CAPITAL],FINANCIACION[Fecha],"&lt;="&amp;FINANCIACION[[#This Row],[Fecha]],FINANCIACION[PRESTAMO],FINANCIACION[[#This Row],[PRESTAMO]])</f>
        <v>-63240304.952193126</v>
      </c>
      <c r="G125" s="113"/>
      <c r="I125" s="119"/>
      <c r="J125" s="113">
        <f>+IF(FINANCIACION[[#This Row],[$ CAPITAL]]&gt;0,FINANCIACION[[#This Row],[$ CAPITAL]])</f>
        <v>2024727.6737406622</v>
      </c>
      <c r="K125" s="120">
        <f>+IF(FINANCIACION[[#This Row],[$ CAPITAL]]&gt;=0,FINANCIACION[[#This Row],[$ CAPITAL]]+FINANCIACION[[#This Row],[$ INTERESES]],0)</f>
        <v>2677378</v>
      </c>
    </row>
    <row r="126" spans="1:11" ht="24" customHeight="1" x14ac:dyDescent="0.3">
      <c r="A126" s="112">
        <v>44664</v>
      </c>
      <c r="B126" s="118" t="s">
        <v>345</v>
      </c>
      <c r="C126" s="113">
        <v>2044974.9504780686</v>
      </c>
      <c r="D126" s="113">
        <v>632403.04952193133</v>
      </c>
      <c r="E126" s="113">
        <f>+IF(FINANCIACION[[#This Row],[$ CAPITAL]]&gt;=0,FINANCIACION[[#This Row],[$ CAPITAL]]+FINANCIACION[[#This Row],[$ INTERESES]],"")</f>
        <v>2677378</v>
      </c>
      <c r="F126" s="113">
        <f>+SUMIFS(FINANCIACION[$ CAPITAL],FINANCIACION[Fecha],"&lt;="&amp;FINANCIACION[[#This Row],[Fecha]],FINANCIACION[PRESTAMO],FINANCIACION[[#This Row],[PRESTAMO]])</f>
        <v>-61195330.001715057</v>
      </c>
      <c r="G126" s="113"/>
      <c r="I126" s="119"/>
      <c r="J126" s="113">
        <f>+IF(FINANCIACION[[#This Row],[$ CAPITAL]]&gt;0,FINANCIACION[[#This Row],[$ CAPITAL]])</f>
        <v>2044974.9504780686</v>
      </c>
      <c r="K126" s="120">
        <f>+IF(FINANCIACION[[#This Row],[$ CAPITAL]]&gt;=0,FINANCIACION[[#This Row],[$ CAPITAL]]+FINANCIACION[[#This Row],[$ INTERESES]],0)</f>
        <v>2677378</v>
      </c>
    </row>
    <row r="127" spans="1:11" ht="24" customHeight="1" x14ac:dyDescent="0.3">
      <c r="A127" s="112">
        <v>44691</v>
      </c>
      <c r="B127" s="118" t="s">
        <v>345</v>
      </c>
      <c r="C127" s="113">
        <v>2065424.6999828494</v>
      </c>
      <c r="D127" s="113">
        <v>611953.30001715058</v>
      </c>
      <c r="E127" s="113">
        <f>+IF(FINANCIACION[[#This Row],[$ CAPITAL]]&gt;=0,FINANCIACION[[#This Row],[$ CAPITAL]]+FINANCIACION[[#This Row],[$ INTERESES]],"")</f>
        <v>2677378</v>
      </c>
      <c r="F127" s="113">
        <f>+SUMIFS(FINANCIACION[$ CAPITAL],FINANCIACION[Fecha],"&lt;="&amp;FINANCIACION[[#This Row],[Fecha]],FINANCIACION[PRESTAMO],FINANCIACION[[#This Row],[PRESTAMO]])</f>
        <v>-59129905.301732205</v>
      </c>
      <c r="G127" s="113"/>
      <c r="I127" s="119"/>
      <c r="J127" s="113">
        <f>+IF(FINANCIACION[[#This Row],[$ CAPITAL]]&gt;0,FINANCIACION[[#This Row],[$ CAPITAL]])</f>
        <v>2065424.6999828494</v>
      </c>
      <c r="K127" s="120">
        <f>+IF(FINANCIACION[[#This Row],[$ CAPITAL]]&gt;=0,FINANCIACION[[#This Row],[$ CAPITAL]]+FINANCIACION[[#This Row],[$ INTERESES]],0)</f>
        <v>2677378</v>
      </c>
    </row>
    <row r="128" spans="1:11" ht="24" customHeight="1" x14ac:dyDescent="0.3">
      <c r="A128" s="112">
        <v>44723</v>
      </c>
      <c r="B128" s="118" t="s">
        <v>345</v>
      </c>
      <c r="C128" s="113">
        <v>2086078.946982678</v>
      </c>
      <c r="D128" s="113">
        <v>591299.05301732209</v>
      </c>
      <c r="E128" s="113">
        <f>+IF(FINANCIACION[[#This Row],[$ CAPITAL]]&gt;=0,FINANCIACION[[#This Row],[$ CAPITAL]]+FINANCIACION[[#This Row],[$ INTERESES]],"")</f>
        <v>2677378</v>
      </c>
      <c r="F128" s="113">
        <f>+SUMIFS(FINANCIACION[$ CAPITAL],FINANCIACION[Fecha],"&lt;="&amp;FINANCIACION[[#This Row],[Fecha]],FINANCIACION[PRESTAMO],FINANCIACION[[#This Row],[PRESTAMO]])</f>
        <v>-57043826.354749531</v>
      </c>
      <c r="G128" s="113"/>
      <c r="I128" s="119"/>
      <c r="J128" s="113">
        <f>+IF(FINANCIACION[[#This Row],[$ CAPITAL]]&gt;0,FINANCIACION[[#This Row],[$ CAPITAL]])</f>
        <v>2086078.946982678</v>
      </c>
      <c r="K128" s="120">
        <f>+IF(FINANCIACION[[#This Row],[$ CAPITAL]]&gt;=0,FINANCIACION[[#This Row],[$ CAPITAL]]+FINANCIACION[[#This Row],[$ INTERESES]],0)</f>
        <v>2677378</v>
      </c>
    </row>
    <row r="129" spans="1:11" ht="24" customHeight="1" x14ac:dyDescent="0.3">
      <c r="A129" s="112">
        <v>44753</v>
      </c>
      <c r="B129" s="118" t="s">
        <v>345</v>
      </c>
      <c r="C129" s="113">
        <f>2667378-FINANCIACION[[#This Row],[$ INTERESES]]</f>
        <v>2096939.736452505</v>
      </c>
      <c r="D129" s="113">
        <f>0.01*57043826.3547495</f>
        <v>570438.26354749501</v>
      </c>
      <c r="E129" s="113">
        <f>+IF(FINANCIACION[[#This Row],[$ CAPITAL]]&gt;=0,FINANCIACION[[#This Row],[$ CAPITAL]]+FINANCIACION[[#This Row],[$ INTERESES]],"")</f>
        <v>2667378</v>
      </c>
      <c r="F129" s="113">
        <f>+SUMIFS(FINANCIACION[$ CAPITAL],FINANCIACION[Fecha],"&lt;="&amp;FINANCIACION[[#This Row],[Fecha]],FINANCIACION[PRESTAMO],FINANCIACION[[#This Row],[PRESTAMO]])</f>
        <v>-54946886.618297026</v>
      </c>
      <c r="G129" s="113"/>
      <c r="I129" s="119"/>
      <c r="J129" s="113">
        <f>+IF(FINANCIACION[[#This Row],[$ CAPITAL]]&gt;0,FINANCIACION[[#This Row],[$ CAPITAL]])</f>
        <v>2096939.736452505</v>
      </c>
      <c r="K129" s="120">
        <f>+IF(FINANCIACION[[#This Row],[$ CAPITAL]]&gt;=0,FINANCIACION[[#This Row],[$ CAPITAL]]+FINANCIACION[[#This Row],[$ INTERESES]],0)</f>
        <v>2667378</v>
      </c>
    </row>
    <row r="130" spans="1:11" ht="24" customHeight="1" x14ac:dyDescent="0.3">
      <c r="A130" s="112">
        <v>44786</v>
      </c>
      <c r="B130" s="118" t="s">
        <v>345</v>
      </c>
      <c r="C130" s="113">
        <f>2677378-FINANCIACION[[#This Row],[$ INTERESES]]</f>
        <v>2127909.1338170301</v>
      </c>
      <c r="D130" s="113">
        <v>549468.86618297</v>
      </c>
      <c r="E130" s="113">
        <f>+IF(FINANCIACION[[#This Row],[$ CAPITAL]]&gt;=0,FINANCIACION[[#This Row],[$ CAPITAL]]+FINANCIACION[[#This Row],[$ INTERESES]],"")</f>
        <v>2677378</v>
      </c>
      <c r="F130" s="113">
        <f>+SUMIFS(FINANCIACION[$ CAPITAL],FINANCIACION[Fecha],"&lt;="&amp;FINANCIACION[[#This Row],[Fecha]],FINANCIACION[PRESTAMO],FINANCIACION[[#This Row],[PRESTAMO]])</f>
        <v>-52818977.484479994</v>
      </c>
      <c r="G130" s="113"/>
      <c r="I130" s="119"/>
      <c r="J130" s="113">
        <f>+IF(FINANCIACION[[#This Row],[$ CAPITAL]]&gt;0,FINANCIACION[[#This Row],[$ CAPITAL]])</f>
        <v>2127909.1338170301</v>
      </c>
      <c r="K130" s="120">
        <f>+IF(FINANCIACION[[#This Row],[$ CAPITAL]]&gt;=0,FINANCIACION[[#This Row],[$ CAPITAL]]+FINANCIACION[[#This Row],[$ INTERESES]],0)</f>
        <v>2677378</v>
      </c>
    </row>
    <row r="131" spans="1:11" ht="24" customHeight="1" x14ac:dyDescent="0.3">
      <c r="A131" s="112">
        <v>44823</v>
      </c>
      <c r="B131" s="118" t="s">
        <v>345</v>
      </c>
      <c r="C131" s="113">
        <v>2149210</v>
      </c>
      <c r="D131" s="113">
        <v>528190</v>
      </c>
      <c r="E131" s="113">
        <f>+IF(FINANCIACION[[#This Row],[$ CAPITAL]]&gt;=0,FINANCIACION[[#This Row],[$ CAPITAL]]+FINANCIACION[[#This Row],[$ INTERESES]],"")</f>
        <v>2677400</v>
      </c>
      <c r="F131" s="113">
        <f>+SUMIFS(FINANCIACION[$ CAPITAL],FINANCIACION[Fecha],"&lt;="&amp;FINANCIACION[[#This Row],[Fecha]],FINANCIACION[PRESTAMO],FINANCIACION[[#This Row],[PRESTAMO]])</f>
        <v>-50669767.484479994</v>
      </c>
      <c r="G131" s="113"/>
      <c r="I131" s="119"/>
      <c r="J131" s="113">
        <f>+IF(FINANCIACION[[#This Row],[$ CAPITAL]]&gt;0,FINANCIACION[[#This Row],[$ CAPITAL]])</f>
        <v>2149210</v>
      </c>
      <c r="K131" s="120">
        <f>+IF(FINANCIACION[[#This Row],[$ CAPITAL]]&gt;=0,FINANCIACION[[#This Row],[$ CAPITAL]]+FINANCIACION[[#This Row],[$ INTERESES]],0)</f>
        <v>2677400</v>
      </c>
    </row>
    <row r="132" spans="1:11" ht="24" customHeight="1" x14ac:dyDescent="0.3">
      <c r="A132" s="112">
        <v>44846</v>
      </c>
      <c r="B132" s="118" t="s">
        <v>345</v>
      </c>
      <c r="C132" s="113">
        <v>2170702</v>
      </c>
      <c r="D132" s="113">
        <v>506698</v>
      </c>
      <c r="E132" s="113">
        <f>+IF(FINANCIACION[[#This Row],[$ CAPITAL]]&gt;=0,FINANCIACION[[#This Row],[$ CAPITAL]]+FINANCIACION[[#This Row],[$ INTERESES]],"")</f>
        <v>2677400</v>
      </c>
      <c r="F132" s="113">
        <f>+SUMIFS(FINANCIACION[$ CAPITAL],FINANCIACION[Fecha],"&lt;="&amp;FINANCIACION[[#This Row],[Fecha]],FINANCIACION[PRESTAMO],FINANCIACION[[#This Row],[PRESTAMO]])</f>
        <v>-48499065.484479994</v>
      </c>
      <c r="G132" s="113"/>
      <c r="I132" s="119"/>
      <c r="J132" s="113">
        <f>+IF(FINANCIACION[[#This Row],[$ CAPITAL]]&gt;0,FINANCIACION[[#This Row],[$ CAPITAL]])</f>
        <v>2170702</v>
      </c>
      <c r="K132" s="120">
        <f>+IF(FINANCIACION[[#This Row],[$ CAPITAL]]&gt;=0,FINANCIACION[[#This Row],[$ CAPITAL]]+FINANCIACION[[#This Row],[$ INTERESES]],0)</f>
        <v>2677400</v>
      </c>
    </row>
    <row r="133" spans="1:11" ht="24" customHeight="1" x14ac:dyDescent="0.3">
      <c r="A133" s="112">
        <v>44876</v>
      </c>
      <c r="B133" s="118" t="s">
        <v>345</v>
      </c>
      <c r="C133" s="113">
        <v>2192387</v>
      </c>
      <c r="D133" s="113">
        <v>484991</v>
      </c>
      <c r="E133" s="113">
        <f>+IF(FINANCIACION[[#This Row],[$ CAPITAL]]&gt;=0,FINANCIACION[[#This Row],[$ CAPITAL]]+FINANCIACION[[#This Row],[$ INTERESES]],"")</f>
        <v>2677378</v>
      </c>
      <c r="F133" s="113">
        <f>+SUMIFS(FINANCIACION[$ CAPITAL],FINANCIACION[Fecha],"&lt;="&amp;FINANCIACION[[#This Row],[Fecha]],FINANCIACION[PRESTAMO],FINANCIACION[[#This Row],[PRESTAMO]])</f>
        <v>-46306678.484479994</v>
      </c>
      <c r="G133" s="113"/>
      <c r="I133" s="119"/>
      <c r="J133" s="113">
        <f>+IF(FINANCIACION[[#This Row],[$ CAPITAL]]&gt;0,FINANCIACION[[#This Row],[$ CAPITAL]])</f>
        <v>2192387</v>
      </c>
      <c r="K133" s="120">
        <f>+IF(FINANCIACION[[#This Row],[$ CAPITAL]]&gt;=0,FINANCIACION[[#This Row],[$ CAPITAL]]+FINANCIACION[[#This Row],[$ INTERESES]],0)</f>
        <v>2677378</v>
      </c>
    </row>
    <row r="134" spans="1:11" ht="24" customHeight="1" x14ac:dyDescent="0.3">
      <c r="A134" s="112">
        <v>44909</v>
      </c>
      <c r="B134" s="118" t="s">
        <v>345</v>
      </c>
      <c r="C134" s="113">
        <v>2214311</v>
      </c>
      <c r="D134" s="113">
        <v>463067</v>
      </c>
      <c r="E134" s="113">
        <f>+IF(FINANCIACION[[#This Row],[$ CAPITAL]]&gt;=0,FINANCIACION[[#This Row],[$ CAPITAL]]+FINANCIACION[[#This Row],[$ INTERESES]],"")</f>
        <v>2677378</v>
      </c>
      <c r="F134" s="113">
        <f>+SUMIFS(FINANCIACION[$ CAPITAL],FINANCIACION[Fecha],"&lt;="&amp;FINANCIACION[[#This Row],[Fecha]],FINANCIACION[PRESTAMO],FINANCIACION[[#This Row],[PRESTAMO]])</f>
        <v>-44092367.484479994</v>
      </c>
      <c r="G134" s="113"/>
      <c r="I134" s="119"/>
      <c r="J134" s="113">
        <f>+IF(FINANCIACION[[#This Row],[$ CAPITAL]]&gt;0,FINANCIACION[[#This Row],[$ CAPITAL]])</f>
        <v>2214311</v>
      </c>
      <c r="K134" s="120">
        <f>+IF(FINANCIACION[[#This Row],[$ CAPITAL]]&gt;=0,FINANCIACION[[#This Row],[$ CAPITAL]]+FINANCIACION[[#This Row],[$ INTERESES]],0)</f>
        <v>2677378</v>
      </c>
    </row>
    <row r="135" spans="1:11" ht="24" customHeight="1" x14ac:dyDescent="0.3">
      <c r="A135" s="112">
        <v>44938</v>
      </c>
      <c r="B135" s="118" t="s">
        <v>345</v>
      </c>
      <c r="C135" s="113">
        <v>2236454</v>
      </c>
      <c r="D135" s="113">
        <v>440924</v>
      </c>
      <c r="E135" s="113">
        <f>+IF(FINANCIACION[[#This Row],[$ CAPITAL]]&gt;=0,FINANCIACION[[#This Row],[$ CAPITAL]]+FINANCIACION[[#This Row],[$ INTERESES]],"")</f>
        <v>2677378</v>
      </c>
      <c r="F135" s="113">
        <f>+SUMIFS(FINANCIACION[$ CAPITAL],FINANCIACION[Fecha],"&lt;="&amp;FINANCIACION[[#This Row],[Fecha]],FINANCIACION[PRESTAMO],FINANCIACION[[#This Row],[PRESTAMO]])</f>
        <v>-41855913.484479994</v>
      </c>
      <c r="G135" s="113"/>
      <c r="I135" s="119"/>
      <c r="J135" s="113">
        <f>+IF(FINANCIACION[[#This Row],[$ CAPITAL]]&gt;0,FINANCIACION[[#This Row],[$ CAPITAL]])</f>
        <v>2236454</v>
      </c>
      <c r="K135" s="120">
        <f>+IF(FINANCIACION[[#This Row],[$ CAPITAL]]&gt;=0,FINANCIACION[[#This Row],[$ CAPITAL]]+FINANCIACION[[#This Row],[$ INTERESES]],0)</f>
        <v>2677378</v>
      </c>
    </row>
    <row r="136" spans="1:11" ht="24" customHeight="1" x14ac:dyDescent="0.3">
      <c r="A136" s="112">
        <v>44970</v>
      </c>
      <c r="B136" s="118" t="s">
        <v>345</v>
      </c>
      <c r="C136" s="113">
        <v>2258819</v>
      </c>
      <c r="D136" s="113">
        <v>418559</v>
      </c>
      <c r="E136" s="113">
        <f>+IF(FINANCIACION[[#This Row],[$ CAPITAL]]&gt;=0,FINANCIACION[[#This Row],[$ CAPITAL]]+FINANCIACION[[#This Row],[$ INTERESES]],"")</f>
        <v>2677378</v>
      </c>
      <c r="F136" s="113">
        <f>+SUMIFS(FINANCIACION[$ CAPITAL],FINANCIACION[Fecha],"&lt;="&amp;FINANCIACION[[#This Row],[Fecha]],FINANCIACION[PRESTAMO],FINANCIACION[[#This Row],[PRESTAMO]])</f>
        <v>-39597094.484479994</v>
      </c>
      <c r="G136" s="113"/>
      <c r="I136" s="119"/>
      <c r="J136" s="113">
        <f>+IF(FINANCIACION[[#This Row],[$ CAPITAL]]&gt;0,FINANCIACION[[#This Row],[$ CAPITAL]])</f>
        <v>2258819</v>
      </c>
      <c r="K136" s="120">
        <f>+IF(FINANCIACION[[#This Row],[$ CAPITAL]]&gt;=0,FINANCIACION[[#This Row],[$ CAPITAL]]+FINANCIACION[[#This Row],[$ INTERESES]],0)</f>
        <v>2677378</v>
      </c>
    </row>
    <row r="137" spans="1:11" ht="24" customHeight="1" x14ac:dyDescent="0.3">
      <c r="A137" s="112">
        <v>45014</v>
      </c>
      <c r="B137" s="118" t="s">
        <v>345</v>
      </c>
      <c r="C137" s="113">
        <v>2281429</v>
      </c>
      <c r="D137" s="113">
        <v>395971</v>
      </c>
      <c r="E137" s="113">
        <f>+IF(FINANCIACION[[#This Row],[$ CAPITAL]]&gt;=0,FINANCIACION[[#This Row],[$ CAPITAL]]+FINANCIACION[[#This Row],[$ INTERESES]],"")</f>
        <v>2677400</v>
      </c>
      <c r="F137" s="113">
        <f>+SUMIFS(FINANCIACION[$ CAPITAL],FINANCIACION[Fecha],"&lt;="&amp;FINANCIACION[[#This Row],[Fecha]],FINANCIACION[PRESTAMO],FINANCIACION[[#This Row],[PRESTAMO]])</f>
        <v>-37315665.484479994</v>
      </c>
      <c r="G137" s="113"/>
      <c r="I137" s="119"/>
      <c r="J137" s="113">
        <f>+IF(FINANCIACION[[#This Row],[$ CAPITAL]]&gt;0,FINANCIACION[[#This Row],[$ CAPITAL]])</f>
        <v>2281429</v>
      </c>
      <c r="K137" s="120">
        <f>+IF(FINANCIACION[[#This Row],[$ CAPITAL]]&gt;=0,FINANCIACION[[#This Row],[$ CAPITAL]]+FINANCIACION[[#This Row],[$ INTERESES]],0)</f>
        <v>2677400</v>
      </c>
    </row>
    <row r="138" spans="1:11" ht="24" customHeight="1" x14ac:dyDescent="0.3">
      <c r="A138" s="112">
        <v>45026</v>
      </c>
      <c r="B138" s="118" t="s">
        <v>345</v>
      </c>
      <c r="C138" s="113">
        <v>2304243</v>
      </c>
      <c r="D138" s="113">
        <v>373157</v>
      </c>
      <c r="E138" s="113">
        <f>+IF(FINANCIACION[[#This Row],[$ CAPITAL]]&gt;=0,FINANCIACION[[#This Row],[$ CAPITAL]]+FINANCIACION[[#This Row],[$ INTERESES]],"")</f>
        <v>2677400</v>
      </c>
      <c r="F138" s="113">
        <f>+SUMIFS(FINANCIACION[$ CAPITAL],FINANCIACION[Fecha],"&lt;="&amp;FINANCIACION[[#This Row],[Fecha]],FINANCIACION[PRESTAMO],FINANCIACION[[#This Row],[PRESTAMO]])</f>
        <v>-35011422.484479994</v>
      </c>
      <c r="G138" s="113"/>
      <c r="I138" s="119"/>
      <c r="J138" s="113">
        <f>+IF(FINANCIACION[[#This Row],[$ CAPITAL]]&gt;0,FINANCIACION[[#This Row],[$ CAPITAL]])</f>
        <v>2304243</v>
      </c>
      <c r="K138" s="120">
        <f>+IF(FINANCIACION[[#This Row],[$ CAPITAL]]&gt;=0,FINANCIACION[[#This Row],[$ CAPITAL]]+FINANCIACION[[#This Row],[$ INTERESES]],0)</f>
        <v>2677400</v>
      </c>
    </row>
    <row r="139" spans="1:11" ht="24" customHeight="1" x14ac:dyDescent="0.3">
      <c r="A139" s="112">
        <v>45054</v>
      </c>
      <c r="B139" s="118" t="s">
        <v>345</v>
      </c>
      <c r="C139" s="113">
        <v>649886</v>
      </c>
      <c r="D139" s="113">
        <v>350114</v>
      </c>
      <c r="E139" s="113">
        <f>+IF(FINANCIACION[[#This Row],[$ CAPITAL]]&gt;=0,FINANCIACION[[#This Row],[$ CAPITAL]]+FINANCIACION[[#This Row],[$ INTERESES]],"")</f>
        <v>1000000</v>
      </c>
      <c r="F139" s="113">
        <f>+SUMIFS(FINANCIACION[$ CAPITAL],FINANCIACION[Fecha],"&lt;="&amp;FINANCIACION[[#This Row],[Fecha]],FINANCIACION[PRESTAMO],FINANCIACION[[#This Row],[PRESTAMO]])</f>
        <v>-34361536.484479994</v>
      </c>
      <c r="G139" s="113"/>
      <c r="I139" s="119"/>
      <c r="J139" s="113">
        <f>+IF(FINANCIACION[[#This Row],[$ CAPITAL]]&gt;0,FINANCIACION[[#This Row],[$ CAPITAL]])</f>
        <v>649886</v>
      </c>
      <c r="K139" s="120">
        <f>+IF(FINANCIACION[[#This Row],[$ CAPITAL]]&gt;=0,FINANCIACION[[#This Row],[$ CAPITAL]]+FINANCIACION[[#This Row],[$ INTERESES]],0)</f>
        <v>1000000</v>
      </c>
    </row>
    <row r="140" spans="1:11" ht="24" customHeight="1" x14ac:dyDescent="0.3">
      <c r="A140" s="112">
        <v>45098</v>
      </c>
      <c r="B140" s="118" t="s">
        <v>345</v>
      </c>
      <c r="C140" s="113">
        <v>656384</v>
      </c>
      <c r="D140" s="113">
        <v>343616</v>
      </c>
      <c r="E140" s="113">
        <f>+IF(FINANCIACION[[#This Row],[$ CAPITAL]]&gt;=0,FINANCIACION[[#This Row],[$ CAPITAL]]+FINANCIACION[[#This Row],[$ INTERESES]],"")</f>
        <v>1000000</v>
      </c>
      <c r="F140" s="113">
        <f>+SUMIFS(FINANCIACION[$ CAPITAL],FINANCIACION[Fecha],"&lt;="&amp;FINANCIACION[[#This Row],[Fecha]],FINANCIACION[PRESTAMO],FINANCIACION[[#This Row],[PRESTAMO]])</f>
        <v>-33705152.484479994</v>
      </c>
      <c r="G140" s="113"/>
      <c r="I140" s="119"/>
      <c r="J140" s="113">
        <f>+IF(FINANCIACION[[#This Row],[$ CAPITAL]]&gt;0,FINANCIACION[[#This Row],[$ CAPITAL]])</f>
        <v>656384</v>
      </c>
      <c r="K140" s="120">
        <f>+IF(FINANCIACION[[#This Row],[$ CAPITAL]]&gt;=0,FINANCIACION[[#This Row],[$ CAPITAL]]+FINANCIACION[[#This Row],[$ INTERESES]],0)</f>
        <v>1000000</v>
      </c>
    </row>
    <row r="141" spans="1:11" ht="24" customHeight="1" x14ac:dyDescent="0.3">
      <c r="A141" s="112">
        <v>45128</v>
      </c>
      <c r="B141" s="118" t="s">
        <v>345</v>
      </c>
      <c r="C141" s="113">
        <v>662949</v>
      </c>
      <c r="D141" s="113">
        <v>337051</v>
      </c>
      <c r="E141" s="113">
        <f>+IF(FINANCIACION[[#This Row],[$ CAPITAL]]&gt;=0,FINANCIACION[[#This Row],[$ CAPITAL]]+FINANCIACION[[#This Row],[$ INTERESES]],"")</f>
        <v>1000000</v>
      </c>
      <c r="F141" s="113">
        <f>+SUMIFS(FINANCIACION[$ CAPITAL],FINANCIACION[Fecha],"&lt;="&amp;FINANCIACION[[#This Row],[Fecha]],FINANCIACION[PRESTAMO],FINANCIACION[[#This Row],[PRESTAMO]])</f>
        <v>-33042203.484479994</v>
      </c>
      <c r="G141" s="113"/>
      <c r="I141" s="119"/>
      <c r="J141" s="113">
        <f>+IF(FINANCIACION[[#This Row],[$ CAPITAL]]&gt;0,FINANCIACION[[#This Row],[$ CAPITAL]])</f>
        <v>662949</v>
      </c>
      <c r="K141" s="120">
        <f>+IF(FINANCIACION[[#This Row],[$ CAPITAL]]&gt;=0,FINANCIACION[[#This Row],[$ CAPITAL]]+FINANCIACION[[#This Row],[$ INTERESES]],0)</f>
        <v>1000000</v>
      </c>
    </row>
    <row r="142" spans="1:11" ht="24" customHeight="1" x14ac:dyDescent="0.3">
      <c r="A142" s="112">
        <v>45155</v>
      </c>
      <c r="B142" s="118" t="s">
        <v>345</v>
      </c>
      <c r="C142" s="113">
        <v>669577.97</v>
      </c>
      <c r="D142" s="113">
        <v>330422.03000000003</v>
      </c>
      <c r="E142" s="113">
        <f>+IF(FINANCIACION[[#This Row],[$ CAPITAL]]&gt;=0,FINANCIACION[[#This Row],[$ CAPITAL]]+FINANCIACION[[#This Row],[$ INTERESES]],"")</f>
        <v>1000000</v>
      </c>
      <c r="F142" s="113">
        <f>+SUMIFS(FINANCIACION[$ CAPITAL],FINANCIACION[Fecha],"&lt;="&amp;FINANCIACION[[#This Row],[Fecha]],FINANCIACION[PRESTAMO],FINANCIACION[[#This Row],[PRESTAMO]])</f>
        <v>-32372625.514479995</v>
      </c>
      <c r="G142" s="113"/>
      <c r="I142" s="119"/>
      <c r="J142" s="113">
        <f>+IF(FINANCIACION[[#This Row],[$ CAPITAL]]&gt;0,FINANCIACION[[#This Row],[$ CAPITAL]])</f>
        <v>669577.97</v>
      </c>
      <c r="K142" s="120">
        <f>+IF(FINANCIACION[[#This Row],[$ CAPITAL]]&gt;=0,FINANCIACION[[#This Row],[$ CAPITAL]]+FINANCIACION[[#This Row],[$ INTERESES]],0)</f>
        <v>1000000</v>
      </c>
    </row>
    <row r="143" spans="1:11" ht="24" customHeight="1" x14ac:dyDescent="0.3">
      <c r="A143" s="112">
        <v>45194</v>
      </c>
      <c r="B143" s="118" t="s">
        <v>345</v>
      </c>
      <c r="C143" s="113">
        <v>676274</v>
      </c>
      <c r="D143" s="113">
        <v>323726</v>
      </c>
      <c r="E143" s="113">
        <f>+IF(FINANCIACION[[#This Row],[$ CAPITAL]]&gt;=0,FINANCIACION[[#This Row],[$ CAPITAL]]+FINANCIACION[[#This Row],[$ INTERESES]],"")</f>
        <v>1000000</v>
      </c>
      <c r="F143" s="113">
        <f>+SUMIFS(FINANCIACION[$ CAPITAL],FINANCIACION[Fecha],"&lt;="&amp;FINANCIACION[[#This Row],[Fecha]],FINANCIACION[PRESTAMO],FINANCIACION[[#This Row],[PRESTAMO]])</f>
        <v>-31696351.514479995</v>
      </c>
      <c r="G143" s="113"/>
      <c r="I143" s="119"/>
      <c r="J143" s="113">
        <f>+IF(FINANCIACION[[#This Row],[$ CAPITAL]]&gt;0,FINANCIACION[[#This Row],[$ CAPITAL]])</f>
        <v>676274</v>
      </c>
      <c r="K143" s="120">
        <f>+IF(FINANCIACION[[#This Row],[$ CAPITAL]]&gt;=0,FINANCIACION[[#This Row],[$ CAPITAL]]+FINANCIACION[[#This Row],[$ INTERESES]],0)</f>
        <v>1000000</v>
      </c>
    </row>
    <row r="144" spans="1:11" ht="24" customHeight="1" x14ac:dyDescent="0.3">
      <c r="A144" s="112">
        <v>45220</v>
      </c>
      <c r="B144" s="118" t="s">
        <v>345</v>
      </c>
      <c r="C144" s="113">
        <v>683036</v>
      </c>
      <c r="D144" s="113">
        <v>316963</v>
      </c>
      <c r="E144" s="113">
        <f>+IF(FINANCIACION[[#This Row],[$ CAPITAL]]&gt;=0,FINANCIACION[[#This Row],[$ CAPITAL]]+FINANCIACION[[#This Row],[$ INTERESES]],"")</f>
        <v>999999</v>
      </c>
      <c r="F144" s="113">
        <f>+SUMIFS(FINANCIACION[$ CAPITAL],FINANCIACION[Fecha],"&lt;="&amp;FINANCIACION[[#This Row],[Fecha]],FINANCIACION[PRESTAMO],FINANCIACION[[#This Row],[PRESTAMO]])</f>
        <v>-31013315.514479995</v>
      </c>
      <c r="G144" s="113"/>
      <c r="I144" s="119"/>
      <c r="J144" s="113">
        <f>+IF(FINANCIACION[[#This Row],[$ CAPITAL]]&gt;0,FINANCIACION[[#This Row],[$ CAPITAL]])</f>
        <v>683036</v>
      </c>
      <c r="K144" s="120">
        <f>+IF(FINANCIACION[[#This Row],[$ CAPITAL]]&gt;=0,FINANCIACION[[#This Row],[$ CAPITAL]]+FINANCIACION[[#This Row],[$ INTERESES]],0)</f>
        <v>999999</v>
      </c>
    </row>
    <row r="145" spans="1:11" ht="24" customHeight="1" x14ac:dyDescent="0.3">
      <c r="A145" s="112">
        <v>45244</v>
      </c>
      <c r="B145" s="118" t="s">
        <v>345</v>
      </c>
      <c r="C145" s="113">
        <v>689864</v>
      </c>
      <c r="D145" s="113">
        <v>310136</v>
      </c>
      <c r="E145" s="113">
        <f>+IF(FINANCIACION[[#This Row],[$ CAPITAL]]&gt;=0,FINANCIACION[[#This Row],[$ CAPITAL]]+FINANCIACION[[#This Row],[$ INTERESES]],"")</f>
        <v>1000000</v>
      </c>
      <c r="F145" s="113">
        <f>+SUMIFS(FINANCIACION[$ CAPITAL],FINANCIACION[Fecha],"&lt;="&amp;FINANCIACION[[#This Row],[Fecha]],FINANCIACION[PRESTAMO],FINANCIACION[[#This Row],[PRESTAMO]])</f>
        <v>-30323451.514479995</v>
      </c>
      <c r="G145" s="113"/>
      <c r="I145" s="119"/>
      <c r="J145" s="113">
        <f>+IF(FINANCIACION[[#This Row],[$ CAPITAL]]&gt;0,FINANCIACION[[#This Row],[$ CAPITAL]])</f>
        <v>689864</v>
      </c>
      <c r="K145" s="120">
        <f>+IF(FINANCIACION[[#This Row],[$ CAPITAL]]&gt;=0,FINANCIACION[[#This Row],[$ CAPITAL]]+FINANCIACION[[#This Row],[$ INTERESES]],0)</f>
        <v>1000000</v>
      </c>
    </row>
    <row r="146" spans="1:11" ht="24" customHeight="1" x14ac:dyDescent="0.3">
      <c r="A146" s="112">
        <v>45271</v>
      </c>
      <c r="B146" s="118" t="s">
        <v>345</v>
      </c>
      <c r="C146" s="113">
        <v>696765</v>
      </c>
      <c r="D146" s="113">
        <v>303235</v>
      </c>
      <c r="E146" s="113">
        <f>+IF(FINANCIACION[[#This Row],[$ CAPITAL]]&gt;=0,FINANCIACION[[#This Row],[$ CAPITAL]]+FINANCIACION[[#This Row],[$ INTERESES]],"")</f>
        <v>1000000</v>
      </c>
      <c r="F146" s="113">
        <f>+SUMIFS(FINANCIACION[$ CAPITAL],FINANCIACION[Fecha],"&lt;="&amp;FINANCIACION[[#This Row],[Fecha]],FINANCIACION[PRESTAMO],FINANCIACION[[#This Row],[PRESTAMO]])</f>
        <v>-29626686.514479995</v>
      </c>
      <c r="G146" s="113"/>
      <c r="I146" s="119"/>
      <c r="J146" s="113">
        <f>+IF(FINANCIACION[[#This Row],[$ CAPITAL]]&gt;0,FINANCIACION[[#This Row],[$ CAPITAL]])</f>
        <v>696765</v>
      </c>
      <c r="K146" s="120">
        <f>+IF(FINANCIACION[[#This Row],[$ CAPITAL]]&gt;=0,FINANCIACION[[#This Row],[$ CAPITAL]]+FINANCIACION[[#This Row],[$ INTERESES]],0)</f>
        <v>1000000</v>
      </c>
    </row>
    <row r="147" spans="1:11" ht="24" customHeight="1" x14ac:dyDescent="0.3">
      <c r="A147" s="112">
        <v>45302</v>
      </c>
      <c r="B147" s="118" t="s">
        <v>345</v>
      </c>
      <c r="C147" s="113">
        <v>703733.1348552003</v>
      </c>
      <c r="D147" s="113">
        <v>296266.86514479999</v>
      </c>
      <c r="E147" s="113">
        <f>+IF(FINANCIACION[[#This Row],[$ CAPITAL]]&gt;=0,FINANCIACION[[#This Row],[$ CAPITAL]]+FINANCIACION[[#This Row],[$ INTERESES]],"")</f>
        <v>1000000.0000000002</v>
      </c>
      <c r="F147" s="113">
        <f>+SUMIFS(FINANCIACION[$ CAPITAL],FINANCIACION[Fecha],"&lt;="&amp;FINANCIACION[[#This Row],[Fecha]],FINANCIACION[PRESTAMO],FINANCIACION[[#This Row],[PRESTAMO]])</f>
        <v>-28922953.379624795</v>
      </c>
      <c r="G147" s="113"/>
      <c r="I147" s="119"/>
      <c r="J147" s="113">
        <f>+IF(FINANCIACION[[#This Row],[$ CAPITAL]]&gt;0,FINANCIACION[[#This Row],[$ CAPITAL]])</f>
        <v>703733.1348552003</v>
      </c>
      <c r="K147" s="120">
        <f>+IF(FINANCIACION[[#This Row],[$ CAPITAL]]&gt;=0,FINANCIACION[[#This Row],[$ CAPITAL]]+FINANCIACION[[#This Row],[$ INTERESES]],0)</f>
        <v>1000000.0000000002</v>
      </c>
    </row>
    <row r="148" spans="1:11" ht="24" customHeight="1" x14ac:dyDescent="0.3">
      <c r="A148" s="112">
        <v>45232</v>
      </c>
      <c r="B148" s="118" t="s">
        <v>354</v>
      </c>
      <c r="C148" s="113">
        <v>-30000000</v>
      </c>
      <c r="D148" s="113"/>
      <c r="E148" s="113" t="str">
        <f>+IF(FINANCIACION[[#This Row],[$ CAPITAL]]&gt;=0,FINANCIACION[[#This Row],[$ CAPITAL]]+FINANCIACION[[#This Row],[$ INTERESES]],"")</f>
        <v/>
      </c>
      <c r="F148" s="113">
        <f>+SUMIFS(FINANCIACION[$ CAPITAL],FINANCIACION[Fecha],"&lt;="&amp;FINANCIACION[[#This Row],[Fecha]],FINANCIACION[PRESTAMO],FINANCIACION[[#This Row],[PRESTAMO]])</f>
        <v>-30000000</v>
      </c>
      <c r="G148" s="113"/>
      <c r="I148" s="119"/>
      <c r="J148" s="113" t="b">
        <f>+IF(FINANCIACION[[#This Row],[$ CAPITAL]]&gt;0,FINANCIACION[[#This Row],[$ CAPITAL]])</f>
        <v>0</v>
      </c>
      <c r="K148" s="120">
        <f>+IF(FINANCIACION[[#This Row],[$ CAPITAL]]&gt;=0,FINANCIACION[[#This Row],[$ CAPITAL]]+FINANCIACION[[#This Row],[$ INTERESES]],0)</f>
        <v>0</v>
      </c>
    </row>
    <row r="149" spans="1:11" ht="24" customHeight="1" x14ac:dyDescent="0.3">
      <c r="A149" s="112">
        <v>45264</v>
      </c>
      <c r="B149" s="118" t="s">
        <v>354</v>
      </c>
      <c r="C149" s="113"/>
      <c r="D149" s="113">
        <v>300000</v>
      </c>
      <c r="E149" s="113">
        <f>+IF(FINANCIACION[[#This Row],[$ CAPITAL]]&gt;=0,FINANCIACION[[#This Row],[$ CAPITAL]]+FINANCIACION[[#This Row],[$ INTERESES]],"")</f>
        <v>300000</v>
      </c>
      <c r="F149" s="113">
        <f>+SUMIFS(FINANCIACION[$ CAPITAL],FINANCIACION[Fecha],"&lt;="&amp;FINANCIACION[[#This Row],[Fecha]],FINANCIACION[PRESTAMO],FINANCIACION[[#This Row],[PRESTAMO]])</f>
        <v>-30000000</v>
      </c>
      <c r="G149" s="113"/>
      <c r="I149" s="119"/>
      <c r="J149" s="113" t="b">
        <f>+IF(FINANCIACION[[#This Row],[$ CAPITAL]]&gt;0,FINANCIACION[[#This Row],[$ CAPITAL]])</f>
        <v>0</v>
      </c>
      <c r="K149" s="120">
        <f>+IF(FINANCIACION[[#This Row],[$ CAPITAL]]&gt;=0,FINANCIACION[[#This Row],[$ CAPITAL]]+FINANCIACION[[#This Row],[$ INTERESES]],0)</f>
        <v>300000</v>
      </c>
    </row>
    <row r="150" spans="1:11" ht="24" customHeight="1" x14ac:dyDescent="0.3">
      <c r="A150" s="112">
        <v>45293</v>
      </c>
      <c r="B150" s="118" t="s">
        <v>354</v>
      </c>
      <c r="C150" s="113"/>
      <c r="D150" s="113">
        <v>300000</v>
      </c>
      <c r="E150" s="113">
        <f>+IF(FINANCIACION[[#This Row],[$ CAPITAL]]&gt;=0,FINANCIACION[[#This Row],[$ CAPITAL]]+FINANCIACION[[#This Row],[$ INTERESES]],"")</f>
        <v>300000</v>
      </c>
      <c r="F150" s="113">
        <f>+SUMIFS(FINANCIACION[$ CAPITAL],FINANCIACION[Fecha],"&lt;="&amp;FINANCIACION[[#This Row],[Fecha]],FINANCIACION[PRESTAMO],FINANCIACION[[#This Row],[PRESTAMO]])</f>
        <v>-30000000</v>
      </c>
      <c r="G150" s="113"/>
      <c r="I150" s="119"/>
      <c r="J150" s="113" t="b">
        <f>+IF(FINANCIACION[[#This Row],[$ CAPITAL]]&gt;0,FINANCIACION[[#This Row],[$ CAPITAL]])</f>
        <v>0</v>
      </c>
      <c r="K150" s="120">
        <f>+IF(FINANCIACION[[#This Row],[$ CAPITAL]]&gt;=0,FINANCIACION[[#This Row],[$ CAPITAL]]+FINANCIACION[[#This Row],[$ INTERESES]],0)</f>
        <v>300000</v>
      </c>
    </row>
    <row r="151" spans="1:11" ht="24" customHeight="1" x14ac:dyDescent="0.3">
      <c r="A151" s="112">
        <v>43642</v>
      </c>
      <c r="B151" s="118" t="s">
        <v>348</v>
      </c>
      <c r="C151" s="113">
        <v>-28000000</v>
      </c>
      <c r="D151" s="113"/>
      <c r="E151" s="113" t="str">
        <f>+IF(FINANCIACION[[#This Row],[$ CAPITAL]]&gt;=0,FINANCIACION[[#This Row],[$ CAPITAL]]+FINANCIACION[[#This Row],[$ INTERESES]],"")</f>
        <v/>
      </c>
      <c r="F151" s="113">
        <f>+SUMIFS(FINANCIACION[$ CAPITAL],FINANCIACION[Fecha],"&lt;="&amp;FINANCIACION[[#This Row],[Fecha]],FINANCIACION[PRESTAMO],FINANCIACION[[#This Row],[PRESTAMO]])</f>
        <v>-28000000</v>
      </c>
      <c r="G151" s="113"/>
      <c r="I151" s="119"/>
      <c r="J151" s="113" t="b">
        <f>IF(FINANCIACION[[#This Row],[$ CAPITAL]]&gt;0,FINANCIACION[[#This Row],[$ CAPITAL]])</f>
        <v>0</v>
      </c>
      <c r="K151" s="120">
        <f>IF(FINANCIACION[[#This Row],[$ CAPITAL]]&gt;=0,FINANCIACION[[#This Row],[$ CAPITAL]]+FINANCIACION[[#This Row],[$ INTERESES]],0)</f>
        <v>0</v>
      </c>
    </row>
    <row r="152" spans="1:11" ht="24" customHeight="1" x14ac:dyDescent="0.3">
      <c r="A152" s="112">
        <v>43643</v>
      </c>
      <c r="B152" s="118" t="s">
        <v>348</v>
      </c>
      <c r="C152" s="113">
        <v>-10000000</v>
      </c>
      <c r="D152" s="113"/>
      <c r="E152" s="113" t="str">
        <f>+IF(FINANCIACION[[#This Row],[$ CAPITAL]]&gt;=0,FINANCIACION[[#This Row],[$ CAPITAL]]+FINANCIACION[[#This Row],[$ INTERESES]],"")</f>
        <v/>
      </c>
      <c r="F152" s="113">
        <f>+SUMIFS(FINANCIACION[$ CAPITAL],FINANCIACION[Fecha],"&lt;="&amp;FINANCIACION[[#This Row],[Fecha]],FINANCIACION[PRESTAMO],FINANCIACION[[#This Row],[PRESTAMO]])</f>
        <v>-48000000</v>
      </c>
      <c r="G152" s="113"/>
      <c r="I152" s="119"/>
      <c r="J152" s="113" t="b">
        <f>IF(FINANCIACION[[#This Row],[$ CAPITAL]]&gt;0,FINANCIACION[[#This Row],[$ CAPITAL]])</f>
        <v>0</v>
      </c>
      <c r="K152" s="120">
        <f>IF(FINANCIACION[[#This Row],[$ CAPITAL]]&gt;=0,FINANCIACION[[#This Row],[$ CAPITAL]]+FINANCIACION[[#This Row],[$ INTERESES]],0)</f>
        <v>0</v>
      </c>
    </row>
    <row r="153" spans="1:11" ht="24" customHeight="1" x14ac:dyDescent="0.3">
      <c r="A153" s="112">
        <v>43643</v>
      </c>
      <c r="B153" s="118" t="s">
        <v>348</v>
      </c>
      <c r="C153" s="113">
        <v>-5000000</v>
      </c>
      <c r="D153" s="113"/>
      <c r="E153" s="113" t="str">
        <f>+IF(FINANCIACION[[#This Row],[$ CAPITAL]]&gt;=0,FINANCIACION[[#This Row],[$ CAPITAL]]+FINANCIACION[[#This Row],[$ INTERESES]],"")</f>
        <v/>
      </c>
      <c r="F153" s="113">
        <f>+SUMIFS(FINANCIACION[$ CAPITAL],FINANCIACION[Fecha],"&lt;="&amp;FINANCIACION[[#This Row],[Fecha]],FINANCIACION[PRESTAMO],FINANCIACION[[#This Row],[PRESTAMO]])</f>
        <v>-48000000</v>
      </c>
      <c r="G153" s="113"/>
      <c r="I153" s="119"/>
      <c r="J153" s="113" t="b">
        <f>IF(FINANCIACION[[#This Row],[$ CAPITAL]]&gt;0,FINANCIACION[[#This Row],[$ CAPITAL]])</f>
        <v>0</v>
      </c>
      <c r="K153" s="120">
        <f>IF(FINANCIACION[[#This Row],[$ CAPITAL]]&gt;=0,FINANCIACION[[#This Row],[$ CAPITAL]]+FINANCIACION[[#This Row],[$ INTERESES]],0)</f>
        <v>0</v>
      </c>
    </row>
    <row r="154" spans="1:11" ht="24" customHeight="1" x14ac:dyDescent="0.3">
      <c r="A154" s="112">
        <v>43643</v>
      </c>
      <c r="B154" s="118" t="s">
        <v>348</v>
      </c>
      <c r="C154" s="113">
        <v>-5000000</v>
      </c>
      <c r="D154" s="113"/>
      <c r="E154" s="113" t="str">
        <f>+IF(FINANCIACION[[#This Row],[$ CAPITAL]]&gt;=0,FINANCIACION[[#This Row],[$ CAPITAL]]+FINANCIACION[[#This Row],[$ INTERESES]],"")</f>
        <v/>
      </c>
      <c r="F154" s="113">
        <f>+SUMIFS(FINANCIACION[$ CAPITAL],FINANCIACION[Fecha],"&lt;="&amp;FINANCIACION[[#This Row],[Fecha]],FINANCIACION[PRESTAMO],FINANCIACION[[#This Row],[PRESTAMO]])</f>
        <v>-48000000</v>
      </c>
      <c r="G154" s="113"/>
      <c r="H154" s="117"/>
      <c r="I154" s="119"/>
      <c r="J154" s="113" t="b">
        <f>IF(FINANCIACION[[#This Row],[$ CAPITAL]]&gt;0,FINANCIACION[[#This Row],[$ CAPITAL]])</f>
        <v>0</v>
      </c>
      <c r="K154" s="120">
        <f>IF(FINANCIACION[[#This Row],[$ CAPITAL]]&gt;=0,FINANCIACION[[#This Row],[$ CAPITAL]]+FINANCIACION[[#This Row],[$ INTERESES]],0)</f>
        <v>0</v>
      </c>
    </row>
    <row r="155" spans="1:11" ht="24" customHeight="1" x14ac:dyDescent="0.3">
      <c r="A155" s="112">
        <v>43650</v>
      </c>
      <c r="B155" s="118" t="s">
        <v>348</v>
      </c>
      <c r="C155" s="113">
        <v>-3000000</v>
      </c>
      <c r="D155" s="113"/>
      <c r="E155" s="113" t="str">
        <f>+IF(FINANCIACION[[#This Row],[$ CAPITAL]]&gt;=0,FINANCIACION[[#This Row],[$ CAPITAL]]+FINANCIACION[[#This Row],[$ INTERESES]],"")</f>
        <v/>
      </c>
      <c r="F155" s="113">
        <f>+SUMIFS(FINANCIACION[$ CAPITAL],FINANCIACION[Fecha],"&lt;="&amp;FINANCIACION[[#This Row],[Fecha]],FINANCIACION[PRESTAMO],FINANCIACION[[#This Row],[PRESTAMO]])</f>
        <v>-51000000</v>
      </c>
      <c r="G155" s="113"/>
      <c r="H155" s="117"/>
      <c r="I155" s="119"/>
      <c r="J155" s="113" t="b">
        <f>IF(FINANCIACION[[#This Row],[$ CAPITAL]]&gt;0,FINANCIACION[[#This Row],[$ CAPITAL]])</f>
        <v>0</v>
      </c>
      <c r="K155" s="120">
        <f>IF(FINANCIACION[[#This Row],[$ CAPITAL]]&gt;=0,FINANCIACION[[#This Row],[$ CAPITAL]]+FINANCIACION[[#This Row],[$ INTERESES]],0)</f>
        <v>0</v>
      </c>
    </row>
    <row r="156" spans="1:11" ht="24" customHeight="1" x14ac:dyDescent="0.3">
      <c r="A156" s="112">
        <v>43651</v>
      </c>
      <c r="B156" s="118" t="s">
        <v>348</v>
      </c>
      <c r="C156" s="113">
        <v>-5000000</v>
      </c>
      <c r="D156" s="113"/>
      <c r="E156" s="113" t="str">
        <f>+IF(FINANCIACION[[#This Row],[$ CAPITAL]]&gt;=0,FINANCIACION[[#This Row],[$ CAPITAL]]+FINANCIACION[[#This Row],[$ INTERESES]],"")</f>
        <v/>
      </c>
      <c r="F156" s="113">
        <f>+SUMIFS(FINANCIACION[$ CAPITAL],FINANCIACION[Fecha],"&lt;="&amp;FINANCIACION[[#This Row],[Fecha]],FINANCIACION[PRESTAMO],FINANCIACION[[#This Row],[PRESTAMO]])</f>
        <v>-61000000</v>
      </c>
      <c r="G156" s="113"/>
      <c r="H156" s="117"/>
      <c r="I156" s="119"/>
      <c r="J156" s="113" t="b">
        <f>IF(FINANCIACION[[#This Row],[$ CAPITAL]]&gt;0,FINANCIACION[[#This Row],[$ CAPITAL]])</f>
        <v>0</v>
      </c>
      <c r="K156" s="120">
        <f>IF(FINANCIACION[[#This Row],[$ CAPITAL]]&gt;=0,FINANCIACION[[#This Row],[$ CAPITAL]]+FINANCIACION[[#This Row],[$ INTERESES]],0)</f>
        <v>0</v>
      </c>
    </row>
    <row r="157" spans="1:11" ht="24" customHeight="1" x14ac:dyDescent="0.3">
      <c r="A157" s="112">
        <v>43651</v>
      </c>
      <c r="B157" s="118" t="s">
        <v>348</v>
      </c>
      <c r="C157" s="113">
        <v>-5000000</v>
      </c>
      <c r="D157" s="113"/>
      <c r="E157" s="113" t="str">
        <f>+IF(FINANCIACION[[#This Row],[$ CAPITAL]]&gt;=0,FINANCIACION[[#This Row],[$ CAPITAL]]+FINANCIACION[[#This Row],[$ INTERESES]],"")</f>
        <v/>
      </c>
      <c r="F157" s="113">
        <f>+SUMIFS(FINANCIACION[$ CAPITAL],FINANCIACION[Fecha],"&lt;="&amp;FINANCIACION[[#This Row],[Fecha]],FINANCIACION[PRESTAMO],FINANCIACION[[#This Row],[PRESTAMO]])</f>
        <v>-61000000</v>
      </c>
      <c r="G157" s="113"/>
      <c r="H157" s="117"/>
      <c r="I157" s="119"/>
      <c r="J157" s="113" t="b">
        <f>IF(FINANCIACION[[#This Row],[$ CAPITAL]]&gt;0,FINANCIACION[[#This Row],[$ CAPITAL]])</f>
        <v>0</v>
      </c>
      <c r="K157" s="120">
        <f>IF(FINANCIACION[[#This Row],[$ CAPITAL]]&gt;=0,FINANCIACION[[#This Row],[$ CAPITAL]]+FINANCIACION[[#This Row],[$ INTERESES]],0)</f>
        <v>0</v>
      </c>
    </row>
    <row r="158" spans="1:11" ht="24" customHeight="1" x14ac:dyDescent="0.3">
      <c r="A158" s="112">
        <v>43654</v>
      </c>
      <c r="B158" s="118" t="s">
        <v>348</v>
      </c>
      <c r="C158" s="113">
        <v>-5000000</v>
      </c>
      <c r="D158" s="113"/>
      <c r="E158" s="113" t="str">
        <f>+IF(FINANCIACION[[#This Row],[$ CAPITAL]]&gt;=0,FINANCIACION[[#This Row],[$ CAPITAL]]+FINANCIACION[[#This Row],[$ INTERESES]],"")</f>
        <v/>
      </c>
      <c r="F158" s="113">
        <f>+SUMIFS(FINANCIACION[$ CAPITAL],FINANCIACION[Fecha],"&lt;="&amp;FINANCIACION[[#This Row],[Fecha]],FINANCIACION[PRESTAMO],FINANCIACION[[#This Row],[PRESTAMO]])</f>
        <v>-66000000</v>
      </c>
      <c r="G158" s="113"/>
      <c r="H158" s="117"/>
      <c r="I158" s="119"/>
      <c r="J158" s="113" t="b">
        <f>IF(FINANCIACION[[#This Row],[$ CAPITAL]]&gt;0,FINANCIACION[[#This Row],[$ CAPITAL]])</f>
        <v>0</v>
      </c>
      <c r="K158" s="120">
        <f>IF(FINANCIACION[[#This Row],[$ CAPITAL]]&gt;=0,FINANCIACION[[#This Row],[$ CAPITAL]]+FINANCIACION[[#This Row],[$ INTERESES]],0)</f>
        <v>0</v>
      </c>
    </row>
    <row r="159" spans="1:11" ht="24" customHeight="1" x14ac:dyDescent="0.3">
      <c r="A159" s="112">
        <v>43677</v>
      </c>
      <c r="B159" s="118" t="s">
        <v>348</v>
      </c>
      <c r="C159" s="113">
        <v>-8000000</v>
      </c>
      <c r="D159" s="113"/>
      <c r="E159" s="113" t="str">
        <f>+IF(FINANCIACION[[#This Row],[$ CAPITAL]]&gt;=0,FINANCIACION[[#This Row],[$ CAPITAL]]+FINANCIACION[[#This Row],[$ INTERESES]],"")</f>
        <v/>
      </c>
      <c r="F159" s="113">
        <f>+SUMIFS(FINANCIACION[$ CAPITAL],FINANCIACION[Fecha],"&lt;="&amp;FINANCIACION[[#This Row],[Fecha]],FINANCIACION[PRESTAMO],FINANCIACION[[#This Row],[PRESTAMO]])</f>
        <v>-74000000</v>
      </c>
      <c r="G159" s="113"/>
      <c r="H159" s="117"/>
      <c r="I159" s="119"/>
      <c r="J159" s="113" t="b">
        <f>IF(FINANCIACION[[#This Row],[$ CAPITAL]]&gt;0,FINANCIACION[[#This Row],[$ CAPITAL]])</f>
        <v>0</v>
      </c>
      <c r="K159" s="120">
        <f>IF(FINANCIACION[[#This Row],[$ CAPITAL]]&gt;=0,FINANCIACION[[#This Row],[$ CAPITAL]]+FINANCIACION[[#This Row],[$ INTERESES]],0)</f>
        <v>0</v>
      </c>
    </row>
    <row r="160" spans="1:11" ht="24" customHeight="1" x14ac:dyDescent="0.3">
      <c r="A160" s="112">
        <v>43705</v>
      </c>
      <c r="B160" s="118" t="s">
        <v>348</v>
      </c>
      <c r="C160" s="113"/>
      <c r="D160" s="113">
        <v>740000</v>
      </c>
      <c r="E160" s="113">
        <f>+IF(FINANCIACION[[#This Row],[$ CAPITAL]]&gt;=0,FINANCIACION[[#This Row],[$ CAPITAL]]+FINANCIACION[[#This Row],[$ INTERESES]],"")</f>
        <v>740000</v>
      </c>
      <c r="F160" s="113">
        <f>+SUMIFS(FINANCIACION[$ CAPITAL],FINANCIACION[Fecha],"&lt;="&amp;FINANCIACION[[#This Row],[Fecha]],FINANCIACION[PRESTAMO],FINANCIACION[[#This Row],[PRESTAMO]])</f>
        <v>-74000000</v>
      </c>
      <c r="G160" s="113"/>
      <c r="H160" s="117"/>
      <c r="I160" s="119"/>
      <c r="J160" s="113" t="b">
        <f>IF(FINANCIACION[[#This Row],[$ CAPITAL]]&gt;0,FINANCIACION[[#This Row],[$ CAPITAL]])</f>
        <v>0</v>
      </c>
      <c r="K160" s="120">
        <f>IF(FINANCIACION[[#This Row],[$ CAPITAL]]&gt;=0,FINANCIACION[[#This Row],[$ CAPITAL]]+FINANCIACION[[#This Row],[$ INTERESES]],0)</f>
        <v>740000</v>
      </c>
    </row>
    <row r="161" spans="1:11" ht="24" customHeight="1" x14ac:dyDescent="0.3">
      <c r="A161" s="112">
        <v>43717</v>
      </c>
      <c r="B161" s="118" t="s">
        <v>348</v>
      </c>
      <c r="C161" s="113">
        <v>-10000000</v>
      </c>
      <c r="D161" s="113"/>
      <c r="E161" s="113" t="str">
        <f>+IF(FINANCIACION[[#This Row],[$ CAPITAL]]&gt;=0,FINANCIACION[[#This Row],[$ CAPITAL]]+FINANCIACION[[#This Row],[$ INTERESES]],"")</f>
        <v/>
      </c>
      <c r="F161" s="113">
        <f>+SUMIFS(FINANCIACION[$ CAPITAL],FINANCIACION[Fecha],"&lt;="&amp;FINANCIACION[[#This Row],[Fecha]],FINANCIACION[PRESTAMO],FINANCIACION[[#This Row],[PRESTAMO]])</f>
        <v>-84000000</v>
      </c>
      <c r="G161" s="113"/>
      <c r="H161" s="117"/>
      <c r="I161" s="119"/>
      <c r="J161" s="113" t="b">
        <f>IF(FINANCIACION[[#This Row],[$ CAPITAL]]&gt;0,FINANCIACION[[#This Row],[$ CAPITAL]])</f>
        <v>0</v>
      </c>
      <c r="K161" s="121">
        <f>IF(FINANCIACION[[#This Row],[$ CAPITAL]]&gt;=0,FINANCIACION[[#This Row],[$ CAPITAL]]+FINANCIACION[[#This Row],[$ INTERESES]],0)</f>
        <v>0</v>
      </c>
    </row>
    <row r="162" spans="1:11" ht="24" customHeight="1" x14ac:dyDescent="0.3">
      <c r="A162" s="112">
        <v>43769</v>
      </c>
      <c r="B162" s="118" t="s">
        <v>348</v>
      </c>
      <c r="C162" s="113"/>
      <c r="D162" s="113">
        <v>840000</v>
      </c>
      <c r="E162" s="113">
        <f>+IF(FINANCIACION[[#This Row],[$ CAPITAL]]&gt;=0,FINANCIACION[[#This Row],[$ CAPITAL]]+FINANCIACION[[#This Row],[$ INTERESES]],"")</f>
        <v>840000</v>
      </c>
      <c r="F162" s="113">
        <f>+SUMIFS(FINANCIACION[$ CAPITAL],FINANCIACION[Fecha],"&lt;="&amp;FINANCIACION[[#This Row],[Fecha]],FINANCIACION[PRESTAMO],FINANCIACION[[#This Row],[PRESTAMO]])</f>
        <v>-84000000</v>
      </c>
      <c r="G162" s="113"/>
      <c r="H162" s="117"/>
      <c r="I162" s="119"/>
      <c r="J162" s="113" t="b">
        <f>IF(FINANCIACION[[#This Row],[$ CAPITAL]]&gt;0,FINANCIACION[[#This Row],[$ CAPITAL]])</f>
        <v>0</v>
      </c>
      <c r="K162" s="121">
        <f>IF(FINANCIACION[[#This Row],[$ CAPITAL]]&gt;=0,FINANCIACION[[#This Row],[$ CAPITAL]]+FINANCIACION[[#This Row],[$ INTERESES]],0)</f>
        <v>840000</v>
      </c>
    </row>
    <row r="163" spans="1:11" ht="24" customHeight="1" x14ac:dyDescent="0.3">
      <c r="A163" s="112">
        <v>43799</v>
      </c>
      <c r="B163" s="118" t="s">
        <v>348</v>
      </c>
      <c r="C163" s="113"/>
      <c r="D163" s="113">
        <v>840000</v>
      </c>
      <c r="E163" s="113">
        <f>+IF(FINANCIACION[[#This Row],[$ CAPITAL]]&gt;=0,FINANCIACION[[#This Row],[$ CAPITAL]]+FINANCIACION[[#This Row],[$ INTERESES]],"")</f>
        <v>840000</v>
      </c>
      <c r="F163" s="113">
        <f>+SUMIFS(FINANCIACION[$ CAPITAL],FINANCIACION[Fecha],"&lt;="&amp;FINANCIACION[[#This Row],[Fecha]],FINANCIACION[PRESTAMO],FINANCIACION[[#This Row],[PRESTAMO]])</f>
        <v>-84000000</v>
      </c>
      <c r="G163" s="113"/>
      <c r="I163" s="119"/>
      <c r="J163" s="113" t="b">
        <f>IF(FINANCIACION[[#This Row],[$ CAPITAL]]&gt;0,FINANCIACION[[#This Row],[$ CAPITAL]])</f>
        <v>0</v>
      </c>
      <c r="K163" s="120">
        <f>IF(FINANCIACION[[#This Row],[$ CAPITAL]]&gt;=0,FINANCIACION[[#This Row],[$ CAPITAL]]+FINANCIACION[[#This Row],[$ INTERESES]],0)</f>
        <v>840000</v>
      </c>
    </row>
    <row r="164" spans="1:11" ht="24" customHeight="1" x14ac:dyDescent="0.3">
      <c r="A164" s="112">
        <v>43829</v>
      </c>
      <c r="B164" s="118" t="s">
        <v>348</v>
      </c>
      <c r="C164" s="113"/>
      <c r="D164" s="113">
        <v>840000</v>
      </c>
      <c r="E164" s="113">
        <f>+IF(FINANCIACION[[#This Row],[$ CAPITAL]]&gt;=0,FINANCIACION[[#This Row],[$ CAPITAL]]+FINANCIACION[[#This Row],[$ INTERESES]],"")</f>
        <v>840000</v>
      </c>
      <c r="F164" s="113">
        <f>+SUMIFS(FINANCIACION[$ CAPITAL],FINANCIACION[Fecha],"&lt;="&amp;FINANCIACION[[#This Row],[Fecha]],FINANCIACION[PRESTAMO],FINANCIACION[[#This Row],[PRESTAMO]])</f>
        <v>-84000000</v>
      </c>
      <c r="G164" s="113"/>
      <c r="H164" s="117"/>
      <c r="I164" s="119"/>
      <c r="J164" s="113" t="b">
        <f>IF(FINANCIACION[[#This Row],[$ CAPITAL]]&gt;0,FINANCIACION[[#This Row],[$ CAPITAL]])</f>
        <v>0</v>
      </c>
      <c r="K164" s="120">
        <f>IF(FINANCIACION[[#This Row],[$ CAPITAL]]&gt;=0,FINANCIACION[[#This Row],[$ CAPITAL]]+FINANCIACION[[#This Row],[$ INTERESES]],0)</f>
        <v>840000</v>
      </c>
    </row>
    <row r="165" spans="1:11" ht="24" customHeight="1" x14ac:dyDescent="0.3">
      <c r="A165" s="122">
        <v>43840</v>
      </c>
      <c r="B165" s="118" t="s">
        <v>348</v>
      </c>
      <c r="C165" s="113"/>
      <c r="D165" s="113">
        <v>200000</v>
      </c>
      <c r="E165" s="113">
        <f>+IF(FINANCIACION[[#This Row],[$ CAPITAL]]&gt;=0,FINANCIACION[[#This Row],[$ CAPITAL]]+FINANCIACION[[#This Row],[$ INTERESES]],"")</f>
        <v>200000</v>
      </c>
      <c r="F165" s="113">
        <f>+SUMIFS(FINANCIACION[$ CAPITAL],FINANCIACION[Fecha],"&lt;="&amp;FINANCIACION[[#This Row],[Fecha]],FINANCIACION[PRESTAMO],FINANCIACION[[#This Row],[PRESTAMO]])</f>
        <v>-84000000</v>
      </c>
      <c r="G165" s="113"/>
      <c r="I165" s="119"/>
      <c r="J165" s="113" t="b">
        <f>IF(FINANCIACION[[#This Row],[$ CAPITAL]]&gt;0,FINANCIACION[[#This Row],[$ CAPITAL]])</f>
        <v>0</v>
      </c>
      <c r="K165" s="120">
        <f>IF(FINANCIACION[[#This Row],[$ CAPITAL]]&gt;=0,FINANCIACION[[#This Row],[$ CAPITAL]]+FINANCIACION[[#This Row],[$ INTERESES]],0)</f>
        <v>200000</v>
      </c>
    </row>
    <row r="166" spans="1:11" ht="24" customHeight="1" x14ac:dyDescent="0.3">
      <c r="A166" s="122">
        <v>43858</v>
      </c>
      <c r="B166" s="118" t="s">
        <v>348</v>
      </c>
      <c r="C166" s="113"/>
      <c r="D166" s="113">
        <v>640000</v>
      </c>
      <c r="E166" s="113">
        <f>+IF(FINANCIACION[[#This Row],[$ CAPITAL]]&gt;=0,FINANCIACION[[#This Row],[$ CAPITAL]]+FINANCIACION[[#This Row],[$ INTERESES]],"")</f>
        <v>640000</v>
      </c>
      <c r="F166" s="113">
        <f>+SUMIFS(FINANCIACION[$ CAPITAL],FINANCIACION[Fecha],"&lt;="&amp;FINANCIACION[[#This Row],[Fecha]],FINANCIACION[PRESTAMO],FINANCIACION[[#This Row],[PRESTAMO]])</f>
        <v>-84000000</v>
      </c>
      <c r="G166" s="113"/>
      <c r="H166" s="117"/>
      <c r="I166" s="119"/>
      <c r="J166" s="113" t="b">
        <f>IF(FINANCIACION[[#This Row],[$ CAPITAL]]&gt;0,FINANCIACION[[#This Row],[$ CAPITAL]])</f>
        <v>0</v>
      </c>
      <c r="K166" s="120">
        <f>IF(FINANCIACION[[#This Row],[$ CAPITAL]]&gt;=0,FINANCIACION[[#This Row],[$ CAPITAL]]+FINANCIACION[[#This Row],[$ INTERESES]],0)</f>
        <v>640000</v>
      </c>
    </row>
    <row r="167" spans="1:11" ht="24" customHeight="1" x14ac:dyDescent="0.3">
      <c r="A167" s="122">
        <v>43890</v>
      </c>
      <c r="B167" s="118" t="s">
        <v>348</v>
      </c>
      <c r="C167" s="113"/>
      <c r="D167" s="113">
        <v>840000</v>
      </c>
      <c r="E167" s="113">
        <f>+IF(FINANCIACION[[#This Row],[$ CAPITAL]]&gt;=0,FINANCIACION[[#This Row],[$ CAPITAL]]+FINANCIACION[[#This Row],[$ INTERESES]],"")</f>
        <v>840000</v>
      </c>
      <c r="F167" s="113">
        <f>+SUMIFS(FINANCIACION[$ CAPITAL],FINANCIACION[Fecha],"&lt;="&amp;FINANCIACION[[#This Row],[Fecha]],FINANCIACION[PRESTAMO],FINANCIACION[[#This Row],[PRESTAMO]])</f>
        <v>-84000000</v>
      </c>
      <c r="G167" s="113"/>
      <c r="I167" s="119"/>
      <c r="J167" s="113" t="b">
        <f>IF(FINANCIACION[[#This Row],[$ CAPITAL]]&gt;0,FINANCIACION[[#This Row],[$ CAPITAL]])</f>
        <v>0</v>
      </c>
      <c r="K167" s="120">
        <f>IF(FINANCIACION[[#This Row],[$ CAPITAL]]&gt;=0,FINANCIACION[[#This Row],[$ CAPITAL]]+FINANCIACION[[#This Row],[$ INTERESES]],0)</f>
        <v>840000</v>
      </c>
    </row>
    <row r="168" spans="1:11" ht="24" customHeight="1" x14ac:dyDescent="0.3">
      <c r="A168" s="122">
        <v>43971</v>
      </c>
      <c r="B168" s="118" t="s">
        <v>348</v>
      </c>
      <c r="C168" s="113"/>
      <c r="D168" s="113">
        <v>840000</v>
      </c>
      <c r="E168" s="113">
        <f>+IF(FINANCIACION[[#This Row],[$ CAPITAL]]&gt;=0,FINANCIACION[[#This Row],[$ CAPITAL]]+FINANCIACION[[#This Row],[$ INTERESES]],"")</f>
        <v>840000</v>
      </c>
      <c r="F168" s="113">
        <f>+SUMIFS(FINANCIACION[$ CAPITAL],FINANCIACION[Fecha],"&lt;="&amp;FINANCIACION[[#This Row],[Fecha]],FINANCIACION[PRESTAMO],FINANCIACION[[#This Row],[PRESTAMO]])</f>
        <v>-84000000</v>
      </c>
      <c r="G168" s="113"/>
      <c r="H168" s="117"/>
      <c r="I168" s="119"/>
      <c r="J168" s="113" t="b">
        <f>IF(FINANCIACION[[#This Row],[$ CAPITAL]]&gt;0,FINANCIACION[[#This Row],[$ CAPITAL]])</f>
        <v>0</v>
      </c>
      <c r="K168" s="120">
        <f>IF(FINANCIACION[[#This Row],[$ CAPITAL]]&gt;=0,FINANCIACION[[#This Row],[$ CAPITAL]]+FINANCIACION[[#This Row],[$ INTERESES]],0)</f>
        <v>840000</v>
      </c>
    </row>
    <row r="169" spans="1:11" ht="24" customHeight="1" x14ac:dyDescent="0.3">
      <c r="A169" s="122">
        <v>44000</v>
      </c>
      <c r="B169" s="118" t="s">
        <v>348</v>
      </c>
      <c r="C169" s="113"/>
      <c r="D169" s="113">
        <v>840000</v>
      </c>
      <c r="E169" s="113">
        <f>+IF(FINANCIACION[[#This Row],[$ CAPITAL]]&gt;=0,FINANCIACION[[#This Row],[$ CAPITAL]]+FINANCIACION[[#This Row],[$ INTERESES]],"")</f>
        <v>840000</v>
      </c>
      <c r="F169" s="113">
        <f>+SUMIFS(FINANCIACION[$ CAPITAL],FINANCIACION[Fecha],"&lt;="&amp;FINANCIACION[[#This Row],[Fecha]],FINANCIACION[PRESTAMO],FINANCIACION[[#This Row],[PRESTAMO]])</f>
        <v>-84000000</v>
      </c>
      <c r="G169" s="113"/>
      <c r="H169" s="117"/>
      <c r="I169" s="119"/>
      <c r="J169" s="113" t="b">
        <f>IF(FINANCIACION[[#This Row],[$ CAPITAL]]&gt;0,FINANCIACION[[#This Row],[$ CAPITAL]])</f>
        <v>0</v>
      </c>
      <c r="K169" s="120">
        <f>IF(FINANCIACION[[#This Row],[$ CAPITAL]]&gt;=0,FINANCIACION[[#This Row],[$ CAPITAL]]+FINANCIACION[[#This Row],[$ INTERESES]],0)</f>
        <v>840000</v>
      </c>
    </row>
    <row r="170" spans="1:11" ht="24" customHeight="1" x14ac:dyDescent="0.3">
      <c r="A170" s="122">
        <v>44013</v>
      </c>
      <c r="B170" s="118" t="s">
        <v>348</v>
      </c>
      <c r="C170" s="113">
        <v>69000000</v>
      </c>
      <c r="D170" s="113">
        <v>840000</v>
      </c>
      <c r="E170" s="113">
        <f>+IF(FINANCIACION[[#This Row],[$ CAPITAL]]&gt;=0,FINANCIACION[[#This Row],[$ CAPITAL]]+FINANCIACION[[#This Row],[$ INTERESES]],"")</f>
        <v>69840000</v>
      </c>
      <c r="F170" s="113">
        <f>+SUMIFS(FINANCIACION[$ CAPITAL],FINANCIACION[Fecha],"&lt;="&amp;FINANCIACION[[#This Row],[Fecha]],FINANCIACION[PRESTAMO],FINANCIACION[[#This Row],[PRESTAMO]])</f>
        <v>-15000000</v>
      </c>
      <c r="G170" s="113"/>
      <c r="I170" s="119"/>
      <c r="J170" s="113">
        <f>IF(FINANCIACION[[#This Row],[$ CAPITAL]]&gt;0,FINANCIACION[[#This Row],[$ CAPITAL]])</f>
        <v>69000000</v>
      </c>
      <c r="K170" s="120">
        <f>IF(FINANCIACION[[#This Row],[$ CAPITAL]]&gt;=0,FINANCIACION[[#This Row],[$ CAPITAL]]+FINANCIACION[[#This Row],[$ INTERESES]],0)</f>
        <v>69840000</v>
      </c>
    </row>
    <row r="171" spans="1:11" ht="24" customHeight="1" x14ac:dyDescent="0.3">
      <c r="A171" s="122">
        <v>44043</v>
      </c>
      <c r="B171" s="118" t="s">
        <v>348</v>
      </c>
      <c r="C171" s="113"/>
      <c r="D171" s="113">
        <v>150000</v>
      </c>
      <c r="E171" s="113">
        <f>+IF(FINANCIACION[[#This Row],[$ CAPITAL]]&gt;=0,FINANCIACION[[#This Row],[$ CAPITAL]]+FINANCIACION[[#This Row],[$ INTERESES]],"")</f>
        <v>150000</v>
      </c>
      <c r="F171" s="113">
        <f>+SUMIFS(FINANCIACION[$ CAPITAL],FINANCIACION[Fecha],"&lt;="&amp;FINANCIACION[[#This Row],[Fecha]],FINANCIACION[PRESTAMO],FINANCIACION[[#This Row],[PRESTAMO]])</f>
        <v>-15000000</v>
      </c>
      <c r="G171" s="113"/>
      <c r="H171" s="117"/>
      <c r="I171" s="119"/>
      <c r="J171" s="113" t="b">
        <f>IF(FINANCIACION[[#This Row],[$ CAPITAL]]&gt;0,FINANCIACION[[#This Row],[$ CAPITAL]])</f>
        <v>0</v>
      </c>
      <c r="K171" s="120">
        <f>IF(FINANCIACION[[#This Row],[$ CAPITAL]]&gt;=0,FINANCIACION[[#This Row],[$ CAPITAL]]+FINANCIACION[[#This Row],[$ INTERESES]],0)</f>
        <v>150000</v>
      </c>
    </row>
    <row r="172" spans="1:11" ht="24" customHeight="1" x14ac:dyDescent="0.3">
      <c r="A172" s="122">
        <v>44078</v>
      </c>
      <c r="B172" s="118" t="s">
        <v>348</v>
      </c>
      <c r="C172" s="113"/>
      <c r="D172" s="113">
        <v>150000</v>
      </c>
      <c r="E172" s="113">
        <f>+IF(FINANCIACION[[#This Row],[$ CAPITAL]]&gt;=0,FINANCIACION[[#This Row],[$ CAPITAL]]+FINANCIACION[[#This Row],[$ INTERESES]],"")</f>
        <v>150000</v>
      </c>
      <c r="F172" s="113">
        <f>+SUMIFS(FINANCIACION[$ CAPITAL],FINANCIACION[Fecha],"&lt;="&amp;FINANCIACION[[#This Row],[Fecha]],FINANCIACION[PRESTAMO],FINANCIACION[[#This Row],[PRESTAMO]])</f>
        <v>-15000000</v>
      </c>
      <c r="G172" s="113"/>
      <c r="H172" s="117"/>
      <c r="I172" s="119"/>
      <c r="J172" s="113" t="b">
        <f>IF(FINANCIACION[[#This Row],[$ CAPITAL]]&gt;0,FINANCIACION[[#This Row],[$ CAPITAL]])</f>
        <v>0</v>
      </c>
      <c r="K172" s="120">
        <f>IF(FINANCIACION[[#This Row],[$ CAPITAL]]&gt;=0,FINANCIACION[[#This Row],[$ CAPITAL]]+FINANCIACION[[#This Row],[$ INTERESES]],0)</f>
        <v>150000</v>
      </c>
    </row>
    <row r="173" spans="1:11" ht="24" customHeight="1" x14ac:dyDescent="0.3">
      <c r="A173" s="122">
        <v>44106</v>
      </c>
      <c r="B173" s="118" t="s">
        <v>348</v>
      </c>
      <c r="C173" s="113">
        <v>850000</v>
      </c>
      <c r="D173" s="113">
        <v>150000</v>
      </c>
      <c r="E173" s="113">
        <f>+IF(FINANCIACION[[#This Row],[$ CAPITAL]]&gt;=0,FINANCIACION[[#This Row],[$ CAPITAL]]+FINANCIACION[[#This Row],[$ INTERESES]],"")</f>
        <v>1000000</v>
      </c>
      <c r="F173" s="113">
        <f>+SUMIFS(FINANCIACION[$ CAPITAL],FINANCIACION[Fecha],"&lt;="&amp;FINANCIACION[[#This Row],[Fecha]],FINANCIACION[PRESTAMO],FINANCIACION[[#This Row],[PRESTAMO]])</f>
        <v>-14150000</v>
      </c>
      <c r="G173" s="113"/>
      <c r="H173" s="117"/>
      <c r="I173" s="119"/>
      <c r="J173" s="113">
        <f>IF(FINANCIACION[[#This Row],[$ CAPITAL]]&gt;0,FINANCIACION[[#This Row],[$ CAPITAL]])</f>
        <v>850000</v>
      </c>
      <c r="K173" s="120">
        <f>IF(FINANCIACION[[#This Row],[$ CAPITAL]]&gt;=0,FINANCIACION[[#This Row],[$ CAPITAL]]+FINANCIACION[[#This Row],[$ INTERESES]],0)</f>
        <v>1000000</v>
      </c>
    </row>
    <row r="174" spans="1:11" ht="24" customHeight="1" x14ac:dyDescent="0.3">
      <c r="A174" s="122">
        <v>44142</v>
      </c>
      <c r="B174" s="118" t="s">
        <v>348</v>
      </c>
      <c r="C174" s="113">
        <v>858500</v>
      </c>
      <c r="D174" s="113">
        <v>141500</v>
      </c>
      <c r="E174" s="113">
        <f>+IF(FINANCIACION[[#This Row],[$ CAPITAL]]&gt;=0,FINANCIACION[[#This Row],[$ CAPITAL]]+FINANCIACION[[#This Row],[$ INTERESES]],"")</f>
        <v>1000000</v>
      </c>
      <c r="F174" s="113">
        <f>+SUMIFS(FINANCIACION[$ CAPITAL],FINANCIACION[Fecha],"&lt;="&amp;FINANCIACION[[#This Row],[Fecha]],FINANCIACION[PRESTAMO],FINANCIACION[[#This Row],[PRESTAMO]])</f>
        <v>-13291500</v>
      </c>
      <c r="G174" s="113"/>
      <c r="H174" s="117"/>
      <c r="I174" s="119"/>
      <c r="J174" s="113">
        <f>IF(FINANCIACION[[#This Row],[$ CAPITAL]]&gt;0,FINANCIACION[[#This Row],[$ CAPITAL]])</f>
        <v>858500</v>
      </c>
      <c r="K174" s="120">
        <f>IF(FINANCIACION[[#This Row],[$ CAPITAL]]&gt;=0,FINANCIACION[[#This Row],[$ CAPITAL]]+FINANCIACION[[#This Row],[$ INTERESES]],0)</f>
        <v>1000000</v>
      </c>
    </row>
    <row r="175" spans="1:11" ht="24" customHeight="1" x14ac:dyDescent="0.3">
      <c r="A175" s="122">
        <v>44175</v>
      </c>
      <c r="B175" s="118" t="s">
        <v>348</v>
      </c>
      <c r="C175" s="113">
        <v>867085</v>
      </c>
      <c r="D175" s="113">
        <v>132915</v>
      </c>
      <c r="E175" s="113">
        <f>+IF(FINANCIACION[[#This Row],[$ CAPITAL]]&gt;=0,FINANCIACION[[#This Row],[$ CAPITAL]]+FINANCIACION[[#This Row],[$ INTERESES]],"")</f>
        <v>1000000</v>
      </c>
      <c r="F175" s="113">
        <f>+SUMIFS(FINANCIACION[$ CAPITAL],FINANCIACION[Fecha],"&lt;="&amp;FINANCIACION[[#This Row],[Fecha]],FINANCIACION[PRESTAMO],FINANCIACION[[#This Row],[PRESTAMO]])</f>
        <v>-12424415</v>
      </c>
      <c r="G175" s="113"/>
      <c r="H175" s="117"/>
      <c r="I175" s="119"/>
      <c r="J175" s="113">
        <f>IF(FINANCIACION[[#This Row],[$ CAPITAL]]&gt;0,FINANCIACION[[#This Row],[$ CAPITAL]])</f>
        <v>867085</v>
      </c>
      <c r="K175" s="120">
        <f>IF(FINANCIACION[[#This Row],[$ CAPITAL]]&gt;=0,FINANCIACION[[#This Row],[$ CAPITAL]]+FINANCIACION[[#This Row],[$ INTERESES]],0)</f>
        <v>1000000</v>
      </c>
    </row>
    <row r="176" spans="1:11" ht="24" customHeight="1" x14ac:dyDescent="0.3">
      <c r="A176" s="112">
        <v>44208</v>
      </c>
      <c r="B176" s="118" t="s">
        <v>348</v>
      </c>
      <c r="C176" s="113">
        <v>875755.85</v>
      </c>
      <c r="D176" s="113">
        <v>124244.15000000001</v>
      </c>
      <c r="E176" s="113">
        <f>+IF(FINANCIACION[[#This Row],[$ CAPITAL]]&gt;=0,FINANCIACION[[#This Row],[$ CAPITAL]]+FINANCIACION[[#This Row],[$ INTERESES]],"")</f>
        <v>1000000</v>
      </c>
      <c r="F176" s="113">
        <f>+SUMIFS(FINANCIACION[$ CAPITAL],FINANCIACION[Fecha],"&lt;="&amp;FINANCIACION[[#This Row],[Fecha]],FINANCIACION[PRESTAMO],FINANCIACION[[#This Row],[PRESTAMO]])</f>
        <v>-11548659.15</v>
      </c>
      <c r="G176" s="113"/>
      <c r="H176" s="117"/>
      <c r="I176" s="119"/>
      <c r="J176" s="113">
        <f>IF(FINANCIACION[[#This Row],[$ CAPITAL]]&gt;0,FINANCIACION[[#This Row],[$ CAPITAL]])</f>
        <v>875755.85</v>
      </c>
      <c r="K176" s="120">
        <f>IF(FINANCIACION[[#This Row],[$ CAPITAL]]&gt;=0,FINANCIACION[[#This Row],[$ CAPITAL]]+FINANCIACION[[#This Row],[$ INTERESES]],0)</f>
        <v>1000000</v>
      </c>
    </row>
    <row r="177" spans="1:11" ht="24" customHeight="1" x14ac:dyDescent="0.3">
      <c r="A177" s="112">
        <v>44237</v>
      </c>
      <c r="B177" s="118" t="s">
        <v>348</v>
      </c>
      <c r="C177" s="113">
        <v>875755.85</v>
      </c>
      <c r="D177" s="113">
        <v>124244.15000000001</v>
      </c>
      <c r="E177" s="113">
        <f>+IF(FINANCIACION[[#This Row],[$ CAPITAL]]&gt;=0,FINANCIACION[[#This Row],[$ CAPITAL]]+FINANCIACION[[#This Row],[$ INTERESES]],"")</f>
        <v>1000000</v>
      </c>
      <c r="F177" s="113">
        <f>+SUMIFS(FINANCIACION[$ CAPITAL],FINANCIACION[Fecha],"&lt;="&amp;FINANCIACION[[#This Row],[Fecha]],FINANCIACION[PRESTAMO],FINANCIACION[[#This Row],[PRESTAMO]])</f>
        <v>-10672903.300000001</v>
      </c>
      <c r="G177" s="113"/>
      <c r="H177" s="117"/>
      <c r="I177" s="119"/>
      <c r="J177" s="113">
        <f>IF(FINANCIACION[[#This Row],[$ CAPITAL]]&gt;0,FINANCIACION[[#This Row],[$ CAPITAL]])</f>
        <v>875755.85</v>
      </c>
      <c r="K177" s="120">
        <f>IF(FINANCIACION[[#This Row],[$ CAPITAL]]&gt;=0,FINANCIACION[[#This Row],[$ CAPITAL]]+FINANCIACION[[#This Row],[$ INTERESES]],0)</f>
        <v>1000000</v>
      </c>
    </row>
    <row r="178" spans="1:11" ht="24" customHeight="1" x14ac:dyDescent="0.3">
      <c r="A178" s="112">
        <v>44245</v>
      </c>
      <c r="B178" s="118" t="s">
        <v>348</v>
      </c>
      <c r="C178" s="113">
        <v>-50000000</v>
      </c>
      <c r="D178" s="113"/>
      <c r="E178" s="113" t="str">
        <f>+IF(FINANCIACION[[#This Row],[$ CAPITAL]]&gt;=0,FINANCIACION[[#This Row],[$ CAPITAL]]+FINANCIACION[[#This Row],[$ INTERESES]],"")</f>
        <v/>
      </c>
      <c r="F178" s="113">
        <f>+SUMIFS(FINANCIACION[$ CAPITAL],FINANCIACION[Fecha],"&lt;="&amp;FINANCIACION[[#This Row],[Fecha]],FINANCIACION[PRESTAMO],FINANCIACION[[#This Row],[PRESTAMO]])</f>
        <v>-60672903.299999997</v>
      </c>
      <c r="G178" s="113"/>
      <c r="H178" s="117"/>
      <c r="I178" s="119"/>
      <c r="J178" s="113" t="b">
        <f>IF(FINANCIACION[[#This Row],[$ CAPITAL]]&gt;0,FINANCIACION[[#This Row],[$ CAPITAL]])</f>
        <v>0</v>
      </c>
      <c r="K178" s="120">
        <f>IF(FINANCIACION[[#This Row],[$ CAPITAL]]&gt;=0,FINANCIACION[[#This Row],[$ CAPITAL]]+FINANCIACION[[#This Row],[$ INTERESES]],0)</f>
        <v>0</v>
      </c>
    </row>
    <row r="179" spans="1:11" ht="24" customHeight="1" x14ac:dyDescent="0.3">
      <c r="A179" s="112">
        <v>44265</v>
      </c>
      <c r="B179" s="118" t="s">
        <v>348</v>
      </c>
      <c r="C179" s="113">
        <v>277743.10809999995</v>
      </c>
      <c r="D179" s="113">
        <v>922256.89190000005</v>
      </c>
      <c r="E179" s="113">
        <f>+IF(FINANCIACION[[#This Row],[$ CAPITAL]]&gt;=0,FINANCIACION[[#This Row],[$ CAPITAL]]+FINANCIACION[[#This Row],[$ INTERESES]],"")</f>
        <v>1200000</v>
      </c>
      <c r="F179" s="113">
        <f>+SUMIFS(FINANCIACION[$ CAPITAL],FINANCIACION[Fecha],"&lt;="&amp;FINANCIACION[[#This Row],[Fecha]],FINANCIACION[PRESTAMO],FINANCIACION[[#This Row],[PRESTAMO]])</f>
        <v>-60395160.1919</v>
      </c>
      <c r="G179" s="113"/>
      <c r="H179" s="117"/>
      <c r="I179" s="119"/>
      <c r="J179" s="113">
        <f>IF(FINANCIACION[[#This Row],[$ CAPITAL]]&gt;0,FINANCIACION[[#This Row],[$ CAPITAL]])</f>
        <v>277743.10809999995</v>
      </c>
      <c r="K179" s="120">
        <f>IF(FINANCIACION[[#This Row],[$ CAPITAL]]&gt;=0,FINANCIACION[[#This Row],[$ CAPITAL]]+FINANCIACION[[#This Row],[$ INTERESES]],0)</f>
        <v>1200000</v>
      </c>
    </row>
    <row r="180" spans="1:11" ht="24" customHeight="1" x14ac:dyDescent="0.3">
      <c r="A180" s="112">
        <v>44266</v>
      </c>
      <c r="B180" s="118" t="s">
        <v>348</v>
      </c>
      <c r="C180" s="113">
        <v>315160.19189999998</v>
      </c>
      <c r="D180" s="113"/>
      <c r="E180" s="113">
        <f>+IF(FINANCIACION[[#This Row],[$ CAPITAL]]&gt;=0,FINANCIACION[[#This Row],[$ CAPITAL]]+FINANCIACION[[#This Row],[$ INTERESES]],"")</f>
        <v>315160.19189999998</v>
      </c>
      <c r="F180" s="113">
        <f>+SUMIFS(FINANCIACION[$ CAPITAL],FINANCIACION[Fecha],"&lt;="&amp;FINANCIACION[[#This Row],[Fecha]],FINANCIACION[PRESTAMO],FINANCIACION[[#This Row],[PRESTAMO]])</f>
        <v>-60080000</v>
      </c>
      <c r="G180" s="113"/>
      <c r="H180" s="117" t="s">
        <v>146</v>
      </c>
      <c r="I180" s="119"/>
      <c r="J180" s="113">
        <f>IF(FINANCIACION[[#This Row],[$ CAPITAL]]&gt;0,FINANCIACION[[#This Row],[$ CAPITAL]])</f>
        <v>315160.19189999998</v>
      </c>
      <c r="K180" s="120">
        <f>IF(FINANCIACION[[#This Row],[$ CAPITAL]]&gt;=0,FINANCIACION[[#This Row],[$ CAPITAL]]+FINANCIACION[[#This Row],[$ INTERESES]],0)</f>
        <v>315160.19189999998</v>
      </c>
    </row>
    <row r="181" spans="1:11" ht="24" customHeight="1" x14ac:dyDescent="0.3">
      <c r="A181" s="112">
        <v>44299</v>
      </c>
      <c r="B181" s="118" t="s">
        <v>348</v>
      </c>
      <c r="C181" s="113">
        <v>699200</v>
      </c>
      <c r="D181" s="113">
        <v>600800</v>
      </c>
      <c r="E181" s="113">
        <f>+IF(FINANCIACION[[#This Row],[$ CAPITAL]]&gt;=0,FINANCIACION[[#This Row],[$ CAPITAL]]+FINANCIACION[[#This Row],[$ INTERESES]],"")</f>
        <v>1300000</v>
      </c>
      <c r="F181" s="113">
        <f>+SUMIFS(FINANCIACION[$ CAPITAL],FINANCIACION[Fecha],"&lt;="&amp;FINANCIACION[[#This Row],[Fecha]],FINANCIACION[PRESTAMO],FINANCIACION[[#This Row],[PRESTAMO]])</f>
        <v>-59380800</v>
      </c>
      <c r="G181" s="113"/>
      <c r="H181" s="117"/>
      <c r="I181" s="119"/>
      <c r="J181" s="113">
        <f>IF(FINANCIACION[[#This Row],[$ CAPITAL]]&gt;0,FINANCIACION[[#This Row],[$ CAPITAL]])</f>
        <v>699200</v>
      </c>
      <c r="K181" s="120">
        <f>IF(FINANCIACION[[#This Row],[$ CAPITAL]]&gt;=0,FINANCIACION[[#This Row],[$ CAPITAL]]+FINANCIACION[[#This Row],[$ INTERESES]],0)</f>
        <v>1300000</v>
      </c>
    </row>
    <row r="182" spans="1:11" ht="24" customHeight="1" x14ac:dyDescent="0.3">
      <c r="A182" s="112">
        <v>44344</v>
      </c>
      <c r="B182" s="118" t="s">
        <v>348</v>
      </c>
      <c r="C182" s="113">
        <v>706192</v>
      </c>
      <c r="D182" s="113">
        <v>593808</v>
      </c>
      <c r="E182" s="113">
        <f>+IF(FINANCIACION[[#This Row],[$ CAPITAL]]&gt;=0,FINANCIACION[[#This Row],[$ CAPITAL]]+FINANCIACION[[#This Row],[$ INTERESES]],"")</f>
        <v>1300000</v>
      </c>
      <c r="F182" s="113">
        <f>+SUMIFS(FINANCIACION[$ CAPITAL],FINANCIACION[Fecha],"&lt;="&amp;FINANCIACION[[#This Row],[Fecha]],FINANCIACION[PRESTAMO],FINANCIACION[[#This Row],[PRESTAMO]])</f>
        <v>-58674608</v>
      </c>
      <c r="G182" s="113"/>
      <c r="H182" s="117"/>
      <c r="I182" s="119"/>
      <c r="J182" s="113">
        <f>IF(FINANCIACION[[#This Row],[$ CAPITAL]]&gt;0,FINANCIACION[[#This Row],[$ CAPITAL]])</f>
        <v>706192</v>
      </c>
      <c r="K182" s="121">
        <f>IF(FINANCIACION[[#This Row],[$ CAPITAL]]&gt;=0,FINANCIACION[[#This Row],[$ CAPITAL]]+FINANCIACION[[#This Row],[$ INTERESES]],0)</f>
        <v>1300000</v>
      </c>
    </row>
    <row r="183" spans="1:11" ht="24" customHeight="1" x14ac:dyDescent="0.3">
      <c r="A183" s="112">
        <v>44358</v>
      </c>
      <c r="B183" s="118" t="s">
        <v>348</v>
      </c>
      <c r="C183" s="113">
        <v>713253.92</v>
      </c>
      <c r="D183" s="113">
        <v>586746.07999999996</v>
      </c>
      <c r="E183" s="113">
        <f>+IF(FINANCIACION[[#This Row],[$ CAPITAL]]&gt;=0,FINANCIACION[[#This Row],[$ CAPITAL]]+FINANCIACION[[#This Row],[$ INTERESES]],"")</f>
        <v>1300000</v>
      </c>
      <c r="F183" s="113">
        <f>+SUMIFS(FINANCIACION[$ CAPITAL],FINANCIACION[Fecha],"&lt;="&amp;FINANCIACION[[#This Row],[Fecha]],FINANCIACION[PRESTAMO],FINANCIACION[[#This Row],[PRESTAMO]])</f>
        <v>-57961354.079999998</v>
      </c>
      <c r="G183" s="113"/>
      <c r="H183" s="117"/>
      <c r="I183" s="119"/>
      <c r="J183" s="113">
        <f>IF(FINANCIACION[[#This Row],[$ CAPITAL]]&gt;0,FINANCIACION[[#This Row],[$ CAPITAL]])</f>
        <v>713253.92</v>
      </c>
      <c r="K183" s="121">
        <f>IF(FINANCIACION[[#This Row],[$ CAPITAL]]&gt;=0,FINANCIACION[[#This Row],[$ CAPITAL]]+FINANCIACION[[#This Row],[$ INTERESES]],0)</f>
        <v>1300000</v>
      </c>
    </row>
    <row r="184" spans="1:11" ht="24" customHeight="1" x14ac:dyDescent="0.3">
      <c r="A184" s="112">
        <v>44390</v>
      </c>
      <c r="B184" s="118" t="s">
        <v>348</v>
      </c>
      <c r="C184" s="113">
        <v>720386.45920000004</v>
      </c>
      <c r="D184" s="113">
        <v>579613.54079999996</v>
      </c>
      <c r="E184" s="113">
        <f>+IF(FINANCIACION[[#This Row],[$ CAPITAL]]&gt;=0,FINANCIACION[[#This Row],[$ CAPITAL]]+FINANCIACION[[#This Row],[$ INTERESES]],"")</f>
        <v>1300000</v>
      </c>
      <c r="F184" s="113">
        <f>+SUMIFS(FINANCIACION[$ CAPITAL],FINANCIACION[Fecha],"&lt;="&amp;FINANCIACION[[#This Row],[Fecha]],FINANCIACION[PRESTAMO],FINANCIACION[[#This Row],[PRESTAMO]])</f>
        <v>-57240967.620799996</v>
      </c>
      <c r="G184" s="113"/>
      <c r="I184" s="119"/>
      <c r="J184" s="113">
        <f>IF(FINANCIACION[[#This Row],[$ CAPITAL]]&gt;0,FINANCIACION[[#This Row],[$ CAPITAL]])</f>
        <v>720386.45920000004</v>
      </c>
      <c r="K184" s="120">
        <f>IF(FINANCIACION[[#This Row],[$ CAPITAL]]&gt;=0,FINANCIACION[[#This Row],[$ CAPITAL]]+FINANCIACION[[#This Row],[$ INTERESES]],0)</f>
        <v>1300000</v>
      </c>
    </row>
    <row r="185" spans="1:11" ht="24" customHeight="1" x14ac:dyDescent="0.3">
      <c r="A185" s="112">
        <v>44425</v>
      </c>
      <c r="B185" s="118" t="s">
        <v>348</v>
      </c>
      <c r="C185" s="113">
        <v>727590.32379200007</v>
      </c>
      <c r="D185" s="113">
        <v>572409.67620799993</v>
      </c>
      <c r="E185" s="113">
        <f>+IF(FINANCIACION[[#This Row],[$ CAPITAL]]&gt;=0,FINANCIACION[[#This Row],[$ CAPITAL]]+FINANCIACION[[#This Row],[$ INTERESES]],"")</f>
        <v>1300000</v>
      </c>
      <c r="F185" s="113">
        <f>+SUMIFS(FINANCIACION[$ CAPITAL],FINANCIACION[Fecha],"&lt;="&amp;FINANCIACION[[#This Row],[Fecha]],FINANCIACION[PRESTAMO],FINANCIACION[[#This Row],[PRESTAMO]])</f>
        <v>-56513377.297007993</v>
      </c>
      <c r="G185" s="113"/>
      <c r="I185" s="119"/>
      <c r="J185" s="113">
        <f>IF(FINANCIACION[[#This Row],[$ CAPITAL]]&gt;0,FINANCIACION[[#This Row],[$ CAPITAL]])</f>
        <v>727590.32379200007</v>
      </c>
      <c r="K185" s="120">
        <f>IF(FINANCIACION[[#This Row],[$ CAPITAL]]&gt;=0,FINANCIACION[[#This Row],[$ CAPITAL]]+FINANCIACION[[#This Row],[$ INTERESES]],0)</f>
        <v>1300000</v>
      </c>
    </row>
    <row r="186" spans="1:11" ht="24" customHeight="1" x14ac:dyDescent="0.3">
      <c r="A186" s="112">
        <v>44450</v>
      </c>
      <c r="B186" s="118" t="s">
        <v>348</v>
      </c>
      <c r="C186" s="113">
        <v>734866.22702992009</v>
      </c>
      <c r="D186" s="113">
        <v>565133.77297007991</v>
      </c>
      <c r="E186" s="113">
        <f>+IF(FINANCIACION[[#This Row],[$ CAPITAL]]&gt;=0,FINANCIACION[[#This Row],[$ CAPITAL]]+FINANCIACION[[#This Row],[$ INTERESES]],"")</f>
        <v>1300000</v>
      </c>
      <c r="F186" s="113">
        <f>+SUMIFS(FINANCIACION[$ CAPITAL],FINANCIACION[Fecha],"&lt;="&amp;FINANCIACION[[#This Row],[Fecha]],FINANCIACION[PRESTAMO],FINANCIACION[[#This Row],[PRESTAMO]])</f>
        <v>-55778511.069978073</v>
      </c>
      <c r="G186" s="113"/>
      <c r="H186" s="117"/>
      <c r="I186" s="119"/>
      <c r="J186" s="113">
        <f>IF(FINANCIACION[[#This Row],[$ CAPITAL]]&gt;0,FINANCIACION[[#This Row],[$ CAPITAL]])</f>
        <v>734866.22702992009</v>
      </c>
      <c r="K186" s="120">
        <f>IF(FINANCIACION[[#This Row],[$ CAPITAL]]&gt;=0,FINANCIACION[[#This Row],[$ CAPITAL]]+FINANCIACION[[#This Row],[$ INTERESES]],0)</f>
        <v>1300000</v>
      </c>
    </row>
    <row r="187" spans="1:11" ht="24" customHeight="1" x14ac:dyDescent="0.3">
      <c r="A187" s="112">
        <v>44480</v>
      </c>
      <c r="B187" s="118" t="s">
        <v>348</v>
      </c>
      <c r="C187" s="113">
        <v>742214.88930021925</v>
      </c>
      <c r="D187" s="113">
        <v>557785.11069978075</v>
      </c>
      <c r="E187" s="113">
        <f>+IF(FINANCIACION[[#This Row],[$ CAPITAL]]&gt;=0,FINANCIACION[[#This Row],[$ CAPITAL]]+FINANCIACION[[#This Row],[$ INTERESES]],"")</f>
        <v>1300000</v>
      </c>
      <c r="F187" s="113">
        <f>+SUMIFS(FINANCIACION[$ CAPITAL],FINANCIACION[Fecha],"&lt;="&amp;FINANCIACION[[#This Row],[Fecha]],FINANCIACION[PRESTAMO],FINANCIACION[[#This Row],[PRESTAMO]])</f>
        <v>-55036296.180677854</v>
      </c>
      <c r="G187" s="113"/>
      <c r="H187" s="117"/>
      <c r="I187" s="119"/>
      <c r="J187" s="113">
        <f>IF(FINANCIACION[[#This Row],[$ CAPITAL]]&gt;0,FINANCIACION[[#This Row],[$ CAPITAL]])</f>
        <v>742214.88930021925</v>
      </c>
      <c r="K187" s="120">
        <f>IF(FINANCIACION[[#This Row],[$ CAPITAL]]&gt;=0,FINANCIACION[[#This Row],[$ CAPITAL]]+FINANCIACION[[#This Row],[$ INTERESES]],0)</f>
        <v>1300000</v>
      </c>
    </row>
    <row r="188" spans="1:11" ht="24" customHeight="1" x14ac:dyDescent="0.3">
      <c r="A188" s="112">
        <v>44510</v>
      </c>
      <c r="B188" s="118" t="s">
        <v>348</v>
      </c>
      <c r="C188" s="113">
        <v>749637</v>
      </c>
      <c r="D188" s="113">
        <v>550363</v>
      </c>
      <c r="E188" s="113">
        <f>+IF(FINANCIACION[[#This Row],[$ CAPITAL]]&gt;=0,FINANCIACION[[#This Row],[$ CAPITAL]]+FINANCIACION[[#This Row],[$ INTERESES]],"")</f>
        <v>1300000</v>
      </c>
      <c r="F188" s="113">
        <f>+SUMIFS(FINANCIACION[$ CAPITAL],FINANCIACION[Fecha],"&lt;="&amp;FINANCIACION[[#This Row],[Fecha]],FINANCIACION[PRESTAMO],FINANCIACION[[#This Row],[PRESTAMO]])</f>
        <v>-54286659.180677854</v>
      </c>
      <c r="G188" s="113"/>
      <c r="I188" s="119"/>
      <c r="J188" s="113">
        <f>IF(FINANCIACION[[#This Row],[$ CAPITAL]]&gt;0,FINANCIACION[[#This Row],[$ CAPITAL]])</f>
        <v>749637</v>
      </c>
      <c r="K188" s="120">
        <f>IF(FINANCIACION[[#This Row],[$ CAPITAL]]&gt;=0,FINANCIACION[[#This Row],[$ CAPITAL]]+FINANCIACION[[#This Row],[$ INTERESES]],0)</f>
        <v>1300000</v>
      </c>
    </row>
    <row r="189" spans="1:11" ht="24" customHeight="1" x14ac:dyDescent="0.3">
      <c r="A189" s="112">
        <v>44539</v>
      </c>
      <c r="B189" s="118" t="s">
        <v>348</v>
      </c>
      <c r="C189" s="113">
        <v>757133.40857515368</v>
      </c>
      <c r="D189" s="113">
        <v>542866.59142484632</v>
      </c>
      <c r="E189" s="113">
        <f>+IF(FINANCIACION[[#This Row],[$ CAPITAL]]&gt;=0,FINANCIACION[[#This Row],[$ CAPITAL]]+FINANCIACION[[#This Row],[$ INTERESES]],"")</f>
        <v>1300000</v>
      </c>
      <c r="F189" s="113">
        <f>+SUMIFS(FINANCIACION[$ CAPITAL],FINANCIACION[Fecha],"&lt;="&amp;FINANCIACION[[#This Row],[Fecha]],FINANCIACION[PRESTAMO],FINANCIACION[[#This Row],[PRESTAMO]])</f>
        <v>-53529525.772102699</v>
      </c>
      <c r="G189" s="113"/>
      <c r="I189" s="119"/>
      <c r="J189" s="113">
        <f>IF(FINANCIACION[[#This Row],[$ CAPITAL]]&gt;0,FINANCIACION[[#This Row],[$ CAPITAL]])</f>
        <v>757133.40857515368</v>
      </c>
      <c r="K189" s="120">
        <f>IF(FINANCIACION[[#This Row],[$ CAPITAL]]&gt;=0,FINANCIACION[[#This Row],[$ CAPITAL]]+FINANCIACION[[#This Row],[$ INTERESES]],0)</f>
        <v>1300000</v>
      </c>
    </row>
    <row r="190" spans="1:11" ht="24" customHeight="1" x14ac:dyDescent="0.3">
      <c r="A190" s="112">
        <v>44572</v>
      </c>
      <c r="B190" s="118" t="s">
        <v>348</v>
      </c>
      <c r="C190" s="113">
        <v>764704.74227897299</v>
      </c>
      <c r="D190" s="113">
        <v>535295.25772102701</v>
      </c>
      <c r="E190" s="113">
        <f>+IF(FINANCIACION[[#This Row],[$ CAPITAL]]&gt;=0,FINANCIACION[[#This Row],[$ CAPITAL]]+FINANCIACION[[#This Row],[$ INTERESES]],"")</f>
        <v>1300000</v>
      </c>
      <c r="F190" s="113">
        <f>+SUMIFS(FINANCIACION[$ CAPITAL],FINANCIACION[Fecha],"&lt;="&amp;FINANCIACION[[#This Row],[Fecha]],FINANCIACION[PRESTAMO],FINANCIACION[[#This Row],[PRESTAMO]])</f>
        <v>-52764821.029823728</v>
      </c>
      <c r="G190" s="113"/>
      <c r="I190" s="119"/>
      <c r="J190" s="113">
        <f>IF(FINANCIACION[[#This Row],[$ CAPITAL]]&gt;0,FINANCIACION[[#This Row],[$ CAPITAL]])</f>
        <v>764704.74227897299</v>
      </c>
      <c r="K190" s="120">
        <f>IF(FINANCIACION[[#This Row],[$ CAPITAL]]&gt;=0,FINANCIACION[[#This Row],[$ CAPITAL]]+FINANCIACION[[#This Row],[$ INTERESES]],0)</f>
        <v>1300000</v>
      </c>
    </row>
    <row r="191" spans="1:11" ht="24" customHeight="1" x14ac:dyDescent="0.3">
      <c r="A191" s="112">
        <v>44602</v>
      </c>
      <c r="B191" s="118" t="s">
        <v>348</v>
      </c>
      <c r="C191" s="113">
        <v>772351.78970176273</v>
      </c>
      <c r="D191" s="113">
        <v>527648.21029823727</v>
      </c>
      <c r="E191" s="113">
        <f>+IF(FINANCIACION[[#This Row],[$ CAPITAL]]&gt;=0,FINANCIACION[[#This Row],[$ CAPITAL]]+FINANCIACION[[#This Row],[$ INTERESES]],"")</f>
        <v>1300000</v>
      </c>
      <c r="F191" s="113">
        <f>+SUMIFS(FINANCIACION[$ CAPITAL],FINANCIACION[Fecha],"&lt;="&amp;FINANCIACION[[#This Row],[Fecha]],FINANCIACION[PRESTAMO],FINANCIACION[[#This Row],[PRESTAMO]])</f>
        <v>-51992469.240121968</v>
      </c>
      <c r="G191" s="113"/>
      <c r="I191" s="119"/>
      <c r="J191" s="113">
        <f>+IF(FINANCIACION[[#This Row],[$ CAPITAL]]&gt;0,FINANCIACION[[#This Row],[$ CAPITAL]])</f>
        <v>772351.78970176273</v>
      </c>
      <c r="K191" s="120">
        <f>+IF(FINANCIACION[[#This Row],[$ CAPITAL]]&gt;=0,FINANCIACION[[#This Row],[$ CAPITAL]]+FINANCIACION[[#This Row],[$ INTERESES]],0)</f>
        <v>1300000</v>
      </c>
    </row>
    <row r="192" spans="1:11" ht="24" customHeight="1" x14ac:dyDescent="0.3">
      <c r="A192" s="112">
        <v>44629</v>
      </c>
      <c r="B192" s="118" t="s">
        <v>348</v>
      </c>
      <c r="C192" s="113">
        <v>780075.30759878037</v>
      </c>
      <c r="D192" s="113">
        <v>519924.69240121968</v>
      </c>
      <c r="E192" s="113">
        <f>+IF(FINANCIACION[[#This Row],[$ CAPITAL]]&gt;=0,FINANCIACION[[#This Row],[$ CAPITAL]]+FINANCIACION[[#This Row],[$ INTERESES]],"")</f>
        <v>1300000</v>
      </c>
      <c r="F192" s="113">
        <f>+SUMIFS(FINANCIACION[$ CAPITAL],FINANCIACION[Fecha],"&lt;="&amp;FINANCIACION[[#This Row],[Fecha]],FINANCIACION[PRESTAMO],FINANCIACION[[#This Row],[PRESTAMO]])</f>
        <v>-51212393.932523191</v>
      </c>
      <c r="G192" s="113"/>
      <c r="I192" s="119"/>
      <c r="J192" s="113">
        <f>+IF(FINANCIACION[[#This Row],[$ CAPITAL]]&gt;0,FINANCIACION[[#This Row],[$ CAPITAL]])</f>
        <v>780075.30759878037</v>
      </c>
      <c r="K192" s="120">
        <f>+IF(FINANCIACION[[#This Row],[$ CAPITAL]]&gt;=0,FINANCIACION[[#This Row],[$ CAPITAL]]+FINANCIACION[[#This Row],[$ INTERESES]],0)</f>
        <v>1300000</v>
      </c>
    </row>
    <row r="193" spans="1:11" ht="24" customHeight="1" x14ac:dyDescent="0.3">
      <c r="A193" s="112">
        <v>44665</v>
      </c>
      <c r="B193" s="118" t="s">
        <v>348</v>
      </c>
      <c r="C193" s="113">
        <v>787876.06067476806</v>
      </c>
      <c r="D193" s="113">
        <v>512123.93932523194</v>
      </c>
      <c r="E193" s="113">
        <f>+IF(FINANCIACION[[#This Row],[$ CAPITAL]]&gt;=0,FINANCIACION[[#This Row],[$ CAPITAL]]+FINANCIACION[[#This Row],[$ INTERESES]],"")</f>
        <v>1300000</v>
      </c>
      <c r="F193" s="113">
        <f>+SUMIFS(FINANCIACION[$ CAPITAL],FINANCIACION[Fecha],"&lt;="&amp;FINANCIACION[[#This Row],[Fecha]],FINANCIACION[PRESTAMO],FINANCIACION[[#This Row],[PRESTAMO]])</f>
        <v>-50424517.871848419</v>
      </c>
      <c r="G193" s="113"/>
      <c r="I193" s="119"/>
      <c r="J193" s="113">
        <f>+IF(FINANCIACION[[#This Row],[$ CAPITAL]]&gt;0,FINANCIACION[[#This Row],[$ CAPITAL]])</f>
        <v>787876.06067476806</v>
      </c>
      <c r="K193" s="120">
        <f>+IF(FINANCIACION[[#This Row],[$ CAPITAL]]&gt;=0,FINANCIACION[[#This Row],[$ CAPITAL]]+FINANCIACION[[#This Row],[$ INTERESES]],0)</f>
        <v>1300000</v>
      </c>
    </row>
    <row r="194" spans="1:11" ht="24" customHeight="1" x14ac:dyDescent="0.3">
      <c r="A194" s="112">
        <v>44691</v>
      </c>
      <c r="B194" s="118" t="s">
        <v>348</v>
      </c>
      <c r="C194" s="113">
        <v>795754.82128151576</v>
      </c>
      <c r="D194" s="113">
        <v>504245.17871848418</v>
      </c>
      <c r="E194" s="113">
        <f>+IF(FINANCIACION[[#This Row],[$ CAPITAL]]&gt;=0,FINANCIACION[[#This Row],[$ CAPITAL]]+FINANCIACION[[#This Row],[$ INTERESES]],"")</f>
        <v>1300000</v>
      </c>
      <c r="F194" s="113">
        <f>+SUMIFS(FINANCIACION[$ CAPITAL],FINANCIACION[Fecha],"&lt;="&amp;FINANCIACION[[#This Row],[Fecha]],FINANCIACION[PRESTAMO],FINANCIACION[[#This Row],[PRESTAMO]])</f>
        <v>-49628763.050566904</v>
      </c>
      <c r="G194" s="113"/>
      <c r="I194" s="119"/>
      <c r="J194" s="113">
        <f>+IF(FINANCIACION[[#This Row],[$ CAPITAL]]&gt;0,FINANCIACION[[#This Row],[$ CAPITAL]])</f>
        <v>795754.82128151576</v>
      </c>
      <c r="K194" s="120">
        <f>+IF(FINANCIACION[[#This Row],[$ CAPITAL]]&gt;=0,FINANCIACION[[#This Row],[$ CAPITAL]]+FINANCIACION[[#This Row],[$ INTERESES]],0)</f>
        <v>1300000</v>
      </c>
    </row>
    <row r="195" spans="1:11" ht="24" customHeight="1" x14ac:dyDescent="0.3">
      <c r="A195" s="112">
        <v>44722</v>
      </c>
      <c r="B195" s="118" t="s">
        <v>348</v>
      </c>
      <c r="C195" s="113">
        <v>803712.36949433095</v>
      </c>
      <c r="D195" s="113">
        <v>496287.63050566905</v>
      </c>
      <c r="E195" s="113">
        <f>+IF(FINANCIACION[[#This Row],[$ CAPITAL]]&gt;=0,FINANCIACION[[#This Row],[$ CAPITAL]]+FINANCIACION[[#This Row],[$ INTERESES]],"")</f>
        <v>1300000</v>
      </c>
      <c r="F195" s="113">
        <f>+SUMIFS(FINANCIACION[$ CAPITAL],FINANCIACION[Fecha],"&lt;="&amp;FINANCIACION[[#This Row],[Fecha]],FINANCIACION[PRESTAMO],FINANCIACION[[#This Row],[PRESTAMO]])</f>
        <v>-48825050.68107257</v>
      </c>
      <c r="G195" s="113"/>
      <c r="I195" s="119"/>
      <c r="J195" s="113">
        <f>+IF(FINANCIACION[[#This Row],[$ CAPITAL]]&gt;0,FINANCIACION[[#This Row],[$ CAPITAL]])</f>
        <v>803712.36949433095</v>
      </c>
      <c r="K195" s="120">
        <f>+IF(FINANCIACION[[#This Row],[$ CAPITAL]]&gt;=0,FINANCIACION[[#This Row],[$ CAPITAL]]+FINANCIACION[[#This Row],[$ INTERESES]],0)</f>
        <v>1300000</v>
      </c>
    </row>
    <row r="196" spans="1:11" ht="24" customHeight="1" x14ac:dyDescent="0.3">
      <c r="A196" s="112">
        <v>44753</v>
      </c>
      <c r="B196" s="118" t="s">
        <v>348</v>
      </c>
      <c r="C196" s="113">
        <f>1300000-FINANCIACION[[#This Row],[$ INTERESES]]</f>
        <v>811749.49318927398</v>
      </c>
      <c r="D196" s="113">
        <f>-48825050.6810726*-0.01</f>
        <v>488250.50681072602</v>
      </c>
      <c r="E196" s="113">
        <f>+IF(FINANCIACION[[#This Row],[$ CAPITAL]]&gt;=0,FINANCIACION[[#This Row],[$ CAPITAL]]+FINANCIACION[[#This Row],[$ INTERESES]],"")</f>
        <v>1300000</v>
      </c>
      <c r="F196" s="113">
        <f>+SUMIFS(FINANCIACION[$ CAPITAL],FINANCIACION[Fecha],"&lt;="&amp;FINANCIACION[[#This Row],[Fecha]],FINANCIACION[PRESTAMO],FINANCIACION[[#This Row],[PRESTAMO]])</f>
        <v>-48013301.187883295</v>
      </c>
      <c r="G196" s="113"/>
      <c r="I196" s="119"/>
      <c r="J196" s="113">
        <f>+IF(FINANCIACION[[#This Row],[$ CAPITAL]]&gt;0,FINANCIACION[[#This Row],[$ CAPITAL]])</f>
        <v>811749.49318927398</v>
      </c>
      <c r="K196" s="120">
        <f>+IF(FINANCIACION[[#This Row],[$ CAPITAL]]&gt;=0,FINANCIACION[[#This Row],[$ CAPITAL]]+FINANCIACION[[#This Row],[$ INTERESES]],0)</f>
        <v>1300000</v>
      </c>
    </row>
    <row r="197" spans="1:11" ht="24" customHeight="1" x14ac:dyDescent="0.3">
      <c r="A197" s="112">
        <v>44786</v>
      </c>
      <c r="B197" s="118" t="s">
        <v>348</v>
      </c>
      <c r="C197" s="113">
        <f>1300000-FINANCIACION[[#This Row],[$ INTERESES]]</f>
        <v>819866.98812116706</v>
      </c>
      <c r="D197" s="113">
        <v>480133.01187883294</v>
      </c>
      <c r="E197" s="113">
        <f>+IF(FINANCIACION[[#This Row],[$ CAPITAL]]&gt;=0,FINANCIACION[[#This Row],[$ CAPITAL]]+FINANCIACION[[#This Row],[$ INTERESES]],"")</f>
        <v>1300000</v>
      </c>
      <c r="F197" s="113">
        <f>+SUMIFS(FINANCIACION[$ CAPITAL],FINANCIACION[Fecha],"&lt;="&amp;FINANCIACION[[#This Row],[Fecha]],FINANCIACION[PRESTAMO],FINANCIACION[[#This Row],[PRESTAMO]])</f>
        <v>-47193434.199762128</v>
      </c>
      <c r="G197" s="113"/>
      <c r="I197" s="119"/>
      <c r="J197" s="113">
        <f>+IF(FINANCIACION[[#This Row],[$ CAPITAL]]&gt;0,FINANCIACION[[#This Row],[$ CAPITAL]])</f>
        <v>819866.98812116706</v>
      </c>
      <c r="K197" s="120">
        <f>+IF(FINANCIACION[[#This Row],[$ CAPITAL]]&gt;=0,FINANCIACION[[#This Row],[$ CAPITAL]]+FINANCIACION[[#This Row],[$ INTERESES]],0)</f>
        <v>1300000</v>
      </c>
    </row>
    <row r="198" spans="1:11" ht="24" customHeight="1" x14ac:dyDescent="0.3">
      <c r="A198" s="112">
        <v>44817</v>
      </c>
      <c r="B198" s="118" t="s">
        <v>348</v>
      </c>
      <c r="C198" s="113">
        <f>1300000-FINANCIACION[[#This Row],[$ INTERESES]]</f>
        <v>828066</v>
      </c>
      <c r="D198" s="113">
        <v>471934</v>
      </c>
      <c r="E198" s="113">
        <f>+IF(FINANCIACION[[#This Row],[$ CAPITAL]]&gt;=0,FINANCIACION[[#This Row],[$ CAPITAL]]+FINANCIACION[[#This Row],[$ INTERESES]],"")</f>
        <v>1300000</v>
      </c>
      <c r="F198" s="113">
        <f>+SUMIFS(FINANCIACION[$ CAPITAL],FINANCIACION[Fecha],"&lt;="&amp;FINANCIACION[[#This Row],[Fecha]],FINANCIACION[PRESTAMO],FINANCIACION[[#This Row],[PRESTAMO]])</f>
        <v>-46365368.199762128</v>
      </c>
      <c r="G198" s="113"/>
      <c r="I198" s="119"/>
      <c r="J198" s="113">
        <f>+IF(FINANCIACION[[#This Row],[$ CAPITAL]]&gt;0,FINANCIACION[[#This Row],[$ CAPITAL]])</f>
        <v>828066</v>
      </c>
      <c r="K198" s="120">
        <f>+IF(FINANCIACION[[#This Row],[$ CAPITAL]]&gt;=0,FINANCIACION[[#This Row],[$ CAPITAL]]+FINANCIACION[[#This Row],[$ INTERESES]],0)</f>
        <v>1300000</v>
      </c>
    </row>
    <row r="199" spans="1:11" ht="24" customHeight="1" x14ac:dyDescent="0.3">
      <c r="A199" s="112">
        <v>44846</v>
      </c>
      <c r="B199" s="118" t="s">
        <v>348</v>
      </c>
      <c r="C199" s="113">
        <v>836346</v>
      </c>
      <c r="D199" s="113">
        <v>463654</v>
      </c>
      <c r="E199" s="113">
        <f>+IF(FINANCIACION[[#This Row],[$ CAPITAL]]&gt;=0,FINANCIACION[[#This Row],[$ CAPITAL]]+FINANCIACION[[#This Row],[$ INTERESES]],"")</f>
        <v>1300000</v>
      </c>
      <c r="F199" s="113">
        <f>+SUMIFS(FINANCIACION[$ CAPITAL],FINANCIACION[Fecha],"&lt;="&amp;FINANCIACION[[#This Row],[Fecha]],FINANCIACION[PRESTAMO],FINANCIACION[[#This Row],[PRESTAMO]])</f>
        <v>-45529022.199762128</v>
      </c>
      <c r="G199" s="113"/>
      <c r="I199" s="119"/>
      <c r="J199" s="113">
        <f>+IF(FINANCIACION[[#This Row],[$ CAPITAL]]&gt;0,FINANCIACION[[#This Row],[$ CAPITAL]])</f>
        <v>836346</v>
      </c>
      <c r="K199" s="120">
        <f>+IF(FINANCIACION[[#This Row],[$ CAPITAL]]&gt;=0,FINANCIACION[[#This Row],[$ CAPITAL]]+FINANCIACION[[#This Row],[$ INTERESES]],0)</f>
        <v>1300000</v>
      </c>
    </row>
    <row r="200" spans="1:11" ht="24" customHeight="1" x14ac:dyDescent="0.3">
      <c r="A200" s="112">
        <v>44876</v>
      </c>
      <c r="B200" s="118" t="s">
        <v>348</v>
      </c>
      <c r="C200" s="113">
        <v>845000</v>
      </c>
      <c r="D200" s="113">
        <v>455000</v>
      </c>
      <c r="E200" s="113">
        <f>+IF(FINANCIACION[[#This Row],[$ CAPITAL]]&gt;=0,FINANCIACION[[#This Row],[$ CAPITAL]]+FINANCIACION[[#This Row],[$ INTERESES]],"")</f>
        <v>1300000</v>
      </c>
      <c r="F200" s="113">
        <f>+SUMIFS(FINANCIACION[$ CAPITAL],FINANCIACION[Fecha],"&lt;="&amp;FINANCIACION[[#This Row],[Fecha]],FINANCIACION[PRESTAMO],FINANCIACION[[#This Row],[PRESTAMO]])</f>
        <v>-44684022.199762128</v>
      </c>
      <c r="G200" s="113"/>
      <c r="I200" s="119"/>
      <c r="J200" s="113">
        <f>+IF(FINANCIACION[[#This Row],[$ CAPITAL]]&gt;0,FINANCIACION[[#This Row],[$ CAPITAL]])</f>
        <v>845000</v>
      </c>
      <c r="K200" s="120">
        <f>+IF(FINANCIACION[[#This Row],[$ CAPITAL]]&gt;=0,FINANCIACION[[#This Row],[$ CAPITAL]]+FINANCIACION[[#This Row],[$ INTERESES]],0)</f>
        <v>1300000</v>
      </c>
    </row>
    <row r="201" spans="1:11" ht="24" customHeight="1" x14ac:dyDescent="0.3">
      <c r="A201" s="112">
        <v>44909</v>
      </c>
      <c r="B201" s="118" t="s">
        <v>348</v>
      </c>
      <c r="C201" s="113">
        <v>853160</v>
      </c>
      <c r="D201" s="113">
        <v>446840</v>
      </c>
      <c r="E201" s="113">
        <f>+IF(FINANCIACION[[#This Row],[$ CAPITAL]]&gt;=0,FINANCIACION[[#This Row],[$ CAPITAL]]+FINANCIACION[[#This Row],[$ INTERESES]],"")</f>
        <v>1300000</v>
      </c>
      <c r="F201" s="113">
        <f>+SUMIFS(FINANCIACION[$ CAPITAL],FINANCIACION[Fecha],"&lt;="&amp;FINANCIACION[[#This Row],[Fecha]],FINANCIACION[PRESTAMO],FINANCIACION[[#This Row],[PRESTAMO]])</f>
        <v>-43830862.199762128</v>
      </c>
      <c r="G201" s="113"/>
      <c r="I201" s="119"/>
      <c r="J201" s="113">
        <f>+IF(FINANCIACION[[#This Row],[$ CAPITAL]]&gt;0,FINANCIACION[[#This Row],[$ CAPITAL]])</f>
        <v>853160</v>
      </c>
      <c r="K201" s="120">
        <f>+IF(FINANCIACION[[#This Row],[$ CAPITAL]]&gt;=0,FINANCIACION[[#This Row],[$ CAPITAL]]+FINANCIACION[[#This Row],[$ INTERESES]],0)</f>
        <v>1300000</v>
      </c>
    </row>
    <row r="202" spans="1:11" ht="24" customHeight="1" x14ac:dyDescent="0.3">
      <c r="A202" s="112">
        <v>44938</v>
      </c>
      <c r="B202" s="118" t="s">
        <v>348</v>
      </c>
      <c r="C202" s="113">
        <v>861691</v>
      </c>
      <c r="D202" s="113">
        <v>438309</v>
      </c>
      <c r="E202" s="113">
        <f>+IF(FINANCIACION[[#This Row],[$ CAPITAL]]&gt;=0,FINANCIACION[[#This Row],[$ CAPITAL]]+FINANCIACION[[#This Row],[$ INTERESES]],"")</f>
        <v>1300000</v>
      </c>
      <c r="F202" s="113">
        <f>+SUMIFS(FINANCIACION[$ CAPITAL],FINANCIACION[Fecha],"&lt;="&amp;FINANCIACION[[#This Row],[Fecha]],FINANCIACION[PRESTAMO],FINANCIACION[[#This Row],[PRESTAMO]])</f>
        <v>-42969171.199762128</v>
      </c>
      <c r="G202" s="113"/>
      <c r="I202" s="119"/>
      <c r="J202" s="113">
        <f>+IF(FINANCIACION[[#This Row],[$ CAPITAL]]&gt;0,FINANCIACION[[#This Row],[$ CAPITAL]])</f>
        <v>861691</v>
      </c>
      <c r="K202" s="120">
        <f>+IF(FINANCIACION[[#This Row],[$ CAPITAL]]&gt;=0,FINANCIACION[[#This Row],[$ CAPITAL]]+FINANCIACION[[#This Row],[$ INTERESES]],0)</f>
        <v>1300000</v>
      </c>
    </row>
    <row r="203" spans="1:11" ht="24" customHeight="1" x14ac:dyDescent="0.3">
      <c r="A203" s="112">
        <v>44951</v>
      </c>
      <c r="B203" s="118" t="s">
        <v>348</v>
      </c>
      <c r="C203" s="113">
        <v>20000000</v>
      </c>
      <c r="D203" s="113"/>
      <c r="E203" s="113">
        <f>+IF(FINANCIACION[[#This Row],[$ CAPITAL]]&gt;=0,FINANCIACION[[#This Row],[$ CAPITAL]]+FINANCIACION[[#This Row],[$ INTERESES]],"")</f>
        <v>20000000</v>
      </c>
      <c r="F203" s="113">
        <f>+SUMIFS(FINANCIACION[$ CAPITAL],FINANCIACION[Fecha],"&lt;="&amp;FINANCIACION[[#This Row],[Fecha]],FINANCIACION[PRESTAMO],FINANCIACION[[#This Row],[PRESTAMO]])</f>
        <v>-22969171.199762128</v>
      </c>
      <c r="G203" s="113"/>
      <c r="I203" s="119"/>
      <c r="J203" s="113">
        <f>+IF(FINANCIACION[[#This Row],[$ CAPITAL]]&gt;0,FINANCIACION[[#This Row],[$ CAPITAL]])</f>
        <v>20000000</v>
      </c>
      <c r="K203" s="120">
        <f>+IF(FINANCIACION[[#This Row],[$ CAPITAL]]&gt;=0,FINANCIACION[[#This Row],[$ CAPITAL]]+FINANCIACION[[#This Row],[$ INTERESES]],0)</f>
        <v>20000000</v>
      </c>
    </row>
    <row r="204" spans="1:11" ht="24" customHeight="1" x14ac:dyDescent="0.3">
      <c r="A204" s="112">
        <v>44970</v>
      </c>
      <c r="B204" s="118" t="s">
        <v>348</v>
      </c>
      <c r="C204" s="113">
        <v>1070308.2880023788</v>
      </c>
      <c r="D204" s="113">
        <v>229691.71199762129</v>
      </c>
      <c r="E204" s="113">
        <f>+IF(FINANCIACION[[#This Row],[$ CAPITAL]]&gt;=0,FINANCIACION[[#This Row],[$ CAPITAL]]+FINANCIACION[[#This Row],[$ INTERESES]],"")</f>
        <v>1300000</v>
      </c>
      <c r="F204" s="113">
        <f>+SUMIFS(FINANCIACION[$ CAPITAL],FINANCIACION[Fecha],"&lt;="&amp;FINANCIACION[[#This Row],[Fecha]],FINANCIACION[PRESTAMO],FINANCIACION[[#This Row],[PRESTAMO]])</f>
        <v>-21898862.911759749</v>
      </c>
      <c r="G204" s="113"/>
      <c r="I204" s="119"/>
      <c r="J204" s="113">
        <f>+IF(FINANCIACION[[#This Row],[$ CAPITAL]]&gt;0,FINANCIACION[[#This Row],[$ CAPITAL]])</f>
        <v>1070308.2880023788</v>
      </c>
      <c r="K204" s="120">
        <f>+IF(FINANCIACION[[#This Row],[$ CAPITAL]]&gt;=0,FINANCIACION[[#This Row],[$ CAPITAL]]+FINANCIACION[[#This Row],[$ INTERESES]],0)</f>
        <v>1300000</v>
      </c>
    </row>
    <row r="205" spans="1:11" ht="24" customHeight="1" x14ac:dyDescent="0.3">
      <c r="A205" s="112">
        <v>45000</v>
      </c>
      <c r="B205" s="118" t="s">
        <v>348</v>
      </c>
      <c r="C205" s="113">
        <v>1081011</v>
      </c>
      <c r="D205" s="113">
        <v>218989</v>
      </c>
      <c r="E205" s="113">
        <f>+IF(FINANCIACION[[#This Row],[$ CAPITAL]]&gt;=0,FINANCIACION[[#This Row],[$ CAPITAL]]+FINANCIACION[[#This Row],[$ INTERESES]],"")</f>
        <v>1300000</v>
      </c>
      <c r="F205" s="113">
        <f>+SUMIFS(FINANCIACION[$ CAPITAL],FINANCIACION[Fecha],"&lt;="&amp;FINANCIACION[[#This Row],[Fecha]],FINANCIACION[PRESTAMO],FINANCIACION[[#This Row],[PRESTAMO]])</f>
        <v>-21148999.911759749</v>
      </c>
      <c r="G205" s="113"/>
      <c r="I205" s="119"/>
      <c r="J205" s="113">
        <f>+IF(FINANCIACION[[#This Row],[$ CAPITAL]]&gt;0,FINANCIACION[[#This Row],[$ CAPITAL]])</f>
        <v>1081011</v>
      </c>
      <c r="K205" s="120">
        <f>+IF(FINANCIACION[[#This Row],[$ CAPITAL]]&gt;=0,FINANCIACION[[#This Row],[$ CAPITAL]]+FINANCIACION[[#This Row],[$ INTERESES]],0)</f>
        <v>1300000</v>
      </c>
    </row>
    <row r="206" spans="1:11" ht="24" customHeight="1" x14ac:dyDescent="0.3">
      <c r="A206" s="112">
        <v>45000</v>
      </c>
      <c r="B206" s="118" t="s">
        <v>348</v>
      </c>
      <c r="C206" s="113">
        <v>-331148</v>
      </c>
      <c r="D206" s="113"/>
      <c r="E206" s="113" t="str">
        <f>+IF(FINANCIACION[[#This Row],[$ CAPITAL]]&gt;=0,FINANCIACION[[#This Row],[$ CAPITAL]]+FINANCIACION[[#This Row],[$ INTERESES]],"")</f>
        <v/>
      </c>
      <c r="F206" s="113">
        <f>+SUMIFS(FINANCIACION[$ CAPITAL],FINANCIACION[Fecha],"&lt;="&amp;FINANCIACION[[#This Row],[Fecha]],FINANCIACION[PRESTAMO],FINANCIACION[[#This Row],[PRESTAMO]])</f>
        <v>-21148999.911759749</v>
      </c>
      <c r="G206" s="113"/>
      <c r="H206" s="119" t="s">
        <v>680</v>
      </c>
      <c r="I206" s="119"/>
      <c r="J206" s="113" t="b">
        <f>+IF(FINANCIACION[[#This Row],[$ CAPITAL]]&gt;0,FINANCIACION[[#This Row],[$ CAPITAL]])</f>
        <v>0</v>
      </c>
      <c r="K206" s="120">
        <f>+IF(FINANCIACION[[#This Row],[$ CAPITAL]]&gt;=0,FINANCIACION[[#This Row],[$ CAPITAL]]+FINANCIACION[[#This Row],[$ INTERESES]],0)</f>
        <v>0</v>
      </c>
    </row>
    <row r="207" spans="1:11" ht="24" customHeight="1" x14ac:dyDescent="0.3">
      <c r="A207" s="112">
        <v>45026</v>
      </c>
      <c r="B207" s="118" t="s">
        <v>348</v>
      </c>
      <c r="C207" s="113">
        <v>1088510</v>
      </c>
      <c r="D207" s="113">
        <v>211490</v>
      </c>
      <c r="E207" s="113">
        <f>+IF(FINANCIACION[[#This Row],[$ CAPITAL]]&gt;=0,FINANCIACION[[#This Row],[$ CAPITAL]]+FINANCIACION[[#This Row],[$ INTERESES]],"")</f>
        <v>1300000</v>
      </c>
      <c r="F207" s="113">
        <f>+SUMIFS(FINANCIACION[$ CAPITAL],FINANCIACION[Fecha],"&lt;="&amp;FINANCIACION[[#This Row],[Fecha]],FINANCIACION[PRESTAMO],FINANCIACION[[#This Row],[PRESTAMO]])</f>
        <v>-20060489.911759749</v>
      </c>
      <c r="G207" s="113"/>
      <c r="I207" s="119"/>
      <c r="J207" s="113">
        <f>+IF(FINANCIACION[[#This Row],[$ CAPITAL]]&gt;0,FINANCIACION[[#This Row],[$ CAPITAL]])</f>
        <v>1088510</v>
      </c>
      <c r="K207" s="120">
        <f>+IF(FINANCIACION[[#This Row],[$ CAPITAL]]&gt;=0,FINANCIACION[[#This Row],[$ CAPITAL]]+FINANCIACION[[#This Row],[$ INTERESES]],0)</f>
        <v>1300000</v>
      </c>
    </row>
    <row r="208" spans="1:11" ht="24" customHeight="1" x14ac:dyDescent="0.3">
      <c r="A208" s="112">
        <v>45054</v>
      </c>
      <c r="B208" s="118" t="s">
        <v>348</v>
      </c>
      <c r="C208" s="113">
        <v>1099395</v>
      </c>
      <c r="D208" s="113">
        <v>200605</v>
      </c>
      <c r="E208" s="113">
        <f>+IF(FINANCIACION[[#This Row],[$ CAPITAL]]&gt;=0,FINANCIACION[[#This Row],[$ CAPITAL]]+FINANCIACION[[#This Row],[$ INTERESES]],"")</f>
        <v>1300000</v>
      </c>
      <c r="F208" s="113">
        <f>+SUMIFS(FINANCIACION[$ CAPITAL],FINANCIACION[Fecha],"&lt;="&amp;FINANCIACION[[#This Row],[Fecha]],FINANCIACION[PRESTAMO],FINANCIACION[[#This Row],[PRESTAMO]])</f>
        <v>-18961094.911759749</v>
      </c>
      <c r="G208" s="113"/>
      <c r="I208" s="119"/>
      <c r="J208" s="113">
        <f>+IF(FINANCIACION[[#This Row],[$ CAPITAL]]&gt;0,FINANCIACION[[#This Row],[$ CAPITAL]])</f>
        <v>1099395</v>
      </c>
      <c r="K208" s="120">
        <f>+IF(FINANCIACION[[#This Row],[$ CAPITAL]]&gt;=0,FINANCIACION[[#This Row],[$ CAPITAL]]+FINANCIACION[[#This Row],[$ INTERESES]],0)</f>
        <v>1300000</v>
      </c>
    </row>
    <row r="209" spans="1:11" ht="24" customHeight="1" x14ac:dyDescent="0.3">
      <c r="A209" s="112">
        <v>45090</v>
      </c>
      <c r="B209" s="118" t="s">
        <v>348</v>
      </c>
      <c r="C209" s="113">
        <v>1110389</v>
      </c>
      <c r="D209" s="113">
        <v>189611</v>
      </c>
      <c r="E209" s="113">
        <f>+IF(FINANCIACION[[#This Row],[$ CAPITAL]]&gt;=0,FINANCIACION[[#This Row],[$ CAPITAL]]+FINANCIACION[[#This Row],[$ INTERESES]],"")</f>
        <v>1300000</v>
      </c>
      <c r="F209" s="113">
        <f>+SUMIFS(FINANCIACION[$ CAPITAL],FINANCIACION[Fecha],"&lt;="&amp;FINANCIACION[[#This Row],[Fecha]],FINANCIACION[PRESTAMO],FINANCIACION[[#This Row],[PRESTAMO]])</f>
        <v>-17850705.911759749</v>
      </c>
      <c r="G209" s="113"/>
      <c r="I209" s="119"/>
      <c r="J209" s="113">
        <f>+IF(FINANCIACION[[#This Row],[$ CAPITAL]]&gt;0,FINANCIACION[[#This Row],[$ CAPITAL]])</f>
        <v>1110389</v>
      </c>
      <c r="K209" s="120">
        <f>+IF(FINANCIACION[[#This Row],[$ CAPITAL]]&gt;=0,FINANCIACION[[#This Row],[$ CAPITAL]]+FINANCIACION[[#This Row],[$ INTERESES]],0)</f>
        <v>1300000</v>
      </c>
    </row>
    <row r="210" spans="1:11" ht="24" customHeight="1" x14ac:dyDescent="0.3">
      <c r="A210" s="112">
        <v>45118</v>
      </c>
      <c r="B210" s="118" t="s">
        <v>348</v>
      </c>
      <c r="C210" s="113">
        <v>1121492</v>
      </c>
      <c r="D210" s="113">
        <v>178508</v>
      </c>
      <c r="E210" s="113">
        <f>+IF(FINANCIACION[[#This Row],[$ CAPITAL]]&gt;=0,FINANCIACION[[#This Row],[$ CAPITAL]]+FINANCIACION[[#This Row],[$ INTERESES]],"")</f>
        <v>1300000</v>
      </c>
      <c r="F210" s="113">
        <f>+SUMIFS(FINANCIACION[$ CAPITAL],FINANCIACION[Fecha],"&lt;="&amp;FINANCIACION[[#This Row],[Fecha]],FINANCIACION[PRESTAMO],FINANCIACION[[#This Row],[PRESTAMO]])</f>
        <v>-16729213.911759749</v>
      </c>
      <c r="G210" s="113"/>
      <c r="I210" s="119"/>
      <c r="J210" s="113">
        <f>+IF(FINANCIACION[[#This Row],[$ CAPITAL]]&gt;0,FINANCIACION[[#This Row],[$ CAPITAL]])</f>
        <v>1121492</v>
      </c>
      <c r="K210" s="120">
        <f>+IF(FINANCIACION[[#This Row],[$ CAPITAL]]&gt;=0,FINANCIACION[[#This Row],[$ CAPITAL]]+FINANCIACION[[#This Row],[$ INTERESES]],0)</f>
        <v>1300000</v>
      </c>
    </row>
    <row r="211" spans="1:11" ht="24" customHeight="1" x14ac:dyDescent="0.3">
      <c r="A211" s="112">
        <v>45149</v>
      </c>
      <c r="B211" s="118" t="s">
        <v>348</v>
      </c>
      <c r="C211" s="113">
        <v>1132107.8600000001</v>
      </c>
      <c r="D211" s="113">
        <v>167892.14</v>
      </c>
      <c r="E211" s="113">
        <f>+IF(FINANCIACION[[#This Row],[$ CAPITAL]]&gt;=0,FINANCIACION[[#This Row],[$ CAPITAL]]+FINANCIACION[[#This Row],[$ INTERESES]],"")</f>
        <v>1300000</v>
      </c>
      <c r="F211" s="113">
        <f>+SUMIFS(FINANCIACION[$ CAPITAL],FINANCIACION[Fecha],"&lt;="&amp;FINANCIACION[[#This Row],[Fecha]],FINANCIACION[PRESTAMO],FINANCIACION[[#This Row],[PRESTAMO]])</f>
        <v>-15597106.05175975</v>
      </c>
      <c r="G211" s="113"/>
      <c r="I211" s="119"/>
      <c r="J211" s="113">
        <f>+IF(FINANCIACION[[#This Row],[$ CAPITAL]]&gt;0,FINANCIACION[[#This Row],[$ CAPITAL]])</f>
        <v>1132107.8600000001</v>
      </c>
      <c r="K211" s="120">
        <f>+IF(FINANCIACION[[#This Row],[$ CAPITAL]]&gt;=0,FINANCIACION[[#This Row],[$ CAPITAL]]+FINANCIACION[[#This Row],[$ INTERESES]],0)</f>
        <v>1300000</v>
      </c>
    </row>
    <row r="212" spans="1:11" ht="24" customHeight="1" x14ac:dyDescent="0.3">
      <c r="A212" s="112">
        <v>45182</v>
      </c>
      <c r="B212" s="118" t="s">
        <v>348</v>
      </c>
      <c r="C212" s="113">
        <v>1144029</v>
      </c>
      <c r="D212" s="113">
        <v>155971</v>
      </c>
      <c r="E212" s="113">
        <f>+IF(FINANCIACION[[#This Row],[$ CAPITAL]]&gt;=0,FINANCIACION[[#This Row],[$ CAPITAL]]+FINANCIACION[[#This Row],[$ INTERESES]],"")</f>
        <v>1300000</v>
      </c>
      <c r="F212" s="113">
        <f>+SUMIFS(FINANCIACION[$ CAPITAL],FINANCIACION[Fecha],"&lt;="&amp;FINANCIACION[[#This Row],[Fecha]],FINANCIACION[PRESTAMO],FINANCIACION[[#This Row],[PRESTAMO]])</f>
        <v>-14453077.05175975</v>
      </c>
      <c r="G212" s="113"/>
      <c r="I212" s="119"/>
      <c r="J212" s="113">
        <f>+IF(FINANCIACION[[#This Row],[$ CAPITAL]]&gt;0,FINANCIACION[[#This Row],[$ CAPITAL]])</f>
        <v>1144029</v>
      </c>
      <c r="K212" s="120">
        <f>+IF(FINANCIACION[[#This Row],[$ CAPITAL]]&gt;=0,FINANCIACION[[#This Row],[$ CAPITAL]]+FINANCIACION[[#This Row],[$ INTERESES]],0)</f>
        <v>1300000</v>
      </c>
    </row>
    <row r="213" spans="1:11" ht="24" customHeight="1" x14ac:dyDescent="0.3">
      <c r="A213" s="112">
        <v>45210</v>
      </c>
      <c r="B213" s="118" t="s">
        <v>348</v>
      </c>
      <c r="C213" s="113">
        <v>1155469</v>
      </c>
      <c r="D213" s="113">
        <v>144531</v>
      </c>
      <c r="E213" s="113">
        <f>+IF(FINANCIACION[[#This Row],[$ CAPITAL]]&gt;=0,FINANCIACION[[#This Row],[$ CAPITAL]]+FINANCIACION[[#This Row],[$ INTERESES]],"")</f>
        <v>1300000</v>
      </c>
      <c r="F213" s="113">
        <f>+SUMIFS(FINANCIACION[$ CAPITAL],FINANCIACION[Fecha],"&lt;="&amp;FINANCIACION[[#This Row],[Fecha]],FINANCIACION[PRESTAMO],FINANCIACION[[#This Row],[PRESTAMO]])</f>
        <v>-13297608.05175975</v>
      </c>
      <c r="G213" s="113"/>
      <c r="I213" s="119"/>
      <c r="J213" s="113">
        <f>+IF(FINANCIACION[[#This Row],[$ CAPITAL]]&gt;0,FINANCIACION[[#This Row],[$ CAPITAL]])</f>
        <v>1155469</v>
      </c>
      <c r="K213" s="120">
        <f>+IF(FINANCIACION[[#This Row],[$ CAPITAL]]&gt;=0,FINANCIACION[[#This Row],[$ CAPITAL]]+FINANCIACION[[#This Row],[$ INTERESES]],0)</f>
        <v>1300000</v>
      </c>
    </row>
    <row r="214" spans="1:11" ht="24" customHeight="1" x14ac:dyDescent="0.3">
      <c r="A214" s="112">
        <v>45244</v>
      </c>
      <c r="B214" s="118" t="s">
        <v>348</v>
      </c>
      <c r="C214" s="113">
        <v>1167024</v>
      </c>
      <c r="D214" s="113">
        <v>132976</v>
      </c>
      <c r="E214" s="113">
        <f>+IF(FINANCIACION[[#This Row],[$ CAPITAL]]&gt;=0,FINANCIACION[[#This Row],[$ CAPITAL]]+FINANCIACION[[#This Row],[$ INTERESES]],"")</f>
        <v>1300000</v>
      </c>
      <c r="F214" s="113">
        <f>+SUMIFS(FINANCIACION[$ CAPITAL],FINANCIACION[Fecha],"&lt;="&amp;FINANCIACION[[#This Row],[Fecha]],FINANCIACION[PRESTAMO],FINANCIACION[[#This Row],[PRESTAMO]])</f>
        <v>-12130584.05175975</v>
      </c>
      <c r="G214" s="113"/>
      <c r="I214" s="119"/>
      <c r="J214" s="113">
        <f>+IF(FINANCIACION[[#This Row],[$ CAPITAL]]&gt;0,FINANCIACION[[#This Row],[$ CAPITAL]])</f>
        <v>1167024</v>
      </c>
      <c r="K214" s="120">
        <f>+IF(FINANCIACION[[#This Row],[$ CAPITAL]]&gt;=0,FINANCIACION[[#This Row],[$ CAPITAL]]+FINANCIACION[[#This Row],[$ INTERESES]],0)</f>
        <v>1300000</v>
      </c>
    </row>
    <row r="215" spans="1:11" ht="24" customHeight="1" x14ac:dyDescent="0.3">
      <c r="A215" s="112">
        <v>45271</v>
      </c>
      <c r="B215" s="118" t="s">
        <v>348</v>
      </c>
      <c r="C215" s="113">
        <v>1178694</v>
      </c>
      <c r="D215" s="113">
        <v>121306</v>
      </c>
      <c r="E215" s="113">
        <f>+IF(FINANCIACION[[#This Row],[$ CAPITAL]]&gt;=0,FINANCIACION[[#This Row],[$ CAPITAL]]+FINANCIACION[[#This Row],[$ INTERESES]],"")</f>
        <v>1300000</v>
      </c>
      <c r="F215" s="113">
        <f>+SUMIFS(FINANCIACION[$ CAPITAL],FINANCIACION[Fecha],"&lt;="&amp;FINANCIACION[[#This Row],[Fecha]],FINANCIACION[PRESTAMO],FINANCIACION[[#This Row],[PRESTAMO]])</f>
        <v>-10951890.05175975</v>
      </c>
      <c r="G215" s="113"/>
      <c r="I215" s="119"/>
      <c r="J215" s="113">
        <f>+IF(FINANCIACION[[#This Row],[$ CAPITAL]]&gt;0,FINANCIACION[[#This Row],[$ CAPITAL]])</f>
        <v>1178694</v>
      </c>
      <c r="K215" s="120">
        <f>+IF(FINANCIACION[[#This Row],[$ CAPITAL]]&gt;=0,FINANCIACION[[#This Row],[$ CAPITAL]]+FINANCIACION[[#This Row],[$ INTERESES]],0)</f>
        <v>1300000</v>
      </c>
    </row>
    <row r="216" spans="1:11" ht="24" customHeight="1" x14ac:dyDescent="0.3">
      <c r="A216" s="112">
        <v>45302</v>
      </c>
      <c r="B216" s="118" t="s">
        <v>348</v>
      </c>
      <c r="C216" s="113">
        <v>1190481.0994824022</v>
      </c>
      <c r="D216" s="113">
        <v>109518.90051759779</v>
      </c>
      <c r="E216" s="113">
        <f>+IF(FINANCIACION[[#This Row],[$ CAPITAL]]&gt;=0,FINANCIACION[[#This Row],[$ CAPITAL]]+FINANCIACION[[#This Row],[$ INTERESES]],"")</f>
        <v>1300000</v>
      </c>
      <c r="F216" s="113">
        <f>+SUMIFS(FINANCIACION[$ CAPITAL],FINANCIACION[Fecha],"&lt;="&amp;FINANCIACION[[#This Row],[Fecha]],FINANCIACION[PRESTAMO],FINANCIACION[[#This Row],[PRESTAMO]])</f>
        <v>-9761408.9522773474</v>
      </c>
      <c r="G216" s="113"/>
      <c r="I216" s="119"/>
      <c r="J216" s="113">
        <f>+IF(FINANCIACION[[#This Row],[$ CAPITAL]]&gt;0,FINANCIACION[[#This Row],[$ CAPITAL]])</f>
        <v>1190481.0994824022</v>
      </c>
      <c r="K216" s="120">
        <f>+IF(FINANCIACION[[#This Row],[$ CAPITAL]]&gt;=0,FINANCIACION[[#This Row],[$ CAPITAL]]+FINANCIACION[[#This Row],[$ INTERESES]],0)</f>
        <v>1300000</v>
      </c>
    </row>
    <row r="217" spans="1:11" ht="24" customHeight="1" x14ac:dyDescent="0.3">
      <c r="A217" s="112">
        <v>43084</v>
      </c>
      <c r="B217" s="118" t="s">
        <v>346</v>
      </c>
      <c r="C217" s="113">
        <v>-61629154</v>
      </c>
      <c r="D217" s="113"/>
      <c r="E217" s="113" t="str">
        <f>+IF(FINANCIACION[[#This Row],[$ CAPITAL]]&gt;=0,FINANCIACION[[#This Row],[$ CAPITAL]]+FINANCIACION[[#This Row],[$ INTERESES]],"")</f>
        <v/>
      </c>
      <c r="F217" s="113">
        <f>+SUMIFS(FINANCIACION[$ CAPITAL],FINANCIACION[Fecha],"&lt;="&amp;FINANCIACION[[#This Row],[Fecha]],FINANCIACION[PRESTAMO],FINANCIACION[[#This Row],[PRESTAMO]])</f>
        <v>-61629154</v>
      </c>
      <c r="G217" s="113"/>
      <c r="I217" s="119"/>
      <c r="J217" s="113" t="b">
        <f>IF(FINANCIACION[[#This Row],[$ CAPITAL]]&gt;0,FINANCIACION[[#This Row],[$ CAPITAL]])</f>
        <v>0</v>
      </c>
      <c r="K217" s="120">
        <f>IF(FINANCIACION[[#This Row],[$ CAPITAL]]&gt;=0,FINANCIACION[[#This Row],[$ CAPITAL]]+FINANCIACION[[#This Row],[$ INTERESES]],0)</f>
        <v>0</v>
      </c>
    </row>
    <row r="218" spans="1:11" ht="24" customHeight="1" x14ac:dyDescent="0.3">
      <c r="A218" s="112">
        <v>43485</v>
      </c>
      <c r="B218" s="118" t="s">
        <v>346</v>
      </c>
      <c r="C218" s="113">
        <v>260000</v>
      </c>
      <c r="D218" s="113">
        <v>740000</v>
      </c>
      <c r="E218" s="113">
        <f>+IF(FINANCIACION[[#This Row],[$ CAPITAL]]&gt;=0,FINANCIACION[[#This Row],[$ CAPITAL]]+FINANCIACION[[#This Row],[$ INTERESES]],"")</f>
        <v>1000000</v>
      </c>
      <c r="F218" s="113">
        <f>+SUMIFS(FINANCIACION[$ CAPITAL],FINANCIACION[Fecha],"&lt;="&amp;FINANCIACION[[#This Row],[Fecha]],FINANCIACION[PRESTAMO],FINANCIACION[[#This Row],[PRESTAMO]])</f>
        <v>-61369154</v>
      </c>
      <c r="G218" s="113"/>
      <c r="I218" s="119"/>
      <c r="J218" s="113">
        <f>IF(FINANCIACION[[#This Row],[$ CAPITAL]]&gt;0,FINANCIACION[[#This Row],[$ CAPITAL]])</f>
        <v>260000</v>
      </c>
      <c r="K218" s="120">
        <f>IF(FINANCIACION[[#This Row],[$ CAPITAL]]&gt;=0,FINANCIACION[[#This Row],[$ CAPITAL]]+FINANCIACION[[#This Row],[$ INTERESES]],0)</f>
        <v>1000000</v>
      </c>
    </row>
    <row r="219" spans="1:11" ht="24" customHeight="1" x14ac:dyDescent="0.3">
      <c r="A219" s="112">
        <v>43516</v>
      </c>
      <c r="B219" s="118" t="s">
        <v>346</v>
      </c>
      <c r="C219" s="113">
        <v>260000</v>
      </c>
      <c r="D219" s="113">
        <v>740000</v>
      </c>
      <c r="E219" s="113">
        <f>+IF(FINANCIACION[[#This Row],[$ CAPITAL]]&gt;=0,FINANCIACION[[#This Row],[$ CAPITAL]]+FINANCIACION[[#This Row],[$ INTERESES]],"")</f>
        <v>1000000</v>
      </c>
      <c r="F219" s="113">
        <f>+SUMIFS(FINANCIACION[$ CAPITAL],FINANCIACION[Fecha],"&lt;="&amp;FINANCIACION[[#This Row],[Fecha]],FINANCIACION[PRESTAMO],FINANCIACION[[#This Row],[PRESTAMO]])</f>
        <v>-61109154</v>
      </c>
      <c r="G219" s="113"/>
      <c r="H219" s="117"/>
      <c r="I219" s="119"/>
      <c r="J219" s="113">
        <f>IF(FINANCIACION[[#This Row],[$ CAPITAL]]&gt;0,FINANCIACION[[#This Row],[$ CAPITAL]])</f>
        <v>260000</v>
      </c>
      <c r="K219" s="120">
        <f>IF(FINANCIACION[[#This Row],[$ CAPITAL]]&gt;=0,FINANCIACION[[#This Row],[$ CAPITAL]]+FINANCIACION[[#This Row],[$ INTERESES]],0)</f>
        <v>1000000</v>
      </c>
    </row>
    <row r="220" spans="1:11" ht="24" customHeight="1" x14ac:dyDescent="0.3">
      <c r="A220" s="112">
        <v>43544</v>
      </c>
      <c r="B220" s="118" t="s">
        <v>346</v>
      </c>
      <c r="C220" s="113">
        <v>260000</v>
      </c>
      <c r="D220" s="113">
        <v>740000</v>
      </c>
      <c r="E220" s="113">
        <f>+IF(FINANCIACION[[#This Row],[$ CAPITAL]]&gt;=0,FINANCIACION[[#This Row],[$ CAPITAL]]+FINANCIACION[[#This Row],[$ INTERESES]],"")</f>
        <v>1000000</v>
      </c>
      <c r="F220" s="113">
        <f>+SUMIFS(FINANCIACION[$ CAPITAL],FINANCIACION[Fecha],"&lt;="&amp;FINANCIACION[[#This Row],[Fecha]],FINANCIACION[PRESTAMO],FINANCIACION[[#This Row],[PRESTAMO]])</f>
        <v>-60849154</v>
      </c>
      <c r="G220" s="113"/>
      <c r="H220" s="117"/>
      <c r="I220" s="119"/>
      <c r="J220" s="113">
        <f>IF(FINANCIACION[[#This Row],[$ CAPITAL]]&gt;0,FINANCIACION[[#This Row],[$ CAPITAL]])</f>
        <v>260000</v>
      </c>
      <c r="K220" s="120">
        <f>IF(FINANCIACION[[#This Row],[$ CAPITAL]]&gt;=0,FINANCIACION[[#This Row],[$ CAPITAL]]+FINANCIACION[[#This Row],[$ INTERESES]],0)</f>
        <v>1000000</v>
      </c>
    </row>
    <row r="221" spans="1:11" ht="24" customHeight="1" x14ac:dyDescent="0.3">
      <c r="A221" s="112">
        <v>43575</v>
      </c>
      <c r="B221" s="118" t="s">
        <v>346</v>
      </c>
      <c r="C221" s="113">
        <v>260000</v>
      </c>
      <c r="D221" s="113">
        <v>740000</v>
      </c>
      <c r="E221" s="113">
        <f>+IF(FINANCIACION[[#This Row],[$ CAPITAL]]&gt;=0,FINANCIACION[[#This Row],[$ CAPITAL]]+FINANCIACION[[#This Row],[$ INTERESES]],"")</f>
        <v>1000000</v>
      </c>
      <c r="F221" s="113">
        <f>+SUMIFS(FINANCIACION[$ CAPITAL],FINANCIACION[Fecha],"&lt;="&amp;FINANCIACION[[#This Row],[Fecha]],FINANCIACION[PRESTAMO],FINANCIACION[[#This Row],[PRESTAMO]])</f>
        <v>-60589154</v>
      </c>
      <c r="G221" s="113"/>
      <c r="H221" s="117"/>
      <c r="I221" s="119"/>
      <c r="J221" s="113">
        <f>IF(FINANCIACION[[#This Row],[$ CAPITAL]]&gt;0,FINANCIACION[[#This Row],[$ CAPITAL]])</f>
        <v>260000</v>
      </c>
      <c r="K221" s="120">
        <f>IF(FINANCIACION[[#This Row],[$ CAPITAL]]&gt;=0,FINANCIACION[[#This Row],[$ CAPITAL]]+FINANCIACION[[#This Row],[$ INTERESES]],0)</f>
        <v>1000000</v>
      </c>
    </row>
    <row r="222" spans="1:11" ht="24" customHeight="1" x14ac:dyDescent="0.3">
      <c r="A222" s="112">
        <v>43605</v>
      </c>
      <c r="B222" s="118" t="s">
        <v>346</v>
      </c>
      <c r="C222" s="113">
        <v>260000</v>
      </c>
      <c r="D222" s="113">
        <v>740000</v>
      </c>
      <c r="E222" s="113">
        <f>+IF(FINANCIACION[[#This Row],[$ CAPITAL]]&gt;=0,FINANCIACION[[#This Row],[$ CAPITAL]]+FINANCIACION[[#This Row],[$ INTERESES]],"")</f>
        <v>1000000</v>
      </c>
      <c r="F222" s="113">
        <f>+SUMIFS(FINANCIACION[$ CAPITAL],FINANCIACION[Fecha],"&lt;="&amp;FINANCIACION[[#This Row],[Fecha]],FINANCIACION[PRESTAMO],FINANCIACION[[#This Row],[PRESTAMO]])</f>
        <v>-60329154</v>
      </c>
      <c r="G222" s="113"/>
      <c r="H222" s="117"/>
      <c r="I222" s="119"/>
      <c r="J222" s="113">
        <f>IF(FINANCIACION[[#This Row],[$ CAPITAL]]&gt;0,FINANCIACION[[#This Row],[$ CAPITAL]])</f>
        <v>260000</v>
      </c>
      <c r="K222" s="120">
        <f>IF(FINANCIACION[[#This Row],[$ CAPITAL]]&gt;=0,FINANCIACION[[#This Row],[$ CAPITAL]]+FINANCIACION[[#This Row],[$ INTERESES]],0)</f>
        <v>1000000</v>
      </c>
    </row>
    <row r="223" spans="1:11" ht="24" customHeight="1" x14ac:dyDescent="0.3">
      <c r="A223" s="112">
        <v>43636</v>
      </c>
      <c r="B223" s="118" t="s">
        <v>346</v>
      </c>
      <c r="C223" s="113">
        <v>260000</v>
      </c>
      <c r="D223" s="113">
        <v>740000</v>
      </c>
      <c r="E223" s="113">
        <f>+IF(FINANCIACION[[#This Row],[$ CAPITAL]]&gt;=0,FINANCIACION[[#This Row],[$ CAPITAL]]+FINANCIACION[[#This Row],[$ INTERESES]],"")</f>
        <v>1000000</v>
      </c>
      <c r="F223" s="113">
        <f>+SUMIFS(FINANCIACION[$ CAPITAL],FINANCIACION[Fecha],"&lt;="&amp;FINANCIACION[[#This Row],[Fecha]],FINANCIACION[PRESTAMO],FINANCIACION[[#This Row],[PRESTAMO]])</f>
        <v>-60069154</v>
      </c>
      <c r="G223" s="113"/>
      <c r="I223" s="119"/>
      <c r="J223" s="113">
        <f>IF(FINANCIACION[[#This Row],[$ CAPITAL]]&gt;0,FINANCIACION[[#This Row],[$ CAPITAL]])</f>
        <v>260000</v>
      </c>
      <c r="K223" s="120">
        <f>IF(FINANCIACION[[#This Row],[$ CAPITAL]]&gt;=0,FINANCIACION[[#This Row],[$ CAPITAL]]+FINANCIACION[[#This Row],[$ INTERESES]],0)</f>
        <v>1000000</v>
      </c>
    </row>
    <row r="224" spans="1:11" ht="24" customHeight="1" x14ac:dyDescent="0.3">
      <c r="A224" s="112">
        <v>43666</v>
      </c>
      <c r="B224" s="118" t="s">
        <v>346</v>
      </c>
      <c r="C224" s="113">
        <v>260000</v>
      </c>
      <c r="D224" s="113">
        <v>740000</v>
      </c>
      <c r="E224" s="113">
        <f>+IF(FINANCIACION[[#This Row],[$ CAPITAL]]&gt;=0,FINANCIACION[[#This Row],[$ CAPITAL]]+FINANCIACION[[#This Row],[$ INTERESES]],"")</f>
        <v>1000000</v>
      </c>
      <c r="F224" s="113">
        <f>+SUMIFS(FINANCIACION[$ CAPITAL],FINANCIACION[Fecha],"&lt;="&amp;FINANCIACION[[#This Row],[Fecha]],FINANCIACION[PRESTAMO],FINANCIACION[[#This Row],[PRESTAMO]])</f>
        <v>-59809154</v>
      </c>
      <c r="G224" s="113"/>
      <c r="H224" s="117"/>
      <c r="I224" s="119"/>
      <c r="J224" s="113">
        <f>IF(FINANCIACION[[#This Row],[$ CAPITAL]]&gt;0,FINANCIACION[[#This Row],[$ CAPITAL]])</f>
        <v>260000</v>
      </c>
      <c r="K224" s="120">
        <f>IF(FINANCIACION[[#This Row],[$ CAPITAL]]&gt;=0,FINANCIACION[[#This Row],[$ CAPITAL]]+FINANCIACION[[#This Row],[$ INTERESES]],0)</f>
        <v>1000000</v>
      </c>
    </row>
    <row r="225" spans="1:11" ht="24" customHeight="1" x14ac:dyDescent="0.3">
      <c r="A225" s="112">
        <v>43697</v>
      </c>
      <c r="B225" s="118" t="s">
        <v>346</v>
      </c>
      <c r="C225" s="113">
        <v>260000</v>
      </c>
      <c r="D225" s="113">
        <v>740000</v>
      </c>
      <c r="E225" s="113">
        <f>+IF(FINANCIACION[[#This Row],[$ CAPITAL]]&gt;=0,FINANCIACION[[#This Row],[$ CAPITAL]]+FINANCIACION[[#This Row],[$ INTERESES]],"")</f>
        <v>1000000</v>
      </c>
      <c r="F225" s="113">
        <f>+SUMIFS(FINANCIACION[$ CAPITAL],FINANCIACION[Fecha],"&lt;="&amp;FINANCIACION[[#This Row],[Fecha]],FINANCIACION[PRESTAMO],FINANCIACION[[#This Row],[PRESTAMO]])</f>
        <v>-59549154</v>
      </c>
      <c r="G225" s="113"/>
      <c r="H225" s="117"/>
      <c r="I225" s="119"/>
      <c r="J225" s="113">
        <f>IF(FINANCIACION[[#This Row],[$ CAPITAL]]&gt;0,FINANCIACION[[#This Row],[$ CAPITAL]])</f>
        <v>260000</v>
      </c>
      <c r="K225" s="120">
        <f>IF(FINANCIACION[[#This Row],[$ CAPITAL]]&gt;=0,FINANCIACION[[#This Row],[$ CAPITAL]]+FINANCIACION[[#This Row],[$ INTERESES]],0)</f>
        <v>1000000</v>
      </c>
    </row>
    <row r="226" spans="1:11" ht="24" customHeight="1" x14ac:dyDescent="0.3">
      <c r="A226" s="112">
        <v>43728</v>
      </c>
      <c r="B226" s="118" t="s">
        <v>346</v>
      </c>
      <c r="C226" s="113">
        <v>260000</v>
      </c>
      <c r="D226" s="113">
        <v>740000</v>
      </c>
      <c r="E226" s="113">
        <f>+IF(FINANCIACION[[#This Row],[$ CAPITAL]]&gt;=0,FINANCIACION[[#This Row],[$ CAPITAL]]+FINANCIACION[[#This Row],[$ INTERESES]],"")</f>
        <v>1000000</v>
      </c>
      <c r="F226" s="113">
        <f>+SUMIFS(FINANCIACION[$ CAPITAL],FINANCIACION[Fecha],"&lt;="&amp;FINANCIACION[[#This Row],[Fecha]],FINANCIACION[PRESTAMO],FINANCIACION[[#This Row],[PRESTAMO]])</f>
        <v>-59289154</v>
      </c>
      <c r="G226" s="113"/>
      <c r="H226" s="117"/>
      <c r="I226" s="119"/>
      <c r="J226" s="113">
        <f>IF(FINANCIACION[[#This Row],[$ CAPITAL]]&gt;0,FINANCIACION[[#This Row],[$ CAPITAL]])</f>
        <v>260000</v>
      </c>
      <c r="K226" s="120">
        <f>IF(FINANCIACION[[#This Row],[$ CAPITAL]]&gt;=0,FINANCIACION[[#This Row],[$ CAPITAL]]+FINANCIACION[[#This Row],[$ INTERESES]],0)</f>
        <v>1000000</v>
      </c>
    </row>
    <row r="227" spans="1:11" ht="24" customHeight="1" x14ac:dyDescent="0.3">
      <c r="A227" s="112">
        <v>43759</v>
      </c>
      <c r="B227" s="118" t="s">
        <v>346</v>
      </c>
      <c r="C227" s="113">
        <v>260000</v>
      </c>
      <c r="D227" s="113">
        <v>740000</v>
      </c>
      <c r="E227" s="113">
        <f>+IF(FINANCIACION[[#This Row],[$ CAPITAL]]&gt;=0,FINANCIACION[[#This Row],[$ CAPITAL]]+FINANCIACION[[#This Row],[$ INTERESES]],"")</f>
        <v>1000000</v>
      </c>
      <c r="F227" s="113">
        <f>+SUMIFS(FINANCIACION[$ CAPITAL],FINANCIACION[Fecha],"&lt;="&amp;FINANCIACION[[#This Row],[Fecha]],FINANCIACION[PRESTAMO],FINANCIACION[[#This Row],[PRESTAMO]])</f>
        <v>-59029154</v>
      </c>
      <c r="G227" s="113"/>
      <c r="H227" s="117"/>
      <c r="I227" s="119"/>
      <c r="J227" s="113">
        <f>IF(FINANCIACION[[#This Row],[$ CAPITAL]]&gt;0,FINANCIACION[[#This Row],[$ CAPITAL]])</f>
        <v>260000</v>
      </c>
      <c r="K227" s="120">
        <f>IF(FINANCIACION[[#This Row],[$ CAPITAL]]&gt;=0,FINANCIACION[[#This Row],[$ CAPITAL]]+FINANCIACION[[#This Row],[$ INTERESES]],0)</f>
        <v>1000000</v>
      </c>
    </row>
    <row r="228" spans="1:11" ht="24" customHeight="1" x14ac:dyDescent="0.3">
      <c r="A228" s="112">
        <v>43789</v>
      </c>
      <c r="B228" s="118" t="s">
        <v>346</v>
      </c>
      <c r="C228" s="113">
        <v>260000</v>
      </c>
      <c r="D228" s="113">
        <v>740000</v>
      </c>
      <c r="E228" s="113">
        <f>+IF(FINANCIACION[[#This Row],[$ CAPITAL]]&gt;=0,FINANCIACION[[#This Row],[$ CAPITAL]]+FINANCIACION[[#This Row],[$ INTERESES]],"")</f>
        <v>1000000</v>
      </c>
      <c r="F228" s="113">
        <f>+SUMIFS(FINANCIACION[$ CAPITAL],FINANCIACION[Fecha],"&lt;="&amp;FINANCIACION[[#This Row],[Fecha]],FINANCIACION[PRESTAMO],FINANCIACION[[#This Row],[PRESTAMO]])</f>
        <v>-58769154</v>
      </c>
      <c r="G228" s="113"/>
      <c r="I228" s="119"/>
      <c r="J228" s="113">
        <f>IF(FINANCIACION[[#This Row],[$ CAPITAL]]&gt;0,FINANCIACION[[#This Row],[$ CAPITAL]])</f>
        <v>260000</v>
      </c>
      <c r="K228" s="120">
        <f>IF(FINANCIACION[[#This Row],[$ CAPITAL]]&gt;=0,FINANCIACION[[#This Row],[$ CAPITAL]]+FINANCIACION[[#This Row],[$ INTERESES]],0)</f>
        <v>1000000</v>
      </c>
    </row>
    <row r="229" spans="1:11" ht="24" customHeight="1" x14ac:dyDescent="0.3">
      <c r="A229" s="112">
        <v>43805</v>
      </c>
      <c r="B229" s="118" t="s">
        <v>346</v>
      </c>
      <c r="C229" s="113">
        <v>-9000000</v>
      </c>
      <c r="D229" s="113"/>
      <c r="E229" s="113" t="str">
        <f>+IF(FINANCIACION[[#This Row],[$ CAPITAL]]&gt;=0,FINANCIACION[[#This Row],[$ CAPITAL]]+FINANCIACION[[#This Row],[$ INTERESES]],"")</f>
        <v/>
      </c>
      <c r="F229" s="113">
        <f>+SUMIFS(FINANCIACION[$ CAPITAL],FINANCIACION[Fecha],"&lt;="&amp;FINANCIACION[[#This Row],[Fecha]],FINANCIACION[PRESTAMO],FINANCIACION[[#This Row],[PRESTAMO]])</f>
        <v>-67769154</v>
      </c>
      <c r="G229" s="113"/>
      <c r="I229" s="119"/>
      <c r="J229" s="113" t="b">
        <f>IF(FINANCIACION[[#This Row],[$ CAPITAL]]&gt;0,FINANCIACION[[#This Row],[$ CAPITAL]])</f>
        <v>0</v>
      </c>
      <c r="K229" s="120">
        <f>IF(FINANCIACION[[#This Row],[$ CAPITAL]]&gt;=0,FINANCIACION[[#This Row],[$ CAPITAL]]+FINANCIACION[[#This Row],[$ INTERESES]],0)</f>
        <v>0</v>
      </c>
    </row>
    <row r="230" spans="1:11" ht="24" customHeight="1" x14ac:dyDescent="0.3">
      <c r="A230" s="112">
        <v>43819</v>
      </c>
      <c r="B230" s="118" t="s">
        <v>346</v>
      </c>
      <c r="C230" s="113">
        <v>260000</v>
      </c>
      <c r="D230" s="113">
        <v>740000</v>
      </c>
      <c r="E230" s="113">
        <f>+IF(FINANCIACION[[#This Row],[$ CAPITAL]]&gt;=0,FINANCIACION[[#This Row],[$ CAPITAL]]+FINANCIACION[[#This Row],[$ INTERESES]],"")</f>
        <v>1000000</v>
      </c>
      <c r="F230" s="113">
        <f>+SUMIFS(FINANCIACION[$ CAPITAL],FINANCIACION[Fecha],"&lt;="&amp;FINANCIACION[[#This Row],[Fecha]],FINANCIACION[PRESTAMO],FINANCIACION[[#This Row],[PRESTAMO]])</f>
        <v>-67509154</v>
      </c>
      <c r="G230" s="113"/>
      <c r="H230" s="117"/>
      <c r="I230" s="119"/>
      <c r="J230" s="113">
        <f>IF(FINANCIACION[[#This Row],[$ CAPITAL]]&gt;0,FINANCIACION[[#This Row],[$ CAPITAL]])</f>
        <v>260000</v>
      </c>
      <c r="K230" s="120">
        <f>IF(FINANCIACION[[#This Row],[$ CAPITAL]]&gt;=0,FINANCIACION[[#This Row],[$ CAPITAL]]+FINANCIACION[[#This Row],[$ INTERESES]],0)</f>
        <v>1000000</v>
      </c>
    </row>
    <row r="231" spans="1:11" ht="24" customHeight="1" x14ac:dyDescent="0.3">
      <c r="A231" s="122">
        <v>43844</v>
      </c>
      <c r="B231" s="118" t="s">
        <v>346</v>
      </c>
      <c r="C231" s="113">
        <v>310000</v>
      </c>
      <c r="D231" s="113">
        <v>90000</v>
      </c>
      <c r="E231" s="113">
        <f>+IF(FINANCIACION[[#This Row],[$ CAPITAL]]&gt;=0,FINANCIACION[[#This Row],[$ CAPITAL]]+FINANCIACION[[#This Row],[$ INTERESES]],"")</f>
        <v>400000</v>
      </c>
      <c r="F231" s="113">
        <f>+SUMIFS(FINANCIACION[$ CAPITAL],FINANCIACION[Fecha],"&lt;="&amp;FINANCIACION[[#This Row],[Fecha]],FINANCIACION[PRESTAMO],FINANCIACION[[#This Row],[PRESTAMO]])</f>
        <v>-67199154</v>
      </c>
      <c r="G231" s="113"/>
      <c r="I231" s="119"/>
      <c r="J231" s="113">
        <f>IF(FINANCIACION[[#This Row],[$ CAPITAL]]&gt;0,FINANCIACION[[#This Row],[$ CAPITAL]])</f>
        <v>310000</v>
      </c>
      <c r="K231" s="120">
        <f>IF(FINANCIACION[[#This Row],[$ CAPITAL]]&gt;=0,FINANCIACION[[#This Row],[$ CAPITAL]]+FINANCIACION[[#This Row],[$ INTERESES]],0)</f>
        <v>400000</v>
      </c>
    </row>
    <row r="232" spans="1:11" ht="24" customHeight="1" x14ac:dyDescent="0.3">
      <c r="A232" s="122">
        <v>43850</v>
      </c>
      <c r="B232" s="118" t="s">
        <v>346</v>
      </c>
      <c r="C232" s="113">
        <v>260000</v>
      </c>
      <c r="D232" s="113">
        <v>740000</v>
      </c>
      <c r="E232" s="113">
        <f>+IF(FINANCIACION[[#This Row],[$ CAPITAL]]&gt;=0,FINANCIACION[[#This Row],[$ CAPITAL]]+FINANCIACION[[#This Row],[$ INTERESES]],"")</f>
        <v>1000000</v>
      </c>
      <c r="F232" s="113">
        <f>+SUMIFS(FINANCIACION[$ CAPITAL],FINANCIACION[Fecha],"&lt;="&amp;FINANCIACION[[#This Row],[Fecha]],FINANCIACION[PRESTAMO],FINANCIACION[[#This Row],[PRESTAMO]])</f>
        <v>-66939154</v>
      </c>
      <c r="G232" s="113"/>
      <c r="H232" s="117"/>
      <c r="I232" s="119"/>
      <c r="J232" s="113">
        <f>IF(FINANCIACION[[#This Row],[$ CAPITAL]]&gt;0,FINANCIACION[[#This Row],[$ CAPITAL]])</f>
        <v>260000</v>
      </c>
      <c r="K232" s="120">
        <f>IF(FINANCIACION[[#This Row],[$ CAPITAL]]&gt;=0,FINANCIACION[[#This Row],[$ CAPITAL]]+FINANCIACION[[#This Row],[$ INTERESES]],0)</f>
        <v>1000000</v>
      </c>
    </row>
    <row r="233" spans="1:11" ht="24" customHeight="1" x14ac:dyDescent="0.3">
      <c r="A233" s="122">
        <v>43881</v>
      </c>
      <c r="B233" s="118" t="s">
        <v>346</v>
      </c>
      <c r="C233" s="113">
        <v>260000</v>
      </c>
      <c r="D233" s="113">
        <v>740000</v>
      </c>
      <c r="E233" s="113">
        <f>+IF(FINANCIACION[[#This Row],[$ CAPITAL]]&gt;=0,FINANCIACION[[#This Row],[$ CAPITAL]]+FINANCIACION[[#This Row],[$ INTERESES]],"")</f>
        <v>1000000</v>
      </c>
      <c r="F233" s="113">
        <f>+SUMIFS(FINANCIACION[$ CAPITAL],FINANCIACION[Fecha],"&lt;="&amp;FINANCIACION[[#This Row],[Fecha]],FINANCIACION[PRESTAMO],FINANCIACION[[#This Row],[PRESTAMO]])</f>
        <v>-66369154</v>
      </c>
      <c r="G233" s="113"/>
      <c r="H233" s="117"/>
      <c r="I233" s="119"/>
      <c r="J233" s="113">
        <f>IF(FINANCIACION[[#This Row],[$ CAPITAL]]&gt;0,FINANCIACION[[#This Row],[$ CAPITAL]])</f>
        <v>260000</v>
      </c>
      <c r="K233" s="120">
        <f>IF(FINANCIACION[[#This Row],[$ CAPITAL]]&gt;=0,FINANCIACION[[#This Row],[$ CAPITAL]]+FINANCIACION[[#This Row],[$ INTERESES]],0)</f>
        <v>1000000</v>
      </c>
    </row>
    <row r="234" spans="1:11" ht="24" customHeight="1" x14ac:dyDescent="0.3">
      <c r="A234" s="122">
        <v>43881</v>
      </c>
      <c r="B234" s="118" t="s">
        <v>346</v>
      </c>
      <c r="C234" s="113">
        <v>310000</v>
      </c>
      <c r="D234" s="113">
        <v>86900</v>
      </c>
      <c r="E234" s="113">
        <f>+IF(FINANCIACION[[#This Row],[$ CAPITAL]]&gt;=0,FINANCIACION[[#This Row],[$ CAPITAL]]+FINANCIACION[[#This Row],[$ INTERESES]],"")</f>
        <v>396900</v>
      </c>
      <c r="F234" s="113">
        <f>+SUMIFS(FINANCIACION[$ CAPITAL],FINANCIACION[Fecha],"&lt;="&amp;FINANCIACION[[#This Row],[Fecha]],FINANCIACION[PRESTAMO],FINANCIACION[[#This Row],[PRESTAMO]])</f>
        <v>-66369154</v>
      </c>
      <c r="G234" s="113"/>
      <c r="H234" s="117"/>
      <c r="I234" s="119"/>
      <c r="J234" s="113">
        <f>IF(FINANCIACION[[#This Row],[$ CAPITAL]]&gt;0,FINANCIACION[[#This Row],[$ CAPITAL]])</f>
        <v>310000</v>
      </c>
      <c r="K234" s="121">
        <f>IF(FINANCIACION[[#This Row],[$ CAPITAL]]&gt;=0,FINANCIACION[[#This Row],[$ CAPITAL]]+FINANCIACION[[#This Row],[$ INTERESES]],0)</f>
        <v>396900</v>
      </c>
    </row>
    <row r="235" spans="1:11" ht="24" customHeight="1" x14ac:dyDescent="0.3">
      <c r="A235" s="122">
        <v>43890</v>
      </c>
      <c r="B235" s="118" t="s">
        <v>346</v>
      </c>
      <c r="C235" s="113">
        <v>-829906</v>
      </c>
      <c r="D235" s="113"/>
      <c r="E235" s="113" t="str">
        <f>+IF(FINANCIACION[[#This Row],[$ CAPITAL]]&gt;=0,FINANCIACION[[#This Row],[$ CAPITAL]]+FINANCIACION[[#This Row],[$ INTERESES]],"")</f>
        <v/>
      </c>
      <c r="F235" s="113">
        <f>+SUMIFS(FINANCIACION[$ CAPITAL],FINANCIACION[Fecha],"&lt;="&amp;FINANCIACION[[#This Row],[Fecha]],FINANCIACION[PRESTAMO],FINANCIACION[[#This Row],[PRESTAMO]])</f>
        <v>-67199060</v>
      </c>
      <c r="G235" s="113"/>
      <c r="I235" s="119"/>
      <c r="J235" s="113" t="b">
        <f>IF(FINANCIACION[[#This Row],[$ CAPITAL]]&gt;0,FINANCIACION[[#This Row],[$ CAPITAL]])</f>
        <v>0</v>
      </c>
      <c r="K235" s="120">
        <f>IF(FINANCIACION[[#This Row],[$ CAPITAL]]&gt;=0,FINANCIACION[[#This Row],[$ CAPITAL]]+FINANCIACION[[#This Row],[$ INTERESES]],0)</f>
        <v>0</v>
      </c>
    </row>
    <row r="236" spans="1:11" ht="24" customHeight="1" x14ac:dyDescent="0.3">
      <c r="A236" s="122">
        <v>44000</v>
      </c>
      <c r="B236" s="118" t="s">
        <v>346</v>
      </c>
      <c r="C236" s="113">
        <v>260000</v>
      </c>
      <c r="D236" s="113">
        <v>740000</v>
      </c>
      <c r="E236" s="113">
        <f>+IF(FINANCIACION[[#This Row],[$ CAPITAL]]&gt;=0,FINANCIACION[[#This Row],[$ CAPITAL]]+FINANCIACION[[#This Row],[$ INTERESES]],"")</f>
        <v>1000000</v>
      </c>
      <c r="F236" s="113">
        <f>+SUMIFS(FINANCIACION[$ CAPITAL],FINANCIACION[Fecha],"&lt;="&amp;FINANCIACION[[#This Row],[Fecha]],FINANCIACION[PRESTAMO],FINANCIACION[[#This Row],[PRESTAMO]])</f>
        <v>-66939060</v>
      </c>
      <c r="G236" s="113"/>
      <c r="H236" s="117"/>
      <c r="I236" s="119"/>
      <c r="J236" s="113">
        <f>IF(FINANCIACION[[#This Row],[$ CAPITAL]]&gt;0,FINANCIACION[[#This Row],[$ CAPITAL]])</f>
        <v>260000</v>
      </c>
      <c r="K236" s="120">
        <f>IF(FINANCIACION[[#This Row],[$ CAPITAL]]&gt;=0,FINANCIACION[[#This Row],[$ CAPITAL]]+FINANCIACION[[#This Row],[$ INTERESES]],0)</f>
        <v>1000000</v>
      </c>
    </row>
    <row r="237" spans="1:11" ht="24" customHeight="1" x14ac:dyDescent="0.3">
      <c r="A237" s="122">
        <v>44041</v>
      </c>
      <c r="B237" s="118" t="s">
        <v>346</v>
      </c>
      <c r="C237" s="113">
        <v>360000</v>
      </c>
      <c r="D237" s="113">
        <v>740000</v>
      </c>
      <c r="E237" s="113">
        <f>+IF(FINANCIACION[[#This Row],[$ CAPITAL]]&gt;=0,FINANCIACION[[#This Row],[$ CAPITAL]]+FINANCIACION[[#This Row],[$ INTERESES]],"")</f>
        <v>1100000</v>
      </c>
      <c r="F237" s="113">
        <f>+SUMIFS(FINANCIACION[$ CAPITAL],FINANCIACION[Fecha],"&lt;="&amp;FINANCIACION[[#This Row],[Fecha]],FINANCIACION[PRESTAMO],FINANCIACION[[#This Row],[PRESTAMO]])</f>
        <v>-66579060</v>
      </c>
      <c r="G237" s="113"/>
      <c r="H237" s="117"/>
      <c r="I237" s="119"/>
      <c r="J237" s="113">
        <f>IF(FINANCIACION[[#This Row],[$ CAPITAL]]&gt;0,FINANCIACION[[#This Row],[$ CAPITAL]])</f>
        <v>360000</v>
      </c>
      <c r="K237" s="120">
        <f>IF(FINANCIACION[[#This Row],[$ CAPITAL]]&gt;=0,FINANCIACION[[#This Row],[$ CAPITAL]]+FINANCIACION[[#This Row],[$ INTERESES]],0)</f>
        <v>1100000</v>
      </c>
    </row>
    <row r="238" spans="1:11" ht="24" customHeight="1" x14ac:dyDescent="0.3">
      <c r="A238" s="122">
        <v>44078</v>
      </c>
      <c r="B238" s="118" t="s">
        <v>346</v>
      </c>
      <c r="C238" s="113">
        <v>334200</v>
      </c>
      <c r="D238" s="113">
        <v>665800</v>
      </c>
      <c r="E238" s="113">
        <f>+IF(FINANCIACION[[#This Row],[$ CAPITAL]]&gt;=0,FINANCIACION[[#This Row],[$ CAPITAL]]+FINANCIACION[[#This Row],[$ INTERESES]],"")</f>
        <v>1000000</v>
      </c>
      <c r="F238" s="113">
        <f>+SUMIFS(FINANCIACION[$ CAPITAL],FINANCIACION[Fecha],"&lt;="&amp;FINANCIACION[[#This Row],[Fecha]],FINANCIACION[PRESTAMO],FINANCIACION[[#This Row],[PRESTAMO]])</f>
        <v>-66244860</v>
      </c>
      <c r="G238" s="113"/>
      <c r="H238" s="117"/>
      <c r="I238" s="119"/>
      <c r="J238" s="113">
        <f>IF(FINANCIACION[[#This Row],[$ CAPITAL]]&gt;0,FINANCIACION[[#This Row],[$ CAPITAL]])</f>
        <v>334200</v>
      </c>
      <c r="K238" s="120">
        <f>IF(FINANCIACION[[#This Row],[$ CAPITAL]]&gt;=0,FINANCIACION[[#This Row],[$ CAPITAL]]+FINANCIACION[[#This Row],[$ INTERESES]],0)</f>
        <v>1000000</v>
      </c>
    </row>
    <row r="239" spans="1:11" ht="24" customHeight="1" x14ac:dyDescent="0.3">
      <c r="A239" s="122">
        <v>44106</v>
      </c>
      <c r="B239" s="118" t="s">
        <v>346</v>
      </c>
      <c r="C239" s="113">
        <v>537550</v>
      </c>
      <c r="D239" s="113">
        <v>662450</v>
      </c>
      <c r="E239" s="113">
        <f>+IF(FINANCIACION[[#This Row],[$ CAPITAL]]&gt;=0,FINANCIACION[[#This Row],[$ CAPITAL]]+FINANCIACION[[#This Row],[$ INTERESES]],"")</f>
        <v>1200000</v>
      </c>
      <c r="F239" s="113">
        <f>+SUMIFS(FINANCIACION[$ CAPITAL],FINANCIACION[Fecha],"&lt;="&amp;FINANCIACION[[#This Row],[Fecha]],FINANCIACION[PRESTAMO],FINANCIACION[[#This Row],[PRESTAMO]])</f>
        <v>-65707310</v>
      </c>
      <c r="G239" s="113"/>
      <c r="H239" s="117"/>
      <c r="I239" s="119"/>
      <c r="J239" s="113">
        <f>IF(FINANCIACION[[#This Row],[$ CAPITAL]]&gt;0,FINANCIACION[[#This Row],[$ CAPITAL]])</f>
        <v>537550</v>
      </c>
      <c r="K239" s="120">
        <f>IF(FINANCIACION[[#This Row],[$ CAPITAL]]&gt;=0,FINANCIACION[[#This Row],[$ CAPITAL]]+FINANCIACION[[#This Row],[$ INTERESES]],0)</f>
        <v>1200000</v>
      </c>
    </row>
    <row r="240" spans="1:11" ht="24" customHeight="1" x14ac:dyDescent="0.3">
      <c r="A240" s="122">
        <v>44142</v>
      </c>
      <c r="B240" s="118" t="s">
        <v>346</v>
      </c>
      <c r="C240" s="113">
        <v>542926.9</v>
      </c>
      <c r="D240" s="113">
        <v>657073.1</v>
      </c>
      <c r="E240" s="113">
        <f>+IF(FINANCIACION[[#This Row],[$ CAPITAL]]&gt;=0,FINANCIACION[[#This Row],[$ CAPITAL]]+FINANCIACION[[#This Row],[$ INTERESES]],"")</f>
        <v>1200000</v>
      </c>
      <c r="F240" s="113">
        <f>+SUMIFS(FINANCIACION[$ CAPITAL],FINANCIACION[Fecha],"&lt;="&amp;FINANCIACION[[#This Row],[Fecha]],FINANCIACION[PRESTAMO],FINANCIACION[[#This Row],[PRESTAMO]])</f>
        <v>-65164383.100000001</v>
      </c>
      <c r="G240" s="113"/>
      <c r="H240" s="117"/>
      <c r="I240" s="119"/>
      <c r="J240" s="113">
        <f>IF(FINANCIACION[[#This Row],[$ CAPITAL]]&gt;0,FINANCIACION[[#This Row],[$ CAPITAL]])</f>
        <v>542926.9</v>
      </c>
      <c r="K240" s="120">
        <f>IF(FINANCIACION[[#This Row],[$ CAPITAL]]&gt;=0,FINANCIACION[[#This Row],[$ CAPITAL]]+FINANCIACION[[#This Row],[$ INTERESES]],0)</f>
        <v>1200000</v>
      </c>
    </row>
    <row r="241" spans="1:11" ht="24" customHeight="1" x14ac:dyDescent="0.3">
      <c r="A241" s="122">
        <v>44175</v>
      </c>
      <c r="B241" s="118" t="s">
        <v>346</v>
      </c>
      <c r="C241" s="113">
        <v>548356.17000000004</v>
      </c>
      <c r="D241" s="113">
        <v>651643.82999999996</v>
      </c>
      <c r="E241" s="113">
        <f>+IF(FINANCIACION[[#This Row],[$ CAPITAL]]&gt;=0,FINANCIACION[[#This Row],[$ CAPITAL]]+FINANCIACION[[#This Row],[$ INTERESES]],"")</f>
        <v>1200000</v>
      </c>
      <c r="F241" s="113">
        <f>+SUMIFS(FINANCIACION[$ CAPITAL],FINANCIACION[Fecha],"&lt;="&amp;FINANCIACION[[#This Row],[Fecha]],FINANCIACION[PRESTAMO],FINANCIACION[[#This Row],[PRESTAMO]])</f>
        <v>-64616026.93</v>
      </c>
      <c r="G241" s="113"/>
      <c r="H241" s="117"/>
      <c r="I241" s="119"/>
      <c r="J241" s="113">
        <f>IF(FINANCIACION[[#This Row],[$ CAPITAL]]&gt;0,FINANCIACION[[#This Row],[$ CAPITAL]])</f>
        <v>548356.17000000004</v>
      </c>
      <c r="K241" s="120">
        <f>IF(FINANCIACION[[#This Row],[$ CAPITAL]]&gt;=0,FINANCIACION[[#This Row],[$ CAPITAL]]+FINANCIACION[[#This Row],[$ INTERESES]],0)</f>
        <v>1200000</v>
      </c>
    </row>
    <row r="242" spans="1:11" ht="24" customHeight="1" x14ac:dyDescent="0.3">
      <c r="A242" s="122">
        <v>44196</v>
      </c>
      <c r="B242" s="118" t="s">
        <v>346</v>
      </c>
      <c r="C242" s="113">
        <v>-2349404.9287070036</v>
      </c>
      <c r="D242" s="113"/>
      <c r="E242" s="113" t="str">
        <f>+IF(FINANCIACION[[#This Row],[$ CAPITAL]]&gt;=0,FINANCIACION[[#This Row],[$ CAPITAL]]+FINANCIACION[[#This Row],[$ INTERESES]],"")</f>
        <v/>
      </c>
      <c r="F242" s="113">
        <f>+SUMIFS(FINANCIACION[$ CAPITAL],FINANCIACION[Fecha],"&lt;="&amp;FINANCIACION[[#This Row],[Fecha]],FINANCIACION[PRESTAMO],FINANCIACION[[#This Row],[PRESTAMO]])</f>
        <v>-66965431.858707003</v>
      </c>
      <c r="G242" s="113"/>
      <c r="H242" s="117" t="s">
        <v>145</v>
      </c>
      <c r="I242" s="119"/>
      <c r="J242" s="113" t="b">
        <f>IF(FINANCIACION[[#This Row],[$ CAPITAL]]&gt;0,FINANCIACION[[#This Row],[$ CAPITAL]])</f>
        <v>0</v>
      </c>
      <c r="K242" s="120">
        <f>IF(FINANCIACION[[#This Row],[$ CAPITAL]]&gt;=0,FINANCIACION[[#This Row],[$ CAPITAL]]+FINANCIACION[[#This Row],[$ INTERESES]],0)</f>
        <v>0</v>
      </c>
    </row>
    <row r="243" spans="1:11" ht="24" customHeight="1" x14ac:dyDescent="0.3">
      <c r="A243" s="112">
        <v>44208</v>
      </c>
      <c r="B243" s="118" t="s">
        <v>346</v>
      </c>
      <c r="C243" s="113">
        <v>553839.73069999996</v>
      </c>
      <c r="D243" s="113">
        <v>646160.26930000004</v>
      </c>
      <c r="E243" s="113">
        <f>+IF(FINANCIACION[[#This Row],[$ CAPITAL]]&gt;=0,FINANCIACION[[#This Row],[$ CAPITAL]]+FINANCIACION[[#This Row],[$ INTERESES]],"")</f>
        <v>1200000</v>
      </c>
      <c r="F243" s="113">
        <f>+SUMIFS(FINANCIACION[$ CAPITAL],FINANCIACION[Fecha],"&lt;="&amp;FINANCIACION[[#This Row],[Fecha]],FINANCIACION[PRESTAMO],FINANCIACION[[#This Row],[PRESTAMO]])</f>
        <v>-66411592.128007002</v>
      </c>
      <c r="G243" s="113"/>
      <c r="H243" s="117"/>
      <c r="I243" s="119"/>
      <c r="J243" s="113">
        <f>IF(FINANCIACION[[#This Row],[$ CAPITAL]]&gt;0,FINANCIACION[[#This Row],[$ CAPITAL]])</f>
        <v>553839.73069999996</v>
      </c>
      <c r="K243" s="120">
        <f>IF(FINANCIACION[[#This Row],[$ CAPITAL]]&gt;=0,FINANCIACION[[#This Row],[$ CAPITAL]]+FINANCIACION[[#This Row],[$ INTERESES]],0)</f>
        <v>1200000</v>
      </c>
    </row>
    <row r="244" spans="1:11" ht="24" customHeight="1" x14ac:dyDescent="0.3">
      <c r="A244" s="112">
        <v>44237</v>
      </c>
      <c r="B244" s="118" t="s">
        <v>346</v>
      </c>
      <c r="C244" s="113">
        <v>559378.12800699996</v>
      </c>
      <c r="D244" s="113">
        <v>640621.87199300004</v>
      </c>
      <c r="E244" s="113">
        <f>+IF(FINANCIACION[[#This Row],[$ CAPITAL]]&gt;=0,FINANCIACION[[#This Row],[$ CAPITAL]]+FINANCIACION[[#This Row],[$ INTERESES]],"")</f>
        <v>1200000</v>
      </c>
      <c r="F244" s="113">
        <f>+SUMIFS(FINANCIACION[$ CAPITAL],FINANCIACION[Fecha],"&lt;="&amp;FINANCIACION[[#This Row],[Fecha]],FINANCIACION[PRESTAMO],FINANCIACION[[#This Row],[PRESTAMO]])</f>
        <v>-65852214</v>
      </c>
      <c r="G244" s="113"/>
      <c r="H244" s="117"/>
      <c r="I244" s="119"/>
      <c r="J244" s="113">
        <f>IF(FINANCIACION[[#This Row],[$ CAPITAL]]&gt;0,FINANCIACION[[#This Row],[$ CAPITAL]])</f>
        <v>559378.12800699996</v>
      </c>
      <c r="K244" s="120">
        <f>IF(FINANCIACION[[#This Row],[$ CAPITAL]]&gt;=0,FINANCIACION[[#This Row],[$ CAPITAL]]+FINANCIACION[[#This Row],[$ INTERESES]],0)</f>
        <v>1200000</v>
      </c>
    </row>
    <row r="245" spans="1:11" ht="24" customHeight="1" x14ac:dyDescent="0.3">
      <c r="A245" s="112">
        <v>44248</v>
      </c>
      <c r="B245" s="118" t="s">
        <v>346</v>
      </c>
      <c r="C245" s="113">
        <v>-8879000</v>
      </c>
      <c r="D245" s="113"/>
      <c r="E245" s="113" t="str">
        <f>+IF(FINANCIACION[[#This Row],[$ CAPITAL]]&gt;=0,FINANCIACION[[#This Row],[$ CAPITAL]]+FINANCIACION[[#This Row],[$ INTERESES]],"")</f>
        <v/>
      </c>
      <c r="F245" s="113">
        <f>+SUMIFS(FINANCIACION[$ CAPITAL],FINANCIACION[Fecha],"&lt;="&amp;FINANCIACION[[#This Row],[Fecha]],FINANCIACION[PRESTAMO],FINANCIACION[[#This Row],[PRESTAMO]])</f>
        <v>-74731214</v>
      </c>
      <c r="G245" s="113"/>
      <c r="H245" s="117"/>
      <c r="I245" s="119"/>
      <c r="J245" s="113" t="b">
        <f>IF(FINANCIACION[[#This Row],[$ CAPITAL]]&gt;0,FINANCIACION[[#This Row],[$ CAPITAL]])</f>
        <v>0</v>
      </c>
      <c r="K245" s="120">
        <f>IF(FINANCIACION[[#This Row],[$ CAPITAL]]&gt;=0,FINANCIACION[[#This Row],[$ CAPITAL]]+FINANCIACION[[#This Row],[$ INTERESES]],0)</f>
        <v>0</v>
      </c>
    </row>
    <row r="246" spans="1:11" ht="24" customHeight="1" x14ac:dyDescent="0.3">
      <c r="A246" s="112">
        <v>44265</v>
      </c>
      <c r="B246" s="118" t="s">
        <v>346</v>
      </c>
      <c r="C246" s="113">
        <v>552687.86</v>
      </c>
      <c r="D246" s="113">
        <v>747312.14</v>
      </c>
      <c r="E246" s="113">
        <f>+IF(FINANCIACION[[#This Row],[$ CAPITAL]]&gt;=0,FINANCIACION[[#This Row],[$ CAPITAL]]+FINANCIACION[[#This Row],[$ INTERESES]],"")</f>
        <v>1300000</v>
      </c>
      <c r="F246" s="113">
        <f>+SUMIFS(FINANCIACION[$ CAPITAL],FINANCIACION[Fecha],"&lt;="&amp;FINANCIACION[[#This Row],[Fecha]],FINANCIACION[PRESTAMO],FINANCIACION[[#This Row],[PRESTAMO]])</f>
        <v>-74349214</v>
      </c>
      <c r="G246" s="113"/>
      <c r="H246" s="117"/>
      <c r="I246" s="119"/>
      <c r="J246" s="113">
        <f>IF(FINANCIACION[[#This Row],[$ CAPITAL]]&gt;0,FINANCIACION[[#This Row],[$ CAPITAL]])</f>
        <v>552687.86</v>
      </c>
      <c r="K246" s="120">
        <f>IF(FINANCIACION[[#This Row],[$ CAPITAL]]&gt;=0,FINANCIACION[[#This Row],[$ CAPITAL]]+FINANCIACION[[#This Row],[$ INTERESES]],0)</f>
        <v>1300000</v>
      </c>
    </row>
    <row r="247" spans="1:11" ht="24" customHeight="1" x14ac:dyDescent="0.3">
      <c r="A247" s="112">
        <v>44265</v>
      </c>
      <c r="B247" s="118" t="s">
        <v>346</v>
      </c>
      <c r="C247" s="113">
        <v>-170687.859999999</v>
      </c>
      <c r="D247" s="113"/>
      <c r="E247" s="113" t="str">
        <f>+IF(FINANCIACION[[#This Row],[$ CAPITAL]]&gt;=0,FINANCIACION[[#This Row],[$ CAPITAL]]+FINANCIACION[[#This Row],[$ INTERESES]],"")</f>
        <v/>
      </c>
      <c r="F247" s="113">
        <f>+SUMIFS(FINANCIACION[$ CAPITAL],FINANCIACION[Fecha],"&lt;="&amp;FINANCIACION[[#This Row],[Fecha]],FINANCIACION[PRESTAMO],FINANCIACION[[#This Row],[PRESTAMO]])</f>
        <v>-74349214</v>
      </c>
      <c r="G247" s="113"/>
      <c r="H247" s="117" t="s">
        <v>464</v>
      </c>
      <c r="I247" s="119"/>
      <c r="J247" s="113" t="b">
        <f>+IF(FINANCIACION[[#This Row],[$ CAPITAL]]&gt;0,FINANCIACION[[#This Row],[$ CAPITAL]])</f>
        <v>0</v>
      </c>
      <c r="K247" s="120">
        <f>+IF(FINANCIACION[[#This Row],[$ CAPITAL]]&gt;=0,FINANCIACION[[#This Row],[$ CAPITAL]]+FINANCIACION[[#This Row],[$ INTERESES]],0)</f>
        <v>0</v>
      </c>
    </row>
    <row r="248" spans="1:11" ht="24" customHeight="1" x14ac:dyDescent="0.3">
      <c r="A248" s="112">
        <v>44340</v>
      </c>
      <c r="B248" s="118" t="s">
        <v>346</v>
      </c>
      <c r="C248" s="113">
        <v>458214.73859999992</v>
      </c>
      <c r="D248" s="113">
        <v>741785.26140000008</v>
      </c>
      <c r="E248" s="113">
        <f>+IF(FINANCIACION[[#This Row],[$ CAPITAL]]&gt;=0,FINANCIACION[[#This Row],[$ CAPITAL]]+FINANCIACION[[#This Row],[$ INTERESES]],"")</f>
        <v>1200000</v>
      </c>
      <c r="F248" s="113">
        <f>+SUMIFS(FINANCIACION[$ CAPITAL],FINANCIACION[Fecha],"&lt;="&amp;FINANCIACION[[#This Row],[Fecha]],FINANCIACION[PRESTAMO],FINANCIACION[[#This Row],[PRESTAMO]])</f>
        <v>-73890999.261399999</v>
      </c>
      <c r="G248" s="113"/>
      <c r="H248" s="117"/>
      <c r="I248" s="119"/>
      <c r="J248" s="113">
        <f>IF(FINANCIACION[[#This Row],[$ CAPITAL]]&gt;0,FINANCIACION[[#This Row],[$ CAPITAL]])</f>
        <v>458214.73859999992</v>
      </c>
      <c r="K248" s="120">
        <f>IF(FINANCIACION[[#This Row],[$ CAPITAL]]&gt;=0,FINANCIACION[[#This Row],[$ CAPITAL]]+FINANCIACION[[#This Row],[$ INTERESES]],0)</f>
        <v>1200000</v>
      </c>
    </row>
    <row r="249" spans="1:11" ht="24" customHeight="1" x14ac:dyDescent="0.3">
      <c r="A249" s="112">
        <v>44358</v>
      </c>
      <c r="B249" s="118" t="s">
        <v>346</v>
      </c>
      <c r="C249" s="113">
        <v>462796.88598599995</v>
      </c>
      <c r="D249" s="113">
        <v>737203.11401400005</v>
      </c>
      <c r="E249" s="113">
        <f>+IF(FINANCIACION[[#This Row],[$ CAPITAL]]&gt;=0,FINANCIACION[[#This Row],[$ CAPITAL]]+FINANCIACION[[#This Row],[$ INTERESES]],"")</f>
        <v>1200000</v>
      </c>
      <c r="F249" s="113">
        <f>+SUMIFS(FINANCIACION[$ CAPITAL],FINANCIACION[Fecha],"&lt;="&amp;FINANCIACION[[#This Row],[Fecha]],FINANCIACION[PRESTAMO],FINANCIACION[[#This Row],[PRESTAMO]])</f>
        <v>-73428202.375413999</v>
      </c>
      <c r="G249" s="113"/>
      <c r="H249" s="117"/>
      <c r="I249" s="119"/>
      <c r="J249" s="113">
        <f>IF(FINANCIACION[[#This Row],[$ CAPITAL]]&gt;0,FINANCIACION[[#This Row],[$ CAPITAL]])</f>
        <v>462796.88598599995</v>
      </c>
      <c r="K249" s="121">
        <f>IF(FINANCIACION[[#This Row],[$ CAPITAL]]&gt;=0,FINANCIACION[[#This Row],[$ CAPITAL]]+FINANCIACION[[#This Row],[$ INTERESES]],0)</f>
        <v>1200000</v>
      </c>
    </row>
    <row r="250" spans="1:11" ht="24" customHeight="1" x14ac:dyDescent="0.3">
      <c r="A250" s="112">
        <v>44362</v>
      </c>
      <c r="B250" s="118" t="s">
        <v>346</v>
      </c>
      <c r="C250" s="113">
        <v>-3000000</v>
      </c>
      <c r="D250" s="113"/>
      <c r="E250" s="113" t="str">
        <f>+IF(FINANCIACION[[#This Row],[$ CAPITAL]]&gt;=0,FINANCIACION[[#This Row],[$ CAPITAL]]+FINANCIACION[[#This Row],[$ INTERESES]],"")</f>
        <v/>
      </c>
      <c r="F250" s="113">
        <f>+SUMIFS(FINANCIACION[$ CAPITAL],FINANCIACION[Fecha],"&lt;="&amp;FINANCIACION[[#This Row],[Fecha]],FINANCIACION[PRESTAMO],FINANCIACION[[#This Row],[PRESTAMO]])</f>
        <v>-76428202.375413999</v>
      </c>
      <c r="G250" s="113"/>
      <c r="H250" s="119" t="s">
        <v>198</v>
      </c>
      <c r="I250" s="119"/>
      <c r="J250" s="113" t="b">
        <f>IF(FINANCIACION[[#This Row],[$ CAPITAL]]&gt;0,FINANCIACION[[#This Row],[$ CAPITAL]])</f>
        <v>0</v>
      </c>
      <c r="K250" s="120">
        <f>IF(FINANCIACION[[#This Row],[$ CAPITAL]]&gt;=0,FINANCIACION[[#This Row],[$ CAPITAL]]+FINANCIACION[[#This Row],[$ INTERESES]],0)</f>
        <v>0</v>
      </c>
    </row>
    <row r="251" spans="1:11" ht="24" customHeight="1" x14ac:dyDescent="0.3">
      <c r="A251" s="112">
        <v>44389</v>
      </c>
      <c r="B251" s="118" t="s">
        <v>346</v>
      </c>
      <c r="C251" s="113">
        <v>3000000</v>
      </c>
      <c r="D251" s="113"/>
      <c r="E251" s="113">
        <f>+IF(FINANCIACION[[#This Row],[$ CAPITAL]]&gt;=0,FINANCIACION[[#This Row],[$ CAPITAL]]+FINANCIACION[[#This Row],[$ INTERESES]],"")</f>
        <v>3000000</v>
      </c>
      <c r="F251" s="113">
        <f>+SUMIFS(FINANCIACION[$ CAPITAL],FINANCIACION[Fecha],"&lt;="&amp;FINANCIACION[[#This Row],[Fecha]],FINANCIACION[PRESTAMO],FINANCIACION[[#This Row],[PRESTAMO]])</f>
        <v>-73428202.375413999</v>
      </c>
      <c r="G251" s="113"/>
      <c r="I251" s="119"/>
      <c r="J251" s="113">
        <f>IF(FINANCIACION[[#This Row],[$ CAPITAL]]&gt;0,FINANCIACION[[#This Row],[$ CAPITAL]])</f>
        <v>3000000</v>
      </c>
      <c r="K251" s="120">
        <f>IF(FINANCIACION[[#This Row],[$ CAPITAL]]&gt;=0,FINANCIACION[[#This Row],[$ CAPITAL]]+FINANCIACION[[#This Row],[$ INTERESES]],0)</f>
        <v>3000000</v>
      </c>
    </row>
    <row r="252" spans="1:11" ht="24" customHeight="1" x14ac:dyDescent="0.3">
      <c r="A252" s="112">
        <v>44390</v>
      </c>
      <c r="B252" s="118" t="s">
        <v>346</v>
      </c>
      <c r="C252" s="113">
        <v>467424.85484586004</v>
      </c>
      <c r="D252" s="113">
        <v>732575.14515413996</v>
      </c>
      <c r="E252" s="113">
        <f>+IF(FINANCIACION[[#This Row],[$ CAPITAL]]&gt;=0,FINANCIACION[[#This Row],[$ CAPITAL]]+FINANCIACION[[#This Row],[$ INTERESES]],"")</f>
        <v>1200000</v>
      </c>
      <c r="F252" s="113">
        <f>+SUMIFS(FINANCIACION[$ CAPITAL],FINANCIACION[Fecha],"&lt;="&amp;FINANCIACION[[#This Row],[Fecha]],FINANCIACION[PRESTAMO],FINANCIACION[[#This Row],[PRESTAMO]])</f>
        <v>-72960777.520568132</v>
      </c>
      <c r="G252" s="113"/>
      <c r="I252" s="119"/>
      <c r="J252" s="113">
        <f>IF(FINANCIACION[[#This Row],[$ CAPITAL]]&gt;0,FINANCIACION[[#This Row],[$ CAPITAL]])</f>
        <v>467424.85484586004</v>
      </c>
      <c r="K252" s="120">
        <f>IF(FINANCIACION[[#This Row],[$ CAPITAL]]&gt;=0,FINANCIACION[[#This Row],[$ CAPITAL]]+FINANCIACION[[#This Row],[$ INTERESES]],0)</f>
        <v>1200000</v>
      </c>
    </row>
    <row r="253" spans="1:11" ht="24" customHeight="1" x14ac:dyDescent="0.3">
      <c r="A253" s="112">
        <v>44425</v>
      </c>
      <c r="B253" s="118" t="s">
        <v>346</v>
      </c>
      <c r="C253" s="113">
        <v>472099.1033943186</v>
      </c>
      <c r="D253" s="113">
        <v>727900.8966056814</v>
      </c>
      <c r="E253" s="113">
        <f>+IF(FINANCIACION[[#This Row],[$ CAPITAL]]&gt;=0,FINANCIACION[[#This Row],[$ CAPITAL]]+FINANCIACION[[#This Row],[$ INTERESES]],"")</f>
        <v>1200000</v>
      </c>
      <c r="F253" s="113">
        <f>+SUMIFS(FINANCIACION[$ CAPITAL],FINANCIACION[Fecha],"&lt;="&amp;FINANCIACION[[#This Row],[Fecha]],FINANCIACION[PRESTAMO],FINANCIACION[[#This Row],[PRESTAMO]])</f>
        <v>-72488678.417173818</v>
      </c>
      <c r="G253" s="113"/>
      <c r="I253" s="119"/>
      <c r="J253" s="113">
        <f>IF(FINANCIACION[[#This Row],[$ CAPITAL]]&gt;0,FINANCIACION[[#This Row],[$ CAPITAL]])</f>
        <v>472099.1033943186</v>
      </c>
      <c r="K253" s="120">
        <f>IF(FINANCIACION[[#This Row],[$ CAPITAL]]&gt;=0,FINANCIACION[[#This Row],[$ CAPITAL]]+FINANCIACION[[#This Row],[$ INTERESES]],0)</f>
        <v>1200000</v>
      </c>
    </row>
    <row r="254" spans="1:11" ht="24" customHeight="1" x14ac:dyDescent="0.3">
      <c r="A254" s="112">
        <v>44450</v>
      </c>
      <c r="B254" s="118" t="s">
        <v>346</v>
      </c>
      <c r="C254" s="113">
        <v>476820.09442826186</v>
      </c>
      <c r="D254" s="113">
        <v>723179.90557173814</v>
      </c>
      <c r="E254" s="113">
        <f>+IF(FINANCIACION[[#This Row],[$ CAPITAL]]&gt;=0,FINANCIACION[[#This Row],[$ CAPITAL]]+FINANCIACION[[#This Row],[$ INTERESES]],"")</f>
        <v>1200000</v>
      </c>
      <c r="F254" s="113">
        <f>+SUMIFS(FINANCIACION[$ CAPITAL],FINANCIACION[Fecha],"&lt;="&amp;FINANCIACION[[#This Row],[Fecha]],FINANCIACION[PRESTAMO],FINANCIACION[[#This Row],[PRESTAMO]])</f>
        <v>-72011858.322745562</v>
      </c>
      <c r="G254" s="113"/>
      <c r="H254" s="117"/>
      <c r="I254" s="119"/>
      <c r="J254" s="113">
        <f>IF(FINANCIACION[[#This Row],[$ CAPITAL]]&gt;0,FINANCIACION[[#This Row],[$ CAPITAL]])</f>
        <v>476820.09442826186</v>
      </c>
      <c r="K254" s="120">
        <f>IF(FINANCIACION[[#This Row],[$ CAPITAL]]&gt;=0,FINANCIACION[[#This Row],[$ CAPITAL]]+FINANCIACION[[#This Row],[$ INTERESES]],0)</f>
        <v>1200000</v>
      </c>
    </row>
    <row r="255" spans="1:11" ht="24" customHeight="1" x14ac:dyDescent="0.3">
      <c r="A255" s="112">
        <v>44480</v>
      </c>
      <c r="B255" s="118" t="s">
        <v>346</v>
      </c>
      <c r="C255" s="113">
        <v>481588.29537254432</v>
      </c>
      <c r="D255" s="113">
        <v>718411.70462745568</v>
      </c>
      <c r="E255" s="113">
        <f>+IF(FINANCIACION[[#This Row],[$ CAPITAL]]&gt;=0,FINANCIACION[[#This Row],[$ CAPITAL]]+FINANCIACION[[#This Row],[$ INTERESES]],"")</f>
        <v>1200000</v>
      </c>
      <c r="F255" s="113">
        <f>+SUMIFS(FINANCIACION[$ CAPITAL],FINANCIACION[Fecha],"&lt;="&amp;FINANCIACION[[#This Row],[Fecha]],FINANCIACION[PRESTAMO],FINANCIACION[[#This Row],[PRESTAMO]])</f>
        <v>-71530270.027373016</v>
      </c>
      <c r="G255" s="113"/>
      <c r="H255" s="117"/>
      <c r="I255" s="119"/>
      <c r="J255" s="113">
        <f>IF(FINANCIACION[[#This Row],[$ CAPITAL]]&gt;0,FINANCIACION[[#This Row],[$ CAPITAL]])</f>
        <v>481588.29537254432</v>
      </c>
      <c r="K255" s="120">
        <f>IF(FINANCIACION[[#This Row],[$ CAPITAL]]&gt;=0,FINANCIACION[[#This Row],[$ CAPITAL]]+FINANCIACION[[#This Row],[$ INTERESES]],0)</f>
        <v>1200000</v>
      </c>
    </row>
    <row r="256" spans="1:11" ht="24" customHeight="1" x14ac:dyDescent="0.3">
      <c r="A256" s="112">
        <v>44510</v>
      </c>
      <c r="B256" s="118" t="s">
        <v>346</v>
      </c>
      <c r="C256" s="113">
        <v>486404.17832626984</v>
      </c>
      <c r="D256" s="113">
        <v>713595.82167373016</v>
      </c>
      <c r="E256" s="113">
        <f>+IF(FINANCIACION[[#This Row],[$ CAPITAL]]&gt;=0,FINANCIACION[[#This Row],[$ CAPITAL]]+FINANCIACION[[#This Row],[$ INTERESES]],"")</f>
        <v>1200000</v>
      </c>
      <c r="F256" s="113">
        <f>+SUMIFS(FINANCIACION[$ CAPITAL],FINANCIACION[Fecha],"&lt;="&amp;FINANCIACION[[#This Row],[Fecha]],FINANCIACION[PRESTAMO],FINANCIACION[[#This Row],[PRESTAMO]])</f>
        <v>-71043865.849046752</v>
      </c>
      <c r="G256" s="113"/>
      <c r="I256" s="119"/>
      <c r="J256" s="113">
        <f>IF(FINANCIACION[[#This Row],[$ CAPITAL]]&gt;0,FINANCIACION[[#This Row],[$ CAPITAL]])</f>
        <v>486404.17832626984</v>
      </c>
      <c r="K256" s="120">
        <f>IF(FINANCIACION[[#This Row],[$ CAPITAL]]&gt;=0,FINANCIACION[[#This Row],[$ CAPITAL]]+FINANCIACION[[#This Row],[$ INTERESES]],0)</f>
        <v>1200000</v>
      </c>
    </row>
    <row r="257" spans="1:11" ht="24" customHeight="1" x14ac:dyDescent="0.3">
      <c r="A257" s="112">
        <v>44539</v>
      </c>
      <c r="B257" s="118" t="s">
        <v>346</v>
      </c>
      <c r="C257" s="113">
        <v>491268.22010953247</v>
      </c>
      <c r="D257" s="113">
        <v>708731.77989046753</v>
      </c>
      <c r="E257" s="113">
        <f>+IF(FINANCIACION[[#This Row],[$ CAPITAL]]&gt;=0,FINANCIACION[[#This Row],[$ CAPITAL]]+FINANCIACION[[#This Row],[$ INTERESES]],"")</f>
        <v>1200000</v>
      </c>
      <c r="F257" s="113">
        <f>+SUMIFS(FINANCIACION[$ CAPITAL],FINANCIACION[Fecha],"&lt;="&amp;FINANCIACION[[#This Row],[Fecha]],FINANCIACION[PRESTAMO],FINANCIACION[[#This Row],[PRESTAMO]])</f>
        <v>-70552597.628937215</v>
      </c>
      <c r="G257" s="113"/>
      <c r="I257" s="119"/>
      <c r="J257" s="113">
        <f>IF(FINANCIACION[[#This Row],[$ CAPITAL]]&gt;0,FINANCIACION[[#This Row],[$ CAPITAL]])</f>
        <v>491268.22010953247</v>
      </c>
      <c r="K257" s="120">
        <f>IF(FINANCIACION[[#This Row],[$ CAPITAL]]&gt;=0,FINANCIACION[[#This Row],[$ CAPITAL]]+FINANCIACION[[#This Row],[$ INTERESES]],0)</f>
        <v>1200000</v>
      </c>
    </row>
    <row r="258" spans="1:11" ht="24" customHeight="1" x14ac:dyDescent="0.3">
      <c r="A258" s="112">
        <v>44572</v>
      </c>
      <c r="B258" s="118" t="s">
        <v>346</v>
      </c>
      <c r="C258" s="113">
        <v>496180.90231062786</v>
      </c>
      <c r="D258" s="113">
        <v>703819.09768937214</v>
      </c>
      <c r="E258" s="113">
        <f>+IF(FINANCIACION[[#This Row],[$ CAPITAL]]&gt;=0,FINANCIACION[[#This Row],[$ CAPITAL]]+FINANCIACION[[#This Row],[$ INTERESES]],"")</f>
        <v>1200000</v>
      </c>
      <c r="F258" s="113">
        <f>+SUMIFS(FINANCIACION[$ CAPITAL],FINANCIACION[Fecha],"&lt;="&amp;FINANCIACION[[#This Row],[Fecha]],FINANCIACION[PRESTAMO],FINANCIACION[[#This Row],[PRESTAMO]])</f>
        <v>-70056416.72662659</v>
      </c>
      <c r="G258" s="113"/>
      <c r="I258" s="119"/>
      <c r="J258" s="113">
        <f>IF(FINANCIACION[[#This Row],[$ CAPITAL]]&gt;0,FINANCIACION[[#This Row],[$ CAPITAL]])</f>
        <v>496180.90231062786</v>
      </c>
      <c r="K258" s="120">
        <f>IF(FINANCIACION[[#This Row],[$ CAPITAL]]&gt;=0,FINANCIACION[[#This Row],[$ CAPITAL]]+FINANCIACION[[#This Row],[$ INTERESES]],0)</f>
        <v>1200000</v>
      </c>
    </row>
    <row r="259" spans="1:11" ht="24" customHeight="1" x14ac:dyDescent="0.3">
      <c r="A259" s="112">
        <v>44602</v>
      </c>
      <c r="B259" s="118" t="s">
        <v>346</v>
      </c>
      <c r="C259" s="113">
        <v>501142.7113337341</v>
      </c>
      <c r="D259" s="113">
        <v>698857.2886662659</v>
      </c>
      <c r="E259" s="113">
        <f>+IF(FINANCIACION[[#This Row],[$ CAPITAL]]&gt;=0,FINANCIACION[[#This Row],[$ CAPITAL]]+FINANCIACION[[#This Row],[$ INTERESES]],"")</f>
        <v>1200000</v>
      </c>
      <c r="F259" s="113">
        <f>+SUMIFS(FINANCIACION[$ CAPITAL],FINANCIACION[Fecha],"&lt;="&amp;FINANCIACION[[#This Row],[Fecha]],FINANCIACION[PRESTAMO],FINANCIACION[[#This Row],[PRESTAMO]])</f>
        <v>-69555274.015292853</v>
      </c>
      <c r="G259" s="113"/>
      <c r="I259" s="119"/>
      <c r="J259" s="113">
        <f>+IF(FINANCIACION[[#This Row],[$ CAPITAL]]&gt;0,FINANCIACION[[#This Row],[$ CAPITAL]])</f>
        <v>501142.7113337341</v>
      </c>
      <c r="K259" s="120">
        <f>+IF(FINANCIACION[[#This Row],[$ CAPITAL]]&gt;=0,FINANCIACION[[#This Row],[$ CAPITAL]]+FINANCIACION[[#This Row],[$ INTERESES]],0)</f>
        <v>1200000</v>
      </c>
    </row>
    <row r="260" spans="1:11" ht="24" customHeight="1" x14ac:dyDescent="0.3">
      <c r="A260" s="112">
        <v>44629</v>
      </c>
      <c r="B260" s="118" t="s">
        <v>346</v>
      </c>
      <c r="C260" s="113">
        <v>506154.13844707143</v>
      </c>
      <c r="D260" s="113">
        <v>693845.86155292857</v>
      </c>
      <c r="E260" s="113">
        <f>+IF(FINANCIACION[[#This Row],[$ CAPITAL]]&gt;=0,FINANCIACION[[#This Row],[$ CAPITAL]]+FINANCIACION[[#This Row],[$ INTERESES]],"")</f>
        <v>1200000</v>
      </c>
      <c r="F260" s="113">
        <f>+SUMIFS(FINANCIACION[$ CAPITAL],FINANCIACION[Fecha],"&lt;="&amp;FINANCIACION[[#This Row],[Fecha]],FINANCIACION[PRESTAMO],FINANCIACION[[#This Row],[PRESTAMO]])</f>
        <v>-69049119.876845777</v>
      </c>
      <c r="G260" s="113"/>
      <c r="I260" s="119"/>
      <c r="J260" s="113">
        <f>+IF(FINANCIACION[[#This Row],[$ CAPITAL]]&gt;0,FINANCIACION[[#This Row],[$ CAPITAL]])</f>
        <v>506154.13844707143</v>
      </c>
      <c r="K260" s="120">
        <f>+IF(FINANCIACION[[#This Row],[$ CAPITAL]]&gt;=0,FINANCIACION[[#This Row],[$ CAPITAL]]+FINANCIACION[[#This Row],[$ INTERESES]],0)</f>
        <v>1200000</v>
      </c>
    </row>
    <row r="261" spans="1:11" ht="24" customHeight="1" x14ac:dyDescent="0.3">
      <c r="A261" s="112">
        <v>44666</v>
      </c>
      <c r="B261" s="118" t="s">
        <v>346</v>
      </c>
      <c r="C261" s="113">
        <v>511215.67983154219</v>
      </c>
      <c r="D261" s="113">
        <v>688784.32016845781</v>
      </c>
      <c r="E261" s="113">
        <f>+IF(FINANCIACION[[#This Row],[$ CAPITAL]]&gt;=0,FINANCIACION[[#This Row],[$ CAPITAL]]+FINANCIACION[[#This Row],[$ INTERESES]],"")</f>
        <v>1200000</v>
      </c>
      <c r="F261" s="113">
        <f>+SUMIFS(FINANCIACION[$ CAPITAL],FINANCIACION[Fecha],"&lt;="&amp;FINANCIACION[[#This Row],[Fecha]],FINANCIACION[PRESTAMO],FINANCIACION[[#This Row],[PRESTAMO]])</f>
        <v>-68537904.197014228</v>
      </c>
      <c r="G261" s="113"/>
      <c r="I261" s="119"/>
      <c r="J261" s="113">
        <f>+IF(FINANCIACION[[#This Row],[$ CAPITAL]]&gt;0,FINANCIACION[[#This Row],[$ CAPITAL]])</f>
        <v>511215.67983154219</v>
      </c>
      <c r="K261" s="120">
        <f>+IF(FINANCIACION[[#This Row],[$ CAPITAL]]&gt;=0,FINANCIACION[[#This Row],[$ CAPITAL]]+FINANCIACION[[#This Row],[$ INTERESES]],0)</f>
        <v>1200000</v>
      </c>
    </row>
    <row r="262" spans="1:11" ht="24" customHeight="1" x14ac:dyDescent="0.3">
      <c r="A262" s="112">
        <v>44691</v>
      </c>
      <c r="B262" s="118" t="s">
        <v>346</v>
      </c>
      <c r="C262" s="113">
        <v>516327.83662985766</v>
      </c>
      <c r="D262" s="113">
        <v>683672.16337014234</v>
      </c>
      <c r="E262" s="113">
        <f>+IF(FINANCIACION[[#This Row],[$ CAPITAL]]&gt;=0,FINANCIACION[[#This Row],[$ CAPITAL]]+FINANCIACION[[#This Row],[$ INTERESES]],"")</f>
        <v>1200000</v>
      </c>
      <c r="F262" s="113">
        <f>+SUMIFS(FINANCIACION[$ CAPITAL],FINANCIACION[Fecha],"&lt;="&amp;FINANCIACION[[#This Row],[Fecha]],FINANCIACION[PRESTAMO],FINANCIACION[[#This Row],[PRESTAMO]])</f>
        <v>-68021576.360384375</v>
      </c>
      <c r="G262" s="113"/>
      <c r="I262" s="119"/>
      <c r="J262" s="113">
        <f>+IF(FINANCIACION[[#This Row],[$ CAPITAL]]&gt;0,FINANCIACION[[#This Row],[$ CAPITAL]])</f>
        <v>516327.83662985766</v>
      </c>
      <c r="K262" s="120">
        <f>+IF(FINANCIACION[[#This Row],[$ CAPITAL]]&gt;=0,FINANCIACION[[#This Row],[$ CAPITAL]]+FINANCIACION[[#This Row],[$ INTERESES]],0)</f>
        <v>1200000</v>
      </c>
    </row>
    <row r="263" spans="1:11" ht="24" customHeight="1" x14ac:dyDescent="0.3">
      <c r="A263" s="112">
        <v>44722</v>
      </c>
      <c r="B263" s="118" t="s">
        <v>346</v>
      </c>
      <c r="C263" s="113">
        <v>1321491.1149961562</v>
      </c>
      <c r="D263" s="113">
        <v>678508.88500384381</v>
      </c>
      <c r="E263" s="113">
        <f>+IF(FINANCIACION[[#This Row],[$ CAPITAL]]&gt;=0,FINANCIACION[[#This Row],[$ CAPITAL]]+FINANCIACION[[#This Row],[$ INTERESES]],"")</f>
        <v>2000000</v>
      </c>
      <c r="F263" s="113">
        <f>+SUMIFS(FINANCIACION[$ CAPITAL],FINANCIACION[Fecha],"&lt;="&amp;FINANCIACION[[#This Row],[Fecha]],FINANCIACION[PRESTAMO],FINANCIACION[[#This Row],[PRESTAMO]])</f>
        <v>-66700085.245388217</v>
      </c>
      <c r="G263" s="113"/>
      <c r="I263" s="119"/>
      <c r="J263" s="113">
        <f>+IF(FINANCIACION[[#This Row],[$ CAPITAL]]&gt;0,FINANCIACION[[#This Row],[$ CAPITAL]])</f>
        <v>1321491.1149961562</v>
      </c>
      <c r="K263" s="120">
        <f>+IF(FINANCIACION[[#This Row],[$ CAPITAL]]&gt;=0,FINANCIACION[[#This Row],[$ CAPITAL]]+FINANCIACION[[#This Row],[$ INTERESES]],0)</f>
        <v>2000000</v>
      </c>
    </row>
    <row r="264" spans="1:11" ht="24" customHeight="1" x14ac:dyDescent="0.3">
      <c r="A264" s="112">
        <v>44753</v>
      </c>
      <c r="B264" s="118" t="s">
        <v>346</v>
      </c>
      <c r="C264" s="113">
        <v>1334706.0261461178</v>
      </c>
      <c r="D264" s="113">
        <v>665293.97385388217</v>
      </c>
      <c r="E264" s="113">
        <f>+IF(FINANCIACION[[#This Row],[$ CAPITAL]]&gt;=0,FINANCIACION[[#This Row],[$ CAPITAL]]+FINANCIACION[[#This Row],[$ INTERESES]],"")</f>
        <v>2000000</v>
      </c>
      <c r="F264" s="113">
        <f>+SUMIFS(FINANCIACION[$ CAPITAL],FINANCIACION[Fecha],"&lt;="&amp;FINANCIACION[[#This Row],[Fecha]],FINANCIACION[PRESTAMO],FINANCIACION[[#This Row],[PRESTAMO]])</f>
        <v>-65365379.219242096</v>
      </c>
      <c r="G264" s="113"/>
      <c r="I264" s="119"/>
      <c r="J264" s="113">
        <f>+IF(FINANCIACION[[#This Row],[$ CAPITAL]]&gt;0,FINANCIACION[[#This Row],[$ CAPITAL]])</f>
        <v>1334706.0261461178</v>
      </c>
      <c r="K264" s="120">
        <f>+IF(FINANCIACION[[#This Row],[$ CAPITAL]]&gt;=0,FINANCIACION[[#This Row],[$ CAPITAL]]+FINANCIACION[[#This Row],[$ INTERESES]],0)</f>
        <v>2000000</v>
      </c>
    </row>
    <row r="265" spans="1:11" ht="24" customHeight="1" x14ac:dyDescent="0.3">
      <c r="A265" s="112">
        <v>44786</v>
      </c>
      <c r="B265" s="118" t="s">
        <v>346</v>
      </c>
      <c r="C265" s="113">
        <v>1348053.086407579</v>
      </c>
      <c r="D265" s="113">
        <v>651946.91359242098</v>
      </c>
      <c r="E265" s="113">
        <f>+IF(FINANCIACION[[#This Row],[$ CAPITAL]]&gt;=0,FINANCIACION[[#This Row],[$ CAPITAL]]+FINANCIACION[[#This Row],[$ INTERESES]],"")</f>
        <v>2000000</v>
      </c>
      <c r="F265" s="113">
        <f>+SUMIFS(FINANCIACION[$ CAPITAL],FINANCIACION[Fecha],"&lt;="&amp;FINANCIACION[[#This Row],[Fecha]],FINANCIACION[PRESTAMO],FINANCIACION[[#This Row],[PRESTAMO]])</f>
        <v>-64017326.132834516</v>
      </c>
      <c r="G265" s="113"/>
      <c r="I265" s="119"/>
      <c r="J265" s="113">
        <f>+IF(FINANCIACION[[#This Row],[$ CAPITAL]]&gt;0,FINANCIACION[[#This Row],[$ CAPITAL]])</f>
        <v>1348053.086407579</v>
      </c>
      <c r="K265" s="120">
        <f>+IF(FINANCIACION[[#This Row],[$ CAPITAL]]&gt;=0,FINANCIACION[[#This Row],[$ CAPITAL]]+FINANCIACION[[#This Row],[$ INTERESES]],0)</f>
        <v>2000000</v>
      </c>
    </row>
    <row r="266" spans="1:11" ht="24" customHeight="1" x14ac:dyDescent="0.3">
      <c r="A266" s="112">
        <v>44823</v>
      </c>
      <c r="B266" s="118" t="s">
        <v>346</v>
      </c>
      <c r="C266" s="113">
        <v>1359827</v>
      </c>
      <c r="D266" s="113">
        <v>640173</v>
      </c>
      <c r="E266" s="113">
        <f>+IF(FINANCIACION[[#This Row],[$ CAPITAL]]&gt;=0,FINANCIACION[[#This Row],[$ CAPITAL]]+FINANCIACION[[#This Row],[$ INTERESES]],"")</f>
        <v>2000000</v>
      </c>
      <c r="F266" s="113">
        <f>+SUMIFS(FINANCIACION[$ CAPITAL],FINANCIACION[Fecha],"&lt;="&amp;FINANCIACION[[#This Row],[Fecha]],FINANCIACION[PRESTAMO],FINANCIACION[[#This Row],[PRESTAMO]])</f>
        <v>-62657499.132834516</v>
      </c>
      <c r="G266" s="113"/>
      <c r="I266" s="119"/>
      <c r="J266" s="113">
        <f>+IF(FINANCIACION[[#This Row],[$ CAPITAL]]&gt;0,FINANCIACION[[#This Row],[$ CAPITAL]])</f>
        <v>1359827</v>
      </c>
      <c r="K266" s="120">
        <f>+IF(FINANCIACION[[#This Row],[$ CAPITAL]]&gt;=0,FINANCIACION[[#This Row],[$ CAPITAL]]+FINANCIACION[[#This Row],[$ INTERESES]],0)</f>
        <v>2000000</v>
      </c>
    </row>
    <row r="267" spans="1:11" ht="24" customHeight="1" x14ac:dyDescent="0.3">
      <c r="A267" s="112">
        <v>44855</v>
      </c>
      <c r="B267" s="118" t="s">
        <v>346</v>
      </c>
      <c r="C267" s="113">
        <v>1373425</v>
      </c>
      <c r="D267" s="113">
        <v>626575</v>
      </c>
      <c r="E267" s="113">
        <f>+IF(FINANCIACION[[#This Row],[$ CAPITAL]]&gt;=0,FINANCIACION[[#This Row],[$ CAPITAL]]+FINANCIACION[[#This Row],[$ INTERESES]],"")</f>
        <v>2000000</v>
      </c>
      <c r="F267" s="113">
        <f>+SUMIFS(FINANCIACION[$ CAPITAL],FINANCIACION[Fecha],"&lt;="&amp;FINANCIACION[[#This Row],[Fecha]],FINANCIACION[PRESTAMO],FINANCIACION[[#This Row],[PRESTAMO]])</f>
        <v>-61284074.132834516</v>
      </c>
      <c r="G267" s="113"/>
      <c r="I267" s="119"/>
      <c r="J267" s="113">
        <f>+IF(FINANCIACION[[#This Row],[$ CAPITAL]]&gt;0,FINANCIACION[[#This Row],[$ CAPITAL]])</f>
        <v>1373425</v>
      </c>
      <c r="K267" s="120">
        <f>+IF(FINANCIACION[[#This Row],[$ CAPITAL]]&gt;=0,FINANCIACION[[#This Row],[$ CAPITAL]]+FINANCIACION[[#This Row],[$ INTERESES]],0)</f>
        <v>2000000</v>
      </c>
    </row>
    <row r="268" spans="1:11" ht="24" customHeight="1" x14ac:dyDescent="0.3">
      <c r="A268" s="112">
        <v>44876</v>
      </c>
      <c r="B268" s="118" t="s">
        <v>346</v>
      </c>
      <c r="C268" s="113">
        <v>1387159</v>
      </c>
      <c r="D268" s="113">
        <v>612841</v>
      </c>
      <c r="E268" s="113">
        <f>+IF(FINANCIACION[[#This Row],[$ CAPITAL]]&gt;=0,FINANCIACION[[#This Row],[$ CAPITAL]]+FINANCIACION[[#This Row],[$ INTERESES]],"")</f>
        <v>2000000</v>
      </c>
      <c r="F268" s="113">
        <f>+SUMIFS(FINANCIACION[$ CAPITAL],FINANCIACION[Fecha],"&lt;="&amp;FINANCIACION[[#This Row],[Fecha]],FINANCIACION[PRESTAMO],FINANCIACION[[#This Row],[PRESTAMO]])</f>
        <v>-59896915.132834516</v>
      </c>
      <c r="G268" s="113"/>
      <c r="I268" s="119"/>
      <c r="J268" s="113">
        <f>+IF(FINANCIACION[[#This Row],[$ CAPITAL]]&gt;0,FINANCIACION[[#This Row],[$ CAPITAL]])</f>
        <v>1387159</v>
      </c>
      <c r="K268" s="120">
        <f>+IF(FINANCIACION[[#This Row],[$ CAPITAL]]&gt;=0,FINANCIACION[[#This Row],[$ CAPITAL]]+FINANCIACION[[#This Row],[$ INTERESES]],0)</f>
        <v>2000000</v>
      </c>
    </row>
    <row r="269" spans="1:11" ht="24" customHeight="1" x14ac:dyDescent="0.3">
      <c r="A269" s="112">
        <v>44909</v>
      </c>
      <c r="B269" s="118" t="s">
        <v>346</v>
      </c>
      <c r="C269" s="113">
        <v>1401030</v>
      </c>
      <c r="D269" s="113">
        <v>598970</v>
      </c>
      <c r="E269" s="113">
        <f>+IF(FINANCIACION[[#This Row],[$ CAPITAL]]&gt;=0,FINANCIACION[[#This Row],[$ CAPITAL]]+FINANCIACION[[#This Row],[$ INTERESES]],"")</f>
        <v>2000000</v>
      </c>
      <c r="F269" s="113">
        <f>+SUMIFS(FINANCIACION[$ CAPITAL],FINANCIACION[Fecha],"&lt;="&amp;FINANCIACION[[#This Row],[Fecha]],FINANCIACION[PRESTAMO],FINANCIACION[[#This Row],[PRESTAMO]])</f>
        <v>-58495885.132834516</v>
      </c>
      <c r="G269" s="113"/>
      <c r="I269" s="119"/>
      <c r="J269" s="113">
        <f>+IF(FINANCIACION[[#This Row],[$ CAPITAL]]&gt;0,FINANCIACION[[#This Row],[$ CAPITAL]])</f>
        <v>1401030</v>
      </c>
      <c r="K269" s="120">
        <f>+IF(FINANCIACION[[#This Row],[$ CAPITAL]]&gt;=0,FINANCIACION[[#This Row],[$ CAPITAL]]+FINANCIACION[[#This Row],[$ INTERESES]],0)</f>
        <v>2000000</v>
      </c>
    </row>
    <row r="270" spans="1:11" ht="24" customHeight="1" x14ac:dyDescent="0.3">
      <c r="A270" s="112">
        <v>44925</v>
      </c>
      <c r="B270" s="118" t="s">
        <v>346</v>
      </c>
      <c r="C270" s="113">
        <v>1415041</v>
      </c>
      <c r="D270" s="113">
        <v>584959</v>
      </c>
      <c r="E270" s="113">
        <f>+IF(FINANCIACION[[#This Row],[$ CAPITAL]]&gt;=0,FINANCIACION[[#This Row],[$ CAPITAL]]+FINANCIACION[[#This Row],[$ INTERESES]],"")</f>
        <v>2000000</v>
      </c>
      <c r="F270" s="113">
        <f>+SUMIFS(FINANCIACION[$ CAPITAL],FINANCIACION[Fecha],"&lt;="&amp;FINANCIACION[[#This Row],[Fecha]],FINANCIACION[PRESTAMO],FINANCIACION[[#This Row],[PRESTAMO]])</f>
        <v>-57080844.132834516</v>
      </c>
      <c r="G270" s="113"/>
      <c r="I270" s="119"/>
      <c r="J270" s="113">
        <f>+IF(FINANCIACION[[#This Row],[$ CAPITAL]]&gt;0,FINANCIACION[[#This Row],[$ CAPITAL]])</f>
        <v>1415041</v>
      </c>
      <c r="K270" s="120">
        <f>+IF(FINANCIACION[[#This Row],[$ CAPITAL]]&gt;=0,FINANCIACION[[#This Row],[$ CAPITAL]]+FINANCIACION[[#This Row],[$ INTERESES]],0)</f>
        <v>2000000</v>
      </c>
    </row>
    <row r="271" spans="1:11" ht="24" customHeight="1" x14ac:dyDescent="0.3">
      <c r="A271" s="112">
        <v>44938</v>
      </c>
      <c r="B271" s="118" t="s">
        <v>346</v>
      </c>
      <c r="C271" s="113">
        <v>1429192</v>
      </c>
      <c r="D271" s="113">
        <v>570808</v>
      </c>
      <c r="E271" s="113">
        <f>+IF(FINANCIACION[[#This Row],[$ CAPITAL]]&gt;=0,FINANCIACION[[#This Row],[$ CAPITAL]]+FINANCIACION[[#This Row],[$ INTERESES]],"")</f>
        <v>2000000</v>
      </c>
      <c r="F271" s="113">
        <f>+SUMIFS(FINANCIACION[$ CAPITAL],FINANCIACION[Fecha],"&lt;="&amp;FINANCIACION[[#This Row],[Fecha]],FINANCIACION[PRESTAMO],FINANCIACION[[#This Row],[PRESTAMO]])</f>
        <v>-55651652.132834516</v>
      </c>
      <c r="G271" s="113"/>
      <c r="I271" s="119"/>
      <c r="J271" s="113">
        <f>+IF(FINANCIACION[[#This Row],[$ CAPITAL]]&gt;0,FINANCIACION[[#This Row],[$ CAPITAL]])</f>
        <v>1429192</v>
      </c>
      <c r="K271" s="120">
        <f>+IF(FINANCIACION[[#This Row],[$ CAPITAL]]&gt;=0,FINANCIACION[[#This Row],[$ CAPITAL]]+FINANCIACION[[#This Row],[$ INTERESES]],0)</f>
        <v>2000000</v>
      </c>
    </row>
    <row r="272" spans="1:11" ht="24" customHeight="1" x14ac:dyDescent="0.3">
      <c r="A272" s="112">
        <v>44970</v>
      </c>
      <c r="B272" s="118" t="s">
        <v>346</v>
      </c>
      <c r="C272" s="113">
        <v>1443483</v>
      </c>
      <c r="D272" s="113">
        <v>556517</v>
      </c>
      <c r="E272" s="113">
        <f>+IF(FINANCIACION[[#This Row],[$ CAPITAL]]&gt;=0,FINANCIACION[[#This Row],[$ CAPITAL]]+FINANCIACION[[#This Row],[$ INTERESES]],"")</f>
        <v>2000000</v>
      </c>
      <c r="F272" s="113">
        <f>+SUMIFS(FINANCIACION[$ CAPITAL],FINANCIACION[Fecha],"&lt;="&amp;FINANCIACION[[#This Row],[Fecha]],FINANCIACION[PRESTAMO],FINANCIACION[[#This Row],[PRESTAMO]])</f>
        <v>-54208169.132834516</v>
      </c>
      <c r="G272" s="113"/>
      <c r="I272" s="119"/>
      <c r="J272" s="113">
        <f>+IF(FINANCIACION[[#This Row],[$ CAPITAL]]&gt;0,FINANCIACION[[#This Row],[$ CAPITAL]])</f>
        <v>1443483</v>
      </c>
      <c r="K272" s="120">
        <f>+IF(FINANCIACION[[#This Row],[$ CAPITAL]]&gt;=0,FINANCIACION[[#This Row],[$ CAPITAL]]+FINANCIACION[[#This Row],[$ INTERESES]],0)</f>
        <v>2000000</v>
      </c>
    </row>
    <row r="273" spans="1:11" ht="24" customHeight="1" x14ac:dyDescent="0.3">
      <c r="A273" s="112">
        <v>45016</v>
      </c>
      <c r="B273" s="118" t="s">
        <v>346</v>
      </c>
      <c r="C273" s="113">
        <v>0</v>
      </c>
      <c r="D273" s="113">
        <v>0</v>
      </c>
      <c r="E273" s="113">
        <f>+IF(FINANCIACION[[#This Row],[$ CAPITAL]]&gt;=0,FINANCIACION[[#This Row],[$ CAPITAL]]+FINANCIACION[[#This Row],[$ INTERESES]],"")</f>
        <v>0</v>
      </c>
      <c r="F273" s="113">
        <f>+SUMIFS(FINANCIACION[$ CAPITAL],FINANCIACION[Fecha],"&lt;="&amp;FINANCIACION[[#This Row],[Fecha]],FINANCIACION[PRESTAMO],FINANCIACION[[#This Row],[PRESTAMO]])</f>
        <v>-54208169.132834516</v>
      </c>
      <c r="G273" s="113"/>
      <c r="I273" s="119"/>
      <c r="J273" s="113" t="b">
        <f>+IF(FINANCIACION[[#This Row],[$ CAPITAL]]&gt;0,FINANCIACION[[#This Row],[$ CAPITAL]])</f>
        <v>0</v>
      </c>
      <c r="K273" s="120">
        <f>+IF(FINANCIACION[[#This Row],[$ CAPITAL]]&gt;=0,FINANCIACION[[#This Row],[$ CAPITAL]]+FINANCIACION[[#This Row],[$ INTERESES]],0)</f>
        <v>0</v>
      </c>
    </row>
    <row r="274" spans="1:11" ht="24" customHeight="1" x14ac:dyDescent="0.3">
      <c r="A274" s="112">
        <v>45020</v>
      </c>
      <c r="B274" s="118" t="s">
        <v>346</v>
      </c>
      <c r="C274" s="113">
        <v>1457918</v>
      </c>
      <c r="D274" s="113">
        <v>542082</v>
      </c>
      <c r="E274" s="113">
        <f>+IF(FINANCIACION[[#This Row],[$ CAPITAL]]&gt;=0,FINANCIACION[[#This Row],[$ CAPITAL]]+FINANCIACION[[#This Row],[$ INTERESES]],"")</f>
        <v>2000000</v>
      </c>
      <c r="F274" s="113">
        <f>+SUMIFS(FINANCIACION[$ CAPITAL],FINANCIACION[Fecha],"&lt;="&amp;FINANCIACION[[#This Row],[Fecha]],FINANCIACION[PRESTAMO],FINANCIACION[[#This Row],[PRESTAMO]])</f>
        <v>-52750251.132834516</v>
      </c>
      <c r="G274" s="113"/>
      <c r="H274" s="119" t="s">
        <v>695</v>
      </c>
      <c r="I274" s="119"/>
      <c r="J274" s="113">
        <f>+IF(FINANCIACION[[#This Row],[$ CAPITAL]]&gt;0,FINANCIACION[[#This Row],[$ CAPITAL]])</f>
        <v>1457918</v>
      </c>
      <c r="K274" s="120">
        <f>+IF(FINANCIACION[[#This Row],[$ CAPITAL]]&gt;=0,FINANCIACION[[#This Row],[$ CAPITAL]]+FINANCIACION[[#This Row],[$ INTERESES]],0)</f>
        <v>2000000</v>
      </c>
    </row>
    <row r="275" spans="1:11" ht="24" customHeight="1" x14ac:dyDescent="0.3">
      <c r="A275" s="112">
        <v>45033</v>
      </c>
      <c r="B275" s="118" t="s">
        <v>346</v>
      </c>
      <c r="C275" s="113">
        <v>1472497</v>
      </c>
      <c r="D275" s="113">
        <v>527503</v>
      </c>
      <c r="E275" s="113">
        <f>+IF(FINANCIACION[[#This Row],[$ CAPITAL]]&gt;=0,FINANCIACION[[#This Row],[$ CAPITAL]]+FINANCIACION[[#This Row],[$ INTERESES]],"")</f>
        <v>2000000</v>
      </c>
      <c r="F275" s="113">
        <f>+SUMIFS(FINANCIACION[$ CAPITAL],FINANCIACION[Fecha],"&lt;="&amp;FINANCIACION[[#This Row],[Fecha]],FINANCIACION[PRESTAMO],FINANCIACION[[#This Row],[PRESTAMO]])</f>
        <v>-51277754.132834516</v>
      </c>
      <c r="G275" s="113"/>
      <c r="I275" s="119"/>
      <c r="J275" s="113">
        <f>+IF(FINANCIACION[[#This Row],[$ CAPITAL]]&gt;0,FINANCIACION[[#This Row],[$ CAPITAL]])</f>
        <v>1472497</v>
      </c>
      <c r="K275" s="120">
        <f>+IF(FINANCIACION[[#This Row],[$ CAPITAL]]&gt;=0,FINANCIACION[[#This Row],[$ CAPITAL]]+FINANCIACION[[#This Row],[$ INTERESES]],0)</f>
        <v>2000000</v>
      </c>
    </row>
    <row r="276" spans="1:11" ht="24" customHeight="1" x14ac:dyDescent="0.3">
      <c r="A276" s="112">
        <v>45054</v>
      </c>
      <c r="B276" s="118" t="s">
        <v>346</v>
      </c>
      <c r="C276" s="113">
        <v>1487222</v>
      </c>
      <c r="D276" s="113">
        <v>512778</v>
      </c>
      <c r="E276" s="113">
        <f>+IF(FINANCIACION[[#This Row],[$ CAPITAL]]&gt;=0,FINANCIACION[[#This Row],[$ CAPITAL]]+FINANCIACION[[#This Row],[$ INTERESES]],"")</f>
        <v>2000000</v>
      </c>
      <c r="F276" s="113">
        <f>+SUMIFS(FINANCIACION[$ CAPITAL],FINANCIACION[Fecha],"&lt;="&amp;FINANCIACION[[#This Row],[Fecha]],FINANCIACION[PRESTAMO],FINANCIACION[[#This Row],[PRESTAMO]])</f>
        <v>-49790532.132834516</v>
      </c>
      <c r="G276" s="113"/>
      <c r="I276" s="119"/>
      <c r="J276" s="113">
        <f>+IF(FINANCIACION[[#This Row],[$ CAPITAL]]&gt;0,FINANCIACION[[#This Row],[$ CAPITAL]])</f>
        <v>1487222</v>
      </c>
      <c r="K276" s="120">
        <f>+IF(FINANCIACION[[#This Row],[$ CAPITAL]]&gt;=0,FINANCIACION[[#This Row],[$ CAPITAL]]+FINANCIACION[[#This Row],[$ INTERESES]],0)</f>
        <v>2000000</v>
      </c>
    </row>
    <row r="277" spans="1:11" ht="24" customHeight="1" x14ac:dyDescent="0.3">
      <c r="A277" s="112">
        <v>45098</v>
      </c>
      <c r="B277" s="118" t="s">
        <v>346</v>
      </c>
      <c r="C277" s="113">
        <v>1502095</v>
      </c>
      <c r="D277" s="113">
        <v>497905</v>
      </c>
      <c r="E277" s="113">
        <f>+IF(FINANCIACION[[#This Row],[$ CAPITAL]]&gt;=0,FINANCIACION[[#This Row],[$ CAPITAL]]+FINANCIACION[[#This Row],[$ INTERESES]],"")</f>
        <v>2000000</v>
      </c>
      <c r="F277" s="113">
        <f>+SUMIFS(FINANCIACION[$ CAPITAL],FINANCIACION[Fecha],"&lt;="&amp;FINANCIACION[[#This Row],[Fecha]],FINANCIACION[PRESTAMO],FINANCIACION[[#This Row],[PRESTAMO]])</f>
        <v>-48288437.132834516</v>
      </c>
      <c r="G277" s="113"/>
      <c r="I277" s="119"/>
      <c r="J277" s="113">
        <f>+IF(FINANCIACION[[#This Row],[$ CAPITAL]]&gt;0,FINANCIACION[[#This Row],[$ CAPITAL]])</f>
        <v>1502095</v>
      </c>
      <c r="K277" s="120">
        <f>+IF(FINANCIACION[[#This Row],[$ CAPITAL]]&gt;=0,FINANCIACION[[#This Row],[$ CAPITAL]]+FINANCIACION[[#This Row],[$ INTERESES]],0)</f>
        <v>2000000</v>
      </c>
    </row>
    <row r="278" spans="1:11" ht="24" customHeight="1" x14ac:dyDescent="0.3">
      <c r="A278" s="112">
        <v>45107</v>
      </c>
      <c r="B278" s="118" t="s">
        <v>346</v>
      </c>
      <c r="C278" s="113">
        <v>-1364220</v>
      </c>
      <c r="D278" s="113"/>
      <c r="E278" s="113" t="str">
        <f>+IF(FINANCIACION[[#This Row],[$ CAPITAL]]&gt;=0,FINANCIACION[[#This Row],[$ CAPITAL]]+FINANCIACION[[#This Row],[$ INTERESES]],"")</f>
        <v/>
      </c>
      <c r="F278" s="113">
        <f>+SUMIFS(FINANCIACION[$ CAPITAL],FINANCIACION[Fecha],"&lt;="&amp;FINANCIACION[[#This Row],[Fecha]],FINANCIACION[PRESTAMO],FINANCIACION[[#This Row],[PRESTAMO]])</f>
        <v>-49652657.132834516</v>
      </c>
      <c r="G278" s="113"/>
      <c r="H278" s="119" t="s">
        <v>897</v>
      </c>
      <c r="I278" s="119"/>
      <c r="J278" s="113" t="b">
        <f>+IF(FINANCIACION[[#This Row],[$ CAPITAL]]&gt;0,FINANCIACION[[#This Row],[$ CAPITAL]])</f>
        <v>0</v>
      </c>
      <c r="K278" s="120">
        <f>+IF(FINANCIACION[[#This Row],[$ CAPITAL]]&gt;=0,FINANCIACION[[#This Row],[$ CAPITAL]]+FINANCIACION[[#This Row],[$ INTERESES]],0)</f>
        <v>0</v>
      </c>
    </row>
    <row r="279" spans="1:11" ht="24" customHeight="1" x14ac:dyDescent="0.3">
      <c r="A279" s="112">
        <v>45126</v>
      </c>
      <c r="B279" s="118" t="s">
        <v>346</v>
      </c>
      <c r="C279" s="113">
        <v>1503473</v>
      </c>
      <c r="D279" s="113">
        <v>496527</v>
      </c>
      <c r="E279" s="113">
        <f>+IF(FINANCIACION[[#This Row],[$ CAPITAL]]&gt;=0,FINANCIACION[[#This Row],[$ CAPITAL]]+FINANCIACION[[#This Row],[$ INTERESES]],"")</f>
        <v>2000000</v>
      </c>
      <c r="F279" s="113">
        <f>+SUMIFS(FINANCIACION[$ CAPITAL],FINANCIACION[Fecha],"&lt;="&amp;FINANCIACION[[#This Row],[Fecha]],FINANCIACION[PRESTAMO],FINANCIACION[[#This Row],[PRESTAMO]])</f>
        <v>-48149184.132834516</v>
      </c>
      <c r="G279" s="113"/>
      <c r="I279" s="119"/>
      <c r="J279" s="113">
        <f>+IF(FINANCIACION[[#This Row],[$ CAPITAL]]&gt;0,FINANCIACION[[#This Row],[$ CAPITAL]])</f>
        <v>1503473</v>
      </c>
      <c r="K279" s="120">
        <f>+IF(FINANCIACION[[#This Row],[$ CAPITAL]]&gt;=0,FINANCIACION[[#This Row],[$ CAPITAL]]+FINANCIACION[[#This Row],[$ INTERESES]],0)</f>
        <v>2000000</v>
      </c>
    </row>
    <row r="280" spans="1:11" ht="24" customHeight="1" x14ac:dyDescent="0.3">
      <c r="A280" s="112">
        <v>45155</v>
      </c>
      <c r="B280" s="118" t="s">
        <v>346</v>
      </c>
      <c r="C280" s="113">
        <v>1518508.16</v>
      </c>
      <c r="D280" s="113">
        <v>481491.84</v>
      </c>
      <c r="E280" s="113">
        <f>+IF(FINANCIACION[[#This Row],[$ CAPITAL]]&gt;=0,FINANCIACION[[#This Row],[$ CAPITAL]]+FINANCIACION[[#This Row],[$ INTERESES]],"")</f>
        <v>2000000</v>
      </c>
      <c r="F280" s="113">
        <f>+SUMIFS(FINANCIACION[$ CAPITAL],FINANCIACION[Fecha],"&lt;="&amp;FINANCIACION[[#This Row],[Fecha]],FINANCIACION[PRESTAMO],FINANCIACION[[#This Row],[PRESTAMO]])</f>
        <v>-46630675.97283452</v>
      </c>
      <c r="G280" s="113"/>
      <c r="I280" s="119"/>
      <c r="J280" s="113">
        <f>+IF(FINANCIACION[[#This Row],[$ CAPITAL]]&gt;0,FINANCIACION[[#This Row],[$ CAPITAL]])</f>
        <v>1518508.16</v>
      </c>
      <c r="K280" s="120">
        <f>+IF(FINANCIACION[[#This Row],[$ CAPITAL]]&gt;=0,FINANCIACION[[#This Row],[$ CAPITAL]]+FINANCIACION[[#This Row],[$ INTERESES]],0)</f>
        <v>2000000</v>
      </c>
    </row>
    <row r="281" spans="1:11" ht="24" customHeight="1" x14ac:dyDescent="0.3">
      <c r="A281" s="112">
        <v>45194</v>
      </c>
      <c r="B281" s="118" t="s">
        <v>346</v>
      </c>
      <c r="C281" s="113">
        <v>1533693</v>
      </c>
      <c r="D281" s="113">
        <v>466307</v>
      </c>
      <c r="E281" s="113">
        <f>+IF(FINANCIACION[[#This Row],[$ CAPITAL]]&gt;=0,FINANCIACION[[#This Row],[$ CAPITAL]]+FINANCIACION[[#This Row],[$ INTERESES]],"")</f>
        <v>2000000</v>
      </c>
      <c r="F281" s="113">
        <f>+SUMIFS(FINANCIACION[$ CAPITAL],FINANCIACION[Fecha],"&lt;="&amp;FINANCIACION[[#This Row],[Fecha]],FINANCIACION[PRESTAMO],FINANCIACION[[#This Row],[PRESTAMO]])</f>
        <v>-45096982.97283452</v>
      </c>
      <c r="G281" s="113"/>
      <c r="I281" s="119"/>
      <c r="J281" s="113">
        <f>+IF(FINANCIACION[[#This Row],[$ CAPITAL]]&gt;0,FINANCIACION[[#This Row],[$ CAPITAL]])</f>
        <v>1533693</v>
      </c>
      <c r="K281" s="120">
        <f>+IF(FINANCIACION[[#This Row],[$ CAPITAL]]&gt;=0,FINANCIACION[[#This Row],[$ CAPITAL]]+FINANCIACION[[#This Row],[$ INTERESES]],0)</f>
        <v>2000000</v>
      </c>
    </row>
    <row r="282" spans="1:11" ht="24" customHeight="1" x14ac:dyDescent="0.3">
      <c r="A282" s="112">
        <v>45220</v>
      </c>
      <c r="B282" s="118" t="s">
        <v>346</v>
      </c>
      <c r="C282" s="113">
        <v>1549030</v>
      </c>
      <c r="D282" s="113">
        <v>450970</v>
      </c>
      <c r="E282" s="113">
        <f>+IF(FINANCIACION[[#This Row],[$ CAPITAL]]&gt;=0,FINANCIACION[[#This Row],[$ CAPITAL]]+FINANCIACION[[#This Row],[$ INTERESES]],"")</f>
        <v>2000000</v>
      </c>
      <c r="F282" s="113">
        <f>+SUMIFS(FINANCIACION[$ CAPITAL],FINANCIACION[Fecha],"&lt;="&amp;FINANCIACION[[#This Row],[Fecha]],FINANCIACION[PRESTAMO],FINANCIACION[[#This Row],[PRESTAMO]])</f>
        <v>-43547952.97283452</v>
      </c>
      <c r="G282" s="113"/>
      <c r="I282" s="119"/>
      <c r="J282" s="113">
        <f>+IF(FINANCIACION[[#This Row],[$ CAPITAL]]&gt;0,FINANCIACION[[#This Row],[$ CAPITAL]])</f>
        <v>1549030</v>
      </c>
      <c r="K282" s="120">
        <f>+IF(FINANCIACION[[#This Row],[$ CAPITAL]]&gt;=0,FINANCIACION[[#This Row],[$ CAPITAL]]+FINANCIACION[[#This Row],[$ INTERESES]],0)</f>
        <v>2000000</v>
      </c>
    </row>
    <row r="283" spans="1:11" ht="24" customHeight="1" x14ac:dyDescent="0.3">
      <c r="A283" s="112">
        <v>45244</v>
      </c>
      <c r="B283" s="118" t="s">
        <v>346</v>
      </c>
      <c r="C283" s="113">
        <v>1564521</v>
      </c>
      <c r="D283" s="113">
        <v>435479</v>
      </c>
      <c r="E283" s="113">
        <f>+IF(FINANCIACION[[#This Row],[$ CAPITAL]]&gt;=0,FINANCIACION[[#This Row],[$ CAPITAL]]+FINANCIACION[[#This Row],[$ INTERESES]],"")</f>
        <v>2000000</v>
      </c>
      <c r="F283" s="113">
        <f>+SUMIFS(FINANCIACION[$ CAPITAL],FINANCIACION[Fecha],"&lt;="&amp;FINANCIACION[[#This Row],[Fecha]],FINANCIACION[PRESTAMO],FINANCIACION[[#This Row],[PRESTAMO]])</f>
        <v>-41983431.97283452</v>
      </c>
      <c r="G283" s="113"/>
      <c r="I283" s="119"/>
      <c r="J283" s="113">
        <f>+IF(FINANCIACION[[#This Row],[$ CAPITAL]]&gt;0,FINANCIACION[[#This Row],[$ CAPITAL]])</f>
        <v>1564521</v>
      </c>
      <c r="K283" s="120">
        <f>+IF(FINANCIACION[[#This Row],[$ CAPITAL]]&gt;=0,FINANCIACION[[#This Row],[$ CAPITAL]]+FINANCIACION[[#This Row],[$ INTERESES]],0)</f>
        <v>2000000</v>
      </c>
    </row>
    <row r="284" spans="1:11" ht="24" customHeight="1" x14ac:dyDescent="0.3">
      <c r="A284" s="112">
        <v>45271</v>
      </c>
      <c r="B284" s="118" t="s">
        <v>346</v>
      </c>
      <c r="C284" s="113">
        <v>1580166</v>
      </c>
      <c r="D284" s="113">
        <v>419834</v>
      </c>
      <c r="E284" s="113">
        <f>+IF(FINANCIACION[[#This Row],[$ CAPITAL]]&gt;=0,FINANCIACION[[#This Row],[$ CAPITAL]]+FINANCIACION[[#This Row],[$ INTERESES]],"")</f>
        <v>2000000</v>
      </c>
      <c r="F284" s="113">
        <f>+SUMIFS(FINANCIACION[$ CAPITAL],FINANCIACION[Fecha],"&lt;="&amp;FINANCIACION[[#This Row],[Fecha]],FINANCIACION[PRESTAMO],FINANCIACION[[#This Row],[PRESTAMO]])</f>
        <v>-40403265.97283452</v>
      </c>
      <c r="G284" s="113"/>
      <c r="I284" s="119"/>
      <c r="J284" s="113">
        <f>+IF(FINANCIACION[[#This Row],[$ CAPITAL]]&gt;0,FINANCIACION[[#This Row],[$ CAPITAL]])</f>
        <v>1580166</v>
      </c>
      <c r="K284" s="120">
        <f>+IF(FINANCIACION[[#This Row],[$ CAPITAL]]&gt;=0,FINANCIACION[[#This Row],[$ CAPITAL]]+FINANCIACION[[#This Row],[$ INTERESES]],0)</f>
        <v>2000000</v>
      </c>
    </row>
    <row r="285" spans="1:11" ht="24" customHeight="1" x14ac:dyDescent="0.3">
      <c r="A285" s="112">
        <v>45302</v>
      </c>
      <c r="B285" s="118" t="s">
        <v>346</v>
      </c>
      <c r="C285" s="113">
        <v>1595967.3402716548</v>
      </c>
      <c r="D285" s="113">
        <v>404032.65972834529</v>
      </c>
      <c r="E285" s="113">
        <f>+IF(FINANCIACION[[#This Row],[$ CAPITAL]]&gt;=0,FINANCIACION[[#This Row],[$ CAPITAL]]+FINANCIACION[[#This Row],[$ INTERESES]],"")</f>
        <v>2000000</v>
      </c>
      <c r="F285" s="113">
        <f>+SUMIFS(FINANCIACION[$ CAPITAL],FINANCIACION[Fecha],"&lt;="&amp;FINANCIACION[[#This Row],[Fecha]],FINANCIACION[PRESTAMO],FINANCIACION[[#This Row],[PRESTAMO]])</f>
        <v>-38807298.632562868</v>
      </c>
      <c r="G285" s="113"/>
      <c r="I285" s="119"/>
      <c r="J285" s="113">
        <f>+IF(FINANCIACION[[#This Row],[$ CAPITAL]]&gt;0,FINANCIACION[[#This Row],[$ CAPITAL]])</f>
        <v>1595967.3402716548</v>
      </c>
      <c r="K285" s="120">
        <f>+IF(FINANCIACION[[#This Row],[$ CAPITAL]]&gt;=0,FINANCIACION[[#This Row],[$ CAPITAL]]+FINANCIACION[[#This Row],[$ INTERESES]],0)</f>
        <v>2000000</v>
      </c>
    </row>
    <row r="286" spans="1:11" ht="24" customHeight="1" x14ac:dyDescent="0.3">
      <c r="A286" s="112">
        <v>44729</v>
      </c>
      <c r="B286" s="118" t="s">
        <v>356</v>
      </c>
      <c r="C286" s="113">
        <v>-50000000</v>
      </c>
      <c r="D286" s="113"/>
      <c r="E286" s="113" t="str">
        <f>+IF(FINANCIACION[[#This Row],[$ CAPITAL]]&gt;=0,FINANCIACION[[#This Row],[$ CAPITAL]]+FINANCIACION[[#This Row],[$ INTERESES]],"")</f>
        <v/>
      </c>
      <c r="F286" s="113">
        <f>+SUMIFS(FINANCIACION[$ CAPITAL],FINANCIACION[Fecha],"&lt;="&amp;FINANCIACION[[#This Row],[Fecha]],FINANCIACION[PRESTAMO],FINANCIACION[[#This Row],[PRESTAMO]])</f>
        <v>-50000000</v>
      </c>
      <c r="G286" s="113"/>
      <c r="H286" s="119" t="s">
        <v>430</v>
      </c>
      <c r="I286" s="119"/>
      <c r="J286" s="113" t="b">
        <f>+IF(FINANCIACION[[#This Row],[$ CAPITAL]]&gt;0,FINANCIACION[[#This Row],[$ CAPITAL]])</f>
        <v>0</v>
      </c>
      <c r="K286" s="120">
        <f>+IF(FINANCIACION[[#This Row],[$ CAPITAL]]&gt;=0,FINANCIACION[[#This Row],[$ CAPITAL]]+FINANCIACION[[#This Row],[$ INTERESES]],0)</f>
        <v>0</v>
      </c>
    </row>
    <row r="287" spans="1:11" ht="24" customHeight="1" x14ac:dyDescent="0.3">
      <c r="A287" s="112">
        <v>44762</v>
      </c>
      <c r="B287" s="118" t="s">
        <v>356</v>
      </c>
      <c r="C287" s="113"/>
      <c r="D287" s="113">
        <v>500000</v>
      </c>
      <c r="E287" s="113">
        <f>+IF(FINANCIACION[[#This Row],[$ CAPITAL]]&gt;=0,FINANCIACION[[#This Row],[$ CAPITAL]]+FINANCIACION[[#This Row],[$ INTERESES]],"")</f>
        <v>500000</v>
      </c>
      <c r="F287" s="113">
        <f>+SUMIFS(FINANCIACION[$ CAPITAL],FINANCIACION[Fecha],"&lt;="&amp;FINANCIACION[[#This Row],[Fecha]],FINANCIACION[PRESTAMO],FINANCIACION[[#This Row],[PRESTAMO]])</f>
        <v>-50000000</v>
      </c>
      <c r="G287" s="113"/>
      <c r="I287" s="119"/>
      <c r="J287" s="113" t="b">
        <f>+IF(FINANCIACION[[#This Row],[$ CAPITAL]]&gt;0,FINANCIACION[[#This Row],[$ CAPITAL]])</f>
        <v>0</v>
      </c>
      <c r="K287" s="120">
        <f>+IF(FINANCIACION[[#This Row],[$ CAPITAL]]&gt;=0,FINANCIACION[[#This Row],[$ CAPITAL]]+FINANCIACION[[#This Row],[$ INTERESES]],0)</f>
        <v>500000</v>
      </c>
    </row>
    <row r="288" spans="1:11" ht="24" customHeight="1" x14ac:dyDescent="0.3">
      <c r="A288" s="112">
        <v>44783</v>
      </c>
      <c r="B288" s="118" t="s">
        <v>356</v>
      </c>
      <c r="C288" s="113"/>
      <c r="D288" s="113">
        <v>500000</v>
      </c>
      <c r="E288" s="113">
        <f>+IF(FINANCIACION[[#This Row],[$ CAPITAL]]&gt;=0,FINANCIACION[[#This Row],[$ CAPITAL]]+FINANCIACION[[#This Row],[$ INTERESES]],"")</f>
        <v>500000</v>
      </c>
      <c r="F288" s="113">
        <f>+SUMIFS(FINANCIACION[$ CAPITAL],FINANCIACION[Fecha],"&lt;="&amp;FINANCIACION[[#This Row],[Fecha]],FINANCIACION[PRESTAMO],FINANCIACION[[#This Row],[PRESTAMO]])</f>
        <v>-50000000</v>
      </c>
      <c r="G288" s="113"/>
      <c r="I288" s="119"/>
      <c r="J288" s="113" t="b">
        <f>+IF(FINANCIACION[[#This Row],[$ CAPITAL]]&gt;0,FINANCIACION[[#This Row],[$ CAPITAL]])</f>
        <v>0</v>
      </c>
      <c r="K288" s="120">
        <f>+IF(FINANCIACION[[#This Row],[$ CAPITAL]]&gt;=0,FINANCIACION[[#This Row],[$ CAPITAL]]+FINANCIACION[[#This Row],[$ INTERESES]],0)</f>
        <v>500000</v>
      </c>
    </row>
    <row r="289" spans="1:11" ht="24" customHeight="1" x14ac:dyDescent="0.3">
      <c r="A289" s="112">
        <v>44823</v>
      </c>
      <c r="B289" s="118" t="s">
        <v>356</v>
      </c>
      <c r="C289" s="113"/>
      <c r="D289" s="113">
        <v>500000</v>
      </c>
      <c r="E289" s="113">
        <f>+IF(FINANCIACION[[#This Row],[$ CAPITAL]]&gt;=0,FINANCIACION[[#This Row],[$ CAPITAL]]+FINANCIACION[[#This Row],[$ INTERESES]],"")</f>
        <v>500000</v>
      </c>
      <c r="F289" s="113">
        <f>+SUMIFS(FINANCIACION[$ CAPITAL],FINANCIACION[Fecha],"&lt;="&amp;FINANCIACION[[#This Row],[Fecha]],FINANCIACION[PRESTAMO],FINANCIACION[[#This Row],[PRESTAMO]])</f>
        <v>-50000000</v>
      </c>
      <c r="G289" s="113"/>
      <c r="I289" s="119"/>
      <c r="J289" s="113" t="b">
        <f>+IF(FINANCIACION[[#This Row],[$ CAPITAL]]&gt;0,FINANCIACION[[#This Row],[$ CAPITAL]])</f>
        <v>0</v>
      </c>
      <c r="K289" s="120">
        <f>+IF(FINANCIACION[[#This Row],[$ CAPITAL]]&gt;=0,FINANCIACION[[#This Row],[$ CAPITAL]]+FINANCIACION[[#This Row],[$ INTERESES]],0)</f>
        <v>500000</v>
      </c>
    </row>
    <row r="290" spans="1:11" ht="24" customHeight="1" x14ac:dyDescent="0.3">
      <c r="A290" s="112">
        <v>44844</v>
      </c>
      <c r="B290" s="118" t="s">
        <v>356</v>
      </c>
      <c r="C290" s="113">
        <v>-25000000</v>
      </c>
      <c r="D290" s="113"/>
      <c r="E290" s="113" t="str">
        <f>+IF(FINANCIACION[[#This Row],[$ CAPITAL]]&gt;=0,FINANCIACION[[#This Row],[$ CAPITAL]]+FINANCIACION[[#This Row],[$ INTERESES]],"")</f>
        <v/>
      </c>
      <c r="F290" s="113">
        <f>+SUMIFS(FINANCIACION[$ CAPITAL],FINANCIACION[Fecha],"&lt;="&amp;FINANCIACION[[#This Row],[Fecha]],FINANCIACION[PRESTAMO],FINANCIACION[[#This Row],[PRESTAMO]])</f>
        <v>-75000000</v>
      </c>
      <c r="G290" s="113"/>
      <c r="H290" s="119" t="s">
        <v>505</v>
      </c>
      <c r="I290" s="119"/>
      <c r="J290" s="113" t="b">
        <f>+IF(FINANCIACION[[#This Row],[$ CAPITAL]]&gt;0,FINANCIACION[[#This Row],[$ CAPITAL]])</f>
        <v>0</v>
      </c>
      <c r="K290" s="120">
        <f>+IF(FINANCIACION[[#This Row],[$ CAPITAL]]&gt;=0,FINANCIACION[[#This Row],[$ CAPITAL]]+FINANCIACION[[#This Row],[$ INTERESES]],0)</f>
        <v>0</v>
      </c>
    </row>
    <row r="291" spans="1:11" ht="24" customHeight="1" x14ac:dyDescent="0.3">
      <c r="A291" s="112">
        <v>44846</v>
      </c>
      <c r="B291" s="118" t="s">
        <v>356</v>
      </c>
      <c r="C291" s="113"/>
      <c r="D291" s="113">
        <v>500000</v>
      </c>
      <c r="E291" s="113">
        <f>+IF(FINANCIACION[[#This Row],[$ CAPITAL]]&gt;=0,FINANCIACION[[#This Row],[$ CAPITAL]]+FINANCIACION[[#This Row],[$ INTERESES]],"")</f>
        <v>500000</v>
      </c>
      <c r="F291" s="113">
        <f>+SUMIFS(FINANCIACION[$ CAPITAL],FINANCIACION[Fecha],"&lt;="&amp;FINANCIACION[[#This Row],[Fecha]],FINANCIACION[PRESTAMO],FINANCIACION[[#This Row],[PRESTAMO]])</f>
        <v>-75000000</v>
      </c>
      <c r="G291" s="113"/>
      <c r="I291" s="119"/>
      <c r="J291" s="113" t="b">
        <f>+IF(FINANCIACION[[#This Row],[$ CAPITAL]]&gt;0,FINANCIACION[[#This Row],[$ CAPITAL]])</f>
        <v>0</v>
      </c>
      <c r="K291" s="120">
        <f>+IF(FINANCIACION[[#This Row],[$ CAPITAL]]&gt;=0,FINANCIACION[[#This Row],[$ CAPITAL]]+FINANCIACION[[#This Row],[$ INTERESES]],0)</f>
        <v>500000</v>
      </c>
    </row>
    <row r="292" spans="1:11" ht="24" customHeight="1" x14ac:dyDescent="0.3">
      <c r="A292" s="112">
        <v>44876</v>
      </c>
      <c r="B292" s="118" t="s">
        <v>356</v>
      </c>
      <c r="C292" s="113"/>
      <c r="D292" s="113">
        <v>750000</v>
      </c>
      <c r="E292" s="113">
        <f>+IF(FINANCIACION[[#This Row],[$ CAPITAL]]&gt;=0,FINANCIACION[[#This Row],[$ CAPITAL]]+FINANCIACION[[#This Row],[$ INTERESES]],"")</f>
        <v>750000</v>
      </c>
      <c r="F292" s="113">
        <f>+SUMIFS(FINANCIACION[$ CAPITAL],FINANCIACION[Fecha],"&lt;="&amp;FINANCIACION[[#This Row],[Fecha]],FINANCIACION[PRESTAMO],FINANCIACION[[#This Row],[PRESTAMO]])</f>
        <v>-75000000</v>
      </c>
      <c r="G292" s="113"/>
      <c r="I292" s="119"/>
      <c r="J292" s="113" t="b">
        <f>+IF(FINANCIACION[[#This Row],[$ CAPITAL]]&gt;0,FINANCIACION[[#This Row],[$ CAPITAL]])</f>
        <v>0</v>
      </c>
      <c r="K292" s="120">
        <f>+IF(FINANCIACION[[#This Row],[$ CAPITAL]]&gt;=0,FINANCIACION[[#This Row],[$ CAPITAL]]+FINANCIACION[[#This Row],[$ INTERESES]],0)</f>
        <v>750000</v>
      </c>
    </row>
    <row r="293" spans="1:11" ht="24" customHeight="1" x14ac:dyDescent="0.3">
      <c r="A293" s="112">
        <v>44909</v>
      </c>
      <c r="B293" s="118" t="s">
        <v>356</v>
      </c>
      <c r="C293" s="113"/>
      <c r="D293" s="113">
        <v>750000</v>
      </c>
      <c r="E293" s="113">
        <f>+IF(FINANCIACION[[#This Row],[$ CAPITAL]]&gt;=0,FINANCIACION[[#This Row],[$ CAPITAL]]+FINANCIACION[[#This Row],[$ INTERESES]],"")</f>
        <v>750000</v>
      </c>
      <c r="F293" s="113">
        <f>+SUMIFS(FINANCIACION[$ CAPITAL],FINANCIACION[Fecha],"&lt;="&amp;FINANCIACION[[#This Row],[Fecha]],FINANCIACION[PRESTAMO],FINANCIACION[[#This Row],[PRESTAMO]])</f>
        <v>-75000000</v>
      </c>
      <c r="G293" s="113"/>
      <c r="I293" s="119"/>
      <c r="J293" s="113" t="b">
        <f>+IF(FINANCIACION[[#This Row],[$ CAPITAL]]&gt;0,FINANCIACION[[#This Row],[$ CAPITAL]])</f>
        <v>0</v>
      </c>
      <c r="K293" s="120">
        <f>+IF(FINANCIACION[[#This Row],[$ CAPITAL]]&gt;=0,FINANCIACION[[#This Row],[$ CAPITAL]]+FINANCIACION[[#This Row],[$ INTERESES]],0)</f>
        <v>750000</v>
      </c>
    </row>
    <row r="294" spans="1:11" ht="24" customHeight="1" x14ac:dyDescent="0.3">
      <c r="A294" s="112">
        <v>44938</v>
      </c>
      <c r="B294" s="118" t="s">
        <v>356</v>
      </c>
      <c r="C294" s="113"/>
      <c r="D294" s="113">
        <v>750000</v>
      </c>
      <c r="E294" s="113">
        <f>+IF(FINANCIACION[[#This Row],[$ CAPITAL]]&gt;=0,FINANCIACION[[#This Row],[$ CAPITAL]]+FINANCIACION[[#This Row],[$ INTERESES]],"")</f>
        <v>750000</v>
      </c>
      <c r="F294" s="113">
        <f>+SUMIFS(FINANCIACION[$ CAPITAL],FINANCIACION[Fecha],"&lt;="&amp;FINANCIACION[[#This Row],[Fecha]],FINANCIACION[PRESTAMO],FINANCIACION[[#This Row],[PRESTAMO]])</f>
        <v>-75000000</v>
      </c>
      <c r="G294" s="113"/>
      <c r="I294" s="119"/>
      <c r="J294" s="113" t="b">
        <f>+IF(FINANCIACION[[#This Row],[$ CAPITAL]]&gt;0,FINANCIACION[[#This Row],[$ CAPITAL]])</f>
        <v>0</v>
      </c>
      <c r="K294" s="120">
        <f>+IF(FINANCIACION[[#This Row],[$ CAPITAL]]&gt;=0,FINANCIACION[[#This Row],[$ CAPITAL]]+FINANCIACION[[#This Row],[$ INTERESES]],0)</f>
        <v>750000</v>
      </c>
    </row>
    <row r="295" spans="1:11" ht="24" customHeight="1" x14ac:dyDescent="0.3">
      <c r="A295" s="112">
        <v>44970</v>
      </c>
      <c r="B295" s="118" t="s">
        <v>356</v>
      </c>
      <c r="C295" s="113"/>
      <c r="D295" s="113">
        <v>750000</v>
      </c>
      <c r="E295" s="113">
        <f>+IF(FINANCIACION[[#This Row],[$ CAPITAL]]&gt;=0,FINANCIACION[[#This Row],[$ CAPITAL]]+FINANCIACION[[#This Row],[$ INTERESES]],"")</f>
        <v>750000</v>
      </c>
      <c r="F295" s="113">
        <f>+SUMIFS(FINANCIACION[$ CAPITAL],FINANCIACION[Fecha],"&lt;="&amp;FINANCIACION[[#This Row],[Fecha]],FINANCIACION[PRESTAMO],FINANCIACION[[#This Row],[PRESTAMO]])</f>
        <v>-75000000</v>
      </c>
      <c r="G295" s="113"/>
      <c r="I295" s="119"/>
      <c r="J295" s="113" t="b">
        <f>+IF(FINANCIACION[[#This Row],[$ CAPITAL]]&gt;0,FINANCIACION[[#This Row],[$ CAPITAL]])</f>
        <v>0</v>
      </c>
      <c r="K295" s="120">
        <f>+IF(FINANCIACION[[#This Row],[$ CAPITAL]]&gt;=0,FINANCIACION[[#This Row],[$ CAPITAL]]+FINANCIACION[[#This Row],[$ INTERESES]],0)</f>
        <v>750000</v>
      </c>
    </row>
    <row r="296" spans="1:11" ht="24" customHeight="1" x14ac:dyDescent="0.3">
      <c r="A296" s="112">
        <v>45012</v>
      </c>
      <c r="B296" s="118" t="s">
        <v>356</v>
      </c>
      <c r="C296" s="113"/>
      <c r="D296" s="113">
        <v>750000</v>
      </c>
      <c r="E296" s="113">
        <f>+IF(FINANCIACION[[#This Row],[$ CAPITAL]]&gt;=0,FINANCIACION[[#This Row],[$ CAPITAL]]+FINANCIACION[[#This Row],[$ INTERESES]],"")</f>
        <v>750000</v>
      </c>
      <c r="F296" s="113">
        <f>+SUMIFS(FINANCIACION[$ CAPITAL],FINANCIACION[Fecha],"&lt;="&amp;FINANCIACION[[#This Row],[Fecha]],FINANCIACION[PRESTAMO],FINANCIACION[[#This Row],[PRESTAMO]])</f>
        <v>-75000000</v>
      </c>
      <c r="G296" s="113"/>
      <c r="I296" s="119"/>
      <c r="J296" s="113" t="b">
        <f>+IF(FINANCIACION[[#This Row],[$ CAPITAL]]&gt;0,FINANCIACION[[#This Row],[$ CAPITAL]])</f>
        <v>0</v>
      </c>
      <c r="K296" s="120">
        <f>+IF(FINANCIACION[[#This Row],[$ CAPITAL]]&gt;=0,FINANCIACION[[#This Row],[$ CAPITAL]]+FINANCIACION[[#This Row],[$ INTERESES]],0)</f>
        <v>750000</v>
      </c>
    </row>
    <row r="297" spans="1:11" ht="24" customHeight="1" x14ac:dyDescent="0.3">
      <c r="A297" s="112">
        <v>45026</v>
      </c>
      <c r="B297" s="118" t="s">
        <v>356</v>
      </c>
      <c r="C297" s="113"/>
      <c r="D297" s="113">
        <v>750000</v>
      </c>
      <c r="E297" s="113">
        <f>+IF(FINANCIACION[[#This Row],[$ CAPITAL]]&gt;=0,FINANCIACION[[#This Row],[$ CAPITAL]]+FINANCIACION[[#This Row],[$ INTERESES]],"")</f>
        <v>750000</v>
      </c>
      <c r="F297" s="113">
        <f>+SUMIFS(FINANCIACION[$ CAPITAL],FINANCIACION[Fecha],"&lt;="&amp;FINANCIACION[[#This Row],[Fecha]],FINANCIACION[PRESTAMO],FINANCIACION[[#This Row],[PRESTAMO]])</f>
        <v>-75000000</v>
      </c>
      <c r="G297" s="113"/>
      <c r="I297" s="119"/>
      <c r="J297" s="113" t="b">
        <f>+IF(FINANCIACION[[#This Row],[$ CAPITAL]]&gt;0,FINANCIACION[[#This Row],[$ CAPITAL]])</f>
        <v>0</v>
      </c>
      <c r="K297" s="120">
        <f>+IF(FINANCIACION[[#This Row],[$ CAPITAL]]&gt;=0,FINANCIACION[[#This Row],[$ CAPITAL]]+FINANCIACION[[#This Row],[$ INTERESES]],0)</f>
        <v>750000</v>
      </c>
    </row>
    <row r="298" spans="1:11" ht="24" customHeight="1" x14ac:dyDescent="0.3">
      <c r="A298" s="112">
        <v>45055</v>
      </c>
      <c r="B298" s="118" t="s">
        <v>356</v>
      </c>
      <c r="C298" s="113"/>
      <c r="D298" s="113">
        <v>750000</v>
      </c>
      <c r="E298" s="113">
        <f>+IF(FINANCIACION[[#This Row],[$ CAPITAL]]&gt;=0,FINANCIACION[[#This Row],[$ CAPITAL]]+FINANCIACION[[#This Row],[$ INTERESES]],"")</f>
        <v>750000</v>
      </c>
      <c r="F298" s="113">
        <f>+SUMIFS(FINANCIACION[$ CAPITAL],FINANCIACION[Fecha],"&lt;="&amp;FINANCIACION[[#This Row],[Fecha]],FINANCIACION[PRESTAMO],FINANCIACION[[#This Row],[PRESTAMO]])</f>
        <v>-75000000</v>
      </c>
      <c r="G298" s="113"/>
      <c r="I298" s="119"/>
      <c r="J298" s="113" t="b">
        <f>+IF(FINANCIACION[[#This Row],[$ CAPITAL]]&gt;0,FINANCIACION[[#This Row],[$ CAPITAL]])</f>
        <v>0</v>
      </c>
      <c r="K298" s="120">
        <f>+IF(FINANCIACION[[#This Row],[$ CAPITAL]]&gt;=0,FINANCIACION[[#This Row],[$ CAPITAL]]+FINANCIACION[[#This Row],[$ INTERESES]],0)</f>
        <v>750000</v>
      </c>
    </row>
    <row r="299" spans="1:11" ht="24" customHeight="1" x14ac:dyDescent="0.3">
      <c r="A299" s="112">
        <v>45100</v>
      </c>
      <c r="B299" s="118" t="s">
        <v>356</v>
      </c>
      <c r="C299" s="113"/>
      <c r="D299" s="113">
        <v>750000</v>
      </c>
      <c r="E299" s="113">
        <f>+IF(FINANCIACION[[#This Row],[$ CAPITAL]]&gt;=0,FINANCIACION[[#This Row],[$ CAPITAL]]+FINANCIACION[[#This Row],[$ INTERESES]],"")</f>
        <v>750000</v>
      </c>
      <c r="F299" s="113">
        <f>+SUMIFS(FINANCIACION[$ CAPITAL],FINANCIACION[Fecha],"&lt;="&amp;FINANCIACION[[#This Row],[Fecha]],FINANCIACION[PRESTAMO],FINANCIACION[[#This Row],[PRESTAMO]])</f>
        <v>-75000000</v>
      </c>
      <c r="G299" s="113"/>
      <c r="I299" s="119"/>
      <c r="J299" s="113" t="b">
        <f>+IF(FINANCIACION[[#This Row],[$ CAPITAL]]&gt;0,FINANCIACION[[#This Row],[$ CAPITAL]])</f>
        <v>0</v>
      </c>
      <c r="K299" s="120">
        <f>+IF(FINANCIACION[[#This Row],[$ CAPITAL]]&gt;=0,FINANCIACION[[#This Row],[$ CAPITAL]]+FINANCIACION[[#This Row],[$ INTERESES]],0)</f>
        <v>750000</v>
      </c>
    </row>
    <row r="300" spans="1:11" ht="24" customHeight="1" x14ac:dyDescent="0.3">
      <c r="A300" s="112">
        <v>45125</v>
      </c>
      <c r="B300" s="118" t="s">
        <v>356</v>
      </c>
      <c r="C300" s="113"/>
      <c r="D300" s="113">
        <v>750000</v>
      </c>
      <c r="E300" s="113">
        <f>+IF(FINANCIACION[[#This Row],[$ CAPITAL]]&gt;=0,FINANCIACION[[#This Row],[$ CAPITAL]]+FINANCIACION[[#This Row],[$ INTERESES]],"")</f>
        <v>750000</v>
      </c>
      <c r="F300" s="113">
        <f>+SUMIFS(FINANCIACION[$ CAPITAL],FINANCIACION[Fecha],"&lt;="&amp;FINANCIACION[[#This Row],[Fecha]],FINANCIACION[PRESTAMO],FINANCIACION[[#This Row],[PRESTAMO]])</f>
        <v>-75000000</v>
      </c>
      <c r="G300" s="113"/>
      <c r="I300" s="119"/>
      <c r="J300" s="113" t="b">
        <f>+IF(FINANCIACION[[#This Row],[$ CAPITAL]]&gt;0,FINANCIACION[[#This Row],[$ CAPITAL]])</f>
        <v>0</v>
      </c>
      <c r="K300" s="120">
        <f>+IF(FINANCIACION[[#This Row],[$ CAPITAL]]&gt;=0,FINANCIACION[[#This Row],[$ CAPITAL]]+FINANCIACION[[#This Row],[$ INTERESES]],0)</f>
        <v>750000</v>
      </c>
    </row>
    <row r="301" spans="1:11" ht="24" customHeight="1" x14ac:dyDescent="0.3">
      <c r="A301" s="112">
        <v>45155</v>
      </c>
      <c r="B301" s="118" t="s">
        <v>356</v>
      </c>
      <c r="C301" s="113"/>
      <c r="D301" s="113">
        <v>750000</v>
      </c>
      <c r="E301" s="113">
        <f>+IF(FINANCIACION[[#This Row],[$ CAPITAL]]&gt;=0,FINANCIACION[[#This Row],[$ CAPITAL]]+FINANCIACION[[#This Row],[$ INTERESES]],"")</f>
        <v>750000</v>
      </c>
      <c r="F301" s="113">
        <f>+SUMIFS(FINANCIACION[$ CAPITAL],FINANCIACION[Fecha],"&lt;="&amp;FINANCIACION[[#This Row],[Fecha]],FINANCIACION[PRESTAMO],FINANCIACION[[#This Row],[PRESTAMO]])</f>
        <v>-75000000</v>
      </c>
      <c r="G301" s="113"/>
      <c r="I301" s="119"/>
      <c r="J301" s="113" t="b">
        <f>+IF(FINANCIACION[[#This Row],[$ CAPITAL]]&gt;0,FINANCIACION[[#This Row],[$ CAPITAL]])</f>
        <v>0</v>
      </c>
      <c r="K301" s="120">
        <f>+IF(FINANCIACION[[#This Row],[$ CAPITAL]]&gt;=0,FINANCIACION[[#This Row],[$ CAPITAL]]+FINANCIACION[[#This Row],[$ INTERESES]],0)</f>
        <v>750000</v>
      </c>
    </row>
    <row r="302" spans="1:11" ht="24" customHeight="1" x14ac:dyDescent="0.3">
      <c r="A302" s="112">
        <v>45190</v>
      </c>
      <c r="B302" s="118" t="s">
        <v>356</v>
      </c>
      <c r="C302" s="113"/>
      <c r="D302" s="113">
        <v>750000</v>
      </c>
      <c r="E302" s="113">
        <f>+IF(FINANCIACION[[#This Row],[$ CAPITAL]]&gt;=0,FINANCIACION[[#This Row],[$ CAPITAL]]+FINANCIACION[[#This Row],[$ INTERESES]],"")</f>
        <v>750000</v>
      </c>
      <c r="F302" s="113">
        <f>+SUMIFS(FINANCIACION[$ CAPITAL],FINANCIACION[Fecha],"&lt;="&amp;FINANCIACION[[#This Row],[Fecha]],FINANCIACION[PRESTAMO],FINANCIACION[[#This Row],[PRESTAMO]])</f>
        <v>-75000000</v>
      </c>
      <c r="G302" s="113"/>
      <c r="I302" s="119"/>
      <c r="J302" s="113" t="b">
        <f>+IF(FINANCIACION[[#This Row],[$ CAPITAL]]&gt;0,FINANCIACION[[#This Row],[$ CAPITAL]])</f>
        <v>0</v>
      </c>
      <c r="K302" s="120">
        <f>+IF(FINANCIACION[[#This Row],[$ CAPITAL]]&gt;=0,FINANCIACION[[#This Row],[$ CAPITAL]]+FINANCIACION[[#This Row],[$ INTERESES]],0)</f>
        <v>750000</v>
      </c>
    </row>
    <row r="303" spans="1:11" ht="24" customHeight="1" x14ac:dyDescent="0.3">
      <c r="A303" s="112">
        <v>45197</v>
      </c>
      <c r="B303" s="118" t="s">
        <v>356</v>
      </c>
      <c r="C303" s="113">
        <v>-65000000</v>
      </c>
      <c r="D303" s="113"/>
      <c r="E303" s="113" t="str">
        <f>+IF(FINANCIACION[[#This Row],[$ CAPITAL]]&gt;=0,FINANCIACION[[#This Row],[$ CAPITAL]]+FINANCIACION[[#This Row],[$ INTERESES]],"")</f>
        <v/>
      </c>
      <c r="F303" s="113">
        <f>+SUMIFS(FINANCIACION[$ CAPITAL],FINANCIACION[Fecha],"&lt;="&amp;FINANCIACION[[#This Row],[Fecha]],FINANCIACION[PRESTAMO],FINANCIACION[[#This Row],[PRESTAMO]])</f>
        <v>-140000000</v>
      </c>
      <c r="G303" s="113"/>
      <c r="I303" s="119"/>
      <c r="J303" s="113" t="b">
        <f>+IF(FINANCIACION[[#This Row],[$ CAPITAL]]&gt;0,FINANCIACION[[#This Row],[$ CAPITAL]])</f>
        <v>0</v>
      </c>
      <c r="K303" s="120">
        <f>+IF(FINANCIACION[[#This Row],[$ CAPITAL]]&gt;=0,FINANCIACION[[#This Row],[$ CAPITAL]]+FINANCIACION[[#This Row],[$ INTERESES]],0)</f>
        <v>0</v>
      </c>
    </row>
    <row r="304" spans="1:11" ht="24" customHeight="1" x14ac:dyDescent="0.3">
      <c r="A304" s="112">
        <v>45222</v>
      </c>
      <c r="B304" s="118" t="s">
        <v>356</v>
      </c>
      <c r="C304" s="113"/>
      <c r="D304" s="113">
        <v>1400000</v>
      </c>
      <c r="E304" s="113">
        <f>+IF(FINANCIACION[[#This Row],[$ CAPITAL]]&gt;=0,FINANCIACION[[#This Row],[$ CAPITAL]]+FINANCIACION[[#This Row],[$ INTERESES]],"")</f>
        <v>1400000</v>
      </c>
      <c r="F304" s="113">
        <f>+SUMIFS(FINANCIACION[$ CAPITAL],FINANCIACION[Fecha],"&lt;="&amp;FINANCIACION[[#This Row],[Fecha]],FINANCIACION[PRESTAMO],FINANCIACION[[#This Row],[PRESTAMO]])</f>
        <v>-140000000</v>
      </c>
      <c r="G304" s="113"/>
      <c r="I304" s="119"/>
      <c r="J304" s="113" t="b">
        <f>+IF(FINANCIACION[[#This Row],[$ CAPITAL]]&gt;0,FINANCIACION[[#This Row],[$ CAPITAL]])</f>
        <v>0</v>
      </c>
      <c r="K304" s="120">
        <f>+IF(FINANCIACION[[#This Row],[$ CAPITAL]]&gt;=0,FINANCIACION[[#This Row],[$ CAPITAL]]+FINANCIACION[[#This Row],[$ INTERESES]],0)</f>
        <v>1400000</v>
      </c>
    </row>
    <row r="305" spans="1:11" ht="24" customHeight="1" x14ac:dyDescent="0.3">
      <c r="A305" s="112">
        <v>45251</v>
      </c>
      <c r="B305" s="118" t="s">
        <v>356</v>
      </c>
      <c r="C305" s="113"/>
      <c r="D305" s="113">
        <v>1400000</v>
      </c>
      <c r="E305" s="113">
        <f>+IF(FINANCIACION[[#This Row],[$ CAPITAL]]&gt;=0,FINANCIACION[[#This Row],[$ CAPITAL]]+FINANCIACION[[#This Row],[$ INTERESES]],"")</f>
        <v>1400000</v>
      </c>
      <c r="F305" s="113">
        <f>+SUMIFS(FINANCIACION[$ CAPITAL],FINANCIACION[Fecha],"&lt;="&amp;FINANCIACION[[#This Row],[Fecha]],FINANCIACION[PRESTAMO],FINANCIACION[[#This Row],[PRESTAMO]])</f>
        <v>-140000000</v>
      </c>
      <c r="G305" s="113"/>
      <c r="I305" s="119"/>
      <c r="J305" s="113" t="b">
        <f>+IF(FINANCIACION[[#This Row],[$ CAPITAL]]&gt;0,FINANCIACION[[#This Row],[$ CAPITAL]])</f>
        <v>0</v>
      </c>
      <c r="K305" s="120">
        <f>+IF(FINANCIACION[[#This Row],[$ CAPITAL]]&gt;=0,FINANCIACION[[#This Row],[$ CAPITAL]]+FINANCIACION[[#This Row],[$ INTERESES]],0)</f>
        <v>1400000</v>
      </c>
    </row>
    <row r="306" spans="1:11" ht="24" customHeight="1" x14ac:dyDescent="0.3">
      <c r="A306" s="112">
        <v>45281</v>
      </c>
      <c r="B306" s="118" t="s">
        <v>356</v>
      </c>
      <c r="C306" s="113"/>
      <c r="D306" s="113">
        <v>1400000</v>
      </c>
      <c r="E306" s="113">
        <f>+IF(FINANCIACION[[#This Row],[$ CAPITAL]]&gt;=0,FINANCIACION[[#This Row],[$ CAPITAL]]+FINANCIACION[[#This Row],[$ INTERESES]],"")</f>
        <v>1400000</v>
      </c>
      <c r="F306" s="113">
        <f>+SUMIFS(FINANCIACION[$ CAPITAL],FINANCIACION[Fecha],"&lt;="&amp;FINANCIACION[[#This Row],[Fecha]],FINANCIACION[PRESTAMO],FINANCIACION[[#This Row],[PRESTAMO]])</f>
        <v>-140000000</v>
      </c>
      <c r="G306" s="113"/>
      <c r="I306" s="119"/>
      <c r="J306" s="113" t="b">
        <f>+IF(FINANCIACION[[#This Row],[$ CAPITAL]]&gt;0,FINANCIACION[[#This Row],[$ CAPITAL]])</f>
        <v>0</v>
      </c>
      <c r="K306" s="120">
        <f>+IF(FINANCIACION[[#This Row],[$ CAPITAL]]&gt;=0,FINANCIACION[[#This Row],[$ CAPITAL]]+FINANCIACION[[#This Row],[$ INTERESES]],0)</f>
        <v>1400000</v>
      </c>
    </row>
    <row r="307" spans="1:11" ht="24" customHeight="1" x14ac:dyDescent="0.3">
      <c r="A307" s="122">
        <v>44073</v>
      </c>
      <c r="B307" s="118" t="s">
        <v>350</v>
      </c>
      <c r="C307" s="113">
        <v>-8000000</v>
      </c>
      <c r="D307" s="113"/>
      <c r="E307" s="113" t="str">
        <f>+IF(FINANCIACION[[#This Row],[$ CAPITAL]]&gt;=0,FINANCIACION[[#This Row],[$ CAPITAL]]+FINANCIACION[[#This Row],[$ INTERESES]],"")</f>
        <v/>
      </c>
      <c r="F307" s="113">
        <f>+SUMIFS(FINANCIACION[$ CAPITAL],FINANCIACION[Fecha],"&lt;="&amp;FINANCIACION[[#This Row],[Fecha]],FINANCIACION[PRESTAMO],FINANCIACION[[#This Row],[PRESTAMO]])</f>
        <v>-8000000</v>
      </c>
      <c r="G307" s="113"/>
      <c r="H307" s="117"/>
      <c r="I307" s="119"/>
      <c r="J307" s="113" t="b">
        <f>IF(FINANCIACION[[#This Row],[$ CAPITAL]]&gt;0,FINANCIACION[[#This Row],[$ CAPITAL]])</f>
        <v>0</v>
      </c>
      <c r="K307" s="121">
        <f>IF(FINANCIACION[[#This Row],[$ CAPITAL]]&gt;=0,FINANCIACION[[#This Row],[$ CAPITAL]]+FINANCIACION[[#This Row],[$ INTERESES]],0)</f>
        <v>0</v>
      </c>
    </row>
    <row r="308" spans="1:11" ht="24" customHeight="1" x14ac:dyDescent="0.3">
      <c r="A308" s="112">
        <v>44475</v>
      </c>
      <c r="B308" s="118" t="s">
        <v>350</v>
      </c>
      <c r="C308" s="113"/>
      <c r="D308" s="113">
        <v>640000</v>
      </c>
      <c r="E308" s="113">
        <f>+IF(FINANCIACION[[#This Row],[$ CAPITAL]]&gt;=0,FINANCIACION[[#This Row],[$ CAPITAL]]+FINANCIACION[[#This Row],[$ INTERESES]],"")</f>
        <v>640000</v>
      </c>
      <c r="F308" s="113">
        <f>+SUMIFS(FINANCIACION[$ CAPITAL],FINANCIACION[Fecha],"&lt;="&amp;FINANCIACION[[#This Row],[Fecha]],FINANCIACION[PRESTAMO],FINANCIACION[[#This Row],[PRESTAMO]])</f>
        <v>-8000000</v>
      </c>
      <c r="G308" s="113"/>
      <c r="H308" s="117"/>
      <c r="I308" s="119"/>
      <c r="J308" s="113" t="b">
        <f>IF(FINANCIACION[[#This Row],[$ CAPITAL]]&gt;0,FINANCIACION[[#This Row],[$ CAPITAL]])</f>
        <v>0</v>
      </c>
      <c r="K308" s="120">
        <f>IF(FINANCIACION[[#This Row],[$ CAPITAL]]&gt;=0,FINANCIACION[[#This Row],[$ CAPITAL]]+FINANCIACION[[#This Row],[$ INTERESES]],0)</f>
        <v>640000</v>
      </c>
    </row>
    <row r="309" spans="1:11" ht="24" customHeight="1" x14ac:dyDescent="0.3">
      <c r="A309" s="112">
        <v>44722</v>
      </c>
      <c r="B309" s="118" t="s">
        <v>350</v>
      </c>
      <c r="C309" s="113"/>
      <c r="D309" s="113">
        <f>80000*12</f>
        <v>960000</v>
      </c>
      <c r="E309" s="113">
        <f>+IF(FINANCIACION[[#This Row],[$ CAPITAL]]&gt;=0,FINANCIACION[[#This Row],[$ CAPITAL]]+FINANCIACION[[#This Row],[$ INTERESES]],"")</f>
        <v>960000</v>
      </c>
      <c r="F309" s="113">
        <f>+SUMIFS(FINANCIACION[$ CAPITAL],FINANCIACION[Fecha],"&lt;="&amp;FINANCIACION[[#This Row],[Fecha]],FINANCIACION[PRESTAMO],FINANCIACION[[#This Row],[PRESTAMO]])</f>
        <v>-8000000</v>
      </c>
      <c r="G309" s="113"/>
      <c r="I309" s="119"/>
      <c r="J309" s="113" t="b">
        <f>+IF(FINANCIACION[[#This Row],[$ CAPITAL]]&gt;0,FINANCIACION[[#This Row],[$ CAPITAL]])</f>
        <v>0</v>
      </c>
      <c r="K309" s="120">
        <f>+IF(FINANCIACION[[#This Row],[$ CAPITAL]]&gt;=0,FINANCIACION[[#This Row],[$ CAPITAL]]+FINANCIACION[[#This Row],[$ INTERESES]],0)</f>
        <v>960000</v>
      </c>
    </row>
    <row r="310" spans="1:11" ht="24" customHeight="1" x14ac:dyDescent="0.3">
      <c r="A310" s="112">
        <v>45149</v>
      </c>
      <c r="B310" s="118" t="s">
        <v>350</v>
      </c>
      <c r="C310" s="113"/>
      <c r="D310" s="113">
        <v>960000</v>
      </c>
      <c r="E310" s="113">
        <f>+IF(FINANCIACION[[#This Row],[$ CAPITAL]]&gt;=0,FINANCIACION[[#This Row],[$ CAPITAL]]+FINANCIACION[[#This Row],[$ INTERESES]],"")</f>
        <v>960000</v>
      </c>
      <c r="F310" s="113">
        <f>+SUMIFS(FINANCIACION[$ CAPITAL],FINANCIACION[Fecha],"&lt;="&amp;FINANCIACION[[#This Row],[Fecha]],FINANCIACION[PRESTAMO],FINANCIACION[[#This Row],[PRESTAMO]])</f>
        <v>-8000000</v>
      </c>
      <c r="G310" s="113"/>
      <c r="H310" s="119" t="s">
        <v>1048</v>
      </c>
      <c r="I310" s="119"/>
      <c r="J310" s="113" t="b">
        <f>+IF(FINANCIACION[[#This Row],[$ CAPITAL]]&gt;0,FINANCIACION[[#This Row],[$ CAPITAL]])</f>
        <v>0</v>
      </c>
      <c r="K310" s="120">
        <f>+IF(FINANCIACION[[#This Row],[$ CAPITAL]]&gt;=0,FINANCIACION[[#This Row],[$ CAPITAL]]+FINANCIACION[[#This Row],[$ INTERESES]],0)</f>
        <v>960000</v>
      </c>
    </row>
    <row r="311" spans="1:11" ht="24" customHeight="1" x14ac:dyDescent="0.3">
      <c r="A311" s="112">
        <v>44301</v>
      </c>
      <c r="B311" s="118" t="s">
        <v>352</v>
      </c>
      <c r="C311" s="113">
        <v>-12000000</v>
      </c>
      <c r="D311" s="113"/>
      <c r="E311" s="113" t="str">
        <f>+IF(FINANCIACION[[#This Row],[$ CAPITAL]]&gt;=0,FINANCIACION[[#This Row],[$ CAPITAL]]+FINANCIACION[[#This Row],[$ INTERESES]],"")</f>
        <v/>
      </c>
      <c r="F311" s="113">
        <f>+SUMIFS(FINANCIACION[$ CAPITAL],FINANCIACION[Fecha],"&lt;="&amp;FINANCIACION[[#This Row],[Fecha]],FINANCIACION[PRESTAMO],FINANCIACION[[#This Row],[PRESTAMO]])</f>
        <v>-12000000</v>
      </c>
      <c r="G311" s="113"/>
      <c r="H311" s="117"/>
      <c r="I311" s="119"/>
      <c r="J311" s="113" t="b">
        <f>IF(FINANCIACION[[#This Row],[$ CAPITAL]]&gt;0,FINANCIACION[[#This Row],[$ CAPITAL]])</f>
        <v>0</v>
      </c>
      <c r="K311" s="120">
        <f>IF(FINANCIACION[[#This Row],[$ CAPITAL]]&gt;=0,FINANCIACION[[#This Row],[$ CAPITAL]]+FINANCIACION[[#This Row],[$ INTERESES]],0)</f>
        <v>0</v>
      </c>
    </row>
    <row r="312" spans="1:11" ht="24" customHeight="1" x14ac:dyDescent="0.3">
      <c r="A312" s="112">
        <v>44340</v>
      </c>
      <c r="B312" s="118" t="s">
        <v>352</v>
      </c>
      <c r="C312" s="113"/>
      <c r="D312" s="113">
        <v>120000</v>
      </c>
      <c r="E312" s="113">
        <f>+IF(FINANCIACION[[#This Row],[$ CAPITAL]]&gt;=0,FINANCIACION[[#This Row],[$ CAPITAL]]+FINANCIACION[[#This Row],[$ INTERESES]],"")</f>
        <v>120000</v>
      </c>
      <c r="F312" s="113">
        <f>+SUMIFS(FINANCIACION[$ CAPITAL],FINANCIACION[Fecha],"&lt;="&amp;FINANCIACION[[#This Row],[Fecha]],FINANCIACION[PRESTAMO],FINANCIACION[[#This Row],[PRESTAMO]])</f>
        <v>-12000000</v>
      </c>
      <c r="G312" s="113"/>
      <c r="H312" s="117"/>
      <c r="I312" s="119"/>
      <c r="J312" s="113" t="b">
        <f>IF(FINANCIACION[[#This Row],[$ CAPITAL]]&gt;0,FINANCIACION[[#This Row],[$ CAPITAL]])</f>
        <v>0</v>
      </c>
      <c r="K312" s="120">
        <f>IF(FINANCIACION[[#This Row],[$ CAPITAL]]&gt;=0,FINANCIACION[[#This Row],[$ CAPITAL]]+FINANCIACION[[#This Row],[$ INTERESES]],0)</f>
        <v>120000</v>
      </c>
    </row>
    <row r="313" spans="1:11" ht="24" customHeight="1" x14ac:dyDescent="0.3">
      <c r="A313" s="112">
        <v>44358</v>
      </c>
      <c r="B313" s="118" t="s">
        <v>352</v>
      </c>
      <c r="C313" s="113"/>
      <c r="D313" s="113">
        <v>120000</v>
      </c>
      <c r="E313" s="113">
        <f>+IF(FINANCIACION[[#This Row],[$ CAPITAL]]&gt;=0,FINANCIACION[[#This Row],[$ CAPITAL]]+FINANCIACION[[#This Row],[$ INTERESES]],"")</f>
        <v>120000</v>
      </c>
      <c r="F313" s="113">
        <f>+SUMIFS(FINANCIACION[$ CAPITAL],FINANCIACION[Fecha],"&lt;="&amp;FINANCIACION[[#This Row],[Fecha]],FINANCIACION[PRESTAMO],FINANCIACION[[#This Row],[PRESTAMO]])</f>
        <v>-12000000</v>
      </c>
      <c r="G313" s="113"/>
      <c r="H313" s="117"/>
      <c r="I313" s="119"/>
      <c r="J313" s="113" t="b">
        <f>IF(FINANCIACION[[#This Row],[$ CAPITAL]]&gt;0,FINANCIACION[[#This Row],[$ CAPITAL]])</f>
        <v>0</v>
      </c>
      <c r="K313" s="121">
        <f>IF(FINANCIACION[[#This Row],[$ CAPITAL]]&gt;=0,FINANCIACION[[#This Row],[$ CAPITAL]]+FINANCIACION[[#This Row],[$ INTERESES]],0)</f>
        <v>120000</v>
      </c>
    </row>
    <row r="314" spans="1:11" ht="24" customHeight="1" x14ac:dyDescent="0.3">
      <c r="A314" s="112">
        <v>44390</v>
      </c>
      <c r="B314" s="118" t="s">
        <v>352</v>
      </c>
      <c r="C314" s="113"/>
      <c r="D314" s="113">
        <v>120000</v>
      </c>
      <c r="E314" s="113">
        <f>+IF(FINANCIACION[[#This Row],[$ CAPITAL]]&gt;=0,FINANCIACION[[#This Row],[$ CAPITAL]]+FINANCIACION[[#This Row],[$ INTERESES]],"")</f>
        <v>120000</v>
      </c>
      <c r="F314" s="113">
        <f>+SUMIFS(FINANCIACION[$ CAPITAL],FINANCIACION[Fecha],"&lt;="&amp;FINANCIACION[[#This Row],[Fecha]],FINANCIACION[PRESTAMO],FINANCIACION[[#This Row],[PRESTAMO]])</f>
        <v>-12000000</v>
      </c>
      <c r="G314" s="113"/>
      <c r="I314" s="119"/>
      <c r="J314" s="113" t="b">
        <f>IF(FINANCIACION[[#This Row],[$ CAPITAL]]&gt;0,FINANCIACION[[#This Row],[$ CAPITAL]])</f>
        <v>0</v>
      </c>
      <c r="K314" s="120">
        <f>IF(FINANCIACION[[#This Row],[$ CAPITAL]]&gt;=0,FINANCIACION[[#This Row],[$ CAPITAL]]+FINANCIACION[[#This Row],[$ INTERESES]],0)</f>
        <v>120000</v>
      </c>
    </row>
    <row r="315" spans="1:11" ht="24" customHeight="1" x14ac:dyDescent="0.3">
      <c r="A315" s="112">
        <v>44425</v>
      </c>
      <c r="B315" s="118" t="s">
        <v>352</v>
      </c>
      <c r="C315" s="113"/>
      <c r="D315" s="113">
        <v>120000</v>
      </c>
      <c r="E315" s="113">
        <f>+IF(FINANCIACION[[#This Row],[$ CAPITAL]]&gt;=0,FINANCIACION[[#This Row],[$ CAPITAL]]+FINANCIACION[[#This Row],[$ INTERESES]],"")</f>
        <v>120000</v>
      </c>
      <c r="F315" s="113">
        <f>+SUMIFS(FINANCIACION[$ CAPITAL],FINANCIACION[Fecha],"&lt;="&amp;FINANCIACION[[#This Row],[Fecha]],FINANCIACION[PRESTAMO],FINANCIACION[[#This Row],[PRESTAMO]])</f>
        <v>-12000000</v>
      </c>
      <c r="G315" s="113"/>
      <c r="H315" s="117"/>
      <c r="I315" s="119"/>
      <c r="J315" s="113" t="b">
        <f>IF(FINANCIACION[[#This Row],[$ CAPITAL]]&gt;0,FINANCIACION[[#This Row],[$ CAPITAL]])</f>
        <v>0</v>
      </c>
      <c r="K315" s="120">
        <f>IF(FINANCIACION[[#This Row],[$ CAPITAL]]&gt;=0,FINANCIACION[[#This Row],[$ CAPITAL]]+FINANCIACION[[#This Row],[$ INTERESES]],0)</f>
        <v>120000</v>
      </c>
    </row>
    <row r="316" spans="1:11" ht="24" customHeight="1" x14ac:dyDescent="0.3">
      <c r="A316" s="112">
        <v>44450</v>
      </c>
      <c r="B316" s="118" t="s">
        <v>352</v>
      </c>
      <c r="C316" s="113"/>
      <c r="D316" s="113">
        <v>120000</v>
      </c>
      <c r="E316" s="113">
        <f>+IF(FINANCIACION[[#This Row],[$ CAPITAL]]&gt;=0,FINANCIACION[[#This Row],[$ CAPITAL]]+FINANCIACION[[#This Row],[$ INTERESES]],"")</f>
        <v>120000</v>
      </c>
      <c r="F316" s="113">
        <f>+SUMIFS(FINANCIACION[$ CAPITAL],FINANCIACION[Fecha],"&lt;="&amp;FINANCIACION[[#This Row],[Fecha]],FINANCIACION[PRESTAMO],FINANCIACION[[#This Row],[PRESTAMO]])</f>
        <v>-12000000</v>
      </c>
      <c r="G316" s="113"/>
      <c r="H316" s="117"/>
      <c r="I316" s="119"/>
      <c r="J316" s="113" t="b">
        <f>IF(FINANCIACION[[#This Row],[$ CAPITAL]]&gt;0,FINANCIACION[[#This Row],[$ CAPITAL]])</f>
        <v>0</v>
      </c>
      <c r="K316" s="120">
        <f>IF(FINANCIACION[[#This Row],[$ CAPITAL]]&gt;=0,FINANCIACION[[#This Row],[$ CAPITAL]]+FINANCIACION[[#This Row],[$ INTERESES]],0)</f>
        <v>120000</v>
      </c>
    </row>
    <row r="317" spans="1:11" ht="24" customHeight="1" x14ac:dyDescent="0.3">
      <c r="A317" s="112">
        <v>44480</v>
      </c>
      <c r="B317" s="118" t="s">
        <v>352</v>
      </c>
      <c r="C317" s="113"/>
      <c r="D317" s="113">
        <v>120000</v>
      </c>
      <c r="E317" s="113">
        <f>+IF(FINANCIACION[[#This Row],[$ CAPITAL]]&gt;=0,FINANCIACION[[#This Row],[$ CAPITAL]]+FINANCIACION[[#This Row],[$ INTERESES]],"")</f>
        <v>120000</v>
      </c>
      <c r="F317" s="113">
        <f>+SUMIFS(FINANCIACION[$ CAPITAL],FINANCIACION[Fecha],"&lt;="&amp;FINANCIACION[[#This Row],[Fecha]],FINANCIACION[PRESTAMO],FINANCIACION[[#This Row],[PRESTAMO]])</f>
        <v>-12000000</v>
      </c>
      <c r="G317" s="113"/>
      <c r="H317" s="117"/>
      <c r="I317" s="119"/>
      <c r="J317" s="113" t="b">
        <f>IF(FINANCIACION[[#This Row],[$ CAPITAL]]&gt;0,FINANCIACION[[#This Row],[$ CAPITAL]])</f>
        <v>0</v>
      </c>
      <c r="K317" s="120">
        <f>IF(FINANCIACION[[#This Row],[$ CAPITAL]]&gt;=0,FINANCIACION[[#This Row],[$ CAPITAL]]+FINANCIACION[[#This Row],[$ INTERESES]],0)</f>
        <v>120000</v>
      </c>
    </row>
    <row r="318" spans="1:11" ht="24" customHeight="1" x14ac:dyDescent="0.3">
      <c r="A318" s="112">
        <v>44510</v>
      </c>
      <c r="B318" s="118" t="s">
        <v>352</v>
      </c>
      <c r="C318" s="113"/>
      <c r="D318" s="113">
        <v>120000</v>
      </c>
      <c r="E318" s="113">
        <f>+IF(FINANCIACION[[#This Row],[$ CAPITAL]]&gt;=0,FINANCIACION[[#This Row],[$ CAPITAL]]+FINANCIACION[[#This Row],[$ INTERESES]],"")</f>
        <v>120000</v>
      </c>
      <c r="F318" s="113">
        <f>+SUMIFS(FINANCIACION[$ CAPITAL],FINANCIACION[Fecha],"&lt;="&amp;FINANCIACION[[#This Row],[Fecha]],FINANCIACION[PRESTAMO],FINANCIACION[[#This Row],[PRESTAMO]])</f>
        <v>-12000000</v>
      </c>
      <c r="G318" s="113"/>
      <c r="I318" s="119"/>
      <c r="J318" s="113" t="b">
        <f>IF(FINANCIACION[[#This Row],[$ CAPITAL]]&gt;0,FINANCIACION[[#This Row],[$ CAPITAL]])</f>
        <v>0</v>
      </c>
      <c r="K318" s="120">
        <f>IF(FINANCIACION[[#This Row],[$ CAPITAL]]&gt;=0,FINANCIACION[[#This Row],[$ CAPITAL]]+FINANCIACION[[#This Row],[$ INTERESES]],0)</f>
        <v>120000</v>
      </c>
    </row>
    <row r="319" spans="1:11" ht="24" customHeight="1" x14ac:dyDescent="0.3">
      <c r="A319" s="112">
        <v>44539</v>
      </c>
      <c r="B319" s="118" t="s">
        <v>352</v>
      </c>
      <c r="C319" s="113"/>
      <c r="D319" s="113">
        <v>120000</v>
      </c>
      <c r="E319" s="113">
        <f>+IF(FINANCIACION[[#This Row],[$ CAPITAL]]&gt;=0,FINANCIACION[[#This Row],[$ CAPITAL]]+FINANCIACION[[#This Row],[$ INTERESES]],"")</f>
        <v>120000</v>
      </c>
      <c r="F319" s="113">
        <f>+SUMIFS(FINANCIACION[$ CAPITAL],FINANCIACION[Fecha],"&lt;="&amp;FINANCIACION[[#This Row],[Fecha]],FINANCIACION[PRESTAMO],FINANCIACION[[#This Row],[PRESTAMO]])</f>
        <v>-12000000</v>
      </c>
      <c r="G319" s="113"/>
      <c r="I319" s="119"/>
      <c r="J319" s="113" t="b">
        <f>IF(FINANCIACION[[#This Row],[$ CAPITAL]]&gt;0,FINANCIACION[[#This Row],[$ CAPITAL]])</f>
        <v>0</v>
      </c>
      <c r="K319" s="120">
        <f>IF(FINANCIACION[[#This Row],[$ CAPITAL]]&gt;=0,FINANCIACION[[#This Row],[$ CAPITAL]]+FINANCIACION[[#This Row],[$ INTERESES]],0)</f>
        <v>120000</v>
      </c>
    </row>
    <row r="320" spans="1:11" ht="24" customHeight="1" x14ac:dyDescent="0.3">
      <c r="A320" s="112">
        <v>44572</v>
      </c>
      <c r="B320" s="118" t="s">
        <v>352</v>
      </c>
      <c r="C320" s="113"/>
      <c r="D320" s="113">
        <v>120000</v>
      </c>
      <c r="E320" s="113">
        <f>+IF(FINANCIACION[[#This Row],[$ CAPITAL]]&gt;=0,FINANCIACION[[#This Row],[$ CAPITAL]]+FINANCIACION[[#This Row],[$ INTERESES]],"")</f>
        <v>120000</v>
      </c>
      <c r="F320" s="113">
        <f>+SUMIFS(FINANCIACION[$ CAPITAL],FINANCIACION[Fecha],"&lt;="&amp;FINANCIACION[[#This Row],[Fecha]],FINANCIACION[PRESTAMO],FINANCIACION[[#This Row],[PRESTAMO]])</f>
        <v>-12000000</v>
      </c>
      <c r="G320" s="113"/>
      <c r="I320" s="119"/>
      <c r="J320" s="113" t="b">
        <f>IF(FINANCIACION[[#This Row],[$ CAPITAL]]&gt;0,FINANCIACION[[#This Row],[$ CAPITAL]])</f>
        <v>0</v>
      </c>
      <c r="K320" s="120">
        <f>IF(FINANCIACION[[#This Row],[$ CAPITAL]]&gt;=0,FINANCIACION[[#This Row],[$ CAPITAL]]+FINANCIACION[[#This Row],[$ INTERESES]],0)</f>
        <v>120000</v>
      </c>
    </row>
    <row r="321" spans="1:11" ht="24" customHeight="1" x14ac:dyDescent="0.3">
      <c r="A321" s="112">
        <v>44602</v>
      </c>
      <c r="B321" s="118" t="s">
        <v>352</v>
      </c>
      <c r="C321" s="113"/>
      <c r="D321" s="113">
        <v>120000</v>
      </c>
      <c r="E321" s="113">
        <f>+IF(FINANCIACION[[#This Row],[$ CAPITAL]]&gt;=0,FINANCIACION[[#This Row],[$ CAPITAL]]+FINANCIACION[[#This Row],[$ INTERESES]],"")</f>
        <v>120000</v>
      </c>
      <c r="F321" s="113">
        <f>+SUMIFS(FINANCIACION[$ CAPITAL],FINANCIACION[Fecha],"&lt;="&amp;FINANCIACION[[#This Row],[Fecha]],FINANCIACION[PRESTAMO],FINANCIACION[[#This Row],[PRESTAMO]])</f>
        <v>-12000000</v>
      </c>
      <c r="G321" s="113"/>
      <c r="I321" s="119"/>
      <c r="J321" s="113" t="b">
        <f>+IF(FINANCIACION[[#This Row],[$ CAPITAL]]&gt;0,FINANCIACION[[#This Row],[$ CAPITAL]])</f>
        <v>0</v>
      </c>
      <c r="K321" s="120">
        <f>+IF(FINANCIACION[[#This Row],[$ CAPITAL]]&gt;=0,FINANCIACION[[#This Row],[$ CAPITAL]]+FINANCIACION[[#This Row],[$ INTERESES]],0)</f>
        <v>120000</v>
      </c>
    </row>
    <row r="322" spans="1:11" ht="24" customHeight="1" x14ac:dyDescent="0.3">
      <c r="A322" s="112">
        <v>44629</v>
      </c>
      <c r="B322" s="118" t="s">
        <v>352</v>
      </c>
      <c r="C322" s="113"/>
      <c r="D322" s="113">
        <v>120000</v>
      </c>
      <c r="E322" s="113">
        <f>+IF(FINANCIACION[[#This Row],[$ CAPITAL]]&gt;=0,FINANCIACION[[#This Row],[$ CAPITAL]]+FINANCIACION[[#This Row],[$ INTERESES]],"")</f>
        <v>120000</v>
      </c>
      <c r="F322" s="113">
        <f>+SUMIFS(FINANCIACION[$ CAPITAL],FINANCIACION[Fecha],"&lt;="&amp;FINANCIACION[[#This Row],[Fecha]],FINANCIACION[PRESTAMO],FINANCIACION[[#This Row],[PRESTAMO]])</f>
        <v>-12000000</v>
      </c>
      <c r="G322" s="113"/>
      <c r="I322" s="119"/>
      <c r="J322" s="113" t="b">
        <f>+IF(FINANCIACION[[#This Row],[$ CAPITAL]]&gt;0,FINANCIACION[[#This Row],[$ CAPITAL]])</f>
        <v>0</v>
      </c>
      <c r="K322" s="120">
        <f>+IF(FINANCIACION[[#This Row],[$ CAPITAL]]&gt;=0,FINANCIACION[[#This Row],[$ CAPITAL]]+FINANCIACION[[#This Row],[$ INTERESES]],0)</f>
        <v>120000</v>
      </c>
    </row>
    <row r="323" spans="1:11" ht="24" customHeight="1" x14ac:dyDescent="0.3">
      <c r="A323" s="112">
        <v>44668</v>
      </c>
      <c r="B323" s="118" t="s">
        <v>352</v>
      </c>
      <c r="C323" s="113"/>
      <c r="D323" s="113">
        <v>120000</v>
      </c>
      <c r="E323" s="113">
        <f>+IF(FINANCIACION[[#This Row],[$ CAPITAL]]&gt;=0,FINANCIACION[[#This Row],[$ CAPITAL]]+FINANCIACION[[#This Row],[$ INTERESES]],"")</f>
        <v>120000</v>
      </c>
      <c r="F323" s="113">
        <f>+SUMIFS(FINANCIACION[$ CAPITAL],FINANCIACION[Fecha],"&lt;="&amp;FINANCIACION[[#This Row],[Fecha]],FINANCIACION[PRESTAMO],FINANCIACION[[#This Row],[PRESTAMO]])</f>
        <v>-12000000</v>
      </c>
      <c r="G323" s="113"/>
      <c r="I323" s="119"/>
      <c r="J323" s="113" t="b">
        <f>+IF(FINANCIACION[[#This Row],[$ CAPITAL]]&gt;0,FINANCIACION[[#This Row],[$ CAPITAL]])</f>
        <v>0</v>
      </c>
      <c r="K323" s="120">
        <f>+IF(FINANCIACION[[#This Row],[$ CAPITAL]]&gt;=0,FINANCIACION[[#This Row],[$ CAPITAL]]+FINANCIACION[[#This Row],[$ INTERESES]],0)</f>
        <v>120000</v>
      </c>
    </row>
    <row r="324" spans="1:11" ht="24" customHeight="1" x14ac:dyDescent="0.3">
      <c r="A324" s="112">
        <v>44691</v>
      </c>
      <c r="B324" s="118" t="s">
        <v>352</v>
      </c>
      <c r="C324" s="113"/>
      <c r="D324" s="113">
        <v>120000</v>
      </c>
      <c r="E324" s="113">
        <f>+IF(FINANCIACION[[#This Row],[$ CAPITAL]]&gt;=0,FINANCIACION[[#This Row],[$ CAPITAL]]+FINANCIACION[[#This Row],[$ INTERESES]],"")</f>
        <v>120000</v>
      </c>
      <c r="F324" s="113">
        <f>+SUMIFS(FINANCIACION[$ CAPITAL],FINANCIACION[Fecha],"&lt;="&amp;FINANCIACION[[#This Row],[Fecha]],FINANCIACION[PRESTAMO],FINANCIACION[[#This Row],[PRESTAMO]])</f>
        <v>-12000000</v>
      </c>
      <c r="G324" s="113"/>
      <c r="I324" s="119"/>
      <c r="J324" s="113" t="b">
        <f>+IF(FINANCIACION[[#This Row],[$ CAPITAL]]&gt;0,FINANCIACION[[#This Row],[$ CAPITAL]])</f>
        <v>0</v>
      </c>
      <c r="K324" s="120">
        <f>+IF(FINANCIACION[[#This Row],[$ CAPITAL]]&gt;=0,FINANCIACION[[#This Row],[$ CAPITAL]]+FINANCIACION[[#This Row],[$ INTERESES]],0)</f>
        <v>120000</v>
      </c>
    </row>
    <row r="325" spans="1:11" ht="24" customHeight="1" x14ac:dyDescent="0.3">
      <c r="A325" s="112">
        <v>44722</v>
      </c>
      <c r="B325" s="118" t="s">
        <v>352</v>
      </c>
      <c r="C325" s="113"/>
      <c r="D325" s="113">
        <v>120000</v>
      </c>
      <c r="E325" s="113">
        <f>+IF(FINANCIACION[[#This Row],[$ CAPITAL]]&gt;=0,FINANCIACION[[#This Row],[$ CAPITAL]]+FINANCIACION[[#This Row],[$ INTERESES]],"")</f>
        <v>120000</v>
      </c>
      <c r="F325" s="113">
        <f>+SUMIFS(FINANCIACION[$ CAPITAL],FINANCIACION[Fecha],"&lt;="&amp;FINANCIACION[[#This Row],[Fecha]],FINANCIACION[PRESTAMO],FINANCIACION[[#This Row],[PRESTAMO]])</f>
        <v>-12000000</v>
      </c>
      <c r="G325" s="113"/>
      <c r="I325" s="119"/>
      <c r="J325" s="113" t="b">
        <f>+IF(FINANCIACION[[#This Row],[$ CAPITAL]]&gt;0,FINANCIACION[[#This Row],[$ CAPITAL]])</f>
        <v>0</v>
      </c>
      <c r="K325" s="120">
        <f>+IF(FINANCIACION[[#This Row],[$ CAPITAL]]&gt;=0,FINANCIACION[[#This Row],[$ CAPITAL]]+FINANCIACION[[#This Row],[$ INTERESES]],0)</f>
        <v>120000</v>
      </c>
    </row>
    <row r="326" spans="1:11" ht="24" customHeight="1" x14ac:dyDescent="0.3">
      <c r="A326" s="112">
        <v>44753</v>
      </c>
      <c r="B326" s="118" t="s">
        <v>352</v>
      </c>
      <c r="C326" s="113"/>
      <c r="D326" s="113">
        <v>120000</v>
      </c>
      <c r="E326" s="113">
        <f>+IF(FINANCIACION[[#This Row],[$ CAPITAL]]&gt;=0,FINANCIACION[[#This Row],[$ CAPITAL]]+FINANCIACION[[#This Row],[$ INTERESES]],"")</f>
        <v>120000</v>
      </c>
      <c r="F326" s="113">
        <f>+SUMIFS(FINANCIACION[$ CAPITAL],FINANCIACION[Fecha],"&lt;="&amp;FINANCIACION[[#This Row],[Fecha]],FINANCIACION[PRESTAMO],FINANCIACION[[#This Row],[PRESTAMO]])</f>
        <v>-12000000</v>
      </c>
      <c r="G326" s="113"/>
      <c r="I326" s="119"/>
      <c r="J326" s="113" t="b">
        <f>+IF(FINANCIACION[[#This Row],[$ CAPITAL]]&gt;0,FINANCIACION[[#This Row],[$ CAPITAL]])</f>
        <v>0</v>
      </c>
      <c r="K326" s="120">
        <f>+IF(FINANCIACION[[#This Row],[$ CAPITAL]]&gt;=0,FINANCIACION[[#This Row],[$ CAPITAL]]+FINANCIACION[[#This Row],[$ INTERESES]],0)</f>
        <v>120000</v>
      </c>
    </row>
    <row r="327" spans="1:11" ht="24" customHeight="1" x14ac:dyDescent="0.3">
      <c r="A327" s="112">
        <v>44786</v>
      </c>
      <c r="B327" s="118" t="s">
        <v>352</v>
      </c>
      <c r="C327" s="113"/>
      <c r="D327" s="113">
        <v>120000</v>
      </c>
      <c r="E327" s="113">
        <f>+IF(FINANCIACION[[#This Row],[$ CAPITAL]]&gt;=0,FINANCIACION[[#This Row],[$ CAPITAL]]+FINANCIACION[[#This Row],[$ INTERESES]],"")</f>
        <v>120000</v>
      </c>
      <c r="F327" s="113">
        <f>+SUMIFS(FINANCIACION[$ CAPITAL],FINANCIACION[Fecha],"&lt;="&amp;FINANCIACION[[#This Row],[Fecha]],FINANCIACION[PRESTAMO],FINANCIACION[[#This Row],[PRESTAMO]])</f>
        <v>-12000000</v>
      </c>
      <c r="G327" s="113"/>
      <c r="I327" s="119"/>
      <c r="J327" s="113" t="b">
        <f>+IF(FINANCIACION[[#This Row],[$ CAPITAL]]&gt;0,FINANCIACION[[#This Row],[$ CAPITAL]])</f>
        <v>0</v>
      </c>
      <c r="K327" s="120">
        <f>+IF(FINANCIACION[[#This Row],[$ CAPITAL]]&gt;=0,FINANCIACION[[#This Row],[$ CAPITAL]]+FINANCIACION[[#This Row],[$ INTERESES]],0)</f>
        <v>120000</v>
      </c>
    </row>
    <row r="328" spans="1:11" ht="24" customHeight="1" x14ac:dyDescent="0.3">
      <c r="A328" s="112">
        <v>44817</v>
      </c>
      <c r="B328" s="118" t="s">
        <v>352</v>
      </c>
      <c r="C328" s="113"/>
      <c r="D328" s="113">
        <v>120000</v>
      </c>
      <c r="E328" s="113">
        <f>+IF(FINANCIACION[[#This Row],[$ CAPITAL]]&gt;=0,FINANCIACION[[#This Row],[$ CAPITAL]]+FINANCIACION[[#This Row],[$ INTERESES]],"")</f>
        <v>120000</v>
      </c>
      <c r="F328" s="113">
        <f>+SUMIFS(FINANCIACION[$ CAPITAL],FINANCIACION[Fecha],"&lt;="&amp;FINANCIACION[[#This Row],[Fecha]],FINANCIACION[PRESTAMO],FINANCIACION[[#This Row],[PRESTAMO]])</f>
        <v>-12000000</v>
      </c>
      <c r="G328" s="113"/>
      <c r="I328" s="119"/>
      <c r="J328" s="113" t="b">
        <f>+IF(FINANCIACION[[#This Row],[$ CAPITAL]]&gt;0,FINANCIACION[[#This Row],[$ CAPITAL]])</f>
        <v>0</v>
      </c>
      <c r="K328" s="120">
        <f>+IF(FINANCIACION[[#This Row],[$ CAPITAL]]&gt;=0,FINANCIACION[[#This Row],[$ CAPITAL]]+FINANCIACION[[#This Row],[$ INTERESES]],0)</f>
        <v>120000</v>
      </c>
    </row>
    <row r="329" spans="1:11" ht="24" customHeight="1" x14ac:dyDescent="0.3">
      <c r="A329" s="112">
        <v>44846</v>
      </c>
      <c r="B329" s="118" t="s">
        <v>352</v>
      </c>
      <c r="C329" s="113"/>
      <c r="D329" s="113">
        <v>120000</v>
      </c>
      <c r="E329" s="113">
        <f>+IF(FINANCIACION[[#This Row],[$ CAPITAL]]&gt;=0,FINANCIACION[[#This Row],[$ CAPITAL]]+FINANCIACION[[#This Row],[$ INTERESES]],"")</f>
        <v>120000</v>
      </c>
      <c r="F329" s="113">
        <f>+SUMIFS(FINANCIACION[$ CAPITAL],FINANCIACION[Fecha],"&lt;="&amp;FINANCIACION[[#This Row],[Fecha]],FINANCIACION[PRESTAMO],FINANCIACION[[#This Row],[PRESTAMO]])</f>
        <v>-12000000</v>
      </c>
      <c r="G329" s="113"/>
      <c r="I329" s="119"/>
      <c r="J329" s="113" t="b">
        <f>+IF(FINANCIACION[[#This Row],[$ CAPITAL]]&gt;0,FINANCIACION[[#This Row],[$ CAPITAL]])</f>
        <v>0</v>
      </c>
      <c r="K329" s="120">
        <f>+IF(FINANCIACION[[#This Row],[$ CAPITAL]]&gt;=0,FINANCIACION[[#This Row],[$ CAPITAL]]+FINANCIACION[[#This Row],[$ INTERESES]],0)</f>
        <v>120000</v>
      </c>
    </row>
    <row r="330" spans="1:11" ht="24" customHeight="1" x14ac:dyDescent="0.3">
      <c r="A330" s="112">
        <v>44876</v>
      </c>
      <c r="B330" s="118" t="s">
        <v>352</v>
      </c>
      <c r="C330" s="113"/>
      <c r="D330" s="113">
        <v>120000</v>
      </c>
      <c r="E330" s="113">
        <f>+IF(FINANCIACION[[#This Row],[$ CAPITAL]]&gt;=0,FINANCIACION[[#This Row],[$ CAPITAL]]+FINANCIACION[[#This Row],[$ INTERESES]],"")</f>
        <v>120000</v>
      </c>
      <c r="F330" s="113">
        <f>+SUMIFS(FINANCIACION[$ CAPITAL],FINANCIACION[Fecha],"&lt;="&amp;FINANCIACION[[#This Row],[Fecha]],FINANCIACION[PRESTAMO],FINANCIACION[[#This Row],[PRESTAMO]])</f>
        <v>-12000000</v>
      </c>
      <c r="G330" s="113"/>
      <c r="I330" s="119"/>
      <c r="J330" s="113" t="b">
        <f>+IF(FINANCIACION[[#This Row],[$ CAPITAL]]&gt;0,FINANCIACION[[#This Row],[$ CAPITAL]])</f>
        <v>0</v>
      </c>
      <c r="K330" s="120">
        <f>+IF(FINANCIACION[[#This Row],[$ CAPITAL]]&gt;=0,FINANCIACION[[#This Row],[$ CAPITAL]]+FINANCIACION[[#This Row],[$ INTERESES]],0)</f>
        <v>120000</v>
      </c>
    </row>
    <row r="331" spans="1:11" ht="24" customHeight="1" x14ac:dyDescent="0.3">
      <c r="A331" s="112">
        <v>44909</v>
      </c>
      <c r="B331" s="118" t="s">
        <v>352</v>
      </c>
      <c r="C331" s="113"/>
      <c r="D331" s="113">
        <v>120000</v>
      </c>
      <c r="E331" s="113">
        <f>+IF(FINANCIACION[[#This Row],[$ CAPITAL]]&gt;=0,FINANCIACION[[#This Row],[$ CAPITAL]]+FINANCIACION[[#This Row],[$ INTERESES]],"")</f>
        <v>120000</v>
      </c>
      <c r="F331" s="113">
        <f>+SUMIFS(FINANCIACION[$ CAPITAL],FINANCIACION[Fecha],"&lt;="&amp;FINANCIACION[[#This Row],[Fecha]],FINANCIACION[PRESTAMO],FINANCIACION[[#This Row],[PRESTAMO]])</f>
        <v>-12000000</v>
      </c>
      <c r="G331" s="113"/>
      <c r="I331" s="119"/>
      <c r="J331" s="113" t="b">
        <f>+IF(FINANCIACION[[#This Row],[$ CAPITAL]]&gt;0,FINANCIACION[[#This Row],[$ CAPITAL]])</f>
        <v>0</v>
      </c>
      <c r="K331" s="120">
        <f>+IF(FINANCIACION[[#This Row],[$ CAPITAL]]&gt;=0,FINANCIACION[[#This Row],[$ CAPITAL]]+FINANCIACION[[#This Row],[$ INTERESES]],0)</f>
        <v>120000</v>
      </c>
    </row>
    <row r="332" spans="1:11" ht="24" customHeight="1" x14ac:dyDescent="0.3">
      <c r="A332" s="112">
        <v>44938</v>
      </c>
      <c r="B332" s="118" t="s">
        <v>352</v>
      </c>
      <c r="C332" s="113"/>
      <c r="D332" s="113">
        <v>120000</v>
      </c>
      <c r="E332" s="113">
        <f>+IF(FINANCIACION[[#This Row],[$ CAPITAL]]&gt;=0,FINANCIACION[[#This Row],[$ CAPITAL]]+FINANCIACION[[#This Row],[$ INTERESES]],"")</f>
        <v>120000</v>
      </c>
      <c r="F332" s="113">
        <f>+SUMIFS(FINANCIACION[$ CAPITAL],FINANCIACION[Fecha],"&lt;="&amp;FINANCIACION[[#This Row],[Fecha]],FINANCIACION[PRESTAMO],FINANCIACION[[#This Row],[PRESTAMO]])</f>
        <v>-12000000</v>
      </c>
      <c r="G332" s="113"/>
      <c r="I332" s="119"/>
      <c r="J332" s="113" t="b">
        <f>+IF(FINANCIACION[[#This Row],[$ CAPITAL]]&gt;0,FINANCIACION[[#This Row],[$ CAPITAL]])</f>
        <v>0</v>
      </c>
      <c r="K332" s="120">
        <f>+IF(FINANCIACION[[#This Row],[$ CAPITAL]]&gt;=0,FINANCIACION[[#This Row],[$ CAPITAL]]+FINANCIACION[[#This Row],[$ INTERESES]],0)</f>
        <v>120000</v>
      </c>
    </row>
    <row r="333" spans="1:11" ht="24" customHeight="1" x14ac:dyDescent="0.3">
      <c r="A333" s="112">
        <v>44970</v>
      </c>
      <c r="B333" s="118" t="s">
        <v>352</v>
      </c>
      <c r="C333" s="113"/>
      <c r="D333" s="113">
        <v>120000</v>
      </c>
      <c r="E333" s="113">
        <f>+IF(FINANCIACION[[#This Row],[$ CAPITAL]]&gt;=0,FINANCIACION[[#This Row],[$ CAPITAL]]+FINANCIACION[[#This Row],[$ INTERESES]],"")</f>
        <v>120000</v>
      </c>
      <c r="F333" s="113">
        <f>+SUMIFS(FINANCIACION[$ CAPITAL],FINANCIACION[Fecha],"&lt;="&amp;FINANCIACION[[#This Row],[Fecha]],FINANCIACION[PRESTAMO],FINANCIACION[[#This Row],[PRESTAMO]])</f>
        <v>-12000000</v>
      </c>
      <c r="G333" s="113"/>
      <c r="I333" s="119"/>
      <c r="J333" s="113" t="b">
        <f>+IF(FINANCIACION[[#This Row],[$ CAPITAL]]&gt;0,FINANCIACION[[#This Row],[$ CAPITAL]])</f>
        <v>0</v>
      </c>
      <c r="K333" s="120">
        <f>+IF(FINANCIACION[[#This Row],[$ CAPITAL]]&gt;=0,FINANCIACION[[#This Row],[$ CAPITAL]]+FINANCIACION[[#This Row],[$ INTERESES]],0)</f>
        <v>120000</v>
      </c>
    </row>
    <row r="334" spans="1:11" ht="24" customHeight="1" x14ac:dyDescent="0.3">
      <c r="A334" s="112">
        <v>44999</v>
      </c>
      <c r="B334" s="118" t="s">
        <v>352</v>
      </c>
      <c r="C334" s="113"/>
      <c r="D334" s="113">
        <v>120000</v>
      </c>
      <c r="E334" s="113">
        <f>+IF(FINANCIACION[[#This Row],[$ CAPITAL]]&gt;=0,FINANCIACION[[#This Row],[$ CAPITAL]]+FINANCIACION[[#This Row],[$ INTERESES]],"")</f>
        <v>120000</v>
      </c>
      <c r="F334" s="113">
        <f>+SUMIFS(FINANCIACION[$ CAPITAL],FINANCIACION[Fecha],"&lt;="&amp;FINANCIACION[[#This Row],[Fecha]],FINANCIACION[PRESTAMO],FINANCIACION[[#This Row],[PRESTAMO]])</f>
        <v>-12000000</v>
      </c>
      <c r="G334" s="113"/>
      <c r="I334" s="119"/>
      <c r="J334" s="113" t="b">
        <f>+IF(FINANCIACION[[#This Row],[$ CAPITAL]]&gt;0,FINANCIACION[[#This Row],[$ CAPITAL]])</f>
        <v>0</v>
      </c>
      <c r="K334" s="120">
        <f>+IF(FINANCIACION[[#This Row],[$ CAPITAL]]&gt;=0,FINANCIACION[[#This Row],[$ CAPITAL]]+FINANCIACION[[#This Row],[$ INTERESES]],0)</f>
        <v>120000</v>
      </c>
    </row>
    <row r="335" spans="1:11" ht="24" customHeight="1" x14ac:dyDescent="0.3">
      <c r="A335" s="112">
        <v>45026</v>
      </c>
      <c r="B335" s="118" t="s">
        <v>352</v>
      </c>
      <c r="C335" s="113"/>
      <c r="D335" s="113">
        <v>120000</v>
      </c>
      <c r="E335" s="113">
        <f>+IF(FINANCIACION[[#This Row],[$ CAPITAL]]&gt;=0,FINANCIACION[[#This Row],[$ CAPITAL]]+FINANCIACION[[#This Row],[$ INTERESES]],"")</f>
        <v>120000</v>
      </c>
      <c r="F335" s="113">
        <f>+SUMIFS(FINANCIACION[$ CAPITAL],FINANCIACION[Fecha],"&lt;="&amp;FINANCIACION[[#This Row],[Fecha]],FINANCIACION[PRESTAMO],FINANCIACION[[#This Row],[PRESTAMO]])</f>
        <v>-12000000</v>
      </c>
      <c r="G335" s="113"/>
      <c r="I335" s="119"/>
      <c r="J335" s="113" t="b">
        <f>+IF(FINANCIACION[[#This Row],[$ CAPITAL]]&gt;0,FINANCIACION[[#This Row],[$ CAPITAL]])</f>
        <v>0</v>
      </c>
      <c r="K335" s="120">
        <f>+IF(FINANCIACION[[#This Row],[$ CAPITAL]]&gt;=0,FINANCIACION[[#This Row],[$ CAPITAL]]+FINANCIACION[[#This Row],[$ INTERESES]],0)</f>
        <v>120000</v>
      </c>
    </row>
    <row r="336" spans="1:11" ht="24" customHeight="1" x14ac:dyDescent="0.3">
      <c r="A336" s="112">
        <v>45054</v>
      </c>
      <c r="B336" s="118" t="s">
        <v>352</v>
      </c>
      <c r="C336" s="113"/>
      <c r="D336" s="113">
        <v>120000</v>
      </c>
      <c r="E336" s="113">
        <f>+IF(FINANCIACION[[#This Row],[$ CAPITAL]]&gt;=0,FINANCIACION[[#This Row],[$ CAPITAL]]+FINANCIACION[[#This Row],[$ INTERESES]],"")</f>
        <v>120000</v>
      </c>
      <c r="F336" s="113">
        <f>+SUMIFS(FINANCIACION[$ CAPITAL],FINANCIACION[Fecha],"&lt;="&amp;FINANCIACION[[#This Row],[Fecha]],FINANCIACION[PRESTAMO],FINANCIACION[[#This Row],[PRESTAMO]])</f>
        <v>-12000000</v>
      </c>
      <c r="G336" s="113"/>
      <c r="I336" s="119"/>
      <c r="J336" s="113" t="b">
        <f>+IF(FINANCIACION[[#This Row],[$ CAPITAL]]&gt;0,FINANCIACION[[#This Row],[$ CAPITAL]])</f>
        <v>0</v>
      </c>
      <c r="K336" s="120">
        <f>+IF(FINANCIACION[[#This Row],[$ CAPITAL]]&gt;=0,FINANCIACION[[#This Row],[$ CAPITAL]]+FINANCIACION[[#This Row],[$ INTERESES]],0)</f>
        <v>120000</v>
      </c>
    </row>
    <row r="337" spans="1:17" ht="24" customHeight="1" x14ac:dyDescent="0.3">
      <c r="A337" s="112">
        <v>45091</v>
      </c>
      <c r="B337" s="118" t="s">
        <v>352</v>
      </c>
      <c r="C337" s="113"/>
      <c r="D337" s="113">
        <v>120000</v>
      </c>
      <c r="E337" s="113">
        <f>+IF(FINANCIACION[[#This Row],[$ CAPITAL]]&gt;=0,FINANCIACION[[#This Row],[$ CAPITAL]]+FINANCIACION[[#This Row],[$ INTERESES]],"")</f>
        <v>120000</v>
      </c>
      <c r="F337" s="113">
        <f>+SUMIFS(FINANCIACION[$ CAPITAL],FINANCIACION[Fecha],"&lt;="&amp;FINANCIACION[[#This Row],[Fecha]],FINANCIACION[PRESTAMO],FINANCIACION[[#This Row],[PRESTAMO]])</f>
        <v>-12000000</v>
      </c>
      <c r="G337" s="113"/>
      <c r="I337" s="119"/>
      <c r="J337" s="113" t="b">
        <f>+IF(FINANCIACION[[#This Row],[$ CAPITAL]]&gt;0,FINANCIACION[[#This Row],[$ CAPITAL]])</f>
        <v>0</v>
      </c>
      <c r="K337" s="120">
        <f>+IF(FINANCIACION[[#This Row],[$ CAPITAL]]&gt;=0,FINANCIACION[[#This Row],[$ CAPITAL]]+FINANCIACION[[#This Row],[$ INTERESES]],0)</f>
        <v>120000</v>
      </c>
    </row>
    <row r="338" spans="1:17" ht="24" customHeight="1" x14ac:dyDescent="0.3">
      <c r="A338" s="112">
        <v>45118</v>
      </c>
      <c r="B338" s="118" t="s">
        <v>352</v>
      </c>
      <c r="C338" s="113"/>
      <c r="D338" s="113">
        <v>120000</v>
      </c>
      <c r="E338" s="113">
        <f>+IF(FINANCIACION[[#This Row],[$ CAPITAL]]&gt;=0,FINANCIACION[[#This Row],[$ CAPITAL]]+FINANCIACION[[#This Row],[$ INTERESES]],"")</f>
        <v>120000</v>
      </c>
      <c r="F338" s="113">
        <f>+SUMIFS(FINANCIACION[$ CAPITAL],FINANCIACION[Fecha],"&lt;="&amp;FINANCIACION[[#This Row],[Fecha]],FINANCIACION[PRESTAMO],FINANCIACION[[#This Row],[PRESTAMO]])</f>
        <v>-12000000</v>
      </c>
      <c r="G338" s="113"/>
      <c r="I338" s="119"/>
      <c r="J338" s="113" t="b">
        <f>+IF(FINANCIACION[[#This Row],[$ CAPITAL]]&gt;0,FINANCIACION[[#This Row],[$ CAPITAL]])</f>
        <v>0</v>
      </c>
      <c r="K338" s="120">
        <f>+IF(FINANCIACION[[#This Row],[$ CAPITAL]]&gt;=0,FINANCIACION[[#This Row],[$ CAPITAL]]+FINANCIACION[[#This Row],[$ INTERESES]],0)</f>
        <v>120000</v>
      </c>
    </row>
    <row r="339" spans="1:17" ht="24" customHeight="1" x14ac:dyDescent="0.3">
      <c r="A339" s="112">
        <v>45149</v>
      </c>
      <c r="B339" s="118" t="s">
        <v>352</v>
      </c>
      <c r="C339" s="113"/>
      <c r="D339" s="113">
        <v>120000</v>
      </c>
      <c r="E339" s="113">
        <f>+IF(FINANCIACION[[#This Row],[$ CAPITAL]]&gt;=0,FINANCIACION[[#This Row],[$ CAPITAL]]+FINANCIACION[[#This Row],[$ INTERESES]],"")</f>
        <v>120000</v>
      </c>
      <c r="F339" s="113">
        <f>+SUMIFS(FINANCIACION[$ CAPITAL],FINANCIACION[Fecha],"&lt;="&amp;FINANCIACION[[#This Row],[Fecha]],FINANCIACION[PRESTAMO],FINANCIACION[[#This Row],[PRESTAMO]])</f>
        <v>-12000000</v>
      </c>
      <c r="G339" s="113"/>
      <c r="I339" s="119"/>
      <c r="J339" s="113" t="b">
        <f>+IF(FINANCIACION[[#This Row],[$ CAPITAL]]&gt;0,FINANCIACION[[#This Row],[$ CAPITAL]])</f>
        <v>0</v>
      </c>
      <c r="K339" s="120">
        <f>+IF(FINANCIACION[[#This Row],[$ CAPITAL]]&gt;=0,FINANCIACION[[#This Row],[$ CAPITAL]]+FINANCIACION[[#This Row],[$ INTERESES]],0)</f>
        <v>120000</v>
      </c>
    </row>
    <row r="340" spans="1:17" ht="24" customHeight="1" x14ac:dyDescent="0.3">
      <c r="A340" s="112">
        <v>45187</v>
      </c>
      <c r="B340" s="118" t="s">
        <v>352</v>
      </c>
      <c r="C340" s="113"/>
      <c r="D340" s="113">
        <v>120000</v>
      </c>
      <c r="E340" s="113">
        <f>+IF(FINANCIACION[[#This Row],[$ CAPITAL]]&gt;=0,FINANCIACION[[#This Row],[$ CAPITAL]]+FINANCIACION[[#This Row],[$ INTERESES]],"")</f>
        <v>120000</v>
      </c>
      <c r="F340" s="113">
        <f>+SUMIFS(FINANCIACION[$ CAPITAL],FINANCIACION[Fecha],"&lt;="&amp;FINANCIACION[[#This Row],[Fecha]],FINANCIACION[PRESTAMO],FINANCIACION[[#This Row],[PRESTAMO]])</f>
        <v>-12000000</v>
      </c>
      <c r="G340" s="113"/>
      <c r="I340" s="119"/>
      <c r="J340" s="113" t="b">
        <f>+IF(FINANCIACION[[#This Row],[$ CAPITAL]]&gt;0,FINANCIACION[[#This Row],[$ CAPITAL]])</f>
        <v>0</v>
      </c>
      <c r="K340" s="120">
        <f>+IF(FINANCIACION[[#This Row],[$ CAPITAL]]&gt;=0,FINANCIACION[[#This Row],[$ CAPITAL]]+FINANCIACION[[#This Row],[$ INTERESES]],0)</f>
        <v>120000</v>
      </c>
    </row>
    <row r="341" spans="1:17" ht="24" customHeight="1" x14ac:dyDescent="0.3">
      <c r="A341" s="112">
        <v>45210</v>
      </c>
      <c r="B341" s="118" t="s">
        <v>352</v>
      </c>
      <c r="C341" s="113"/>
      <c r="D341" s="113">
        <v>120000</v>
      </c>
      <c r="E341" s="113">
        <f>+IF(FINANCIACION[[#This Row],[$ CAPITAL]]&gt;=0,FINANCIACION[[#This Row],[$ CAPITAL]]+FINANCIACION[[#This Row],[$ INTERESES]],"")</f>
        <v>120000</v>
      </c>
      <c r="F341" s="113">
        <f>+SUMIFS(FINANCIACION[$ CAPITAL],FINANCIACION[Fecha],"&lt;="&amp;FINANCIACION[[#This Row],[Fecha]],FINANCIACION[PRESTAMO],FINANCIACION[[#This Row],[PRESTAMO]])</f>
        <v>-12000000</v>
      </c>
      <c r="G341" s="113"/>
      <c r="I341" s="119"/>
      <c r="J341" s="113" t="b">
        <f>+IF(FINANCIACION[[#This Row],[$ CAPITAL]]&gt;0,FINANCIACION[[#This Row],[$ CAPITAL]])</f>
        <v>0</v>
      </c>
      <c r="K341" s="120">
        <f>+IF(FINANCIACION[[#This Row],[$ CAPITAL]]&gt;=0,FINANCIACION[[#This Row],[$ CAPITAL]]+FINANCIACION[[#This Row],[$ INTERESES]],0)</f>
        <v>120000</v>
      </c>
    </row>
    <row r="342" spans="1:17" ht="24" customHeight="1" x14ac:dyDescent="0.3">
      <c r="A342" s="112">
        <v>45237</v>
      </c>
      <c r="B342" s="118" t="s">
        <v>352</v>
      </c>
      <c r="C342" s="113"/>
      <c r="D342" s="113">
        <v>120000</v>
      </c>
      <c r="E342" s="113">
        <f>+IF(FINANCIACION[[#This Row],[$ CAPITAL]]&gt;=0,FINANCIACION[[#This Row],[$ CAPITAL]]+FINANCIACION[[#This Row],[$ INTERESES]],"")</f>
        <v>120000</v>
      </c>
      <c r="F342" s="113">
        <f>+SUMIFS(FINANCIACION[$ CAPITAL],FINANCIACION[Fecha],"&lt;="&amp;FINANCIACION[[#This Row],[Fecha]],FINANCIACION[PRESTAMO],FINANCIACION[[#This Row],[PRESTAMO]])</f>
        <v>0</v>
      </c>
      <c r="G342" s="113"/>
      <c r="I342" s="119"/>
      <c r="J342" s="113" t="b">
        <f>+IF(FINANCIACION[[#This Row],[$ CAPITAL]]&gt;0,FINANCIACION[[#This Row],[$ CAPITAL]])</f>
        <v>0</v>
      </c>
      <c r="K342" s="120">
        <f>+IF(FINANCIACION[[#This Row],[$ CAPITAL]]&gt;=0,FINANCIACION[[#This Row],[$ CAPITAL]]+FINANCIACION[[#This Row],[$ INTERESES]],0)</f>
        <v>120000</v>
      </c>
    </row>
    <row r="343" spans="1:17" ht="24" customHeight="1" x14ac:dyDescent="0.3">
      <c r="A343" s="112">
        <v>45237</v>
      </c>
      <c r="B343" s="118" t="s">
        <v>352</v>
      </c>
      <c r="C343" s="113">
        <v>12000000</v>
      </c>
      <c r="D343" s="113"/>
      <c r="E343" s="113">
        <f>+IF(FINANCIACION[[#This Row],[$ CAPITAL]]&gt;=0,FINANCIACION[[#This Row],[$ CAPITAL]]+FINANCIACION[[#This Row],[$ INTERESES]],"")</f>
        <v>12000000</v>
      </c>
      <c r="F343" s="113">
        <f>+SUMIFS(FINANCIACION[$ CAPITAL],FINANCIACION[Fecha],"&lt;="&amp;FINANCIACION[[#This Row],[Fecha]],FINANCIACION[PRESTAMO],FINANCIACION[[#This Row],[PRESTAMO]])</f>
        <v>0</v>
      </c>
      <c r="G343" s="113"/>
      <c r="I343" s="119"/>
      <c r="J343" s="113">
        <f>+IF(FINANCIACION[[#This Row],[$ CAPITAL]]&gt;0,FINANCIACION[[#This Row],[$ CAPITAL]])</f>
        <v>12000000</v>
      </c>
      <c r="K343" s="120">
        <f>+IF(FINANCIACION[[#This Row],[$ CAPITAL]]&gt;=0,FINANCIACION[[#This Row],[$ CAPITAL]]+FINANCIACION[[#This Row],[$ INTERESES]],0)</f>
        <v>12000000</v>
      </c>
    </row>
    <row r="344" spans="1:17" ht="24" customHeight="1" x14ac:dyDescent="0.3">
      <c r="A344" s="112">
        <v>43398</v>
      </c>
      <c r="B344" s="118" t="s">
        <v>1431</v>
      </c>
      <c r="C344" s="113">
        <v>-45000000</v>
      </c>
      <c r="D344" s="113"/>
      <c r="E344" s="113" t="str">
        <f>+IF(FINANCIACION[[#This Row],[$ CAPITAL]]&gt;=0,FINANCIACION[[#This Row],[$ CAPITAL]]+FINANCIACION[[#This Row],[$ INTERESES]],"")</f>
        <v/>
      </c>
      <c r="F344" s="113">
        <f>+SUMIFS(FINANCIACION[$ CAPITAL],FINANCIACION[Fecha],"&lt;="&amp;FINANCIACION[[#This Row],[Fecha]],FINANCIACION[PRESTAMO],FINANCIACION[[#This Row],[PRESTAMO]])</f>
        <v>-45000000</v>
      </c>
      <c r="G344" s="103"/>
      <c r="I344" s="119"/>
      <c r="J344" s="113" t="b">
        <f>IF(FINANCIACION[[#This Row],[$ CAPITAL]]&gt;0,FINANCIACION[[#This Row],[$ CAPITAL]])</f>
        <v>0</v>
      </c>
      <c r="K344" s="120">
        <f>IF(FINANCIACION[[#This Row],[$ CAPITAL]]&gt;=0,FINANCIACION[[#This Row],[$ CAPITAL]]+FINANCIACION[[#This Row],[$ INTERESES]],0)</f>
        <v>0</v>
      </c>
      <c r="L344" s="123"/>
      <c r="O344" s="117"/>
      <c r="P344" s="119"/>
      <c r="Q344" s="121"/>
    </row>
    <row r="345" spans="1:17" ht="24" customHeight="1" x14ac:dyDescent="0.3">
      <c r="A345" s="112">
        <v>43465</v>
      </c>
      <c r="B345" s="118" t="s">
        <v>1431</v>
      </c>
      <c r="C345" s="113">
        <v>2500000</v>
      </c>
      <c r="D345" s="113"/>
      <c r="E345" s="113">
        <f>+IF(FINANCIACION[[#This Row],[$ CAPITAL]]&gt;=0,FINANCIACION[[#This Row],[$ CAPITAL]]+FINANCIACION[[#This Row],[$ INTERESES]],"")</f>
        <v>2500000</v>
      </c>
      <c r="F345" s="113">
        <f>+SUMIFS(FINANCIACION[$ CAPITAL],FINANCIACION[Fecha],"&lt;="&amp;FINANCIACION[[#This Row],[Fecha]],FINANCIACION[PRESTAMO],FINANCIACION[[#This Row],[PRESTAMO]])</f>
        <v>-42500000</v>
      </c>
      <c r="G345" s="103"/>
      <c r="I345" s="119"/>
      <c r="J345" s="113">
        <f>IF(FINANCIACION[[#This Row],[$ CAPITAL]]&gt;0,FINANCIACION[[#This Row],[$ CAPITAL]])</f>
        <v>2500000</v>
      </c>
      <c r="K345" s="120">
        <f>IF(FINANCIACION[[#This Row],[$ CAPITAL]]&gt;=0,FINANCIACION[[#This Row],[$ CAPITAL]]+FINANCIACION[[#This Row],[$ INTERESES]],0)</f>
        <v>2500000</v>
      </c>
      <c r="L345" s="123"/>
      <c r="O345" s="117"/>
      <c r="P345" s="119"/>
      <c r="Q345" s="121"/>
    </row>
    <row r="346" spans="1:17" ht="24" customHeight="1" x14ac:dyDescent="0.3">
      <c r="A346" s="112">
        <v>43490</v>
      </c>
      <c r="B346" s="118" t="s">
        <v>1431</v>
      </c>
      <c r="C346" s="113">
        <v>1250000</v>
      </c>
      <c r="D346" s="113">
        <v>522218</v>
      </c>
      <c r="E346" s="113">
        <f>+IF(FINANCIACION[[#This Row],[$ CAPITAL]]&gt;=0,FINANCIACION[[#This Row],[$ CAPITAL]]+FINANCIACION[[#This Row],[$ INTERESES]],"")</f>
        <v>1772218</v>
      </c>
      <c r="F346" s="113">
        <f>+SUMIFS(FINANCIACION[$ CAPITAL],FINANCIACION[Fecha],"&lt;="&amp;FINANCIACION[[#This Row],[Fecha]],FINANCIACION[PRESTAMO],FINANCIACION[[#This Row],[PRESTAMO]])</f>
        <v>-41250000</v>
      </c>
      <c r="G346" s="103"/>
      <c r="I346" s="119"/>
      <c r="J346" s="113">
        <f>IF(FINANCIACION[[#This Row],[$ CAPITAL]]&gt;0,FINANCIACION[[#This Row],[$ CAPITAL]])</f>
        <v>1250000</v>
      </c>
      <c r="K346" s="120">
        <f>IF(FINANCIACION[[#This Row],[$ CAPITAL]]&gt;=0,FINANCIACION[[#This Row],[$ CAPITAL]]+FINANCIACION[[#This Row],[$ INTERESES]],0)</f>
        <v>1772218</v>
      </c>
      <c r="L346" s="123"/>
      <c r="O346" s="117"/>
      <c r="P346" s="119"/>
      <c r="Q346" s="121"/>
    </row>
    <row r="347" spans="1:17" ht="24" customHeight="1" x14ac:dyDescent="0.3">
      <c r="A347" s="112">
        <v>43521</v>
      </c>
      <c r="B347" s="118" t="s">
        <v>1431</v>
      </c>
      <c r="C347" s="113">
        <v>1250000</v>
      </c>
      <c r="D347" s="113">
        <v>508307</v>
      </c>
      <c r="E347" s="113">
        <f>+IF(FINANCIACION[[#This Row],[$ CAPITAL]]&gt;=0,FINANCIACION[[#This Row],[$ CAPITAL]]+FINANCIACION[[#This Row],[$ INTERESES]],"")</f>
        <v>1758307</v>
      </c>
      <c r="F347" s="113">
        <f>+SUMIFS(FINANCIACION[$ CAPITAL],FINANCIACION[Fecha],"&lt;="&amp;FINANCIACION[[#This Row],[Fecha]],FINANCIACION[PRESTAMO],FINANCIACION[[#This Row],[PRESTAMO]])</f>
        <v>-40000000</v>
      </c>
      <c r="G347" s="103"/>
      <c r="H347" s="117"/>
      <c r="I347" s="119"/>
      <c r="J347" s="113">
        <f>IF(FINANCIACION[[#This Row],[$ CAPITAL]]&gt;0,FINANCIACION[[#This Row],[$ CAPITAL]])</f>
        <v>1250000</v>
      </c>
      <c r="K347" s="120">
        <f>IF(FINANCIACION[[#This Row],[$ CAPITAL]]&gt;=0,FINANCIACION[[#This Row],[$ CAPITAL]]+FINANCIACION[[#This Row],[$ INTERESES]],0)</f>
        <v>1758307</v>
      </c>
      <c r="L347" s="123"/>
      <c r="O347" s="117"/>
      <c r="P347" s="119"/>
      <c r="Q347" s="121"/>
    </row>
    <row r="348" spans="1:17" ht="24" customHeight="1" x14ac:dyDescent="0.3">
      <c r="A348" s="112">
        <v>43549</v>
      </c>
      <c r="B348" s="118" t="s">
        <v>1431</v>
      </c>
      <c r="C348" s="113">
        <v>1250000</v>
      </c>
      <c r="D348" s="113">
        <v>493253</v>
      </c>
      <c r="E348" s="113">
        <f>+IF(FINANCIACION[[#This Row],[$ CAPITAL]]&gt;=0,FINANCIACION[[#This Row],[$ CAPITAL]]+FINANCIACION[[#This Row],[$ INTERESES]],"")</f>
        <v>1743253</v>
      </c>
      <c r="F348" s="113">
        <f>+SUMIFS(FINANCIACION[$ CAPITAL],FINANCIACION[Fecha],"&lt;="&amp;FINANCIACION[[#This Row],[Fecha]],FINANCIACION[PRESTAMO],FINANCIACION[[#This Row],[PRESTAMO]])</f>
        <v>-38750000</v>
      </c>
      <c r="G348" s="103"/>
      <c r="H348" s="117"/>
      <c r="I348" s="119"/>
      <c r="J348" s="113">
        <f>IF(FINANCIACION[[#This Row],[$ CAPITAL]]&gt;0,FINANCIACION[[#This Row],[$ CAPITAL]])</f>
        <v>1250000</v>
      </c>
      <c r="K348" s="120">
        <f>IF(FINANCIACION[[#This Row],[$ CAPITAL]]&gt;=0,FINANCIACION[[#This Row],[$ CAPITAL]]+FINANCIACION[[#This Row],[$ INTERESES]],0)</f>
        <v>1743253</v>
      </c>
      <c r="L348" s="123"/>
      <c r="O348" s="117"/>
      <c r="P348" s="119"/>
      <c r="Q348" s="121"/>
    </row>
    <row r="349" spans="1:17" ht="24" customHeight="1" x14ac:dyDescent="0.3">
      <c r="A349" s="112">
        <v>43580</v>
      </c>
      <c r="B349" s="118" t="s">
        <v>1431</v>
      </c>
      <c r="C349" s="113">
        <v>1250000</v>
      </c>
      <c r="D349" s="113">
        <v>476141</v>
      </c>
      <c r="E349" s="113">
        <f>+IF(FINANCIACION[[#This Row],[$ CAPITAL]]&gt;=0,FINANCIACION[[#This Row],[$ CAPITAL]]+FINANCIACION[[#This Row],[$ INTERESES]],"")</f>
        <v>1726141</v>
      </c>
      <c r="F349" s="113">
        <f>+SUMIFS(FINANCIACION[$ CAPITAL],FINANCIACION[Fecha],"&lt;="&amp;FINANCIACION[[#This Row],[Fecha]],FINANCIACION[PRESTAMO],FINANCIACION[[#This Row],[PRESTAMO]])</f>
        <v>-37500000</v>
      </c>
      <c r="G349" s="103"/>
      <c r="H349" s="117"/>
      <c r="I349" s="119"/>
      <c r="J349" s="113">
        <f>IF(FINANCIACION[[#This Row],[$ CAPITAL]]&gt;0,FINANCIACION[[#This Row],[$ CAPITAL]])</f>
        <v>1250000</v>
      </c>
      <c r="K349" s="120">
        <f>IF(FINANCIACION[[#This Row],[$ CAPITAL]]&gt;=0,FINANCIACION[[#This Row],[$ CAPITAL]]+FINANCIACION[[#This Row],[$ INTERESES]],0)</f>
        <v>1726141</v>
      </c>
      <c r="L349" s="123"/>
      <c r="O349" s="117"/>
      <c r="P349" s="119"/>
      <c r="Q349" s="121"/>
    </row>
    <row r="350" spans="1:17" ht="24" customHeight="1" x14ac:dyDescent="0.3">
      <c r="A350" s="112">
        <v>43593</v>
      </c>
      <c r="B350" s="118" t="s">
        <v>1431</v>
      </c>
      <c r="C350" s="113">
        <v>7500000</v>
      </c>
      <c r="D350" s="113"/>
      <c r="E350" s="113">
        <f>+IF(FINANCIACION[[#This Row],[$ CAPITAL]]&gt;=0,FINANCIACION[[#This Row],[$ CAPITAL]]+FINANCIACION[[#This Row],[$ INTERESES]],"")</f>
        <v>7500000</v>
      </c>
      <c r="F350" s="113">
        <f>+SUMIFS(FINANCIACION[$ CAPITAL],FINANCIACION[Fecha],"&lt;="&amp;FINANCIACION[[#This Row],[Fecha]],FINANCIACION[PRESTAMO],FINANCIACION[[#This Row],[PRESTAMO]])</f>
        <v>-30000000</v>
      </c>
      <c r="G350" s="103"/>
      <c r="H350" s="117"/>
      <c r="I350" s="119"/>
      <c r="J350" s="113">
        <f>IF(FINANCIACION[[#This Row],[$ CAPITAL]]&gt;0,FINANCIACION[[#This Row],[$ CAPITAL]])</f>
        <v>7500000</v>
      </c>
      <c r="K350" s="120">
        <f>IF(FINANCIACION[[#This Row],[$ CAPITAL]]&gt;=0,FINANCIACION[[#This Row],[$ CAPITAL]]+FINANCIACION[[#This Row],[$ INTERESES]],0)</f>
        <v>7500000</v>
      </c>
      <c r="L350" s="123"/>
      <c r="O350" s="117"/>
      <c r="P350" s="119"/>
      <c r="Q350" s="121"/>
    </row>
    <row r="351" spans="1:17" ht="24" customHeight="1" x14ac:dyDescent="0.3">
      <c r="A351" s="112">
        <v>43612</v>
      </c>
      <c r="B351" s="118" t="s">
        <v>1431</v>
      </c>
      <c r="C351" s="113">
        <v>1250000</v>
      </c>
      <c r="D351" s="113">
        <v>461769</v>
      </c>
      <c r="E351" s="113">
        <f>+IF(FINANCIACION[[#This Row],[$ CAPITAL]]&gt;=0,FINANCIACION[[#This Row],[$ CAPITAL]]+FINANCIACION[[#This Row],[$ INTERESES]],"")</f>
        <v>1711769</v>
      </c>
      <c r="F351" s="113">
        <f>+SUMIFS(FINANCIACION[$ CAPITAL],FINANCIACION[Fecha],"&lt;="&amp;FINANCIACION[[#This Row],[Fecha]],FINANCIACION[PRESTAMO],FINANCIACION[[#This Row],[PRESTAMO]])</f>
        <v>-28750000</v>
      </c>
      <c r="G351" s="103"/>
      <c r="H351" s="117"/>
      <c r="I351" s="119"/>
      <c r="J351" s="113">
        <f>IF(FINANCIACION[[#This Row],[$ CAPITAL]]&gt;0,FINANCIACION[[#This Row],[$ CAPITAL]])</f>
        <v>1250000</v>
      </c>
      <c r="K351" s="120">
        <f>IF(FINANCIACION[[#This Row],[$ CAPITAL]]&gt;=0,FINANCIACION[[#This Row],[$ CAPITAL]]+FINANCIACION[[#This Row],[$ INTERESES]],0)</f>
        <v>1711769</v>
      </c>
      <c r="L351" s="123"/>
      <c r="O351" s="117"/>
      <c r="P351" s="119"/>
      <c r="Q351" s="121"/>
    </row>
    <row r="352" spans="1:17" ht="24" customHeight="1" x14ac:dyDescent="0.3">
      <c r="A352" s="112">
        <v>43641</v>
      </c>
      <c r="B352" s="118" t="s">
        <v>1431</v>
      </c>
      <c r="C352" s="113">
        <v>1250000</v>
      </c>
      <c r="D352" s="113">
        <v>353517</v>
      </c>
      <c r="E352" s="113">
        <f>+IF(FINANCIACION[[#This Row],[$ CAPITAL]]&gt;=0,FINANCIACION[[#This Row],[$ CAPITAL]]+FINANCIACION[[#This Row],[$ INTERESES]],"")</f>
        <v>1603517</v>
      </c>
      <c r="F352" s="113">
        <f>+SUMIFS(FINANCIACION[$ CAPITAL],FINANCIACION[Fecha],"&lt;="&amp;FINANCIACION[[#This Row],[Fecha]],FINANCIACION[PRESTAMO],FINANCIACION[[#This Row],[PRESTAMO]])</f>
        <v>-27500000</v>
      </c>
      <c r="G352" s="103"/>
      <c r="I352" s="119"/>
      <c r="J352" s="113">
        <f>IF(FINANCIACION[[#This Row],[$ CAPITAL]]&gt;0,FINANCIACION[[#This Row],[$ CAPITAL]])</f>
        <v>1250000</v>
      </c>
      <c r="K352" s="120">
        <f>IF(FINANCIACION[[#This Row],[$ CAPITAL]]&gt;=0,FINANCIACION[[#This Row],[$ CAPITAL]]+FINANCIACION[[#This Row],[$ INTERESES]],0)</f>
        <v>1603517</v>
      </c>
      <c r="L352" s="123"/>
      <c r="O352" s="117"/>
      <c r="P352" s="119"/>
      <c r="Q352" s="121"/>
    </row>
    <row r="353" spans="1:17" ht="24" customHeight="1" x14ac:dyDescent="0.3">
      <c r="A353" s="112">
        <v>43671</v>
      </c>
      <c r="B353" s="118" t="s">
        <v>1431</v>
      </c>
      <c r="C353" s="113">
        <v>1250000</v>
      </c>
      <c r="D353" s="113">
        <v>335262</v>
      </c>
      <c r="E353" s="113">
        <f>+IF(FINANCIACION[[#This Row],[$ CAPITAL]]&gt;=0,FINANCIACION[[#This Row],[$ CAPITAL]]+FINANCIACION[[#This Row],[$ INTERESES]],"")</f>
        <v>1585262</v>
      </c>
      <c r="F353" s="113">
        <f>+SUMIFS(FINANCIACION[$ CAPITAL],FINANCIACION[Fecha],"&lt;="&amp;FINANCIACION[[#This Row],[Fecha]],FINANCIACION[PRESTAMO],FINANCIACION[[#This Row],[PRESTAMO]])</f>
        <v>-26250000</v>
      </c>
      <c r="G353" s="103"/>
      <c r="H353" s="117"/>
      <c r="I353" s="119"/>
      <c r="J353" s="113">
        <f>IF(FINANCIACION[[#This Row],[$ CAPITAL]]&gt;0,FINANCIACION[[#This Row],[$ CAPITAL]])</f>
        <v>1250000</v>
      </c>
      <c r="K353" s="120">
        <f>IF(FINANCIACION[[#This Row],[$ CAPITAL]]&gt;=0,FINANCIACION[[#This Row],[$ CAPITAL]]+FINANCIACION[[#This Row],[$ INTERESES]],0)</f>
        <v>1585262</v>
      </c>
      <c r="L353" s="123"/>
      <c r="O353" s="117"/>
      <c r="P353" s="119"/>
      <c r="Q353" s="121"/>
    </row>
    <row r="354" spans="1:17" ht="24" customHeight="1" x14ac:dyDescent="0.3">
      <c r="A354" s="112">
        <v>43703</v>
      </c>
      <c r="B354" s="118" t="s">
        <v>1431</v>
      </c>
      <c r="C354" s="113">
        <v>1250000</v>
      </c>
      <c r="D354" s="113">
        <v>320711</v>
      </c>
      <c r="E354" s="113">
        <f>+IF(FINANCIACION[[#This Row],[$ CAPITAL]]&gt;=0,FINANCIACION[[#This Row],[$ CAPITAL]]+FINANCIACION[[#This Row],[$ INTERESES]],"")</f>
        <v>1570711</v>
      </c>
      <c r="F354" s="113">
        <f>+SUMIFS(FINANCIACION[$ CAPITAL],FINANCIACION[Fecha],"&lt;="&amp;FINANCIACION[[#This Row],[Fecha]],FINANCIACION[PRESTAMO],FINANCIACION[[#This Row],[PRESTAMO]])</f>
        <v>-25000000</v>
      </c>
      <c r="G354" s="103"/>
      <c r="H354" s="117"/>
      <c r="I354" s="119"/>
      <c r="J354" s="113">
        <f>IF(FINANCIACION[[#This Row],[$ CAPITAL]]&gt;0,FINANCIACION[[#This Row],[$ CAPITAL]])</f>
        <v>1250000</v>
      </c>
      <c r="K354" s="120">
        <f>IF(FINANCIACION[[#This Row],[$ CAPITAL]]&gt;=0,FINANCIACION[[#This Row],[$ CAPITAL]]+FINANCIACION[[#This Row],[$ INTERESES]],0)</f>
        <v>1570711</v>
      </c>
      <c r="L354" s="123"/>
      <c r="O354" s="117"/>
      <c r="P354" s="119"/>
      <c r="Q354" s="121"/>
    </row>
    <row r="355" spans="1:17" ht="24" customHeight="1" x14ac:dyDescent="0.3">
      <c r="A355" s="112">
        <v>43733</v>
      </c>
      <c r="B355" s="118" t="s">
        <v>1431</v>
      </c>
      <c r="C355" s="113">
        <v>1250000</v>
      </c>
      <c r="D355" s="113">
        <v>305659</v>
      </c>
      <c r="E355" s="113">
        <f>+IF(FINANCIACION[[#This Row],[$ CAPITAL]]&gt;=0,FINANCIACION[[#This Row],[$ CAPITAL]]+FINANCIACION[[#This Row],[$ INTERESES]],"")</f>
        <v>1555659</v>
      </c>
      <c r="F355" s="113">
        <f>+SUMIFS(FINANCIACION[$ CAPITAL],FINANCIACION[Fecha],"&lt;="&amp;FINANCIACION[[#This Row],[Fecha]],FINANCIACION[PRESTAMO],FINANCIACION[[#This Row],[PRESTAMO]])</f>
        <v>-23750000</v>
      </c>
      <c r="G355" s="103"/>
      <c r="H355" s="117"/>
      <c r="I355" s="119"/>
      <c r="J355" s="113">
        <f>IF(FINANCIACION[[#This Row],[$ CAPITAL]]&gt;0,FINANCIACION[[#This Row],[$ CAPITAL]])</f>
        <v>1250000</v>
      </c>
      <c r="K355" s="120">
        <f>IF(FINANCIACION[[#This Row],[$ CAPITAL]]&gt;=0,FINANCIACION[[#This Row],[$ CAPITAL]]+FINANCIACION[[#This Row],[$ INTERESES]],0)</f>
        <v>1555659</v>
      </c>
      <c r="L355" s="123"/>
      <c r="O355" s="117"/>
      <c r="P355" s="119"/>
      <c r="Q355" s="121"/>
    </row>
    <row r="356" spans="1:17" ht="24" customHeight="1" x14ac:dyDescent="0.3">
      <c r="A356" s="112">
        <v>43763</v>
      </c>
      <c r="B356" s="118" t="s">
        <v>1431</v>
      </c>
      <c r="C356" s="113">
        <v>1250000</v>
      </c>
      <c r="D356" s="113">
        <v>289544</v>
      </c>
      <c r="E356" s="113">
        <f>+IF(FINANCIACION[[#This Row],[$ CAPITAL]]&gt;=0,FINANCIACION[[#This Row],[$ CAPITAL]]+FINANCIACION[[#This Row],[$ INTERESES]],"")</f>
        <v>1539544</v>
      </c>
      <c r="F356" s="113">
        <f>+SUMIFS(FINANCIACION[$ CAPITAL],FINANCIACION[Fecha],"&lt;="&amp;FINANCIACION[[#This Row],[Fecha]],FINANCIACION[PRESTAMO],FINANCIACION[[#This Row],[PRESTAMO]])</f>
        <v>-22500000</v>
      </c>
      <c r="G356" s="103"/>
      <c r="H356" s="117"/>
      <c r="I356" s="119"/>
      <c r="J356" s="113">
        <f>IF(FINANCIACION[[#This Row],[$ CAPITAL]]&gt;0,FINANCIACION[[#This Row],[$ CAPITAL]])</f>
        <v>1250000</v>
      </c>
      <c r="K356" s="120">
        <f>IF(FINANCIACION[[#This Row],[$ CAPITAL]]&gt;=0,FINANCIACION[[#This Row],[$ CAPITAL]]+FINANCIACION[[#This Row],[$ INTERESES]],0)</f>
        <v>1539544</v>
      </c>
      <c r="L356" s="123"/>
      <c r="O356" s="117"/>
      <c r="P356" s="119"/>
      <c r="Q356" s="121"/>
    </row>
    <row r="357" spans="1:17" ht="24" customHeight="1" x14ac:dyDescent="0.3">
      <c r="A357" s="112">
        <v>43794</v>
      </c>
      <c r="B357" s="118" t="s">
        <v>1431</v>
      </c>
      <c r="C357" s="113">
        <v>1250000</v>
      </c>
      <c r="D357" s="113">
        <v>1130711</v>
      </c>
      <c r="E357" s="113">
        <f>+IF(FINANCIACION[[#This Row],[$ CAPITAL]]&gt;=0,FINANCIACION[[#This Row],[$ CAPITAL]]+FINANCIACION[[#This Row],[$ INTERESES]],"")</f>
        <v>2380711</v>
      </c>
      <c r="F357" s="113">
        <f>+SUMIFS(FINANCIACION[$ CAPITAL],FINANCIACION[Fecha],"&lt;="&amp;FINANCIACION[[#This Row],[Fecha]],FINANCIACION[PRESTAMO],FINANCIACION[[#This Row],[PRESTAMO]])</f>
        <v>-21250000</v>
      </c>
      <c r="G357" s="103"/>
      <c r="I357" s="119"/>
      <c r="J357" s="113">
        <f>IF(FINANCIACION[[#This Row],[$ CAPITAL]]&gt;0,FINANCIACION[[#This Row],[$ CAPITAL]])</f>
        <v>1250000</v>
      </c>
      <c r="K357" s="120">
        <f>IF(FINANCIACION[[#This Row],[$ CAPITAL]]&gt;=0,FINANCIACION[[#This Row],[$ CAPITAL]]+FINANCIACION[[#This Row],[$ INTERESES]],0)</f>
        <v>2380711</v>
      </c>
      <c r="L357" s="123"/>
      <c r="O357" s="117"/>
      <c r="P357" s="119"/>
      <c r="Q357" s="121"/>
    </row>
    <row r="358" spans="1:17" ht="24" customHeight="1" x14ac:dyDescent="0.3">
      <c r="A358" s="112">
        <v>43825</v>
      </c>
      <c r="B358" s="118" t="s">
        <v>1431</v>
      </c>
      <c r="C358" s="113">
        <v>1250000</v>
      </c>
      <c r="D358" s="113">
        <v>260739</v>
      </c>
      <c r="E358" s="113">
        <f>+IF(FINANCIACION[[#This Row],[$ CAPITAL]]&gt;=0,FINANCIACION[[#This Row],[$ CAPITAL]]+FINANCIACION[[#This Row],[$ INTERESES]],"")</f>
        <v>1510739</v>
      </c>
      <c r="F358" s="113">
        <f>+SUMIFS(FINANCIACION[$ CAPITAL],FINANCIACION[Fecha],"&lt;="&amp;FINANCIACION[[#This Row],[Fecha]],FINANCIACION[PRESTAMO],FINANCIACION[[#This Row],[PRESTAMO]])</f>
        <v>-20000000</v>
      </c>
      <c r="G358" s="103"/>
      <c r="H358" s="117"/>
      <c r="I358" s="119"/>
      <c r="J358" s="113">
        <f>IF(FINANCIACION[[#This Row],[$ CAPITAL]]&gt;0,FINANCIACION[[#This Row],[$ CAPITAL]])</f>
        <v>1250000</v>
      </c>
      <c r="K358" s="120">
        <f>IF(FINANCIACION[[#This Row],[$ CAPITAL]]&gt;=0,FINANCIACION[[#This Row],[$ CAPITAL]]+FINANCIACION[[#This Row],[$ INTERESES]],0)</f>
        <v>1510739</v>
      </c>
      <c r="L358" s="123"/>
      <c r="O358" s="117"/>
      <c r="P358" s="119"/>
      <c r="Q358" s="121"/>
    </row>
    <row r="359" spans="1:17" ht="24" customHeight="1" x14ac:dyDescent="0.3">
      <c r="A359" s="122">
        <v>43855</v>
      </c>
      <c r="B359" s="118" t="s">
        <v>1431</v>
      </c>
      <c r="C359" s="113">
        <v>1250000</v>
      </c>
      <c r="D359" s="113">
        <v>244877</v>
      </c>
      <c r="E359" s="113">
        <f>+IF(FINANCIACION[[#This Row],[$ CAPITAL]]&gt;=0,FINANCIACION[[#This Row],[$ CAPITAL]]+FINANCIACION[[#This Row],[$ INTERESES]],"")</f>
        <v>1494877</v>
      </c>
      <c r="F359" s="113">
        <f>+SUMIFS(FINANCIACION[$ CAPITAL],FINANCIACION[Fecha],"&lt;="&amp;FINANCIACION[[#This Row],[Fecha]],FINANCIACION[PRESTAMO],FINANCIACION[[#This Row],[PRESTAMO]])</f>
        <v>-18750000</v>
      </c>
      <c r="G359" s="103"/>
      <c r="H359" s="117"/>
      <c r="I359" s="119"/>
      <c r="J359" s="113">
        <f>IF(FINANCIACION[[#This Row],[$ CAPITAL]]&gt;0,FINANCIACION[[#This Row],[$ CAPITAL]])</f>
        <v>1250000</v>
      </c>
      <c r="K359" s="120">
        <f>IF(FINANCIACION[[#This Row],[$ CAPITAL]]&gt;=0,FINANCIACION[[#This Row],[$ CAPITAL]]+FINANCIACION[[#This Row],[$ INTERESES]],0)</f>
        <v>1494877</v>
      </c>
      <c r="L359" s="123"/>
      <c r="O359" s="117"/>
      <c r="P359" s="119"/>
      <c r="Q359" s="121"/>
    </row>
    <row r="360" spans="1:17" ht="24" customHeight="1" x14ac:dyDescent="0.3">
      <c r="A360" s="122">
        <v>43886</v>
      </c>
      <c r="B360" s="118" t="s">
        <v>1431</v>
      </c>
      <c r="C360" s="113">
        <v>1250000</v>
      </c>
      <c r="D360" s="113">
        <v>229080</v>
      </c>
      <c r="E360" s="113">
        <f>+IF(FINANCIACION[[#This Row],[$ CAPITAL]]&gt;=0,FINANCIACION[[#This Row],[$ CAPITAL]]+FINANCIACION[[#This Row],[$ INTERESES]],"")</f>
        <v>1479080</v>
      </c>
      <c r="F360" s="113">
        <f>+SUMIFS(FINANCIACION[$ CAPITAL],FINANCIACION[Fecha],"&lt;="&amp;FINANCIACION[[#This Row],[Fecha]],FINANCIACION[PRESTAMO],FINANCIACION[[#This Row],[PRESTAMO]])</f>
        <v>-17500000</v>
      </c>
      <c r="G360" s="103"/>
      <c r="I360" s="119"/>
      <c r="J360" s="113">
        <f>IF(FINANCIACION[[#This Row],[$ CAPITAL]]&gt;0,FINANCIACION[[#This Row],[$ CAPITAL]])</f>
        <v>1250000</v>
      </c>
      <c r="K360" s="120">
        <f>IF(FINANCIACION[[#This Row],[$ CAPITAL]]&gt;=0,FINANCIACION[[#This Row],[$ CAPITAL]]+FINANCIACION[[#This Row],[$ INTERESES]],0)</f>
        <v>1479080</v>
      </c>
      <c r="L360" s="123"/>
      <c r="O360" s="117"/>
      <c r="P360" s="119"/>
      <c r="Q360" s="121"/>
    </row>
    <row r="361" spans="1:17" ht="24" customHeight="1" x14ac:dyDescent="0.3">
      <c r="A361" s="122">
        <v>43915</v>
      </c>
      <c r="B361" s="118" t="s">
        <v>1431</v>
      </c>
      <c r="C361" s="113">
        <v>1250000</v>
      </c>
      <c r="D361" s="113">
        <v>214114</v>
      </c>
      <c r="E361" s="113">
        <f>+IF(FINANCIACION[[#This Row],[$ CAPITAL]]&gt;=0,FINANCIACION[[#This Row],[$ CAPITAL]]+FINANCIACION[[#This Row],[$ INTERESES]],"")</f>
        <v>1464114</v>
      </c>
      <c r="F361" s="113">
        <f>+SUMIFS(FINANCIACION[$ CAPITAL],FINANCIACION[Fecha],"&lt;="&amp;FINANCIACION[[#This Row],[Fecha]],FINANCIACION[PRESTAMO],FINANCIACION[[#This Row],[PRESTAMO]])</f>
        <v>-16250000</v>
      </c>
      <c r="G361" s="103"/>
      <c r="I361" s="119"/>
      <c r="J361" s="113">
        <f>IF(FINANCIACION[[#This Row],[$ CAPITAL]]&gt;0,FINANCIACION[[#This Row],[$ CAPITAL]])</f>
        <v>1250000</v>
      </c>
      <c r="K361" s="120">
        <f>IF(FINANCIACION[[#This Row],[$ CAPITAL]]&gt;=0,FINANCIACION[[#This Row],[$ CAPITAL]]+FINANCIACION[[#This Row],[$ INTERESES]],0)</f>
        <v>1464114</v>
      </c>
      <c r="L361" s="123"/>
      <c r="O361" s="117"/>
      <c r="P361" s="119"/>
      <c r="Q361" s="121"/>
    </row>
    <row r="362" spans="1:17" ht="24" customHeight="1" x14ac:dyDescent="0.3">
      <c r="A362" s="122">
        <v>44081</v>
      </c>
      <c r="B362" s="118" t="s">
        <v>1431</v>
      </c>
      <c r="C362" s="113"/>
      <c r="D362" s="113">
        <v>31575</v>
      </c>
      <c r="E362" s="113">
        <f>+IF(FINANCIACION[[#This Row],[$ CAPITAL]]&gt;=0,FINANCIACION[[#This Row],[$ CAPITAL]]+FINANCIACION[[#This Row],[$ INTERESES]],"")</f>
        <v>31575</v>
      </c>
      <c r="F362" s="113">
        <f>+SUMIFS(FINANCIACION[$ CAPITAL],FINANCIACION[Fecha],"&lt;="&amp;FINANCIACION[[#This Row],[Fecha]],FINANCIACION[PRESTAMO],FINANCIACION[[#This Row],[PRESTAMO]])</f>
        <v>-16250000</v>
      </c>
      <c r="G362" s="103"/>
      <c r="H362" s="117"/>
      <c r="I362" s="119"/>
      <c r="J362" s="113" t="b">
        <f>IF(FINANCIACION[[#This Row],[$ CAPITAL]]&gt;0,FINANCIACION[[#This Row],[$ CAPITAL]])</f>
        <v>0</v>
      </c>
      <c r="K362" s="120">
        <f>IF(FINANCIACION[[#This Row],[$ CAPITAL]]&gt;=0,FINANCIACION[[#This Row],[$ CAPITAL]]+FINANCIACION[[#This Row],[$ INTERESES]],0)</f>
        <v>31575</v>
      </c>
      <c r="L362" s="123"/>
      <c r="O362" s="117"/>
      <c r="P362" s="119"/>
      <c r="Q362" s="121"/>
    </row>
    <row r="363" spans="1:17" ht="24" customHeight="1" x14ac:dyDescent="0.3">
      <c r="A363" s="122">
        <v>44104</v>
      </c>
      <c r="B363" s="118" t="s">
        <v>1431</v>
      </c>
      <c r="C363" s="113">
        <v>-38080833</v>
      </c>
      <c r="D363" s="113"/>
      <c r="E363" s="113" t="str">
        <f>+IF(FINANCIACION[[#This Row],[$ CAPITAL]]&gt;=0,FINANCIACION[[#This Row],[$ CAPITAL]]+FINANCIACION[[#This Row],[$ INTERESES]],"")</f>
        <v/>
      </c>
      <c r="F363" s="113">
        <f>+SUMIFS(FINANCIACION[$ CAPITAL],FINANCIACION[Fecha],"&lt;="&amp;FINANCIACION[[#This Row],[Fecha]],FINANCIACION[PRESTAMO],FINANCIACION[[#This Row],[PRESTAMO]])</f>
        <v>-54330833</v>
      </c>
      <c r="G363" s="103"/>
      <c r="H363" s="117"/>
      <c r="I363" s="119"/>
      <c r="J363" s="113" t="b">
        <f>IF(FINANCIACION[[#This Row],[$ CAPITAL]]&gt;0,FINANCIACION[[#This Row],[$ CAPITAL]])</f>
        <v>0</v>
      </c>
      <c r="K363" s="120">
        <f>IF(FINANCIACION[[#This Row],[$ CAPITAL]]&gt;=0,FINANCIACION[[#This Row],[$ CAPITAL]]+FINANCIACION[[#This Row],[$ INTERESES]],0)</f>
        <v>0</v>
      </c>
      <c r="L363" s="123"/>
      <c r="O363" s="117"/>
      <c r="P363" s="119"/>
      <c r="Q363" s="121"/>
    </row>
    <row r="364" spans="1:17" ht="24" customHeight="1" x14ac:dyDescent="0.3">
      <c r="A364" s="122">
        <v>44138</v>
      </c>
      <c r="B364" s="118" t="s">
        <v>1431</v>
      </c>
      <c r="C364" s="113"/>
      <c r="D364" s="113">
        <v>76830</v>
      </c>
      <c r="E364" s="113">
        <f>+IF(FINANCIACION[[#This Row],[$ CAPITAL]]&gt;=0,FINANCIACION[[#This Row],[$ CAPITAL]]+FINANCIACION[[#This Row],[$ INTERESES]],"")</f>
        <v>76830</v>
      </c>
      <c r="F364" s="113">
        <f>+SUMIFS(FINANCIACION[$ CAPITAL],FINANCIACION[Fecha],"&lt;="&amp;FINANCIACION[[#This Row],[Fecha]],FINANCIACION[PRESTAMO],FINANCIACION[[#This Row],[PRESTAMO]])</f>
        <v>-54330833</v>
      </c>
      <c r="G364" s="103"/>
      <c r="H364" s="117"/>
      <c r="I364" s="119"/>
      <c r="J364" s="113" t="b">
        <f>IF(FINANCIACION[[#This Row],[$ CAPITAL]]&gt;0,FINANCIACION[[#This Row],[$ CAPITAL]])</f>
        <v>0</v>
      </c>
      <c r="K364" s="120">
        <f>IF(FINANCIACION[[#This Row],[$ CAPITAL]]&gt;=0,FINANCIACION[[#This Row],[$ CAPITAL]]+FINANCIACION[[#This Row],[$ INTERESES]],0)</f>
        <v>76830</v>
      </c>
      <c r="L364" s="123"/>
      <c r="O364" s="117"/>
      <c r="P364" s="119"/>
      <c r="Q364" s="121"/>
    </row>
    <row r="365" spans="1:17" ht="24" customHeight="1" x14ac:dyDescent="0.3">
      <c r="A365" s="122">
        <v>44165</v>
      </c>
      <c r="B365" s="118" t="s">
        <v>1431</v>
      </c>
      <c r="C365" s="113"/>
      <c r="D365" s="113">
        <v>76791</v>
      </c>
      <c r="E365" s="113">
        <f>+IF(FINANCIACION[[#This Row],[$ CAPITAL]]&gt;=0,FINANCIACION[[#This Row],[$ CAPITAL]]+FINANCIACION[[#This Row],[$ INTERESES]],"")</f>
        <v>76791</v>
      </c>
      <c r="F365" s="113">
        <f>+SUMIFS(FINANCIACION[$ CAPITAL],FINANCIACION[Fecha],"&lt;="&amp;FINANCIACION[[#This Row],[Fecha]],FINANCIACION[PRESTAMO],FINANCIACION[[#This Row],[PRESTAMO]])</f>
        <v>-54330833</v>
      </c>
      <c r="G365" s="103"/>
      <c r="H365" s="117"/>
      <c r="I365" s="119"/>
      <c r="J365" s="113" t="b">
        <f>IF(FINANCIACION[[#This Row],[$ CAPITAL]]&gt;0,FINANCIACION[[#This Row],[$ CAPITAL]])</f>
        <v>0</v>
      </c>
      <c r="K365" s="120">
        <f>IF(FINANCIACION[[#This Row],[$ CAPITAL]]&gt;=0,FINANCIACION[[#This Row],[$ CAPITAL]]+FINANCIACION[[#This Row],[$ INTERESES]],0)</f>
        <v>76791</v>
      </c>
      <c r="L365" s="123"/>
      <c r="O365" s="117"/>
      <c r="P365" s="119"/>
      <c r="Q365" s="121"/>
    </row>
    <row r="366" spans="1:17" ht="24" customHeight="1" x14ac:dyDescent="0.3">
      <c r="A366" s="122">
        <v>44196</v>
      </c>
      <c r="B366" s="118" t="s">
        <v>1431</v>
      </c>
      <c r="C366" s="113"/>
      <c r="D366" s="113">
        <v>76791</v>
      </c>
      <c r="E366" s="113">
        <f>+IF(FINANCIACION[[#This Row],[$ CAPITAL]]&gt;=0,FINANCIACION[[#This Row],[$ CAPITAL]]+FINANCIACION[[#This Row],[$ INTERESES]],"")</f>
        <v>76791</v>
      </c>
      <c r="F366" s="113">
        <f>+SUMIFS(FINANCIACION[$ CAPITAL],FINANCIACION[Fecha],"&lt;="&amp;FINANCIACION[[#This Row],[Fecha]],FINANCIACION[PRESTAMO],FINANCIACION[[#This Row],[PRESTAMO]])</f>
        <v>-54330833</v>
      </c>
      <c r="G366" s="103"/>
      <c r="H366" s="117"/>
      <c r="I366" s="119"/>
      <c r="J366" s="113" t="b">
        <f>IF(FINANCIACION[[#This Row],[$ CAPITAL]]&gt;0,FINANCIACION[[#This Row],[$ CAPITAL]])</f>
        <v>0</v>
      </c>
      <c r="K366" s="120">
        <f>IF(FINANCIACION[[#This Row],[$ CAPITAL]]&gt;=0,FINANCIACION[[#This Row],[$ CAPITAL]]+FINANCIACION[[#This Row],[$ INTERESES]],0)</f>
        <v>76791</v>
      </c>
      <c r="L366" s="123"/>
      <c r="O366" s="117"/>
      <c r="P366" s="119"/>
      <c r="Q366" s="121"/>
    </row>
    <row r="367" spans="1:17" ht="24" customHeight="1" x14ac:dyDescent="0.3">
      <c r="A367" s="112">
        <v>44228</v>
      </c>
      <c r="B367" s="118" t="s">
        <v>1431</v>
      </c>
      <c r="C367" s="113"/>
      <c r="D367" s="113">
        <v>76791</v>
      </c>
      <c r="E367" s="113">
        <f>+IF(FINANCIACION[[#This Row],[$ CAPITAL]]&gt;=0,FINANCIACION[[#This Row],[$ CAPITAL]]+FINANCIACION[[#This Row],[$ INTERESES]],"")</f>
        <v>76791</v>
      </c>
      <c r="F367" s="113">
        <f>+SUMIFS(FINANCIACION[$ CAPITAL],FINANCIACION[Fecha],"&lt;="&amp;FINANCIACION[[#This Row],[Fecha]],FINANCIACION[PRESTAMO],FINANCIACION[[#This Row],[PRESTAMO]])</f>
        <v>-54330833</v>
      </c>
      <c r="G367" s="103"/>
      <c r="H367" s="117"/>
      <c r="I367" s="119"/>
      <c r="J367" s="113" t="b">
        <f>IF(FINANCIACION[[#This Row],[$ CAPITAL]]&gt;0,FINANCIACION[[#This Row],[$ CAPITAL]])</f>
        <v>0</v>
      </c>
      <c r="K367" s="120">
        <f>IF(FINANCIACION[[#This Row],[$ CAPITAL]]&gt;=0,FINANCIACION[[#This Row],[$ CAPITAL]]+FINANCIACION[[#This Row],[$ INTERESES]],0)</f>
        <v>76791</v>
      </c>
      <c r="L367" s="123"/>
      <c r="O367" s="117"/>
      <c r="P367" s="119"/>
      <c r="Q367" s="121"/>
    </row>
    <row r="368" spans="1:17" ht="24" customHeight="1" x14ac:dyDescent="0.3">
      <c r="A368" s="112">
        <v>44256</v>
      </c>
      <c r="B368" s="118" t="s">
        <v>1431</v>
      </c>
      <c r="C368" s="113"/>
      <c r="D368" s="113">
        <v>462578</v>
      </c>
      <c r="E368" s="113">
        <f>+IF(FINANCIACION[[#This Row],[$ CAPITAL]]&gt;=0,FINANCIACION[[#This Row],[$ CAPITAL]]+FINANCIACION[[#This Row],[$ INTERESES]],"")</f>
        <v>462578</v>
      </c>
      <c r="F368" s="113">
        <f>+SUMIFS(FINANCIACION[$ CAPITAL],FINANCIACION[Fecha],"&lt;="&amp;FINANCIACION[[#This Row],[Fecha]],FINANCIACION[PRESTAMO],FINANCIACION[[#This Row],[PRESTAMO]])</f>
        <v>-54330833</v>
      </c>
      <c r="G368" s="103"/>
      <c r="H368" s="117"/>
      <c r="I368" s="119"/>
      <c r="J368" s="113" t="b">
        <f>IF(FINANCIACION[[#This Row],[$ CAPITAL]]&gt;0,FINANCIACION[[#This Row],[$ CAPITAL]])</f>
        <v>0</v>
      </c>
      <c r="K368" s="120">
        <f>IF(FINANCIACION[[#This Row],[$ CAPITAL]]&gt;=0,FINANCIACION[[#This Row],[$ CAPITAL]]+FINANCIACION[[#This Row],[$ INTERESES]],0)</f>
        <v>462578</v>
      </c>
      <c r="L368" s="123"/>
      <c r="O368" s="117"/>
      <c r="P368" s="119"/>
      <c r="Q368" s="121"/>
    </row>
    <row r="369" spans="1:17" ht="24" customHeight="1" x14ac:dyDescent="0.3">
      <c r="A369" s="112">
        <v>44286</v>
      </c>
      <c r="B369" s="118" t="s">
        <v>1431</v>
      </c>
      <c r="C369" s="113">
        <v>1468400</v>
      </c>
      <c r="D369" s="113">
        <v>506320</v>
      </c>
      <c r="E369" s="113">
        <f>+IF(FINANCIACION[[#This Row],[$ CAPITAL]]&gt;=0,FINANCIACION[[#This Row],[$ CAPITAL]]+FINANCIACION[[#This Row],[$ INTERESES]],"")</f>
        <v>1974720</v>
      </c>
      <c r="F369" s="113">
        <f>+SUMIFS(FINANCIACION[$ CAPITAL],FINANCIACION[Fecha],"&lt;="&amp;FINANCIACION[[#This Row],[Fecha]],FINANCIACION[PRESTAMO],FINANCIACION[[#This Row],[PRESTAMO]])</f>
        <v>-52862433</v>
      </c>
      <c r="G369" s="103"/>
      <c r="H369" s="117"/>
      <c r="I369" s="119"/>
      <c r="J369" s="113">
        <f>IF(FINANCIACION[[#This Row],[$ CAPITAL]]&gt;0,FINANCIACION[[#This Row],[$ CAPITAL]])</f>
        <v>1468400</v>
      </c>
      <c r="K369" s="120">
        <f>IF(FINANCIACION[[#This Row],[$ CAPITAL]]&gt;=0,FINANCIACION[[#This Row],[$ CAPITAL]]+FINANCIACION[[#This Row],[$ INTERESES]],0)</f>
        <v>1974720</v>
      </c>
      <c r="L369" s="123"/>
      <c r="O369" s="117"/>
      <c r="P369" s="119"/>
      <c r="Q369" s="121"/>
    </row>
    <row r="370" spans="1:17" ht="24" customHeight="1" x14ac:dyDescent="0.3">
      <c r="A370" s="112">
        <v>44316</v>
      </c>
      <c r="B370" s="118" t="s">
        <v>1431</v>
      </c>
      <c r="C370" s="113">
        <v>1468400</v>
      </c>
      <c r="D370" s="113">
        <v>506320</v>
      </c>
      <c r="E370" s="113">
        <f>+IF(FINANCIACION[[#This Row],[$ CAPITAL]]&gt;=0,FINANCIACION[[#This Row],[$ CAPITAL]]+FINANCIACION[[#This Row],[$ INTERESES]],"")</f>
        <v>1974720</v>
      </c>
      <c r="F370" s="113">
        <f>+SUMIFS(FINANCIACION[$ CAPITAL],FINANCIACION[Fecha],"&lt;="&amp;FINANCIACION[[#This Row],[Fecha]],FINANCIACION[PRESTAMO],FINANCIACION[[#This Row],[PRESTAMO]])</f>
        <v>-51394000</v>
      </c>
      <c r="G370" s="103"/>
      <c r="H370" s="117"/>
      <c r="I370" s="119"/>
      <c r="J370" s="113">
        <f>IF(FINANCIACION[[#This Row],[$ CAPITAL]]&gt;0,FINANCIACION[[#This Row],[$ CAPITAL]])</f>
        <v>1468400</v>
      </c>
      <c r="K370" s="120">
        <f>IF(FINANCIACION[[#This Row],[$ CAPITAL]]&gt;=0,FINANCIACION[[#This Row],[$ CAPITAL]]+FINANCIACION[[#This Row],[$ INTERESES]],0)</f>
        <v>1974720</v>
      </c>
      <c r="L370" s="123"/>
      <c r="O370" s="117"/>
      <c r="P370" s="119"/>
      <c r="Q370" s="121"/>
    </row>
    <row r="371" spans="1:17" ht="24" customHeight="1" x14ac:dyDescent="0.3">
      <c r="A371" s="112">
        <v>44316</v>
      </c>
      <c r="B371" s="118" t="s">
        <v>1431</v>
      </c>
      <c r="C371" s="113">
        <v>33</v>
      </c>
      <c r="D371" s="113"/>
      <c r="E371" s="113">
        <f>+IF(FINANCIACION[[#This Row],[$ CAPITAL]]&gt;=0,FINANCIACION[[#This Row],[$ CAPITAL]]+FINANCIACION[[#This Row],[$ INTERESES]],"")</f>
        <v>33</v>
      </c>
      <c r="F371" s="113">
        <f>+SUMIFS(FINANCIACION[$ CAPITAL],FINANCIACION[Fecha],"&lt;="&amp;FINANCIACION[[#This Row],[Fecha]],FINANCIACION[PRESTAMO],FINANCIACION[[#This Row],[PRESTAMO]])</f>
        <v>-51394000</v>
      </c>
      <c r="G371" s="103"/>
      <c r="H371" s="117" t="s">
        <v>144</v>
      </c>
      <c r="I371" s="119"/>
      <c r="J371" s="113">
        <f>IF(FINANCIACION[[#This Row],[$ CAPITAL]]&gt;0,FINANCIACION[[#This Row],[$ CAPITAL]])</f>
        <v>33</v>
      </c>
      <c r="K371" s="120">
        <f>IF(FINANCIACION[[#This Row],[$ CAPITAL]]&gt;=0,FINANCIACION[[#This Row],[$ CAPITAL]]+FINANCIACION[[#This Row],[$ INTERESES]],0)</f>
        <v>33</v>
      </c>
      <c r="L371" s="123"/>
      <c r="O371" s="117"/>
      <c r="P371" s="119"/>
      <c r="Q371" s="121"/>
    </row>
    <row r="372" spans="1:17" ht="24" customHeight="1" x14ac:dyDescent="0.3">
      <c r="A372" s="112">
        <v>44347</v>
      </c>
      <c r="B372" s="118" t="s">
        <v>1431</v>
      </c>
      <c r="C372" s="113">
        <v>1468400</v>
      </c>
      <c r="D372" s="113">
        <v>477575</v>
      </c>
      <c r="E372" s="113">
        <f>+IF(FINANCIACION[[#This Row],[$ CAPITAL]]&gt;=0,FINANCIACION[[#This Row],[$ CAPITAL]]+FINANCIACION[[#This Row],[$ INTERESES]],"")</f>
        <v>1945975</v>
      </c>
      <c r="F372" s="113">
        <f>+SUMIFS(FINANCIACION[$ CAPITAL],FINANCIACION[Fecha],"&lt;="&amp;FINANCIACION[[#This Row],[Fecha]],FINANCIACION[PRESTAMO],FINANCIACION[[#This Row],[PRESTAMO]])</f>
        <v>-49925600</v>
      </c>
      <c r="G372" s="103"/>
      <c r="H372" s="117"/>
      <c r="I372" s="119"/>
      <c r="J372" s="113">
        <f>IF(FINANCIACION[[#This Row],[$ CAPITAL]]&gt;0,FINANCIACION[[#This Row],[$ CAPITAL]])</f>
        <v>1468400</v>
      </c>
      <c r="K372" s="121">
        <f>IF(FINANCIACION[[#This Row],[$ CAPITAL]]&gt;=0,FINANCIACION[[#This Row],[$ CAPITAL]]+FINANCIACION[[#This Row],[$ INTERESES]],0)</f>
        <v>1945975</v>
      </c>
      <c r="L372" s="123"/>
      <c r="O372" s="117"/>
      <c r="P372" s="119"/>
      <c r="Q372" s="121"/>
    </row>
    <row r="373" spans="1:17" ht="24" customHeight="1" x14ac:dyDescent="0.3">
      <c r="A373" s="112">
        <v>44377</v>
      </c>
      <c r="B373" s="118" t="s">
        <v>1431</v>
      </c>
      <c r="C373" s="113">
        <v>1468400</v>
      </c>
      <c r="D373" s="113">
        <v>453711</v>
      </c>
      <c r="E373" s="113">
        <f>+IF(FINANCIACION[[#This Row],[$ CAPITAL]]&gt;=0,FINANCIACION[[#This Row],[$ CAPITAL]]+FINANCIACION[[#This Row],[$ INTERESES]],"")</f>
        <v>1922111</v>
      </c>
      <c r="F373" s="113">
        <f>+SUMIFS(FINANCIACION[$ CAPITAL],FINANCIACION[Fecha],"&lt;="&amp;FINANCIACION[[#This Row],[Fecha]],FINANCIACION[PRESTAMO],FINANCIACION[[#This Row],[PRESTAMO]])</f>
        <v>-48457200</v>
      </c>
      <c r="G373" s="103"/>
      <c r="I373" s="119"/>
      <c r="J373" s="113">
        <f>IF(FINANCIACION[[#This Row],[$ CAPITAL]]&gt;0,FINANCIACION[[#This Row],[$ CAPITAL]])</f>
        <v>1468400</v>
      </c>
      <c r="K373" s="120">
        <f>IF(FINANCIACION[[#This Row],[$ CAPITAL]]&gt;=0,FINANCIACION[[#This Row],[$ CAPITAL]]+FINANCIACION[[#This Row],[$ INTERESES]],0)</f>
        <v>1922111</v>
      </c>
      <c r="L373" s="123"/>
      <c r="O373" s="117"/>
      <c r="P373" s="119"/>
      <c r="Q373" s="121"/>
    </row>
    <row r="374" spans="1:17" ht="24" customHeight="1" x14ac:dyDescent="0.3">
      <c r="A374" s="112">
        <v>44410</v>
      </c>
      <c r="B374" s="118" t="s">
        <v>1431</v>
      </c>
      <c r="C374" s="113">
        <v>1468400</v>
      </c>
      <c r="D374" s="113">
        <v>455909</v>
      </c>
      <c r="E374" s="113">
        <f>+IF(FINANCIACION[[#This Row],[$ CAPITAL]]&gt;=0,FINANCIACION[[#This Row],[$ CAPITAL]]+FINANCIACION[[#This Row],[$ INTERESES]],"")</f>
        <v>1924309</v>
      </c>
      <c r="F374" s="113">
        <f>+SUMIFS(FINANCIACION[$ CAPITAL],FINANCIACION[Fecha],"&lt;="&amp;FINANCIACION[[#This Row],[Fecha]],FINANCIACION[PRESTAMO],FINANCIACION[[#This Row],[PRESTAMO]])</f>
        <v>-46988800</v>
      </c>
      <c r="G374" s="103"/>
      <c r="H374" s="117"/>
      <c r="I374" s="119"/>
      <c r="J374" s="113">
        <f>IF(FINANCIACION[[#This Row],[$ CAPITAL]]&gt;0,FINANCIACION[[#This Row],[$ CAPITAL]])</f>
        <v>1468400</v>
      </c>
      <c r="K374" s="121">
        <f>IF(FINANCIACION[[#This Row],[$ CAPITAL]]&gt;=0,FINANCIACION[[#This Row],[$ CAPITAL]]+FINANCIACION[[#This Row],[$ INTERESES]],0)</f>
        <v>1924309</v>
      </c>
      <c r="L374" s="123"/>
      <c r="O374" s="117"/>
      <c r="P374" s="119"/>
      <c r="Q374" s="121"/>
    </row>
    <row r="375" spans="1:17" ht="24" customHeight="1" x14ac:dyDescent="0.3">
      <c r="A375" s="112">
        <v>44439</v>
      </c>
      <c r="B375" s="118" t="s">
        <v>1431</v>
      </c>
      <c r="C375" s="113">
        <v>1468400</v>
      </c>
      <c r="D375" s="113">
        <v>442095</v>
      </c>
      <c r="E375" s="113">
        <f>+IF(FINANCIACION[[#This Row],[$ CAPITAL]]&gt;=0,FINANCIACION[[#This Row],[$ CAPITAL]]+FINANCIACION[[#This Row],[$ INTERESES]],"")</f>
        <v>1910495</v>
      </c>
      <c r="F375" s="113">
        <f>+SUMIFS(FINANCIACION[$ CAPITAL],FINANCIACION[Fecha],"&lt;="&amp;FINANCIACION[[#This Row],[Fecha]],FINANCIACION[PRESTAMO],FINANCIACION[[#This Row],[PRESTAMO]])</f>
        <v>-45520400</v>
      </c>
      <c r="G375" s="103"/>
      <c r="H375" s="117"/>
      <c r="I375" s="119"/>
      <c r="J375" s="113">
        <f>IF(FINANCIACION[[#This Row],[$ CAPITAL]]&gt;0,FINANCIACION[[#This Row],[$ CAPITAL]])</f>
        <v>1468400</v>
      </c>
      <c r="K375" s="121">
        <f>IF(FINANCIACION[[#This Row],[$ CAPITAL]]&gt;=0,FINANCIACION[[#This Row],[$ CAPITAL]]+FINANCIACION[[#This Row],[$ INTERESES]],0)</f>
        <v>1910495</v>
      </c>
      <c r="L375" s="123"/>
      <c r="O375" s="117"/>
      <c r="P375" s="119"/>
      <c r="Q375" s="121"/>
    </row>
    <row r="376" spans="1:17" ht="24" customHeight="1" x14ac:dyDescent="0.3">
      <c r="A376" s="112">
        <v>44469</v>
      </c>
      <c r="B376" s="118" t="s">
        <v>1431</v>
      </c>
      <c r="C376" s="113">
        <v>1468400</v>
      </c>
      <c r="D376" s="113">
        <v>418397</v>
      </c>
      <c r="E376" s="113">
        <f>+IF(FINANCIACION[[#This Row],[$ CAPITAL]]&gt;=0,FINANCIACION[[#This Row],[$ CAPITAL]]+FINANCIACION[[#This Row],[$ INTERESES]],"")</f>
        <v>1886797</v>
      </c>
      <c r="F376" s="113">
        <f>+SUMIFS(FINANCIACION[$ CAPITAL],FINANCIACION[Fecha],"&lt;="&amp;FINANCIACION[[#This Row],[Fecha]],FINANCIACION[PRESTAMO],FINANCIACION[[#This Row],[PRESTAMO]])</f>
        <v>-44052000</v>
      </c>
      <c r="G376" s="103"/>
      <c r="H376" s="117"/>
      <c r="I376" s="119"/>
      <c r="J376" s="113">
        <f>IF(FINANCIACION[[#This Row],[$ CAPITAL]]&gt;0,FINANCIACION[[#This Row],[$ CAPITAL]])</f>
        <v>1468400</v>
      </c>
      <c r="K376" s="121">
        <f>IF(FINANCIACION[[#This Row],[$ CAPITAL]]&gt;=0,FINANCIACION[[#This Row],[$ CAPITAL]]+FINANCIACION[[#This Row],[$ INTERESES]],0)</f>
        <v>1886797</v>
      </c>
      <c r="L376" s="123"/>
      <c r="O376" s="117"/>
      <c r="P376" s="119"/>
      <c r="Q376" s="121"/>
    </row>
    <row r="377" spans="1:17" ht="24" customHeight="1" x14ac:dyDescent="0.3">
      <c r="A377" s="112">
        <v>44502</v>
      </c>
      <c r="B377" s="118" t="s">
        <v>1431</v>
      </c>
      <c r="C377" s="113">
        <v>1468400</v>
      </c>
      <c r="D377" s="113">
        <v>418397</v>
      </c>
      <c r="E377" s="113">
        <f>+IF(FINANCIACION[[#This Row],[$ CAPITAL]]&gt;=0,FINANCIACION[[#This Row],[$ CAPITAL]]+FINANCIACION[[#This Row],[$ INTERESES]],"")</f>
        <v>1886797</v>
      </c>
      <c r="F377" s="113">
        <f>+SUMIFS(FINANCIACION[$ CAPITAL],FINANCIACION[Fecha],"&lt;="&amp;FINANCIACION[[#This Row],[Fecha]],FINANCIACION[PRESTAMO],FINANCIACION[[#This Row],[PRESTAMO]])</f>
        <v>-42583600</v>
      </c>
      <c r="G377" s="103"/>
      <c r="I377" s="119"/>
      <c r="J377" s="113">
        <f>IF(FINANCIACION[[#This Row],[$ CAPITAL]]&gt;0,FINANCIACION[[#This Row],[$ CAPITAL]])</f>
        <v>1468400</v>
      </c>
      <c r="K377" s="120">
        <f>IF(FINANCIACION[[#This Row],[$ CAPITAL]]&gt;=0,FINANCIACION[[#This Row],[$ CAPITAL]]+FINANCIACION[[#This Row],[$ INTERESES]],0)</f>
        <v>1886797</v>
      </c>
      <c r="L377" s="123"/>
      <c r="O377" s="117"/>
      <c r="P377" s="119"/>
      <c r="Q377" s="121"/>
    </row>
    <row r="378" spans="1:17" ht="24" customHeight="1" x14ac:dyDescent="0.3">
      <c r="A378" s="112">
        <v>44530</v>
      </c>
      <c r="B378" s="118" t="s">
        <v>1431</v>
      </c>
      <c r="C378" s="113">
        <v>1468400</v>
      </c>
      <c r="D378" s="113">
        <v>419971</v>
      </c>
      <c r="E378" s="113">
        <f>+IF(FINANCIACION[[#This Row],[$ CAPITAL]]&gt;=0,FINANCIACION[[#This Row],[$ CAPITAL]]+FINANCIACION[[#This Row],[$ INTERESES]],"")</f>
        <v>1888371</v>
      </c>
      <c r="F378" s="113">
        <f>+SUMIFS(FINANCIACION[$ CAPITAL],FINANCIACION[Fecha],"&lt;="&amp;FINANCIACION[[#This Row],[Fecha]],FINANCIACION[PRESTAMO],FINANCIACION[[#This Row],[PRESTAMO]])</f>
        <v>-41115200</v>
      </c>
      <c r="G378" s="103"/>
      <c r="I378" s="119"/>
      <c r="J378" s="113">
        <f>IF(FINANCIACION[[#This Row],[$ CAPITAL]]&gt;0,FINANCIACION[[#This Row],[$ CAPITAL]])</f>
        <v>1468400</v>
      </c>
      <c r="K378" s="120">
        <f>IF(FINANCIACION[[#This Row],[$ CAPITAL]]&gt;=0,FINANCIACION[[#This Row],[$ CAPITAL]]+FINANCIACION[[#This Row],[$ INTERESES]],0)</f>
        <v>1888371</v>
      </c>
      <c r="L378" s="123"/>
      <c r="O378" s="117"/>
      <c r="P378" s="119"/>
      <c r="Q378" s="121"/>
    </row>
    <row r="379" spans="1:17" ht="24" customHeight="1" x14ac:dyDescent="0.3">
      <c r="A379" s="112">
        <v>44564</v>
      </c>
      <c r="B379" s="118" t="s">
        <v>1431</v>
      </c>
      <c r="C379" s="113">
        <v>1468400</v>
      </c>
      <c r="D379" s="113">
        <v>417344</v>
      </c>
      <c r="E379" s="113">
        <f>+IF(FINANCIACION[[#This Row],[$ CAPITAL]]&gt;=0,FINANCIACION[[#This Row],[$ CAPITAL]]+FINANCIACION[[#This Row],[$ INTERESES]],"")</f>
        <v>1885744</v>
      </c>
      <c r="F379" s="113">
        <f>+SUMIFS(FINANCIACION[$ CAPITAL],FINANCIACION[Fecha],"&lt;="&amp;FINANCIACION[[#This Row],[Fecha]],FINANCIACION[PRESTAMO],FINANCIACION[[#This Row],[PRESTAMO]])</f>
        <v>-39646800</v>
      </c>
      <c r="G379" s="103"/>
      <c r="I379" s="119"/>
      <c r="J379" s="113">
        <f>IF(FINANCIACION[[#This Row],[$ CAPITAL]]&gt;0,FINANCIACION[[#This Row],[$ CAPITAL]])</f>
        <v>1468400</v>
      </c>
      <c r="K379" s="120">
        <f>IF(FINANCIACION[[#This Row],[$ CAPITAL]]&gt;=0,FINANCIACION[[#This Row],[$ CAPITAL]]+FINANCIACION[[#This Row],[$ INTERESES]],0)</f>
        <v>1885744</v>
      </c>
      <c r="L379" s="123"/>
      <c r="O379" s="117"/>
      <c r="P379" s="119"/>
      <c r="Q379" s="121"/>
    </row>
    <row r="380" spans="1:17" ht="24" customHeight="1" x14ac:dyDescent="0.3">
      <c r="A380" s="112">
        <v>44592</v>
      </c>
      <c r="B380" s="118" t="s">
        <v>1431</v>
      </c>
      <c r="C380" s="113">
        <v>1468400</v>
      </c>
      <c r="D380" s="113">
        <v>417717</v>
      </c>
      <c r="E380" s="113">
        <f>+IF(FINANCIACION[[#This Row],[$ CAPITAL]]&gt;=0,FINANCIACION[[#This Row],[$ CAPITAL]]+FINANCIACION[[#This Row],[$ INTERESES]],"")</f>
        <v>1886117</v>
      </c>
      <c r="F380" s="113">
        <f>+SUMIFS(FINANCIACION[$ CAPITAL],FINANCIACION[Fecha],"&lt;="&amp;FINANCIACION[[#This Row],[Fecha]],FINANCIACION[PRESTAMO],FINANCIACION[[#This Row],[PRESTAMO]])</f>
        <v>-38178400</v>
      </c>
      <c r="G380" s="103"/>
      <c r="I380" s="119">
        <v>-14434.36</v>
      </c>
      <c r="J380" s="113">
        <f>+IF(FINANCIACION[[#This Row],[$ CAPITAL]]&gt;0,FINANCIACION[[#This Row],[$ CAPITAL]])</f>
        <v>1468400</v>
      </c>
      <c r="K380" s="120">
        <f>+IF(FINANCIACION[[#This Row],[$ CAPITAL]]&gt;=0,FINANCIACION[[#This Row],[$ CAPITAL]]+FINANCIACION[[#This Row],[$ INTERESES]],0)</f>
        <v>1886117</v>
      </c>
      <c r="L380" s="123"/>
      <c r="O380" s="117"/>
      <c r="P380" s="119"/>
      <c r="Q380" s="121"/>
    </row>
    <row r="381" spans="1:17" ht="24" customHeight="1" x14ac:dyDescent="0.3">
      <c r="A381" s="112">
        <v>44620</v>
      </c>
      <c r="B381" s="118" t="s">
        <v>1431</v>
      </c>
      <c r="C381" s="113">
        <v>1468400</v>
      </c>
      <c r="D381" s="113">
        <v>372910</v>
      </c>
      <c r="E381" s="113">
        <f>+IF(FINANCIACION[[#This Row],[$ CAPITAL]]&gt;=0,FINANCIACION[[#This Row],[$ CAPITAL]]+FINANCIACION[[#This Row],[$ INTERESES]],"")</f>
        <v>1841310</v>
      </c>
      <c r="F381" s="113">
        <f>+SUMIFS(FINANCIACION[$ CAPITAL],FINANCIACION[Fecha],"&lt;="&amp;FINANCIACION[[#This Row],[Fecha]],FINANCIACION[PRESTAMO],FINANCIACION[[#This Row],[PRESTAMO]])</f>
        <v>-36710000</v>
      </c>
      <c r="G381" s="103"/>
      <c r="I381" s="119"/>
      <c r="J381" s="113">
        <f>+IF(FINANCIACION[[#This Row],[$ CAPITAL]]&gt;0,FINANCIACION[[#This Row],[$ CAPITAL]])</f>
        <v>1468400</v>
      </c>
      <c r="K381" s="120">
        <f>+IF(FINANCIACION[[#This Row],[$ CAPITAL]]&gt;=0,FINANCIACION[[#This Row],[$ CAPITAL]]+FINANCIACION[[#This Row],[$ INTERESES]],0)</f>
        <v>1841310</v>
      </c>
      <c r="L381" s="123"/>
      <c r="O381" s="117"/>
      <c r="P381" s="119"/>
      <c r="Q381" s="121"/>
    </row>
    <row r="382" spans="1:17" ht="24" customHeight="1" x14ac:dyDescent="0.3">
      <c r="A382" s="112">
        <v>44651</v>
      </c>
      <c r="B382" s="118" t="s">
        <v>1431</v>
      </c>
      <c r="C382" s="113">
        <v>1468400</v>
      </c>
      <c r="D382" s="113">
        <v>424048</v>
      </c>
      <c r="E382" s="113">
        <f>+IF(FINANCIACION[[#This Row],[$ CAPITAL]]&gt;=0,FINANCIACION[[#This Row],[$ CAPITAL]]+FINANCIACION[[#This Row],[$ INTERESES]],"")</f>
        <v>1892448</v>
      </c>
      <c r="F382" s="113">
        <f>+SUMIFS(FINANCIACION[$ CAPITAL],FINANCIACION[Fecha],"&lt;="&amp;FINANCIACION[[#This Row],[Fecha]],FINANCIACION[PRESTAMO],FINANCIACION[[#This Row],[PRESTAMO]])</f>
        <v>-35241600</v>
      </c>
      <c r="G382" s="103"/>
      <c r="I382" s="119"/>
      <c r="J382" s="113">
        <f>+IF(FINANCIACION[[#This Row],[$ CAPITAL]]&gt;0,FINANCIACION[[#This Row],[$ CAPITAL]])</f>
        <v>1468400</v>
      </c>
      <c r="K382" s="120">
        <f>+IF(FINANCIACION[[#This Row],[$ CAPITAL]]&gt;=0,FINANCIACION[[#This Row],[$ CAPITAL]]+FINANCIACION[[#This Row],[$ INTERESES]],0)</f>
        <v>1892448</v>
      </c>
      <c r="L382" s="123"/>
      <c r="O382" s="117"/>
      <c r="P382" s="119"/>
      <c r="Q382" s="121"/>
    </row>
    <row r="383" spans="1:17" ht="24" customHeight="1" x14ac:dyDescent="0.3">
      <c r="A383" s="112">
        <v>44683</v>
      </c>
      <c r="B383" s="118" t="s">
        <v>1431</v>
      </c>
      <c r="C383" s="113">
        <v>1468400</v>
      </c>
      <c r="D383" s="113">
        <f>1884180-FINANCIACION[[#This Row],[$ CAPITAL]]</f>
        <v>415780</v>
      </c>
      <c r="E383" s="113">
        <f>+IF(FINANCIACION[[#This Row],[$ CAPITAL]]&gt;=0,FINANCIACION[[#This Row],[$ CAPITAL]]+FINANCIACION[[#This Row],[$ INTERESES]],"")</f>
        <v>1884180</v>
      </c>
      <c r="F383" s="113">
        <f>+SUMIFS(FINANCIACION[$ CAPITAL],FINANCIACION[Fecha],"&lt;="&amp;FINANCIACION[[#This Row],[Fecha]],FINANCIACION[PRESTAMO],FINANCIACION[[#This Row],[PRESTAMO]])</f>
        <v>-33773200</v>
      </c>
      <c r="G383" s="103"/>
      <c r="I383" s="119"/>
      <c r="J383" s="113">
        <f>+IF(FINANCIACION[[#This Row],[$ CAPITAL]]&gt;0,FINANCIACION[[#This Row],[$ CAPITAL]])</f>
        <v>1468400</v>
      </c>
      <c r="K383" s="120">
        <f>+IF(FINANCIACION[[#This Row],[$ CAPITAL]]&gt;=0,FINANCIACION[[#This Row],[$ CAPITAL]]+FINANCIACION[[#This Row],[$ INTERESES]],0)</f>
        <v>1884180</v>
      </c>
      <c r="L383" s="123"/>
      <c r="O383" s="117"/>
      <c r="P383" s="119"/>
      <c r="Q383" s="121"/>
    </row>
    <row r="384" spans="1:17" ht="24" customHeight="1" x14ac:dyDescent="0.3">
      <c r="A384" s="112">
        <v>44712</v>
      </c>
      <c r="B384" s="118" t="s">
        <v>1431</v>
      </c>
      <c r="C384" s="113">
        <v>1468400</v>
      </c>
      <c r="D384" s="113">
        <f>1901499-FINANCIACION[[#This Row],[$ CAPITAL]]</f>
        <v>433099</v>
      </c>
      <c r="E384" s="113">
        <f>+IF(FINANCIACION[[#This Row],[$ CAPITAL]]&gt;=0,FINANCIACION[[#This Row],[$ CAPITAL]]+FINANCIACION[[#This Row],[$ INTERESES]],"")</f>
        <v>1901499</v>
      </c>
      <c r="F384" s="113">
        <f>+SUMIFS(FINANCIACION[$ CAPITAL],FINANCIACION[Fecha],"&lt;="&amp;FINANCIACION[[#This Row],[Fecha]],FINANCIACION[PRESTAMO],FINANCIACION[[#This Row],[PRESTAMO]])</f>
        <v>-32304800</v>
      </c>
      <c r="G384" s="103"/>
      <c r="I384" s="119"/>
      <c r="J384" s="113">
        <f>+IF(FINANCIACION[[#This Row],[$ CAPITAL]]&gt;0,FINANCIACION[[#This Row],[$ CAPITAL]])</f>
        <v>1468400</v>
      </c>
      <c r="K384" s="120">
        <f>+IF(FINANCIACION[[#This Row],[$ CAPITAL]]&gt;=0,FINANCIACION[[#This Row],[$ CAPITAL]]+FINANCIACION[[#This Row],[$ INTERESES]],0)</f>
        <v>1901499</v>
      </c>
      <c r="L384" s="123"/>
      <c r="O384" s="117"/>
      <c r="P384" s="119"/>
      <c r="Q384" s="121"/>
    </row>
    <row r="385" spans="1:17" ht="24" customHeight="1" x14ac:dyDescent="0.3">
      <c r="A385" s="112">
        <v>44742</v>
      </c>
      <c r="B385" s="118" t="s">
        <v>1431</v>
      </c>
      <c r="C385" s="113">
        <v>1468400</v>
      </c>
      <c r="D385" s="113">
        <v>440312</v>
      </c>
      <c r="E385" s="113">
        <f>+IF(FINANCIACION[[#This Row],[$ CAPITAL]]&gt;=0,FINANCIACION[[#This Row],[$ CAPITAL]]+FINANCIACION[[#This Row],[$ INTERESES]],"")</f>
        <v>1908712</v>
      </c>
      <c r="F385" s="113">
        <f>+SUMIFS(FINANCIACION[$ CAPITAL],FINANCIACION[Fecha],"&lt;="&amp;FINANCIACION[[#This Row],[Fecha]],FINANCIACION[PRESTAMO],FINANCIACION[[#This Row],[PRESTAMO]])</f>
        <v>-30836400</v>
      </c>
      <c r="G385" s="103"/>
      <c r="I385" s="119"/>
      <c r="J385" s="113">
        <f>+IF(FINANCIACION[[#This Row],[$ CAPITAL]]&gt;0,FINANCIACION[[#This Row],[$ CAPITAL]])</f>
        <v>1468400</v>
      </c>
      <c r="K385" s="120">
        <f>+IF(FINANCIACION[[#This Row],[$ CAPITAL]]&gt;=0,FINANCIACION[[#This Row],[$ CAPITAL]]+FINANCIACION[[#This Row],[$ INTERESES]],0)</f>
        <v>1908712</v>
      </c>
      <c r="L385" s="123"/>
      <c r="O385" s="117"/>
      <c r="P385" s="119"/>
      <c r="Q385" s="121"/>
    </row>
    <row r="386" spans="1:17" ht="24" customHeight="1" x14ac:dyDescent="0.3">
      <c r="A386" s="112">
        <v>44774</v>
      </c>
      <c r="B386" s="118" t="s">
        <v>1431</v>
      </c>
      <c r="C386" s="113">
        <v>1468400</v>
      </c>
      <c r="D386" s="113">
        <v>444966</v>
      </c>
      <c r="E386" s="113">
        <f>+IF(FINANCIACION[[#This Row],[$ CAPITAL]]&gt;=0,FINANCIACION[[#This Row],[$ CAPITAL]]+FINANCIACION[[#This Row],[$ INTERESES]],"")</f>
        <v>1913366</v>
      </c>
      <c r="F386" s="113">
        <f>+SUMIFS(FINANCIACION[$ CAPITAL],FINANCIACION[Fecha],"&lt;="&amp;FINANCIACION[[#This Row],[Fecha]],FINANCIACION[PRESTAMO],FINANCIACION[[#This Row],[PRESTAMO]])</f>
        <v>-29368000</v>
      </c>
      <c r="G386" s="103"/>
      <c r="I386" s="119"/>
      <c r="J386" s="113">
        <f>+IF(FINANCIACION[[#This Row],[$ CAPITAL]]&gt;0,FINANCIACION[[#This Row],[$ CAPITAL]])</f>
        <v>1468400</v>
      </c>
      <c r="K386" s="120">
        <f>+IF(FINANCIACION[[#This Row],[$ CAPITAL]]&gt;=0,FINANCIACION[[#This Row],[$ CAPITAL]]+FINANCIACION[[#This Row],[$ INTERESES]],0)</f>
        <v>1913366</v>
      </c>
      <c r="L386" s="123"/>
      <c r="O386" s="117"/>
      <c r="P386" s="119"/>
      <c r="Q386" s="121"/>
    </row>
    <row r="387" spans="1:17" ht="24" customHeight="1" x14ac:dyDescent="0.3">
      <c r="A387" s="112">
        <v>44804</v>
      </c>
      <c r="B387" s="118" t="s">
        <v>1431</v>
      </c>
      <c r="C387" s="113">
        <v>1468400</v>
      </c>
      <c r="D387" s="113">
        <v>459144</v>
      </c>
      <c r="E387" s="113">
        <f>+IF(FINANCIACION[[#This Row],[$ CAPITAL]]&gt;=0,FINANCIACION[[#This Row],[$ CAPITAL]]+FINANCIACION[[#This Row],[$ INTERESES]],"")</f>
        <v>1927544</v>
      </c>
      <c r="F387" s="113">
        <f>+SUMIFS(FINANCIACION[$ CAPITAL],FINANCIACION[Fecha],"&lt;="&amp;FINANCIACION[[#This Row],[Fecha]],FINANCIACION[PRESTAMO],FINANCIACION[[#This Row],[PRESTAMO]])</f>
        <v>-27899600</v>
      </c>
      <c r="G387" s="103"/>
      <c r="I387" s="119"/>
      <c r="J387" s="113">
        <f>+IF(FINANCIACION[[#This Row],[$ CAPITAL]]&gt;0,FINANCIACION[[#This Row],[$ CAPITAL]])</f>
        <v>1468400</v>
      </c>
      <c r="K387" s="120">
        <f>+IF(FINANCIACION[[#This Row],[$ CAPITAL]]&gt;=0,FINANCIACION[[#This Row],[$ CAPITAL]]+FINANCIACION[[#This Row],[$ INTERESES]],0)</f>
        <v>1927544</v>
      </c>
      <c r="L387" s="123"/>
      <c r="O387" s="117"/>
      <c r="P387" s="119"/>
      <c r="Q387" s="121"/>
    </row>
    <row r="388" spans="1:17" ht="24" customHeight="1" x14ac:dyDescent="0.3">
      <c r="A388" s="112">
        <v>44834</v>
      </c>
      <c r="B388" s="118" t="s">
        <v>1431</v>
      </c>
      <c r="C388" s="113">
        <v>1468400</v>
      </c>
      <c r="D388" s="113">
        <v>1586824</v>
      </c>
      <c r="E388" s="113">
        <f>+IF(FINANCIACION[[#This Row],[$ CAPITAL]]&gt;=0,FINANCIACION[[#This Row],[$ CAPITAL]]+FINANCIACION[[#This Row],[$ INTERESES]],"")</f>
        <v>3055224</v>
      </c>
      <c r="F388" s="113">
        <f>+SUMIFS(FINANCIACION[$ CAPITAL],FINANCIACION[Fecha],"&lt;="&amp;FINANCIACION[[#This Row],[Fecha]],FINANCIACION[PRESTAMO],FINANCIACION[[#This Row],[PRESTAMO]])</f>
        <v>-26431200</v>
      </c>
      <c r="G388" s="103"/>
      <c r="I388" s="119"/>
      <c r="J388" s="113">
        <f>+IF(FINANCIACION[[#This Row],[$ CAPITAL]]&gt;0,FINANCIACION[[#This Row],[$ CAPITAL]])</f>
        <v>1468400</v>
      </c>
      <c r="K388" s="120">
        <f>+IF(FINANCIACION[[#This Row],[$ CAPITAL]]&gt;=0,FINANCIACION[[#This Row],[$ CAPITAL]]+FINANCIACION[[#This Row],[$ INTERESES]],0)</f>
        <v>3055224</v>
      </c>
      <c r="L388" s="123"/>
      <c r="O388" s="117"/>
      <c r="P388" s="119"/>
      <c r="Q388" s="121"/>
    </row>
    <row r="389" spans="1:17" ht="24" customHeight="1" x14ac:dyDescent="0.3">
      <c r="A389" s="112">
        <v>44865</v>
      </c>
      <c r="B389" s="118" t="s">
        <v>1431</v>
      </c>
      <c r="C389" s="113">
        <v>1916280</v>
      </c>
      <c r="D389" s="113">
        <v>447880</v>
      </c>
      <c r="E389" s="113">
        <f>+IF(FINANCIACION[[#This Row],[$ CAPITAL]]&gt;=0,FINANCIACION[[#This Row],[$ CAPITAL]]+FINANCIACION[[#This Row],[$ INTERESES]],"")</f>
        <v>2364160</v>
      </c>
      <c r="F389" s="113">
        <f>+SUMIFS(FINANCIACION[$ CAPITAL],FINANCIACION[Fecha],"&lt;="&amp;FINANCIACION[[#This Row],[Fecha]],FINANCIACION[PRESTAMO],FINANCIACION[[#This Row],[PRESTAMO]])</f>
        <v>-24514920</v>
      </c>
      <c r="G389" s="103"/>
      <c r="I389" s="119"/>
      <c r="J389" s="113">
        <f>+IF(FINANCIACION[[#This Row],[$ CAPITAL]]&gt;0,FINANCIACION[[#This Row],[$ CAPITAL]])</f>
        <v>1916280</v>
      </c>
      <c r="K389" s="120">
        <f>+IF(FINANCIACION[[#This Row],[$ CAPITAL]]&gt;=0,FINANCIACION[[#This Row],[$ CAPITAL]]+FINANCIACION[[#This Row],[$ INTERESES]],0)</f>
        <v>2364160</v>
      </c>
      <c r="L389" s="123"/>
      <c r="O389" s="117"/>
      <c r="P389" s="119"/>
      <c r="Q389" s="121"/>
    </row>
    <row r="390" spans="1:17" ht="24" customHeight="1" x14ac:dyDescent="0.3">
      <c r="A390" s="112">
        <v>44895</v>
      </c>
      <c r="B390" s="118" t="s">
        <v>1431</v>
      </c>
      <c r="C390" s="113">
        <v>1468400</v>
      </c>
      <c r="D390" s="113">
        <v>437833</v>
      </c>
      <c r="E390" s="113">
        <f>+IF(FINANCIACION[[#This Row],[$ CAPITAL]]&gt;=0,FINANCIACION[[#This Row],[$ CAPITAL]]+FINANCIACION[[#This Row],[$ INTERESES]],"")</f>
        <v>1906233</v>
      </c>
      <c r="F390" s="113">
        <f>+SUMIFS(FINANCIACION[$ CAPITAL],FINANCIACION[Fecha],"&lt;="&amp;FINANCIACION[[#This Row],[Fecha]],FINANCIACION[PRESTAMO],FINANCIACION[[#This Row],[PRESTAMO]])</f>
        <v>-23046520</v>
      </c>
      <c r="G390" s="103"/>
      <c r="I390" s="119"/>
      <c r="J390" s="113">
        <f>+IF(FINANCIACION[[#This Row],[$ CAPITAL]]&gt;0,FINANCIACION[[#This Row],[$ CAPITAL]])</f>
        <v>1468400</v>
      </c>
      <c r="K390" s="120">
        <f>+IF(FINANCIACION[[#This Row],[$ CAPITAL]]&gt;=0,FINANCIACION[[#This Row],[$ CAPITAL]]+FINANCIACION[[#This Row],[$ INTERESES]],0)</f>
        <v>1906233</v>
      </c>
      <c r="L390" s="123"/>
      <c r="O390" s="117"/>
      <c r="P390" s="119"/>
      <c r="Q390" s="121"/>
    </row>
    <row r="391" spans="1:17" ht="24" customHeight="1" x14ac:dyDescent="0.3">
      <c r="A391" s="112">
        <v>44926</v>
      </c>
      <c r="B391" s="118" t="s">
        <v>1431</v>
      </c>
      <c r="C391" s="113">
        <v>0</v>
      </c>
      <c r="D391" s="113">
        <v>0</v>
      </c>
      <c r="E391" s="113">
        <f>+IF(FINANCIACION[[#This Row],[$ CAPITAL]]&gt;=0,FINANCIACION[[#This Row],[$ CAPITAL]]+FINANCIACION[[#This Row],[$ INTERESES]],"")</f>
        <v>0</v>
      </c>
      <c r="F391" s="113">
        <f>+SUMIFS(FINANCIACION[$ CAPITAL],FINANCIACION[Fecha],"&lt;="&amp;FINANCIACION[[#This Row],[Fecha]],FINANCIACION[PRESTAMO],FINANCIACION[[#This Row],[PRESTAMO]])</f>
        <v>-23046520</v>
      </c>
      <c r="G391" s="103"/>
      <c r="I391" s="119"/>
      <c r="J391" s="113" t="b">
        <f>+IF(FINANCIACION[[#This Row],[$ CAPITAL]]&gt;0,FINANCIACION[[#This Row],[$ CAPITAL]])</f>
        <v>0</v>
      </c>
      <c r="K391" s="120">
        <f>+IF(FINANCIACION[[#This Row],[$ CAPITAL]]&gt;=0,FINANCIACION[[#This Row],[$ CAPITAL]]+FINANCIACION[[#This Row],[$ INTERESES]],0)</f>
        <v>0</v>
      </c>
      <c r="L391" s="123"/>
      <c r="O391" s="117"/>
      <c r="P391" s="119"/>
      <c r="Q391" s="121"/>
    </row>
    <row r="392" spans="1:17" ht="24" customHeight="1" x14ac:dyDescent="0.3">
      <c r="A392" s="112">
        <v>44928</v>
      </c>
      <c r="B392" s="118" t="s">
        <v>1431</v>
      </c>
      <c r="C392" s="113">
        <v>1468400</v>
      </c>
      <c r="D392" s="113">
        <v>435146</v>
      </c>
      <c r="E392" s="113">
        <f>+IF(FINANCIACION[[#This Row],[$ CAPITAL]]&gt;=0,FINANCIACION[[#This Row],[$ CAPITAL]]+FINANCIACION[[#This Row],[$ INTERESES]],"")</f>
        <v>1903546</v>
      </c>
      <c r="F392" s="113">
        <f>+SUMIFS(FINANCIACION[$ CAPITAL],FINANCIACION[Fecha],"&lt;="&amp;FINANCIACION[[#This Row],[Fecha]],FINANCIACION[PRESTAMO],FINANCIACION[[#This Row],[PRESTAMO]])</f>
        <v>-21578120</v>
      </c>
      <c r="G392" s="103"/>
      <c r="I392" s="119"/>
      <c r="J392" s="113">
        <f>+IF(FINANCIACION[[#This Row],[$ CAPITAL]]&gt;0,FINANCIACION[[#This Row],[$ CAPITAL]])</f>
        <v>1468400</v>
      </c>
      <c r="K392" s="120">
        <f>+IF(FINANCIACION[[#This Row],[$ CAPITAL]]&gt;=0,FINANCIACION[[#This Row],[$ CAPITAL]]+FINANCIACION[[#This Row],[$ INTERESES]],0)</f>
        <v>1903546</v>
      </c>
      <c r="L392" s="123"/>
      <c r="O392" s="117"/>
      <c r="P392" s="119"/>
      <c r="Q392" s="121"/>
    </row>
    <row r="393" spans="1:17" ht="24" customHeight="1" x14ac:dyDescent="0.3">
      <c r="A393" s="112">
        <v>44928</v>
      </c>
      <c r="B393" s="118" t="s">
        <v>131</v>
      </c>
      <c r="C393" s="113">
        <v>76791</v>
      </c>
      <c r="D393" s="113"/>
      <c r="E393" s="113">
        <f>+IF(FINANCIACION[[#This Row],[$ CAPITAL]]&gt;=0,FINANCIACION[[#This Row],[$ CAPITAL]]+FINANCIACION[[#This Row],[$ INTERESES]],"")</f>
        <v>76791</v>
      </c>
      <c r="F393" s="113">
        <f>+SUMIFS(FINANCIACION[$ CAPITAL],FINANCIACION[Fecha],"&lt;="&amp;FINANCIACION[[#This Row],[Fecha]],FINANCIACION[PRESTAMO],FINANCIACION[[#This Row],[PRESTAMO]])</f>
        <v>76791</v>
      </c>
      <c r="G393" s="113"/>
      <c r="I393" s="119"/>
      <c r="J393" s="113">
        <f>+IF(FINANCIACION[[#This Row],[$ CAPITAL]]&gt;0,FINANCIACION[[#This Row],[$ CAPITAL]])</f>
        <v>76791</v>
      </c>
      <c r="K393" s="120">
        <f>+IF(FINANCIACION[[#This Row],[$ CAPITAL]]&gt;=0,FINANCIACION[[#This Row],[$ CAPITAL]]+FINANCIACION[[#This Row],[$ INTERESES]],0)</f>
        <v>76791</v>
      </c>
      <c r="L393" s="123"/>
      <c r="O393" s="117"/>
      <c r="P393" s="119"/>
      <c r="Q393" s="121"/>
    </row>
    <row r="394" spans="1:17" ht="24" customHeight="1" x14ac:dyDescent="0.3">
      <c r="A394" s="112">
        <v>44957</v>
      </c>
      <c r="B394" s="118" t="s">
        <v>1431</v>
      </c>
      <c r="C394" s="113">
        <v>1468400</v>
      </c>
      <c r="D394" s="113">
        <v>422631</v>
      </c>
      <c r="E394" s="113">
        <f>+IF(FINANCIACION[[#This Row],[$ CAPITAL]]&gt;=0,FINANCIACION[[#This Row],[$ CAPITAL]]+FINANCIACION[[#This Row],[$ INTERESES]],"")</f>
        <v>1891031</v>
      </c>
      <c r="F394" s="113">
        <f>+SUMIFS(FINANCIACION[$ CAPITAL],FINANCIACION[Fecha],"&lt;="&amp;FINANCIACION[[#This Row],[Fecha]],FINANCIACION[PRESTAMO],FINANCIACION[[#This Row],[PRESTAMO]])</f>
        <v>-20109720</v>
      </c>
      <c r="G394" s="103"/>
      <c r="I394" s="119"/>
      <c r="J394" s="113">
        <f>+IF(FINANCIACION[[#This Row],[$ CAPITAL]]&gt;0,FINANCIACION[[#This Row],[$ CAPITAL]])</f>
        <v>1468400</v>
      </c>
      <c r="K394" s="120">
        <f>+IF(FINANCIACION[[#This Row],[$ CAPITAL]]&gt;=0,FINANCIACION[[#This Row],[$ CAPITAL]]+FINANCIACION[[#This Row],[$ INTERESES]],0)</f>
        <v>1891031</v>
      </c>
      <c r="L394" s="123"/>
      <c r="O394" s="117"/>
      <c r="P394" s="119"/>
      <c r="Q394" s="121"/>
    </row>
    <row r="395" spans="1:17" ht="24" customHeight="1" x14ac:dyDescent="0.3">
      <c r="A395" s="112">
        <v>44957</v>
      </c>
      <c r="B395" s="118" t="s">
        <v>131</v>
      </c>
      <c r="C395" s="113">
        <v>76791</v>
      </c>
      <c r="D395" s="113"/>
      <c r="E395" s="113">
        <f>+IF(FINANCIACION[[#This Row],[$ CAPITAL]]&gt;=0,FINANCIACION[[#This Row],[$ CAPITAL]]+FINANCIACION[[#This Row],[$ INTERESES]],"")</f>
        <v>76791</v>
      </c>
      <c r="F395" s="113">
        <f>+SUMIFS(FINANCIACION[$ CAPITAL],FINANCIACION[Fecha],"&lt;="&amp;FINANCIACION[[#This Row],[Fecha]],FINANCIACION[PRESTAMO],FINANCIACION[[#This Row],[PRESTAMO]])</f>
        <v>153582</v>
      </c>
      <c r="G395" s="113"/>
      <c r="I395" s="119"/>
      <c r="J395" s="113">
        <f>+IF(FINANCIACION[[#This Row],[$ CAPITAL]]&gt;0,FINANCIACION[[#This Row],[$ CAPITAL]])</f>
        <v>76791</v>
      </c>
      <c r="K395" s="120">
        <f>+IF(FINANCIACION[[#This Row],[$ CAPITAL]]&gt;=0,FINANCIACION[[#This Row],[$ CAPITAL]]+FINANCIACION[[#This Row],[$ INTERESES]],0)</f>
        <v>76791</v>
      </c>
      <c r="L395" s="123"/>
      <c r="O395" s="117"/>
      <c r="P395" s="119"/>
      <c r="Q395" s="121"/>
    </row>
    <row r="396" spans="1:17" ht="24" customHeight="1" x14ac:dyDescent="0.3">
      <c r="A396" s="112">
        <v>44985</v>
      </c>
      <c r="B396" s="118" t="s">
        <v>1431</v>
      </c>
      <c r="C396" s="113">
        <v>1468400</v>
      </c>
      <c r="D396" s="113">
        <v>364033</v>
      </c>
      <c r="E396" s="113">
        <f>+IF(FINANCIACION[[#This Row],[$ CAPITAL]]&gt;=0,FINANCIACION[[#This Row],[$ CAPITAL]]+FINANCIACION[[#This Row],[$ INTERESES]],"")</f>
        <v>1832433</v>
      </c>
      <c r="F396" s="113">
        <f>+SUMIFS(FINANCIACION[$ CAPITAL],FINANCIACION[Fecha],"&lt;="&amp;FINANCIACION[[#This Row],[Fecha]],FINANCIACION[PRESTAMO],FINANCIACION[[#This Row],[PRESTAMO]])</f>
        <v>-18641320</v>
      </c>
      <c r="G396" s="103"/>
      <c r="I396" s="119"/>
      <c r="J396" s="113">
        <f>+IF(FINANCIACION[[#This Row],[$ CAPITAL]]&gt;0,FINANCIACION[[#This Row],[$ CAPITAL]])</f>
        <v>1468400</v>
      </c>
      <c r="K396" s="120">
        <f>+IF(FINANCIACION[[#This Row],[$ CAPITAL]]&gt;=0,FINANCIACION[[#This Row],[$ CAPITAL]]+FINANCIACION[[#This Row],[$ INTERESES]],0)</f>
        <v>1832433</v>
      </c>
      <c r="L396" s="123"/>
      <c r="O396" s="117"/>
      <c r="P396" s="119"/>
      <c r="Q396" s="121"/>
    </row>
    <row r="397" spans="1:17" ht="24" customHeight="1" x14ac:dyDescent="0.3">
      <c r="A397" s="112">
        <v>44985</v>
      </c>
      <c r="B397" s="118" t="s">
        <v>131</v>
      </c>
      <c r="C397" s="113">
        <v>76791</v>
      </c>
      <c r="D397" s="113"/>
      <c r="E397" s="113">
        <f>+IF(FINANCIACION[[#This Row],[$ CAPITAL]]&gt;=0,FINANCIACION[[#This Row],[$ CAPITAL]]+FINANCIACION[[#This Row],[$ INTERESES]],"")</f>
        <v>76791</v>
      </c>
      <c r="F397" s="113">
        <f>+SUMIFS(FINANCIACION[$ CAPITAL],FINANCIACION[Fecha],"&lt;="&amp;FINANCIACION[[#This Row],[Fecha]],FINANCIACION[PRESTAMO],FINANCIACION[[#This Row],[PRESTAMO]])</f>
        <v>230373</v>
      </c>
      <c r="G397" s="113"/>
      <c r="I397" s="119"/>
      <c r="J397" s="113">
        <f>+IF(FINANCIACION[[#This Row],[$ CAPITAL]]&gt;0,FINANCIACION[[#This Row],[$ CAPITAL]])</f>
        <v>76791</v>
      </c>
      <c r="K397" s="120">
        <f>+IF(FINANCIACION[[#This Row],[$ CAPITAL]]&gt;=0,FINANCIACION[[#This Row],[$ CAPITAL]]+FINANCIACION[[#This Row],[$ INTERESES]],0)</f>
        <v>76791</v>
      </c>
      <c r="L397" s="123"/>
      <c r="O397" s="117"/>
      <c r="P397" s="119"/>
      <c r="Q397" s="121"/>
    </row>
    <row r="398" spans="1:17" ht="24" customHeight="1" x14ac:dyDescent="0.3">
      <c r="A398" s="112">
        <v>45016</v>
      </c>
      <c r="B398" s="118" t="s">
        <v>1431</v>
      </c>
      <c r="C398" s="113">
        <v>1468400</v>
      </c>
      <c r="D398" s="113">
        <v>424098</v>
      </c>
      <c r="E398" s="113">
        <f>+IF(FINANCIACION[[#This Row],[$ CAPITAL]]&gt;=0,FINANCIACION[[#This Row],[$ CAPITAL]]+FINANCIACION[[#This Row],[$ INTERESES]],"")</f>
        <v>1892498</v>
      </c>
      <c r="F398" s="113">
        <f>+SUMIFS(FINANCIACION[$ CAPITAL],FINANCIACION[Fecha],"&lt;="&amp;FINANCIACION[[#This Row],[Fecha]],FINANCIACION[PRESTAMO],FINANCIACION[[#This Row],[PRESTAMO]])</f>
        <v>-17172920</v>
      </c>
      <c r="G398" s="103"/>
      <c r="I398" s="119"/>
      <c r="J398" s="113">
        <f>+IF(FINANCIACION[[#This Row],[$ CAPITAL]]&gt;0,FINANCIACION[[#This Row],[$ CAPITAL]])</f>
        <v>1468400</v>
      </c>
      <c r="K398" s="120">
        <f>+IF(FINANCIACION[[#This Row],[$ CAPITAL]]&gt;=0,FINANCIACION[[#This Row],[$ CAPITAL]]+FINANCIACION[[#This Row],[$ INTERESES]],0)</f>
        <v>1892498</v>
      </c>
      <c r="L398" s="123"/>
      <c r="O398" s="117"/>
      <c r="P398" s="119"/>
      <c r="Q398" s="121"/>
    </row>
    <row r="399" spans="1:17" ht="24" customHeight="1" x14ac:dyDescent="0.3">
      <c r="A399" s="112">
        <v>45016</v>
      </c>
      <c r="B399" s="118" t="s">
        <v>131</v>
      </c>
      <c r="C399" s="113">
        <v>76791</v>
      </c>
      <c r="D399" s="113"/>
      <c r="E399" s="113">
        <f>+IF(FINANCIACION[[#This Row],[$ CAPITAL]]&gt;=0,FINANCIACION[[#This Row],[$ CAPITAL]]+FINANCIACION[[#This Row],[$ INTERESES]],"")</f>
        <v>76791</v>
      </c>
      <c r="F399" s="113">
        <f>+SUMIFS(FINANCIACION[$ CAPITAL],FINANCIACION[Fecha],"&lt;="&amp;FINANCIACION[[#This Row],[Fecha]],FINANCIACION[PRESTAMO],FINANCIACION[[#This Row],[PRESTAMO]])</f>
        <v>307164</v>
      </c>
      <c r="G399" s="113"/>
      <c r="I399" s="119"/>
      <c r="J399" s="113">
        <f>+IF(FINANCIACION[[#This Row],[$ CAPITAL]]&gt;0,FINANCIACION[[#This Row],[$ CAPITAL]])</f>
        <v>76791</v>
      </c>
      <c r="K399" s="120">
        <f>+IF(FINANCIACION[[#This Row],[$ CAPITAL]]&gt;=0,FINANCIACION[[#This Row],[$ CAPITAL]]+FINANCIACION[[#This Row],[$ INTERESES]],0)</f>
        <v>76791</v>
      </c>
      <c r="L399" s="123"/>
      <c r="O399" s="117"/>
      <c r="P399" s="119"/>
      <c r="Q399" s="121"/>
    </row>
    <row r="400" spans="1:17" ht="24" customHeight="1" x14ac:dyDescent="0.3">
      <c r="A400" s="112">
        <v>45046</v>
      </c>
      <c r="B400" s="118" t="s">
        <v>1431</v>
      </c>
      <c r="C400" s="113">
        <v>0</v>
      </c>
      <c r="D400" s="113">
        <v>0</v>
      </c>
      <c r="E400" s="113">
        <f>+IF(FINANCIACION[[#This Row],[$ CAPITAL]]&gt;=0,FINANCIACION[[#This Row],[$ CAPITAL]]+FINANCIACION[[#This Row],[$ INTERESES]],"")</f>
        <v>0</v>
      </c>
      <c r="F400" s="113">
        <f>+SUMIFS(FINANCIACION[$ CAPITAL],FINANCIACION[Fecha],"&lt;="&amp;FINANCIACION[[#This Row],[Fecha]],FINANCIACION[PRESTAMO],FINANCIACION[[#This Row],[PRESTAMO]])</f>
        <v>-17172920</v>
      </c>
      <c r="G400" s="103"/>
      <c r="I400" s="119"/>
      <c r="J400" s="113" t="b">
        <f>+IF(FINANCIACION[[#This Row],[$ CAPITAL]]&gt;0,FINANCIACION[[#This Row],[$ CAPITAL]])</f>
        <v>0</v>
      </c>
      <c r="K400" s="120">
        <f>+IF(FINANCIACION[[#This Row],[$ CAPITAL]]&gt;=0,FINANCIACION[[#This Row],[$ CAPITAL]]+FINANCIACION[[#This Row],[$ INTERESES]],0)</f>
        <v>0</v>
      </c>
      <c r="L400" s="123"/>
      <c r="O400" s="117"/>
      <c r="P400" s="119"/>
      <c r="Q400" s="121"/>
    </row>
    <row r="401" spans="1:17" ht="24" customHeight="1" x14ac:dyDescent="0.3">
      <c r="A401" s="112">
        <v>45046</v>
      </c>
      <c r="B401" s="118" t="s">
        <v>131</v>
      </c>
      <c r="C401" s="113">
        <v>0</v>
      </c>
      <c r="D401" s="113">
        <v>0</v>
      </c>
      <c r="E401" s="113">
        <f>+IF(FINANCIACION[[#This Row],[$ CAPITAL]]&gt;=0,FINANCIACION[[#This Row],[$ CAPITAL]]+FINANCIACION[[#This Row],[$ INTERESES]],"")</f>
        <v>0</v>
      </c>
      <c r="F401" s="113">
        <f>+SUMIFS(FINANCIACION[$ CAPITAL],FINANCIACION[Fecha],"&lt;="&amp;FINANCIACION[[#This Row],[Fecha]],FINANCIACION[PRESTAMO],FINANCIACION[[#This Row],[PRESTAMO]])</f>
        <v>307164</v>
      </c>
      <c r="G401" s="113"/>
      <c r="I401" s="119"/>
      <c r="J401" s="113" t="b">
        <f>+IF(FINANCIACION[[#This Row],[$ CAPITAL]]&gt;0,FINANCIACION[[#This Row],[$ CAPITAL]])</f>
        <v>0</v>
      </c>
      <c r="K401" s="120">
        <f>+IF(FINANCIACION[[#This Row],[$ CAPITAL]]&gt;=0,FINANCIACION[[#This Row],[$ CAPITAL]]+FINANCIACION[[#This Row],[$ INTERESES]],0)</f>
        <v>0</v>
      </c>
      <c r="L401" s="123"/>
      <c r="O401" s="117"/>
      <c r="P401" s="119"/>
      <c r="Q401" s="121"/>
    </row>
    <row r="402" spans="1:17" ht="24" customHeight="1" x14ac:dyDescent="0.3">
      <c r="A402" s="112">
        <v>45048</v>
      </c>
      <c r="B402" s="118" t="s">
        <v>1431</v>
      </c>
      <c r="C402" s="113">
        <v>1468400</v>
      </c>
      <c r="D402" s="113">
        <v>317725</v>
      </c>
      <c r="E402" s="113">
        <f>+IF(FINANCIACION[[#This Row],[$ CAPITAL]]&gt;=0,FINANCIACION[[#This Row],[$ CAPITAL]]+FINANCIACION[[#This Row],[$ INTERESES]],"")</f>
        <v>1786125</v>
      </c>
      <c r="F402" s="113">
        <f>+SUMIFS(FINANCIACION[$ CAPITAL],FINANCIACION[Fecha],"&lt;="&amp;FINANCIACION[[#This Row],[Fecha]],FINANCIACION[PRESTAMO],FINANCIACION[[#This Row],[PRESTAMO]])</f>
        <v>-15704520</v>
      </c>
      <c r="G402" s="103"/>
      <c r="I402" s="119"/>
      <c r="J402" s="113">
        <f>+IF(FINANCIACION[[#This Row],[$ CAPITAL]]&gt;0,FINANCIACION[[#This Row],[$ CAPITAL]])</f>
        <v>1468400</v>
      </c>
      <c r="K402" s="120">
        <f>+IF(FINANCIACION[[#This Row],[$ CAPITAL]]&gt;=0,FINANCIACION[[#This Row],[$ CAPITAL]]+FINANCIACION[[#This Row],[$ INTERESES]],0)</f>
        <v>1786125</v>
      </c>
      <c r="L402" s="123"/>
      <c r="O402" s="117"/>
      <c r="P402" s="119"/>
      <c r="Q402" s="121"/>
    </row>
    <row r="403" spans="1:17" ht="24" customHeight="1" x14ac:dyDescent="0.3">
      <c r="A403" s="112">
        <v>45048</v>
      </c>
      <c r="B403" s="118" t="s">
        <v>131</v>
      </c>
      <c r="C403" s="113">
        <v>76791</v>
      </c>
      <c r="D403" s="113"/>
      <c r="E403" s="113">
        <f>+IF(FINANCIACION[[#This Row],[$ CAPITAL]]&gt;=0,FINANCIACION[[#This Row],[$ CAPITAL]]+FINANCIACION[[#This Row],[$ INTERESES]],"")</f>
        <v>76791</v>
      </c>
      <c r="F403" s="113">
        <f>+SUMIFS(FINANCIACION[$ CAPITAL],FINANCIACION[Fecha],"&lt;="&amp;FINANCIACION[[#This Row],[Fecha]],FINANCIACION[PRESTAMO],FINANCIACION[[#This Row],[PRESTAMO]])</f>
        <v>383955</v>
      </c>
      <c r="G403" s="113"/>
      <c r="I403" s="119"/>
      <c r="J403" s="113">
        <f>+IF(FINANCIACION[[#This Row],[$ CAPITAL]]&gt;0,FINANCIACION[[#This Row],[$ CAPITAL]])</f>
        <v>76791</v>
      </c>
      <c r="K403" s="120">
        <f>+IF(FINANCIACION[[#This Row],[$ CAPITAL]]&gt;=0,FINANCIACION[[#This Row],[$ CAPITAL]]+FINANCIACION[[#This Row],[$ INTERESES]],0)</f>
        <v>76791</v>
      </c>
      <c r="L403" s="123"/>
      <c r="O403" s="117"/>
      <c r="P403" s="119"/>
      <c r="Q403" s="121"/>
    </row>
    <row r="404" spans="1:17" ht="24" customHeight="1" x14ac:dyDescent="0.3">
      <c r="A404" s="112">
        <v>45077</v>
      </c>
      <c r="B404" s="118" t="s">
        <v>1431</v>
      </c>
      <c r="C404" s="113">
        <v>1468400</v>
      </c>
      <c r="D404" s="113">
        <v>292448</v>
      </c>
      <c r="E404" s="113">
        <f>+IF(FINANCIACION[[#This Row],[$ CAPITAL]]&gt;=0,FINANCIACION[[#This Row],[$ CAPITAL]]+FINANCIACION[[#This Row],[$ INTERESES]],"")</f>
        <v>1760848</v>
      </c>
      <c r="F404" s="113">
        <f>+SUMIFS(FINANCIACION[$ CAPITAL],FINANCIACION[Fecha],"&lt;="&amp;FINANCIACION[[#This Row],[Fecha]],FINANCIACION[PRESTAMO],FINANCIACION[[#This Row],[PRESTAMO]])</f>
        <v>-14236120</v>
      </c>
      <c r="G404" s="103"/>
      <c r="I404" s="119"/>
      <c r="J404" s="113">
        <f>+IF(FINANCIACION[[#This Row],[$ CAPITAL]]&gt;0,FINANCIACION[[#This Row],[$ CAPITAL]])</f>
        <v>1468400</v>
      </c>
      <c r="K404" s="120">
        <f>+IF(FINANCIACION[[#This Row],[$ CAPITAL]]&gt;=0,FINANCIACION[[#This Row],[$ CAPITAL]]+FINANCIACION[[#This Row],[$ INTERESES]],0)</f>
        <v>1760848</v>
      </c>
    </row>
    <row r="405" spans="1:17" ht="24" customHeight="1" x14ac:dyDescent="0.3">
      <c r="A405" s="112">
        <v>45077</v>
      </c>
      <c r="B405" s="118" t="s">
        <v>131</v>
      </c>
      <c r="C405" s="113">
        <v>76791</v>
      </c>
      <c r="D405" s="113"/>
      <c r="E405" s="113">
        <f>+IF(FINANCIACION[[#This Row],[$ CAPITAL]]&gt;=0,FINANCIACION[[#This Row],[$ CAPITAL]]+FINANCIACION[[#This Row],[$ INTERESES]],"")</f>
        <v>76791</v>
      </c>
      <c r="F405" s="113">
        <f>+SUMIFS(FINANCIACION[$ CAPITAL],FINANCIACION[Fecha],"&lt;="&amp;FINANCIACION[[#This Row],[Fecha]],FINANCIACION[PRESTAMO],FINANCIACION[[#This Row],[PRESTAMO]])</f>
        <v>460746</v>
      </c>
      <c r="G405" s="113"/>
      <c r="I405" s="119"/>
      <c r="J405" s="113">
        <f>+IF(FINANCIACION[[#This Row],[$ CAPITAL]]&gt;0,FINANCIACION[[#This Row],[$ CAPITAL]])</f>
        <v>76791</v>
      </c>
      <c r="K405" s="120">
        <f>+IF(FINANCIACION[[#This Row],[$ CAPITAL]]&gt;=0,FINANCIACION[[#This Row],[$ CAPITAL]]+FINANCIACION[[#This Row],[$ INTERESES]],0)</f>
        <v>76791</v>
      </c>
    </row>
    <row r="406" spans="1:17" ht="24" customHeight="1" x14ac:dyDescent="0.3">
      <c r="A406" s="112">
        <v>45107</v>
      </c>
      <c r="B406" s="118" t="s">
        <v>1431</v>
      </c>
      <c r="C406" s="113">
        <v>1468400</v>
      </c>
      <c r="D406" s="113">
        <v>260830</v>
      </c>
      <c r="E406" s="113">
        <f>+IF(FINANCIACION[[#This Row],[$ CAPITAL]]&gt;=0,FINANCIACION[[#This Row],[$ CAPITAL]]+FINANCIACION[[#This Row],[$ INTERESES]],"")</f>
        <v>1729230</v>
      </c>
      <c r="F406" s="113">
        <f>+SUMIFS(FINANCIACION[$ CAPITAL],FINANCIACION[Fecha],"&lt;="&amp;FINANCIACION[[#This Row],[Fecha]],FINANCIACION[PRESTAMO],FINANCIACION[[#This Row],[PRESTAMO]])</f>
        <v>-13215600</v>
      </c>
      <c r="G406" s="103"/>
      <c r="I406" s="119"/>
      <c r="J406" s="113">
        <f>+IF(FINANCIACION[[#This Row],[$ CAPITAL]]&gt;0,FINANCIACION[[#This Row],[$ CAPITAL]])</f>
        <v>1468400</v>
      </c>
      <c r="K406" s="120">
        <f>+IF(FINANCIACION[[#This Row],[$ CAPITAL]]&gt;=0,FINANCIACION[[#This Row],[$ CAPITAL]]+FINANCIACION[[#This Row],[$ INTERESES]],0)</f>
        <v>1729230</v>
      </c>
    </row>
    <row r="407" spans="1:17" ht="24" customHeight="1" x14ac:dyDescent="0.3">
      <c r="A407" s="112">
        <v>45107</v>
      </c>
      <c r="B407" s="118" t="s">
        <v>1431</v>
      </c>
      <c r="C407" s="113">
        <v>-447880</v>
      </c>
      <c r="D407" s="113"/>
      <c r="E407" s="113" t="str">
        <f>+IF(FINANCIACION[[#This Row],[$ CAPITAL]]&gt;=0,FINANCIACION[[#This Row],[$ CAPITAL]]+FINANCIACION[[#This Row],[$ INTERESES]],"")</f>
        <v/>
      </c>
      <c r="F407" s="113">
        <f>+SUMIFS(FINANCIACION[$ CAPITAL],FINANCIACION[Fecha],"&lt;="&amp;FINANCIACION[[#This Row],[Fecha]],FINANCIACION[PRESTAMO],FINANCIACION[[#This Row],[PRESTAMO]])</f>
        <v>-13215600</v>
      </c>
      <c r="G407" s="103"/>
      <c r="H407" s="119" t="s">
        <v>897</v>
      </c>
      <c r="I407" s="119"/>
      <c r="J407" s="113" t="b">
        <f>+IF(FINANCIACION[[#This Row],[$ CAPITAL]]&gt;0,FINANCIACION[[#This Row],[$ CAPITAL]])</f>
        <v>0</v>
      </c>
      <c r="K407" s="120">
        <f>+IF(FINANCIACION[[#This Row],[$ CAPITAL]]&gt;=0,FINANCIACION[[#This Row],[$ CAPITAL]]+FINANCIACION[[#This Row],[$ INTERESES]],0)</f>
        <v>0</v>
      </c>
    </row>
    <row r="408" spans="1:17" ht="24" customHeight="1" x14ac:dyDescent="0.3">
      <c r="A408" s="112">
        <v>45107</v>
      </c>
      <c r="B408" s="118" t="s">
        <v>131</v>
      </c>
      <c r="C408" s="113">
        <v>76791</v>
      </c>
      <c r="D408" s="113"/>
      <c r="E408" s="113">
        <f>+IF(FINANCIACION[[#This Row],[$ CAPITAL]]&gt;=0,FINANCIACION[[#This Row],[$ CAPITAL]]+FINANCIACION[[#This Row],[$ INTERESES]],"")</f>
        <v>76791</v>
      </c>
      <c r="F408" s="113">
        <f>+SUMIFS(FINANCIACION[$ CAPITAL],FINANCIACION[Fecha],"&lt;="&amp;FINANCIACION[[#This Row],[Fecha]],FINANCIACION[PRESTAMO],FINANCIACION[[#This Row],[PRESTAMO]])</f>
        <v>537537</v>
      </c>
      <c r="G408" s="113"/>
      <c r="I408" s="119"/>
      <c r="J408" s="113">
        <f>+IF(FINANCIACION[[#This Row],[$ CAPITAL]]&gt;0,FINANCIACION[[#This Row],[$ CAPITAL]])</f>
        <v>76791</v>
      </c>
      <c r="K408" s="120">
        <f>+IF(FINANCIACION[[#This Row],[$ CAPITAL]]&gt;=0,FINANCIACION[[#This Row],[$ CAPITAL]]+FINANCIACION[[#This Row],[$ INTERESES]],0)</f>
        <v>76791</v>
      </c>
    </row>
    <row r="409" spans="1:17" ht="24" customHeight="1" x14ac:dyDescent="0.3">
      <c r="A409" s="112">
        <v>45138</v>
      </c>
      <c r="B409" s="118" t="s">
        <v>1431</v>
      </c>
      <c r="C409" s="113">
        <v>1468400</v>
      </c>
      <c r="D409" s="113">
        <v>246236</v>
      </c>
      <c r="E409" s="113">
        <f>+IF(FINANCIACION[[#This Row],[$ CAPITAL]]&gt;=0,FINANCIACION[[#This Row],[$ CAPITAL]]+FINANCIACION[[#This Row],[$ INTERESES]],"")</f>
        <v>1714636</v>
      </c>
      <c r="F409" s="113">
        <f>+SUMIFS(FINANCIACION[$ CAPITAL],FINANCIACION[Fecha],"&lt;="&amp;FINANCIACION[[#This Row],[Fecha]],FINANCIACION[PRESTAMO],FINANCIACION[[#This Row],[PRESTAMO]])</f>
        <v>-11747200</v>
      </c>
      <c r="G409" s="103"/>
      <c r="I409" s="119"/>
      <c r="J409" s="113">
        <f>+IF(FINANCIACION[[#This Row],[$ CAPITAL]]&gt;0,FINANCIACION[[#This Row],[$ CAPITAL]])</f>
        <v>1468400</v>
      </c>
      <c r="K409" s="120">
        <f>+IF(FINANCIACION[[#This Row],[$ CAPITAL]]&gt;=0,FINANCIACION[[#This Row],[$ CAPITAL]]+FINANCIACION[[#This Row],[$ INTERESES]],0)</f>
        <v>1714636</v>
      </c>
    </row>
    <row r="410" spans="1:17" ht="24" customHeight="1" x14ac:dyDescent="0.3">
      <c r="A410" s="112">
        <v>45138</v>
      </c>
      <c r="B410" s="118" t="s">
        <v>131</v>
      </c>
      <c r="C410" s="113">
        <v>76791</v>
      </c>
      <c r="D410" s="113"/>
      <c r="E410" s="113">
        <f>+IF(FINANCIACION[[#This Row],[$ CAPITAL]]&gt;=0,FINANCIACION[[#This Row],[$ CAPITAL]]+FINANCIACION[[#This Row],[$ INTERESES]],"")</f>
        <v>76791</v>
      </c>
      <c r="F410" s="113">
        <f>+SUMIFS(FINANCIACION[$ CAPITAL],FINANCIACION[Fecha],"&lt;="&amp;FINANCIACION[[#This Row],[Fecha]],FINANCIACION[PRESTAMO],FINANCIACION[[#This Row],[PRESTAMO]])</f>
        <v>614328</v>
      </c>
      <c r="G410" s="113"/>
      <c r="I410" s="119"/>
      <c r="J410" s="113">
        <f>+IF(FINANCIACION[[#This Row],[$ CAPITAL]]&gt;0,FINANCIACION[[#This Row],[$ CAPITAL]])</f>
        <v>76791</v>
      </c>
      <c r="K410" s="120">
        <f>+IF(FINANCIACION[[#This Row],[$ CAPITAL]]&gt;=0,FINANCIACION[[#This Row],[$ CAPITAL]]+FINANCIACION[[#This Row],[$ INTERESES]],0)</f>
        <v>76791</v>
      </c>
    </row>
    <row r="411" spans="1:17" ht="24" customHeight="1" x14ac:dyDescent="0.3">
      <c r="A411" s="112">
        <v>45169</v>
      </c>
      <c r="B411" s="118" t="s">
        <v>1431</v>
      </c>
      <c r="C411" s="113">
        <v>1468400</v>
      </c>
      <c r="D411" s="113">
        <v>260830</v>
      </c>
      <c r="E411" s="113">
        <f>+IF(FINANCIACION[[#This Row],[$ CAPITAL]]&gt;=0,FINANCIACION[[#This Row],[$ CAPITAL]]+FINANCIACION[[#This Row],[$ INTERESES]],"")</f>
        <v>1729230</v>
      </c>
      <c r="F411" s="113">
        <f>+SUMIFS(FINANCIACION[$ CAPITAL],FINANCIACION[Fecha],"&lt;="&amp;FINANCIACION[[#This Row],[Fecha]],FINANCIACION[PRESTAMO],FINANCIACION[[#This Row],[PRESTAMO]])</f>
        <v>-10278800</v>
      </c>
      <c r="G411" s="103"/>
      <c r="I411" s="119"/>
      <c r="J411" s="113">
        <f>+IF(FINANCIACION[[#This Row],[$ CAPITAL]]&gt;0,FINANCIACION[[#This Row],[$ CAPITAL]])</f>
        <v>1468400</v>
      </c>
      <c r="K411" s="120">
        <f>+IF(FINANCIACION[[#This Row],[$ CAPITAL]]&gt;=0,FINANCIACION[[#This Row],[$ CAPITAL]]+FINANCIACION[[#This Row],[$ INTERESES]],0)</f>
        <v>1729230</v>
      </c>
    </row>
    <row r="412" spans="1:17" ht="24" customHeight="1" x14ac:dyDescent="0.3">
      <c r="A412" s="112">
        <v>45169</v>
      </c>
      <c r="B412" s="118" t="s">
        <v>131</v>
      </c>
      <c r="C412" s="113">
        <v>76791</v>
      </c>
      <c r="D412" s="113"/>
      <c r="E412" s="113">
        <f>+IF(FINANCIACION[[#This Row],[$ CAPITAL]]&gt;=0,FINANCIACION[[#This Row],[$ CAPITAL]]+FINANCIACION[[#This Row],[$ INTERESES]],"")</f>
        <v>76791</v>
      </c>
      <c r="F412" s="113">
        <f>+SUMIFS(FINANCIACION[$ CAPITAL],FINANCIACION[Fecha],"&lt;="&amp;FINANCIACION[[#This Row],[Fecha]],FINANCIACION[PRESTAMO],FINANCIACION[[#This Row],[PRESTAMO]])</f>
        <v>691119</v>
      </c>
      <c r="G412" s="113"/>
      <c r="I412" s="119"/>
      <c r="J412" s="113">
        <f>+IF(FINANCIACION[[#This Row],[$ CAPITAL]]&gt;0,FINANCIACION[[#This Row],[$ CAPITAL]])</f>
        <v>76791</v>
      </c>
      <c r="K412" s="120">
        <f>+IF(FINANCIACION[[#This Row],[$ CAPITAL]]&gt;=0,FINANCIACION[[#This Row],[$ CAPITAL]]+FINANCIACION[[#This Row],[$ INTERESES]],0)</f>
        <v>76791</v>
      </c>
    </row>
    <row r="413" spans="1:17" ht="24" customHeight="1" x14ac:dyDescent="0.3">
      <c r="A413" s="112">
        <v>45199</v>
      </c>
      <c r="B413" s="118" t="s">
        <v>1431</v>
      </c>
      <c r="C413" s="113">
        <v>0</v>
      </c>
      <c r="D413" s="113">
        <v>0</v>
      </c>
      <c r="E413" s="113">
        <f>+IF(FINANCIACION[[#This Row],[$ CAPITAL]]&gt;=0,FINANCIACION[[#This Row],[$ CAPITAL]]+FINANCIACION[[#This Row],[$ INTERESES]],"")</f>
        <v>0</v>
      </c>
      <c r="F413" s="113">
        <f>+SUMIFS(FINANCIACION[$ CAPITAL],FINANCIACION[Fecha],"&lt;="&amp;FINANCIACION[[#This Row],[Fecha]],FINANCIACION[PRESTAMO],FINANCIACION[[#This Row],[PRESTAMO]])</f>
        <v>-10278800</v>
      </c>
      <c r="G413" s="103"/>
      <c r="I413" s="119"/>
      <c r="J413" s="113" t="b">
        <f>+IF(FINANCIACION[[#This Row],[$ CAPITAL]]&gt;0,FINANCIACION[[#This Row],[$ CAPITAL]])</f>
        <v>0</v>
      </c>
      <c r="K413" s="120">
        <f>+IF(FINANCIACION[[#This Row],[$ CAPITAL]]&gt;=0,FINANCIACION[[#This Row],[$ CAPITAL]]+FINANCIACION[[#This Row],[$ INTERESES]],0)</f>
        <v>0</v>
      </c>
    </row>
    <row r="414" spans="1:17" ht="24" customHeight="1" x14ac:dyDescent="0.3">
      <c r="A414" s="112">
        <v>45199</v>
      </c>
      <c r="B414" s="118" t="s">
        <v>131</v>
      </c>
      <c r="C414" s="113">
        <v>0</v>
      </c>
      <c r="D414" s="113">
        <v>0</v>
      </c>
      <c r="E414" s="113">
        <f>+IF(FINANCIACION[[#This Row],[$ CAPITAL]]&gt;=0,FINANCIACION[[#This Row],[$ CAPITAL]]+FINANCIACION[[#This Row],[$ INTERESES]],"")</f>
        <v>0</v>
      </c>
      <c r="F414" s="113">
        <f>+SUMIFS(FINANCIACION[$ CAPITAL],FINANCIACION[Fecha],"&lt;="&amp;FINANCIACION[[#This Row],[Fecha]],FINANCIACION[PRESTAMO],FINANCIACION[[#This Row],[PRESTAMO]])</f>
        <v>691119</v>
      </c>
      <c r="G414" s="113"/>
      <c r="I414" s="119"/>
      <c r="J414" s="113" t="b">
        <f>+IF(FINANCIACION[[#This Row],[$ CAPITAL]]&gt;0,FINANCIACION[[#This Row],[$ CAPITAL]])</f>
        <v>0</v>
      </c>
      <c r="K414" s="120">
        <f>+IF(FINANCIACION[[#This Row],[$ CAPITAL]]&gt;=0,FINANCIACION[[#This Row],[$ CAPITAL]]+FINANCIACION[[#This Row],[$ INTERESES]],0)</f>
        <v>0</v>
      </c>
    </row>
    <row r="415" spans="1:17" ht="24" customHeight="1" x14ac:dyDescent="0.3">
      <c r="A415" s="112">
        <v>45201</v>
      </c>
      <c r="B415" s="118" t="s">
        <v>1431</v>
      </c>
      <c r="C415" s="113">
        <v>1468400</v>
      </c>
      <c r="D415" s="113">
        <v>164239</v>
      </c>
      <c r="E415" s="113">
        <f>+IF(FINANCIACION[[#This Row],[$ CAPITAL]]&gt;=0,FINANCIACION[[#This Row],[$ CAPITAL]]+FINANCIACION[[#This Row],[$ INTERESES]],"")</f>
        <v>1632639</v>
      </c>
      <c r="F415" s="113">
        <f>+SUMIFS(FINANCIACION[$ CAPITAL],FINANCIACION[Fecha],"&lt;="&amp;FINANCIACION[[#This Row],[Fecha]],FINANCIACION[PRESTAMO],FINANCIACION[[#This Row],[PRESTAMO]])</f>
        <v>-8810400</v>
      </c>
      <c r="G415" s="103"/>
      <c r="I415" s="119"/>
      <c r="J415" s="113">
        <f>+IF(FINANCIACION[[#This Row],[$ CAPITAL]]&gt;0,FINANCIACION[[#This Row],[$ CAPITAL]])</f>
        <v>1468400</v>
      </c>
      <c r="K415" s="120">
        <f>+IF(FINANCIACION[[#This Row],[$ CAPITAL]]&gt;=0,FINANCIACION[[#This Row],[$ CAPITAL]]+FINANCIACION[[#This Row],[$ INTERESES]],0)</f>
        <v>1632639</v>
      </c>
    </row>
    <row r="416" spans="1:17" ht="24" customHeight="1" x14ac:dyDescent="0.3">
      <c r="A416" s="112">
        <v>45202</v>
      </c>
      <c r="B416" s="118" t="s">
        <v>131</v>
      </c>
      <c r="C416" s="113">
        <v>77002</v>
      </c>
      <c r="D416" s="113"/>
      <c r="E416" s="113">
        <f>+IF(FINANCIACION[[#This Row],[$ CAPITAL]]&gt;=0,FINANCIACION[[#This Row],[$ CAPITAL]]+FINANCIACION[[#This Row],[$ INTERESES]],"")</f>
        <v>77002</v>
      </c>
      <c r="F416" s="113">
        <f>+SUMIFS(FINANCIACION[$ CAPITAL],FINANCIACION[Fecha],"&lt;="&amp;FINANCIACION[[#This Row],[Fecha]],FINANCIACION[PRESTAMO],FINANCIACION[[#This Row],[PRESTAMO]])</f>
        <v>768121</v>
      </c>
      <c r="G416" s="113"/>
      <c r="I416" s="119"/>
      <c r="J416" s="113">
        <f>+IF(FINANCIACION[[#This Row],[$ CAPITAL]]&gt;0,FINANCIACION[[#This Row],[$ CAPITAL]])</f>
        <v>77002</v>
      </c>
      <c r="K416" s="120">
        <f>+IF(FINANCIACION[[#This Row],[$ CAPITAL]]&gt;=0,FINANCIACION[[#This Row],[$ CAPITAL]]+FINANCIACION[[#This Row],[$ INTERESES]],0)</f>
        <v>77002</v>
      </c>
    </row>
    <row r="417" spans="1:11" ht="24" customHeight="1" x14ac:dyDescent="0.3">
      <c r="A417" s="112">
        <v>45205</v>
      </c>
      <c r="B417" s="118" t="s">
        <v>131</v>
      </c>
      <c r="C417" s="113">
        <v>460535</v>
      </c>
      <c r="D417" s="113"/>
      <c r="E417" s="113">
        <f>+IF(FINANCIACION[[#This Row],[$ CAPITAL]]&gt;=0,FINANCIACION[[#This Row],[$ CAPITAL]]+FINANCIACION[[#This Row],[$ INTERESES]],"")</f>
        <v>460535</v>
      </c>
      <c r="F417" s="113">
        <f>+SUMIFS(FINANCIACION[$ CAPITAL],FINANCIACION[Fecha],"&lt;="&amp;FINANCIACION[[#This Row],[Fecha]],FINANCIACION[PRESTAMO],FINANCIACION[[#This Row],[PRESTAMO]])</f>
        <v>1228656</v>
      </c>
      <c r="G417" s="113"/>
      <c r="H417" s="119" t="s">
        <v>1196</v>
      </c>
      <c r="I417" s="119"/>
      <c r="J417" s="113">
        <f>+IF(FINANCIACION[[#This Row],[$ CAPITAL]]&gt;0,FINANCIACION[[#This Row],[$ CAPITAL]])</f>
        <v>460535</v>
      </c>
      <c r="K417" s="120">
        <f>+IF(FINANCIACION[[#This Row],[$ CAPITAL]]&gt;=0,FINANCIACION[[#This Row],[$ CAPITAL]]+FINANCIACION[[#This Row],[$ INTERESES]],0)</f>
        <v>460535</v>
      </c>
    </row>
    <row r="418" spans="1:11" ht="24" customHeight="1" x14ac:dyDescent="0.3">
      <c r="A418" s="112">
        <v>45230</v>
      </c>
      <c r="B418" s="118" t="s">
        <v>1431</v>
      </c>
      <c r="C418" s="113">
        <v>1468400</v>
      </c>
      <c r="D418" s="113">
        <v>164239</v>
      </c>
      <c r="E418" s="113">
        <f>+IF(FINANCIACION[[#This Row],[$ CAPITAL]]&gt;=0,FINANCIACION[[#This Row],[$ CAPITAL]]+FINANCIACION[[#This Row],[$ INTERESES]],"")</f>
        <v>1632639</v>
      </c>
      <c r="F418" s="113">
        <f>+SUMIFS(FINANCIACION[$ CAPITAL],FINANCIACION[Fecha],"&lt;="&amp;FINANCIACION[[#This Row],[Fecha]],FINANCIACION[PRESTAMO],FINANCIACION[[#This Row],[PRESTAMO]])</f>
        <v>-7342000</v>
      </c>
      <c r="G418" s="103"/>
      <c r="I418" s="119"/>
      <c r="J418" s="113">
        <f>+IF(FINANCIACION[[#This Row],[$ CAPITAL]]&gt;0,FINANCIACION[[#This Row],[$ CAPITAL]])</f>
        <v>1468400</v>
      </c>
      <c r="K418" s="120">
        <f>+IF(FINANCIACION[[#This Row],[$ CAPITAL]]&gt;=0,FINANCIACION[[#This Row],[$ CAPITAL]]+FINANCIACION[[#This Row],[$ INTERESES]],0)</f>
        <v>1632639</v>
      </c>
    </row>
    <row r="419" spans="1:11" ht="24" customHeight="1" x14ac:dyDescent="0.3">
      <c r="A419" s="112">
        <v>45237</v>
      </c>
      <c r="B419" s="118" t="s">
        <v>131</v>
      </c>
      <c r="C419" s="113">
        <v>-1228656</v>
      </c>
      <c r="D419" s="113"/>
      <c r="E419" s="113" t="str">
        <f>+IF(FINANCIACION[[#This Row],[$ CAPITAL]]&gt;=0,FINANCIACION[[#This Row],[$ CAPITAL]]+FINANCIACION[[#This Row],[$ INTERESES]],"")</f>
        <v/>
      </c>
      <c r="F419" s="113">
        <f>+SUMIFS(FINANCIACION[$ CAPITAL],FINANCIACION[Fecha],"&lt;="&amp;FINANCIACION[[#This Row],[Fecha]],FINANCIACION[PRESTAMO],FINANCIACION[[#This Row],[PRESTAMO]])</f>
        <v>0</v>
      </c>
      <c r="G419" s="113"/>
      <c r="H419" s="119" t="s">
        <v>144</v>
      </c>
      <c r="I419" s="119"/>
      <c r="J419" s="113" t="b">
        <f>+IF(FINANCIACION[[#This Row],[$ CAPITAL]]&gt;0,FINANCIACION[[#This Row],[$ CAPITAL]])</f>
        <v>0</v>
      </c>
      <c r="K419" s="120">
        <f>+IF(FINANCIACION[[#This Row],[$ CAPITAL]]&gt;=0,FINANCIACION[[#This Row],[$ CAPITAL]]+FINANCIACION[[#This Row],[$ INTERESES]],0)</f>
        <v>0</v>
      </c>
    </row>
    <row r="420" spans="1:11" ht="24" customHeight="1" x14ac:dyDescent="0.3">
      <c r="A420" s="112">
        <v>45260</v>
      </c>
      <c r="B420" s="118" t="s">
        <v>1431</v>
      </c>
      <c r="C420" s="113">
        <v>1468400</v>
      </c>
      <c r="D420" s="113">
        <v>134819</v>
      </c>
      <c r="E420" s="113">
        <f>+IF(FINANCIACION[[#This Row],[$ CAPITAL]]&gt;=0,FINANCIACION[[#This Row],[$ CAPITAL]]+FINANCIACION[[#This Row],[$ INTERESES]],"")</f>
        <v>1603219</v>
      </c>
      <c r="F420" s="113">
        <f>+SUMIFS(FINANCIACION[$ CAPITAL],FINANCIACION[Fecha],"&lt;="&amp;FINANCIACION[[#This Row],[Fecha]],FINANCIACION[PRESTAMO],FINANCIACION[[#This Row],[PRESTAMO]])</f>
        <v>-5873600</v>
      </c>
      <c r="G420" s="103"/>
      <c r="I420" s="119"/>
      <c r="J420" s="113">
        <f>+IF(FINANCIACION[[#This Row],[$ CAPITAL]]&gt;0,FINANCIACION[[#This Row],[$ CAPITAL]])</f>
        <v>1468400</v>
      </c>
      <c r="K420" s="120">
        <f>+IF(FINANCIACION[[#This Row],[$ CAPITAL]]&gt;=0,FINANCIACION[[#This Row],[$ CAPITAL]]+FINANCIACION[[#This Row],[$ INTERESES]],0)</f>
        <v>1603219</v>
      </c>
    </row>
    <row r="421" spans="1:11" ht="24" customHeight="1" x14ac:dyDescent="0.3">
      <c r="A421" s="112">
        <v>44966</v>
      </c>
      <c r="B421" s="118" t="s">
        <v>619</v>
      </c>
      <c r="C421" s="113">
        <v>-22673725</v>
      </c>
      <c r="D421" s="113"/>
      <c r="E421" s="113" t="str">
        <f>+IF(FINANCIACION[[#This Row],[$ CAPITAL]]&gt;=0,FINANCIACION[[#This Row],[$ CAPITAL]]+FINANCIACION[[#This Row],[$ INTERESES]],"")</f>
        <v/>
      </c>
      <c r="F421" s="113">
        <f>+SUMIFS(FINANCIACION[$ CAPITAL],FINANCIACION[Fecha],"&lt;="&amp;FINANCIACION[[#This Row],[Fecha]],FINANCIACION[PRESTAMO],FINANCIACION[[#This Row],[PRESTAMO]])</f>
        <v>-22673725</v>
      </c>
      <c r="G421" s="103"/>
      <c r="I421" s="119"/>
      <c r="J421" s="113" t="b">
        <f>+IF(FINANCIACION[[#This Row],[$ CAPITAL]]&gt;0,FINANCIACION[[#This Row],[$ CAPITAL]])</f>
        <v>0</v>
      </c>
      <c r="K421" s="120">
        <f>+IF(FINANCIACION[[#This Row],[$ CAPITAL]]&gt;=0,FINANCIACION[[#This Row],[$ CAPITAL]]+FINANCIACION[[#This Row],[$ INTERESES]],0)</f>
        <v>0</v>
      </c>
    </row>
    <row r="422" spans="1:11" ht="24" customHeight="1" x14ac:dyDescent="0.3">
      <c r="A422" s="112">
        <v>44994</v>
      </c>
      <c r="B422" s="118" t="s">
        <v>619</v>
      </c>
      <c r="C422" s="113">
        <v>1889478</v>
      </c>
      <c r="D422" s="113">
        <v>377197</v>
      </c>
      <c r="E422" s="113">
        <f>+IF(FINANCIACION[[#This Row],[$ CAPITAL]]&gt;=0,FINANCIACION[[#This Row],[$ CAPITAL]]+FINANCIACION[[#This Row],[$ INTERESES]],"")</f>
        <v>2266675</v>
      </c>
      <c r="F422" s="113">
        <f>+SUMIFS(FINANCIACION[$ CAPITAL],FINANCIACION[Fecha],"&lt;="&amp;FINANCIACION[[#This Row],[Fecha]],FINANCIACION[PRESTAMO],FINANCIACION[[#This Row],[PRESTAMO]])</f>
        <v>-20784247</v>
      </c>
      <c r="G422" s="103"/>
      <c r="I422" s="119"/>
      <c r="J422" s="113">
        <f>+IF(FINANCIACION[[#This Row],[$ CAPITAL]]&gt;0,FINANCIACION[[#This Row],[$ CAPITAL]])</f>
        <v>1889478</v>
      </c>
      <c r="K422" s="120">
        <f>+IF(FINANCIACION[[#This Row],[$ CAPITAL]]&gt;=0,FINANCIACION[[#This Row],[$ CAPITAL]]+FINANCIACION[[#This Row],[$ INTERESES]],0)</f>
        <v>2266675</v>
      </c>
    </row>
    <row r="423" spans="1:11" ht="24" customHeight="1" x14ac:dyDescent="0.3">
      <c r="A423" s="112">
        <v>45026</v>
      </c>
      <c r="B423" s="118" t="s">
        <v>619</v>
      </c>
      <c r="C423" s="113">
        <v>1889477</v>
      </c>
      <c r="D423" s="113">
        <v>384332</v>
      </c>
      <c r="E423" s="113">
        <f>+IF(FINANCIACION[[#This Row],[$ CAPITAL]]&gt;=0,FINANCIACION[[#This Row],[$ CAPITAL]]+FINANCIACION[[#This Row],[$ INTERESES]],"")</f>
        <v>2273809</v>
      </c>
      <c r="F423" s="113">
        <f>+SUMIFS(FINANCIACION[$ CAPITAL],FINANCIACION[Fecha],"&lt;="&amp;FINANCIACION[[#This Row],[Fecha]],FINANCIACION[PRESTAMO],FINANCIACION[[#This Row],[PRESTAMO]])</f>
        <v>-18894770</v>
      </c>
      <c r="G423" s="103"/>
      <c r="I423" s="119"/>
      <c r="J423" s="113">
        <f>+IF(FINANCIACION[[#This Row],[$ CAPITAL]]&gt;0,FINANCIACION[[#This Row],[$ CAPITAL]])</f>
        <v>1889477</v>
      </c>
      <c r="K423" s="120">
        <f>+IF(FINANCIACION[[#This Row],[$ CAPITAL]]&gt;=0,FINANCIACION[[#This Row],[$ CAPITAL]]+FINANCIACION[[#This Row],[$ INTERESES]],0)</f>
        <v>2273809</v>
      </c>
    </row>
    <row r="424" spans="1:11" ht="24" customHeight="1" x14ac:dyDescent="0.3">
      <c r="A424" s="112">
        <v>45055</v>
      </c>
      <c r="B424" s="118" t="s">
        <v>619</v>
      </c>
      <c r="C424" s="113">
        <v>1889477</v>
      </c>
      <c r="D424" s="113">
        <v>340074</v>
      </c>
      <c r="E424" s="113">
        <f>+IF(FINANCIACION[[#This Row],[$ CAPITAL]]&gt;=0,FINANCIACION[[#This Row],[$ CAPITAL]]+FINANCIACION[[#This Row],[$ INTERESES]],"")</f>
        <v>2229551</v>
      </c>
      <c r="F424" s="113">
        <f>+SUMIFS(FINANCIACION[$ CAPITAL],FINANCIACION[Fecha],"&lt;="&amp;FINANCIACION[[#This Row],[Fecha]],FINANCIACION[PRESTAMO],FINANCIACION[[#This Row],[PRESTAMO]])</f>
        <v>-17005293</v>
      </c>
      <c r="G424" s="103"/>
      <c r="I424" s="119"/>
      <c r="J424" s="113">
        <f>+IF(FINANCIACION[[#This Row],[$ CAPITAL]]&gt;0,FINANCIACION[[#This Row],[$ CAPITAL]])</f>
        <v>1889477</v>
      </c>
      <c r="K424" s="120">
        <f>+IF(FINANCIACION[[#This Row],[$ CAPITAL]]&gt;=0,FINANCIACION[[#This Row],[$ CAPITAL]]+FINANCIACION[[#This Row],[$ INTERESES]],0)</f>
        <v>2229551</v>
      </c>
    </row>
    <row r="425" spans="1:11" ht="24" customHeight="1" x14ac:dyDescent="0.3">
      <c r="A425" s="112">
        <v>45086</v>
      </c>
      <c r="B425" s="118" t="s">
        <v>619</v>
      </c>
      <c r="C425" s="113">
        <v>1889477</v>
      </c>
      <c r="D425" s="113">
        <v>319564</v>
      </c>
      <c r="E425" s="113">
        <f>+IF(FINANCIACION[[#This Row],[$ CAPITAL]]&gt;=0,FINANCIACION[[#This Row],[$ CAPITAL]]+FINANCIACION[[#This Row],[$ INTERESES]],"")</f>
        <v>2209041</v>
      </c>
      <c r="F425" s="113">
        <f>+SUMIFS(FINANCIACION[$ CAPITAL],FINANCIACION[Fecha],"&lt;="&amp;FINANCIACION[[#This Row],[Fecha]],FINANCIACION[PRESTAMO],FINANCIACION[[#This Row],[PRESTAMO]])</f>
        <v>-15115816</v>
      </c>
      <c r="G425" s="103"/>
      <c r="I425" s="119"/>
      <c r="J425" s="113">
        <f>+IF(FINANCIACION[[#This Row],[$ CAPITAL]]&gt;0,FINANCIACION[[#This Row],[$ CAPITAL]])</f>
        <v>1889477</v>
      </c>
      <c r="K425" s="120">
        <f>+IF(FINANCIACION[[#This Row],[$ CAPITAL]]&gt;=0,FINANCIACION[[#This Row],[$ CAPITAL]]+FINANCIACION[[#This Row],[$ INTERESES]],0)</f>
        <v>2209041</v>
      </c>
    </row>
    <row r="426" spans="1:11" ht="24" customHeight="1" x14ac:dyDescent="0.3">
      <c r="A426" s="112">
        <v>45117</v>
      </c>
      <c r="B426" s="118" t="s">
        <v>619</v>
      </c>
      <c r="C426" s="113">
        <v>1889477</v>
      </c>
      <c r="D426" s="113">
        <v>275070</v>
      </c>
      <c r="E426" s="113">
        <f>+IF(FINANCIACION[[#This Row],[$ CAPITAL]]&gt;=0,FINANCIACION[[#This Row],[$ CAPITAL]]+FINANCIACION[[#This Row],[$ INTERESES]],"")</f>
        <v>2164547</v>
      </c>
      <c r="F426" s="113">
        <f>+SUMIFS(FINANCIACION[$ CAPITAL],FINANCIACION[Fecha],"&lt;="&amp;FINANCIACION[[#This Row],[Fecha]],FINANCIACION[PRESTAMO],FINANCIACION[[#This Row],[PRESTAMO]])</f>
        <v>-13226339</v>
      </c>
      <c r="G426" s="103"/>
      <c r="I426" s="119"/>
      <c r="J426" s="113">
        <f>+IF(FINANCIACION[[#This Row],[$ CAPITAL]]&gt;0,FINANCIACION[[#This Row],[$ CAPITAL]])</f>
        <v>1889477</v>
      </c>
      <c r="K426" s="120">
        <f>+IF(FINANCIACION[[#This Row],[$ CAPITAL]]&gt;=0,FINANCIACION[[#This Row],[$ CAPITAL]]+FINANCIACION[[#This Row],[$ INTERESES]],0)</f>
        <v>2164547</v>
      </c>
    </row>
    <row r="427" spans="1:11" ht="24" customHeight="1" x14ac:dyDescent="0.3">
      <c r="A427" s="112">
        <v>45147</v>
      </c>
      <c r="B427" s="118" t="s">
        <v>619</v>
      </c>
      <c r="C427" s="113">
        <v>1889477</v>
      </c>
      <c r="D427" s="113">
        <v>275070</v>
      </c>
      <c r="E427" s="113">
        <f>+IF(FINANCIACION[[#This Row],[$ CAPITAL]]&gt;=0,FINANCIACION[[#This Row],[$ CAPITAL]]+FINANCIACION[[#This Row],[$ INTERESES]],"")</f>
        <v>2164547</v>
      </c>
      <c r="F427" s="113">
        <f>+SUMIFS(FINANCIACION[$ CAPITAL],FINANCIACION[Fecha],"&lt;="&amp;FINANCIACION[[#This Row],[Fecha]],FINANCIACION[PRESTAMO],FINANCIACION[[#This Row],[PRESTAMO]])</f>
        <v>-11336862</v>
      </c>
      <c r="G427" s="103"/>
      <c r="I427" s="119"/>
      <c r="J427" s="113">
        <f>+IF(FINANCIACION[[#This Row],[$ CAPITAL]]&gt;0,FINANCIACION[[#This Row],[$ CAPITAL]])</f>
        <v>1889477</v>
      </c>
      <c r="K427" s="120">
        <f>+IF(FINANCIACION[[#This Row],[$ CAPITAL]]&gt;=0,FINANCIACION[[#This Row],[$ CAPITAL]]+FINANCIACION[[#This Row],[$ INTERESES]],0)</f>
        <v>2164547</v>
      </c>
    </row>
    <row r="428" spans="1:11" ht="24" customHeight="1" x14ac:dyDescent="0.3">
      <c r="A428" s="112">
        <v>45178</v>
      </c>
      <c r="B428" s="118" t="s">
        <v>619</v>
      </c>
      <c r="C428" s="113">
        <v>1889477</v>
      </c>
      <c r="D428" s="113">
        <v>171736</v>
      </c>
      <c r="E428" s="113">
        <f>+IF(FINANCIACION[[#This Row],[$ CAPITAL]]&gt;=0,FINANCIACION[[#This Row],[$ CAPITAL]]+FINANCIACION[[#This Row],[$ INTERESES]],"")</f>
        <v>2061213</v>
      </c>
      <c r="F428" s="113">
        <f>+SUMIFS(FINANCIACION[$ CAPITAL],FINANCIACION[Fecha],"&lt;="&amp;FINANCIACION[[#This Row],[Fecha]],FINANCIACION[PRESTAMO],FINANCIACION[[#This Row],[PRESTAMO]])</f>
        <v>-9447385</v>
      </c>
      <c r="G428" s="103"/>
      <c r="I428" s="119"/>
      <c r="J428" s="113">
        <f>+IF(FINANCIACION[[#This Row],[$ CAPITAL]]&gt;0,FINANCIACION[[#This Row],[$ CAPITAL]])</f>
        <v>1889477</v>
      </c>
      <c r="K428" s="120">
        <f>+IF(FINANCIACION[[#This Row],[$ CAPITAL]]&gt;=0,FINANCIACION[[#This Row],[$ CAPITAL]]+FINANCIACION[[#This Row],[$ INTERESES]],0)</f>
        <v>2061213</v>
      </c>
    </row>
    <row r="429" spans="1:11" ht="24" customHeight="1" x14ac:dyDescent="0.3">
      <c r="A429" s="112">
        <v>45208</v>
      </c>
      <c r="B429" s="118" t="s">
        <v>619</v>
      </c>
      <c r="C429" s="113">
        <v>1889477</v>
      </c>
      <c r="D429" s="113">
        <v>171736</v>
      </c>
      <c r="E429" s="113">
        <f>+IF(FINANCIACION[[#This Row],[$ CAPITAL]]&gt;=0,FINANCIACION[[#This Row],[$ CAPITAL]]+FINANCIACION[[#This Row],[$ INTERESES]],"")</f>
        <v>2061213</v>
      </c>
      <c r="F429" s="113">
        <f>+SUMIFS(FINANCIACION[$ CAPITAL],FINANCIACION[Fecha],"&lt;="&amp;FINANCIACION[[#This Row],[Fecha]],FINANCIACION[PRESTAMO],FINANCIACION[[#This Row],[PRESTAMO]])</f>
        <v>-7557908</v>
      </c>
      <c r="G429" s="103"/>
      <c r="I429" s="119"/>
      <c r="J429" s="113">
        <f>+IF(FINANCIACION[[#This Row],[$ CAPITAL]]&gt;0,FINANCIACION[[#This Row],[$ CAPITAL]])</f>
        <v>1889477</v>
      </c>
      <c r="K429" s="120">
        <f>+IF(FINANCIACION[[#This Row],[$ CAPITAL]]&gt;=0,FINANCIACION[[#This Row],[$ CAPITAL]]+FINANCIACION[[#This Row],[$ INTERESES]],0)</f>
        <v>2061213</v>
      </c>
    </row>
    <row r="430" spans="1:11" ht="24" customHeight="1" x14ac:dyDescent="0.3">
      <c r="A430" s="112">
        <v>45239</v>
      </c>
      <c r="B430" s="118" t="s">
        <v>619</v>
      </c>
      <c r="C430" s="113">
        <v>1889477</v>
      </c>
      <c r="D430" s="113">
        <v>103156</v>
      </c>
      <c r="E430" s="113">
        <f>+IF(FINANCIACION[[#This Row],[$ CAPITAL]]&gt;=0,FINANCIACION[[#This Row],[$ CAPITAL]]+FINANCIACION[[#This Row],[$ INTERESES]],"")</f>
        <v>1992633</v>
      </c>
      <c r="F430" s="113">
        <f>+SUMIFS(FINANCIACION[$ CAPITAL],FINANCIACION[Fecha],"&lt;="&amp;FINANCIACION[[#This Row],[Fecha]],FINANCIACION[PRESTAMO],FINANCIACION[[#This Row],[PRESTAMO]])</f>
        <v>-5668431</v>
      </c>
      <c r="G430" s="103"/>
      <c r="I430" s="119"/>
      <c r="J430" s="113">
        <f>+IF(FINANCIACION[[#This Row],[$ CAPITAL]]&gt;0,FINANCIACION[[#This Row],[$ CAPITAL]])</f>
        <v>1889477</v>
      </c>
      <c r="K430" s="120">
        <f>+IF(FINANCIACION[[#This Row],[$ CAPITAL]]&gt;=0,FINANCIACION[[#This Row],[$ CAPITAL]]+FINANCIACION[[#This Row],[$ INTERESES]],0)</f>
        <v>1992633</v>
      </c>
    </row>
    <row r="431" spans="1:11" ht="24" customHeight="1" x14ac:dyDescent="0.3">
      <c r="A431" s="112">
        <v>45271</v>
      </c>
      <c r="B431" s="118" t="s">
        <v>619</v>
      </c>
      <c r="C431" s="113">
        <v>1889477</v>
      </c>
      <c r="D431" s="113">
        <v>103156</v>
      </c>
      <c r="E431" s="113">
        <f>+IF(FINANCIACION[[#This Row],[$ CAPITAL]]&gt;=0,FINANCIACION[[#This Row],[$ CAPITAL]]+FINANCIACION[[#This Row],[$ INTERESES]],"")</f>
        <v>1992633</v>
      </c>
      <c r="F431" s="113">
        <f>+SUMIFS(FINANCIACION[$ CAPITAL],FINANCIACION[Fecha],"&lt;="&amp;FINANCIACION[[#This Row],[Fecha]],FINANCIACION[PRESTAMO],FINANCIACION[[#This Row],[PRESTAMO]])</f>
        <v>-3778954</v>
      </c>
      <c r="G431" s="103"/>
      <c r="I431" s="119"/>
      <c r="J431" s="113">
        <f>+IF(FINANCIACION[[#This Row],[$ CAPITAL]]&gt;0,FINANCIACION[[#This Row],[$ CAPITAL]])</f>
        <v>1889477</v>
      </c>
      <c r="K431" s="120">
        <f>+IF(FINANCIACION[[#This Row],[$ CAPITAL]]&gt;=0,FINANCIACION[[#This Row],[$ CAPITAL]]+FINANCIACION[[#This Row],[$ INTERESES]],0)</f>
        <v>1992633</v>
      </c>
    </row>
    <row r="432" spans="1:11" ht="24" customHeight="1" x14ac:dyDescent="0.3">
      <c r="A432" s="112">
        <v>45316</v>
      </c>
      <c r="B432" s="118" t="s">
        <v>356</v>
      </c>
      <c r="C432" s="113"/>
      <c r="D432" s="113">
        <v>1400000</v>
      </c>
      <c r="E432" s="113">
        <f>+IF(FINANCIACION[[#This Row],[$ CAPITAL]]&gt;=0,FINANCIACION[[#This Row],[$ CAPITAL]]+FINANCIACION[[#This Row],[$ INTERESES]],"")</f>
        <v>1400000</v>
      </c>
      <c r="F432" s="113">
        <f>+SUMIFS(FINANCIACION[$ CAPITAL],FINANCIACION[Fecha],"&lt;="&amp;FINANCIACION[[#This Row],[Fecha]],FINANCIACION[PRESTAMO],FINANCIACION[[#This Row],[PRESTAMO]])</f>
        <v>-140000000</v>
      </c>
      <c r="G432" s="113"/>
      <c r="I432" s="119"/>
      <c r="J432" s="113" t="b">
        <f>+IF(FINANCIACION[[#This Row],[$ CAPITAL]]&gt;0,FINANCIACION[[#This Row],[$ CAPITAL]])</f>
        <v>0</v>
      </c>
      <c r="K432" s="120">
        <f>+IF(FINANCIACION[[#This Row],[$ CAPITAL]]&gt;=0,FINANCIACION[[#This Row],[$ CAPITAL]]+FINANCIACION[[#This Row],[$ INTERESES]],0)</f>
        <v>1400000</v>
      </c>
    </row>
    <row r="433" spans="1:11" ht="24" customHeight="1" x14ac:dyDescent="0.3">
      <c r="A433" s="112">
        <v>44930</v>
      </c>
      <c r="B433" s="118" t="s">
        <v>132</v>
      </c>
      <c r="C433" s="113"/>
      <c r="D433" s="113">
        <v>61060</v>
      </c>
      <c r="E433" s="113">
        <f>+IF(FINANCIACION[[#This Row],[$ CAPITAL]]&gt;=0,FINANCIACION[[#This Row],[$ CAPITAL]]+FINANCIACION[[#This Row],[$ INTERESES]],"")</f>
        <v>61060</v>
      </c>
      <c r="F433" s="113">
        <f>+SUMIFS(FINANCIACION[$ CAPITAL],FINANCIACION[Fecha],"&lt;="&amp;FINANCIACION[[#This Row],[Fecha]],FINANCIACION[PRESTAMO],FINANCIACION[[#This Row],[PRESTAMO]])</f>
        <v>0</v>
      </c>
      <c r="G433" s="113"/>
      <c r="I433" s="119"/>
      <c r="J433" s="113" t="b">
        <f>+IF(FINANCIACION[[#This Row],[$ CAPITAL]]&gt;0,FINANCIACION[[#This Row],[$ CAPITAL]])</f>
        <v>0</v>
      </c>
      <c r="K433" s="120">
        <f>+IF(FINANCIACION[[#This Row],[$ CAPITAL]]&gt;=0,FINANCIACION[[#This Row],[$ CAPITAL]]+FINANCIACION[[#This Row],[$ INTERESES]],0)</f>
        <v>61060</v>
      </c>
    </row>
    <row r="434" spans="1:11" ht="24" customHeight="1" x14ac:dyDescent="0.3">
      <c r="A434" s="112">
        <v>44931</v>
      </c>
      <c r="B434" s="118" t="s">
        <v>132</v>
      </c>
      <c r="C434" s="113"/>
      <c r="D434" s="113">
        <v>665872</v>
      </c>
      <c r="E434" s="113">
        <f>+IF(FINANCIACION[[#This Row],[$ CAPITAL]]&gt;=0,FINANCIACION[[#This Row],[$ CAPITAL]]+FINANCIACION[[#This Row],[$ INTERESES]],"")</f>
        <v>665872</v>
      </c>
      <c r="F434" s="113">
        <f>+SUMIFS(FINANCIACION[$ CAPITAL],FINANCIACION[Fecha],"&lt;="&amp;FINANCIACION[[#This Row],[Fecha]],FINANCIACION[PRESTAMO],FINANCIACION[[#This Row],[PRESTAMO]])</f>
        <v>0</v>
      </c>
      <c r="G434" s="113"/>
      <c r="I434" s="119"/>
      <c r="J434" s="113" t="b">
        <f>+IF(FINANCIACION[[#This Row],[$ CAPITAL]]&gt;0,FINANCIACION[[#This Row],[$ CAPITAL]])</f>
        <v>0</v>
      </c>
      <c r="K434" s="120">
        <f>+IF(FINANCIACION[[#This Row],[$ CAPITAL]]&gt;=0,FINANCIACION[[#This Row],[$ CAPITAL]]+FINANCIACION[[#This Row],[$ INTERESES]],0)</f>
        <v>665872</v>
      </c>
    </row>
    <row r="435" spans="1:11" ht="24" customHeight="1" x14ac:dyDescent="0.3">
      <c r="A435" s="112">
        <v>44936</v>
      </c>
      <c r="B435" s="118" t="s">
        <v>132</v>
      </c>
      <c r="C435" s="113"/>
      <c r="D435" s="113">
        <v>41283</v>
      </c>
      <c r="E435" s="113">
        <f>+IF(FINANCIACION[[#This Row],[$ CAPITAL]]&gt;=0,FINANCIACION[[#This Row],[$ CAPITAL]]+FINANCIACION[[#This Row],[$ INTERESES]],"")</f>
        <v>41283</v>
      </c>
      <c r="F435" s="113">
        <f>+SUMIFS(FINANCIACION[$ CAPITAL],FINANCIACION[Fecha],"&lt;="&amp;FINANCIACION[[#This Row],[Fecha]],FINANCIACION[PRESTAMO],FINANCIACION[[#This Row],[PRESTAMO]])</f>
        <v>0</v>
      </c>
      <c r="G435" s="113"/>
      <c r="I435" s="119"/>
      <c r="J435" s="113" t="b">
        <f>+IF(FINANCIACION[[#This Row],[$ CAPITAL]]&gt;0,FINANCIACION[[#This Row],[$ CAPITAL]])</f>
        <v>0</v>
      </c>
      <c r="K435" s="120">
        <f>+IF(FINANCIACION[[#This Row],[$ CAPITAL]]&gt;=0,FINANCIACION[[#This Row],[$ CAPITAL]]+FINANCIACION[[#This Row],[$ INTERESES]],0)</f>
        <v>41283</v>
      </c>
    </row>
    <row r="436" spans="1:11" ht="24" customHeight="1" x14ac:dyDescent="0.3">
      <c r="A436" s="112">
        <v>44963</v>
      </c>
      <c r="B436" s="118" t="s">
        <v>132</v>
      </c>
      <c r="C436" s="113"/>
      <c r="D436" s="113">
        <v>641575</v>
      </c>
      <c r="E436" s="113">
        <f>+IF(FINANCIACION[[#This Row],[$ CAPITAL]]&gt;=0,FINANCIACION[[#This Row],[$ CAPITAL]]+FINANCIACION[[#This Row],[$ INTERESES]],"")</f>
        <v>641575</v>
      </c>
      <c r="F436" s="113">
        <f>+SUMIFS(FINANCIACION[$ CAPITAL],FINANCIACION[Fecha],"&lt;="&amp;FINANCIACION[[#This Row],[Fecha]],FINANCIACION[PRESTAMO],FINANCIACION[[#This Row],[PRESTAMO]])</f>
        <v>0</v>
      </c>
      <c r="G436" s="113"/>
      <c r="I436" s="119"/>
      <c r="J436" s="113" t="b">
        <f>+IF(FINANCIACION[[#This Row],[$ CAPITAL]]&gt;0,FINANCIACION[[#This Row],[$ CAPITAL]])</f>
        <v>0</v>
      </c>
      <c r="K436" s="120">
        <f>+IF(FINANCIACION[[#This Row],[$ CAPITAL]]&gt;=0,FINANCIACION[[#This Row],[$ CAPITAL]]+FINANCIACION[[#This Row],[$ INTERESES]],0)</f>
        <v>641575</v>
      </c>
    </row>
    <row r="437" spans="1:11" ht="24" customHeight="1" x14ac:dyDescent="0.3">
      <c r="A437" s="112">
        <v>44965</v>
      </c>
      <c r="B437" s="118" t="s">
        <v>132</v>
      </c>
      <c r="C437" s="113"/>
      <c r="D437" s="113">
        <v>318176</v>
      </c>
      <c r="E437" s="113">
        <f>+IF(FINANCIACION[[#This Row],[$ CAPITAL]]&gt;=0,FINANCIACION[[#This Row],[$ CAPITAL]]+FINANCIACION[[#This Row],[$ INTERESES]],"")</f>
        <v>318176</v>
      </c>
      <c r="F437" s="113">
        <f>+SUMIFS(FINANCIACION[$ CAPITAL],FINANCIACION[Fecha],"&lt;="&amp;FINANCIACION[[#This Row],[Fecha]],FINANCIACION[PRESTAMO],FINANCIACION[[#This Row],[PRESTAMO]])</f>
        <v>0</v>
      </c>
      <c r="G437" s="113"/>
      <c r="I437" s="119"/>
      <c r="J437" s="113" t="b">
        <f>+IF(FINANCIACION[[#This Row],[$ CAPITAL]]&gt;0,FINANCIACION[[#This Row],[$ CAPITAL]])</f>
        <v>0</v>
      </c>
      <c r="K437" s="120">
        <f>+IF(FINANCIACION[[#This Row],[$ CAPITAL]]&gt;=0,FINANCIACION[[#This Row],[$ CAPITAL]]+FINANCIACION[[#This Row],[$ INTERESES]],0)</f>
        <v>318176</v>
      </c>
    </row>
    <row r="438" spans="1:11" ht="24" customHeight="1" x14ac:dyDescent="0.3">
      <c r="A438" s="112">
        <v>44967</v>
      </c>
      <c r="B438" s="118" t="s">
        <v>132</v>
      </c>
      <c r="C438" s="113"/>
      <c r="D438" s="113">
        <v>20700</v>
      </c>
      <c r="E438" s="113">
        <f>+IF(FINANCIACION[[#This Row],[$ CAPITAL]]&gt;=0,FINANCIACION[[#This Row],[$ CAPITAL]]+FINANCIACION[[#This Row],[$ INTERESES]],"")</f>
        <v>20700</v>
      </c>
      <c r="F438" s="113">
        <f>+SUMIFS(FINANCIACION[$ CAPITAL],FINANCIACION[Fecha],"&lt;="&amp;FINANCIACION[[#This Row],[Fecha]],FINANCIACION[PRESTAMO],FINANCIACION[[#This Row],[PRESTAMO]])</f>
        <v>0</v>
      </c>
      <c r="G438" s="113"/>
      <c r="I438" s="119"/>
      <c r="J438" s="113" t="b">
        <f>+IF(FINANCIACION[[#This Row],[$ CAPITAL]]&gt;0,FINANCIACION[[#This Row],[$ CAPITAL]])</f>
        <v>0</v>
      </c>
      <c r="K438" s="120">
        <f>+IF(FINANCIACION[[#This Row],[$ CAPITAL]]&gt;=0,FINANCIACION[[#This Row],[$ CAPITAL]]+FINANCIACION[[#This Row],[$ INTERESES]],0)</f>
        <v>20700</v>
      </c>
    </row>
    <row r="439" spans="1:11" ht="24" customHeight="1" x14ac:dyDescent="0.3">
      <c r="A439" s="112">
        <v>44971</v>
      </c>
      <c r="B439" s="118" t="s">
        <v>132</v>
      </c>
      <c r="C439" s="113"/>
      <c r="D439" s="113">
        <v>847788</v>
      </c>
      <c r="E439" s="113">
        <f>+IF(FINANCIACION[[#This Row],[$ CAPITAL]]&gt;=0,FINANCIACION[[#This Row],[$ CAPITAL]]+FINANCIACION[[#This Row],[$ INTERESES]],"")</f>
        <v>847788</v>
      </c>
      <c r="F439" s="113">
        <f>+SUMIFS(FINANCIACION[$ CAPITAL],FINANCIACION[Fecha],"&lt;="&amp;FINANCIACION[[#This Row],[Fecha]],FINANCIACION[PRESTAMO],FINANCIACION[[#This Row],[PRESTAMO]])</f>
        <v>0</v>
      </c>
      <c r="G439" s="113"/>
      <c r="I439" s="119"/>
      <c r="J439" s="113" t="b">
        <f>+IF(FINANCIACION[[#This Row],[$ CAPITAL]]&gt;0,FINANCIACION[[#This Row],[$ CAPITAL]])</f>
        <v>0</v>
      </c>
      <c r="K439" s="120">
        <f>+IF(FINANCIACION[[#This Row],[$ CAPITAL]]&gt;=0,FINANCIACION[[#This Row],[$ CAPITAL]]+FINANCIACION[[#This Row],[$ INTERESES]],0)</f>
        <v>847788</v>
      </c>
    </row>
    <row r="440" spans="1:11" ht="24" customHeight="1" x14ac:dyDescent="0.3">
      <c r="A440" s="112">
        <v>44991</v>
      </c>
      <c r="B440" s="118" t="s">
        <v>132</v>
      </c>
      <c r="C440" s="113"/>
      <c r="D440" s="113">
        <v>315490</v>
      </c>
      <c r="E440" s="113">
        <f>+IF(FINANCIACION[[#This Row],[$ CAPITAL]]&gt;=0,FINANCIACION[[#This Row],[$ CAPITAL]]+FINANCIACION[[#This Row],[$ INTERESES]],"")</f>
        <v>315490</v>
      </c>
      <c r="F440" s="113">
        <f>+SUMIFS(FINANCIACION[$ CAPITAL],FINANCIACION[Fecha],"&lt;="&amp;FINANCIACION[[#This Row],[Fecha]],FINANCIACION[PRESTAMO],FINANCIACION[[#This Row],[PRESTAMO]])</f>
        <v>0</v>
      </c>
      <c r="G440" s="113"/>
      <c r="I440" s="119"/>
      <c r="J440" s="113" t="b">
        <f>+IF(FINANCIACION[[#This Row],[$ CAPITAL]]&gt;0,FINANCIACION[[#This Row],[$ CAPITAL]])</f>
        <v>0</v>
      </c>
      <c r="K440" s="120">
        <f>+IF(FINANCIACION[[#This Row],[$ CAPITAL]]&gt;=0,FINANCIACION[[#This Row],[$ CAPITAL]]+FINANCIACION[[#This Row],[$ INTERESES]],0)</f>
        <v>315490</v>
      </c>
    </row>
    <row r="441" spans="1:11" ht="24" customHeight="1" x14ac:dyDescent="0.3">
      <c r="A441" s="112">
        <v>44999</v>
      </c>
      <c r="B441" s="118" t="s">
        <v>132</v>
      </c>
      <c r="C441" s="113"/>
      <c r="D441" s="113">
        <v>764020</v>
      </c>
      <c r="E441" s="113">
        <f>+IF(FINANCIACION[[#This Row],[$ CAPITAL]]&gt;=0,FINANCIACION[[#This Row],[$ CAPITAL]]+FINANCIACION[[#This Row],[$ INTERESES]],"")</f>
        <v>764020</v>
      </c>
      <c r="F441" s="113">
        <f>+SUMIFS(FINANCIACION[$ CAPITAL],FINANCIACION[Fecha],"&lt;="&amp;FINANCIACION[[#This Row],[Fecha]],FINANCIACION[PRESTAMO],FINANCIACION[[#This Row],[PRESTAMO]])</f>
        <v>0</v>
      </c>
      <c r="G441" s="113"/>
      <c r="I441" s="119"/>
      <c r="J441" s="113" t="b">
        <f>+IF(FINANCIACION[[#This Row],[$ CAPITAL]]&gt;0,FINANCIACION[[#This Row],[$ CAPITAL]])</f>
        <v>0</v>
      </c>
      <c r="K441" s="120">
        <f>+IF(FINANCIACION[[#This Row],[$ CAPITAL]]&gt;=0,FINANCIACION[[#This Row],[$ CAPITAL]]+FINANCIACION[[#This Row],[$ INTERESES]],0)</f>
        <v>764020</v>
      </c>
    </row>
    <row r="442" spans="1:11" ht="24" customHeight="1" x14ac:dyDescent="0.3">
      <c r="A442" s="112">
        <v>45000</v>
      </c>
      <c r="B442" s="118" t="s">
        <v>132</v>
      </c>
      <c r="C442" s="113"/>
      <c r="D442" s="113">
        <v>528019</v>
      </c>
      <c r="E442" s="113">
        <f>+IF(FINANCIACION[[#This Row],[$ CAPITAL]]&gt;=0,FINANCIACION[[#This Row],[$ CAPITAL]]+FINANCIACION[[#This Row],[$ INTERESES]],"")</f>
        <v>528019</v>
      </c>
      <c r="F442" s="113">
        <f>+SUMIFS(FINANCIACION[$ CAPITAL],FINANCIACION[Fecha],"&lt;="&amp;FINANCIACION[[#This Row],[Fecha]],FINANCIACION[PRESTAMO],FINANCIACION[[#This Row],[PRESTAMO]])</f>
        <v>0</v>
      </c>
      <c r="G442" s="113"/>
      <c r="I442" s="119"/>
      <c r="J442" s="113" t="b">
        <f>+IF(FINANCIACION[[#This Row],[$ CAPITAL]]&gt;0,FINANCIACION[[#This Row],[$ CAPITAL]])</f>
        <v>0</v>
      </c>
      <c r="K442" s="120">
        <f>+IF(FINANCIACION[[#This Row],[$ CAPITAL]]&gt;=0,FINANCIACION[[#This Row],[$ CAPITAL]]+FINANCIACION[[#This Row],[$ INTERESES]],0)</f>
        <v>528019</v>
      </c>
    </row>
    <row r="443" spans="1:11" ht="24" customHeight="1" x14ac:dyDescent="0.3">
      <c r="A443" s="112">
        <v>45021</v>
      </c>
      <c r="B443" s="118" t="s">
        <v>132</v>
      </c>
      <c r="C443" s="113"/>
      <c r="D443" s="113">
        <v>412995</v>
      </c>
      <c r="E443" s="113">
        <f>+IF(FINANCIACION[[#This Row],[$ CAPITAL]]&gt;=0,FINANCIACION[[#This Row],[$ CAPITAL]]+FINANCIACION[[#This Row],[$ INTERESES]],"")</f>
        <v>412995</v>
      </c>
      <c r="F443" s="113">
        <f>+SUMIFS(FINANCIACION[$ CAPITAL],FINANCIACION[Fecha],"&lt;="&amp;FINANCIACION[[#This Row],[Fecha]],FINANCIACION[PRESTAMO],FINANCIACION[[#This Row],[PRESTAMO]])</f>
        <v>0</v>
      </c>
      <c r="G443" s="113"/>
      <c r="I443" s="119"/>
      <c r="J443" s="113" t="b">
        <f>+IF(FINANCIACION[[#This Row],[$ CAPITAL]]&gt;0,FINANCIACION[[#This Row],[$ CAPITAL]])</f>
        <v>0</v>
      </c>
      <c r="K443" s="120">
        <f>+IF(FINANCIACION[[#This Row],[$ CAPITAL]]&gt;=0,FINANCIACION[[#This Row],[$ CAPITAL]]+FINANCIACION[[#This Row],[$ INTERESES]],0)</f>
        <v>412995</v>
      </c>
    </row>
    <row r="444" spans="1:11" ht="24" customHeight="1" x14ac:dyDescent="0.3">
      <c r="A444" s="112">
        <v>45028</v>
      </c>
      <c r="B444" s="118" t="s">
        <v>132</v>
      </c>
      <c r="C444" s="113"/>
      <c r="D444" s="113">
        <v>823676</v>
      </c>
      <c r="E444" s="113">
        <f>+IF(FINANCIACION[[#This Row],[$ CAPITAL]]&gt;=0,FINANCIACION[[#This Row],[$ CAPITAL]]+FINANCIACION[[#This Row],[$ INTERESES]],"")</f>
        <v>823676</v>
      </c>
      <c r="F444" s="113">
        <f>+SUMIFS(FINANCIACION[$ CAPITAL],FINANCIACION[Fecha],"&lt;="&amp;FINANCIACION[[#This Row],[Fecha]],FINANCIACION[PRESTAMO],FINANCIACION[[#This Row],[PRESTAMO]])</f>
        <v>0</v>
      </c>
      <c r="G444" s="113"/>
      <c r="I444" s="119"/>
      <c r="J444" s="113" t="b">
        <f>+IF(FINANCIACION[[#This Row],[$ CAPITAL]]&gt;0,FINANCIACION[[#This Row],[$ CAPITAL]])</f>
        <v>0</v>
      </c>
      <c r="K444" s="120">
        <f>+IF(FINANCIACION[[#This Row],[$ CAPITAL]]&gt;=0,FINANCIACION[[#This Row],[$ CAPITAL]]+FINANCIACION[[#This Row],[$ INTERESES]],0)</f>
        <v>823676</v>
      </c>
    </row>
    <row r="445" spans="1:11" ht="24" customHeight="1" x14ac:dyDescent="0.3">
      <c r="A445" s="112">
        <v>45033</v>
      </c>
      <c r="B445" s="118" t="s">
        <v>132</v>
      </c>
      <c r="C445" s="113"/>
      <c r="D445" s="113">
        <v>554707</v>
      </c>
      <c r="E445" s="113">
        <f>+IF(FINANCIACION[[#This Row],[$ CAPITAL]]&gt;=0,FINANCIACION[[#This Row],[$ CAPITAL]]+FINANCIACION[[#This Row],[$ INTERESES]],"")</f>
        <v>554707</v>
      </c>
      <c r="F445" s="113">
        <f>+SUMIFS(FINANCIACION[$ CAPITAL],FINANCIACION[Fecha],"&lt;="&amp;FINANCIACION[[#This Row],[Fecha]],FINANCIACION[PRESTAMO],FINANCIACION[[#This Row],[PRESTAMO]])</f>
        <v>0</v>
      </c>
      <c r="G445" s="113"/>
      <c r="I445" s="119"/>
      <c r="J445" s="113" t="b">
        <f>+IF(FINANCIACION[[#This Row],[$ CAPITAL]]&gt;0,FINANCIACION[[#This Row],[$ CAPITAL]])</f>
        <v>0</v>
      </c>
      <c r="K445" s="120">
        <f>+IF(FINANCIACION[[#This Row],[$ CAPITAL]]&gt;=0,FINANCIACION[[#This Row],[$ CAPITAL]]+FINANCIACION[[#This Row],[$ INTERESES]],0)</f>
        <v>554707</v>
      </c>
    </row>
    <row r="446" spans="1:11" ht="24" customHeight="1" x14ac:dyDescent="0.3">
      <c r="A446" s="112">
        <v>45051</v>
      </c>
      <c r="B446" s="118" t="s">
        <v>132</v>
      </c>
      <c r="C446" s="113"/>
      <c r="D446" s="113">
        <v>406397</v>
      </c>
      <c r="E446" s="113">
        <f>+IF(FINANCIACION[[#This Row],[$ CAPITAL]]&gt;=0,FINANCIACION[[#This Row],[$ CAPITAL]]+FINANCIACION[[#This Row],[$ INTERESES]],"")</f>
        <v>406397</v>
      </c>
      <c r="F446" s="113">
        <f>+SUMIFS(FINANCIACION[$ CAPITAL],FINANCIACION[Fecha],"&lt;="&amp;FINANCIACION[[#This Row],[Fecha]],FINANCIACION[PRESTAMO],FINANCIACION[[#This Row],[PRESTAMO]])</f>
        <v>0</v>
      </c>
      <c r="G446" s="113"/>
      <c r="I446" s="119"/>
      <c r="J446" s="113" t="b">
        <f>+IF(FINANCIACION[[#This Row],[$ CAPITAL]]&gt;0,FINANCIACION[[#This Row],[$ CAPITAL]])</f>
        <v>0</v>
      </c>
      <c r="K446" s="120">
        <f>+IF(FINANCIACION[[#This Row],[$ CAPITAL]]&gt;=0,FINANCIACION[[#This Row],[$ CAPITAL]]+FINANCIACION[[#This Row],[$ INTERESES]],0)</f>
        <v>406397</v>
      </c>
    </row>
    <row r="447" spans="1:11" ht="24" customHeight="1" x14ac:dyDescent="0.3">
      <c r="A447" s="112">
        <v>45058</v>
      </c>
      <c r="B447" s="118" t="s">
        <v>132</v>
      </c>
      <c r="C447" s="113"/>
      <c r="D447" s="113">
        <v>813575</v>
      </c>
      <c r="E447" s="113">
        <f>+IF(FINANCIACION[[#This Row],[$ CAPITAL]]&gt;=0,FINANCIACION[[#This Row],[$ CAPITAL]]+FINANCIACION[[#This Row],[$ INTERESES]],"")</f>
        <v>813575</v>
      </c>
      <c r="F447" s="113">
        <f>+SUMIFS(FINANCIACION[$ CAPITAL],FINANCIACION[Fecha],"&lt;="&amp;FINANCIACION[[#This Row],[Fecha]],FINANCIACION[PRESTAMO],FINANCIACION[[#This Row],[PRESTAMO]])</f>
        <v>0</v>
      </c>
      <c r="G447" s="113"/>
      <c r="I447" s="119"/>
      <c r="J447" s="113" t="b">
        <f>+IF(FINANCIACION[[#This Row],[$ CAPITAL]]&gt;0,FINANCIACION[[#This Row],[$ CAPITAL]])</f>
        <v>0</v>
      </c>
      <c r="K447" s="120">
        <f>+IF(FINANCIACION[[#This Row],[$ CAPITAL]]&gt;=0,FINANCIACION[[#This Row],[$ CAPITAL]]+FINANCIACION[[#This Row],[$ INTERESES]],0)</f>
        <v>813575</v>
      </c>
    </row>
    <row r="448" spans="1:11" ht="24" customHeight="1" x14ac:dyDescent="0.3">
      <c r="A448" s="112">
        <v>45061</v>
      </c>
      <c r="B448" s="118" t="s">
        <v>132</v>
      </c>
      <c r="C448" s="113"/>
      <c r="D448" s="113">
        <v>560695</v>
      </c>
      <c r="E448" s="113">
        <f>+IF(FINANCIACION[[#This Row],[$ CAPITAL]]&gt;=0,FINANCIACION[[#This Row],[$ CAPITAL]]+FINANCIACION[[#This Row],[$ INTERESES]],"")</f>
        <v>560695</v>
      </c>
      <c r="F448" s="113">
        <f>+SUMIFS(FINANCIACION[$ CAPITAL],FINANCIACION[Fecha],"&lt;="&amp;FINANCIACION[[#This Row],[Fecha]],FINANCIACION[PRESTAMO],FINANCIACION[[#This Row],[PRESTAMO]])</f>
        <v>0</v>
      </c>
      <c r="G448" s="113"/>
      <c r="I448" s="119"/>
      <c r="J448" s="113" t="b">
        <f>+IF(FINANCIACION[[#This Row],[$ CAPITAL]]&gt;0,FINANCIACION[[#This Row],[$ CAPITAL]])</f>
        <v>0</v>
      </c>
      <c r="K448" s="120">
        <f>+IF(FINANCIACION[[#This Row],[$ CAPITAL]]&gt;=0,FINANCIACION[[#This Row],[$ CAPITAL]]+FINANCIACION[[#This Row],[$ INTERESES]],0)</f>
        <v>560695</v>
      </c>
    </row>
    <row r="449" spans="1:11" ht="24" customHeight="1" x14ac:dyDescent="0.3">
      <c r="A449" s="112">
        <v>45082</v>
      </c>
      <c r="B449" s="118" t="s">
        <v>132</v>
      </c>
      <c r="C449" s="113"/>
      <c r="D449" s="113">
        <v>403608</v>
      </c>
      <c r="E449" s="113">
        <f>+IF(FINANCIACION[[#This Row],[$ CAPITAL]]&gt;=0,FINANCIACION[[#This Row],[$ CAPITAL]]+FINANCIACION[[#This Row],[$ INTERESES]],"")</f>
        <v>403608</v>
      </c>
      <c r="F449" s="113">
        <f>+SUMIFS(FINANCIACION[$ CAPITAL],FINANCIACION[Fecha],"&lt;="&amp;FINANCIACION[[#This Row],[Fecha]],FINANCIACION[PRESTAMO],FINANCIACION[[#This Row],[PRESTAMO]])</f>
        <v>0</v>
      </c>
      <c r="G449" s="113"/>
      <c r="I449" s="119"/>
      <c r="J449" s="113" t="b">
        <f>+IF(FINANCIACION[[#This Row],[$ CAPITAL]]&gt;0,FINANCIACION[[#This Row],[$ CAPITAL]])</f>
        <v>0</v>
      </c>
      <c r="K449" s="120">
        <f>+IF(FINANCIACION[[#This Row],[$ CAPITAL]]&gt;=0,FINANCIACION[[#This Row],[$ CAPITAL]]+FINANCIACION[[#This Row],[$ INTERESES]],0)</f>
        <v>403608</v>
      </c>
    </row>
    <row r="450" spans="1:11" ht="24" customHeight="1" x14ac:dyDescent="0.3">
      <c r="A450" s="112">
        <v>45090</v>
      </c>
      <c r="B450" s="118" t="s">
        <v>132</v>
      </c>
      <c r="C450" s="113"/>
      <c r="D450" s="113">
        <v>774923</v>
      </c>
      <c r="E450" s="113">
        <f>+IF(FINANCIACION[[#This Row],[$ CAPITAL]]&gt;=0,FINANCIACION[[#This Row],[$ CAPITAL]]+FINANCIACION[[#This Row],[$ INTERESES]],"")</f>
        <v>774923</v>
      </c>
      <c r="F450" s="113">
        <f>+SUMIFS(FINANCIACION[$ CAPITAL],FINANCIACION[Fecha],"&lt;="&amp;FINANCIACION[[#This Row],[Fecha]],FINANCIACION[PRESTAMO],FINANCIACION[[#This Row],[PRESTAMO]])</f>
        <v>0</v>
      </c>
      <c r="G450" s="113"/>
      <c r="I450" s="119"/>
      <c r="J450" s="113" t="b">
        <f>+IF(FINANCIACION[[#This Row],[$ CAPITAL]]&gt;0,FINANCIACION[[#This Row],[$ CAPITAL]])</f>
        <v>0</v>
      </c>
      <c r="K450" s="120">
        <f>+IF(FINANCIACION[[#This Row],[$ CAPITAL]]&gt;=0,FINANCIACION[[#This Row],[$ CAPITAL]]+FINANCIACION[[#This Row],[$ INTERESES]],0)</f>
        <v>774923</v>
      </c>
    </row>
    <row r="451" spans="1:11" ht="24" customHeight="1" x14ac:dyDescent="0.3">
      <c r="A451" s="112">
        <v>45092</v>
      </c>
      <c r="B451" s="118" t="s">
        <v>132</v>
      </c>
      <c r="C451" s="113"/>
      <c r="D451" s="113">
        <v>538600</v>
      </c>
      <c r="E451" s="113">
        <f>+IF(FINANCIACION[[#This Row],[$ CAPITAL]]&gt;=0,FINANCIACION[[#This Row],[$ CAPITAL]]+FINANCIACION[[#This Row],[$ INTERESES]],"")</f>
        <v>538600</v>
      </c>
      <c r="F451" s="113">
        <f>+SUMIFS(FINANCIACION[$ CAPITAL],FINANCIACION[Fecha],"&lt;="&amp;FINANCIACION[[#This Row],[Fecha]],FINANCIACION[PRESTAMO],FINANCIACION[[#This Row],[PRESTAMO]])</f>
        <v>0</v>
      </c>
      <c r="G451" s="113"/>
      <c r="I451" s="119"/>
      <c r="J451" s="113" t="b">
        <f>+IF(FINANCIACION[[#This Row],[$ CAPITAL]]&gt;0,FINANCIACION[[#This Row],[$ CAPITAL]])</f>
        <v>0</v>
      </c>
      <c r="K451" s="120">
        <f>+IF(FINANCIACION[[#This Row],[$ CAPITAL]]&gt;=0,FINANCIACION[[#This Row],[$ CAPITAL]]+FINANCIACION[[#This Row],[$ INTERESES]],0)</f>
        <v>538600</v>
      </c>
    </row>
    <row r="452" spans="1:11" ht="24" customHeight="1" x14ac:dyDescent="0.3">
      <c r="A452" s="112">
        <v>45112</v>
      </c>
      <c r="B452" s="118" t="s">
        <v>132</v>
      </c>
      <c r="C452" s="113"/>
      <c r="D452" s="113">
        <v>377695</v>
      </c>
      <c r="E452" s="113">
        <f>+IF(FINANCIACION[[#This Row],[$ CAPITAL]]&gt;=0,FINANCIACION[[#This Row],[$ CAPITAL]]+FINANCIACION[[#This Row],[$ INTERESES]],"")</f>
        <v>377695</v>
      </c>
      <c r="F452" s="113">
        <f>+SUMIFS(FINANCIACION[$ CAPITAL],FINANCIACION[Fecha],"&lt;="&amp;FINANCIACION[[#This Row],[Fecha]],FINANCIACION[PRESTAMO],FINANCIACION[[#This Row],[PRESTAMO]])</f>
        <v>0</v>
      </c>
      <c r="G452" s="113"/>
      <c r="I452" s="119"/>
      <c r="J452" s="113" t="b">
        <f>+IF(FINANCIACION[[#This Row],[$ CAPITAL]]&gt;0,FINANCIACION[[#This Row],[$ CAPITAL]])</f>
        <v>0</v>
      </c>
      <c r="K452" s="120">
        <f>+IF(FINANCIACION[[#This Row],[$ CAPITAL]]&gt;=0,FINANCIACION[[#This Row],[$ CAPITAL]]+FINANCIACION[[#This Row],[$ INTERESES]],0)</f>
        <v>377695</v>
      </c>
    </row>
    <row r="453" spans="1:11" ht="24" customHeight="1" x14ac:dyDescent="0.3">
      <c r="A453" s="112">
        <v>45119</v>
      </c>
      <c r="B453" s="118" t="s">
        <v>132</v>
      </c>
      <c r="C453" s="113"/>
      <c r="D453" s="113">
        <v>759501</v>
      </c>
      <c r="E453" s="113">
        <f>+IF(FINANCIACION[[#This Row],[$ CAPITAL]]&gt;=0,FINANCIACION[[#This Row],[$ CAPITAL]]+FINANCIACION[[#This Row],[$ INTERESES]],"")</f>
        <v>759501</v>
      </c>
      <c r="F453" s="113">
        <f>+SUMIFS(FINANCIACION[$ CAPITAL],FINANCIACION[Fecha],"&lt;="&amp;FINANCIACION[[#This Row],[Fecha]],FINANCIACION[PRESTAMO],FINANCIACION[[#This Row],[PRESTAMO]])</f>
        <v>0</v>
      </c>
      <c r="G453" s="113"/>
      <c r="I453" s="119"/>
      <c r="J453" s="113" t="b">
        <f>+IF(FINANCIACION[[#This Row],[$ CAPITAL]]&gt;0,FINANCIACION[[#This Row],[$ CAPITAL]])</f>
        <v>0</v>
      </c>
      <c r="K453" s="120">
        <f>+IF(FINANCIACION[[#This Row],[$ CAPITAL]]&gt;=0,FINANCIACION[[#This Row],[$ CAPITAL]]+FINANCIACION[[#This Row],[$ INTERESES]],0)</f>
        <v>759501</v>
      </c>
    </row>
    <row r="454" spans="1:11" ht="24" customHeight="1" x14ac:dyDescent="0.3">
      <c r="A454" s="112">
        <v>45124</v>
      </c>
      <c r="B454" s="118" t="s">
        <v>132</v>
      </c>
      <c r="C454" s="113"/>
      <c r="D454" s="113">
        <v>510671</v>
      </c>
      <c r="E454" s="113">
        <f>+IF(FINANCIACION[[#This Row],[$ CAPITAL]]&gt;=0,FINANCIACION[[#This Row],[$ CAPITAL]]+FINANCIACION[[#This Row],[$ INTERESES]],"")</f>
        <v>510671</v>
      </c>
      <c r="F454" s="113">
        <f>+SUMIFS(FINANCIACION[$ CAPITAL],FINANCIACION[Fecha],"&lt;="&amp;FINANCIACION[[#This Row],[Fecha]],FINANCIACION[PRESTAMO],FINANCIACION[[#This Row],[PRESTAMO]])</f>
        <v>0</v>
      </c>
      <c r="G454" s="113"/>
      <c r="I454" s="119"/>
      <c r="J454" s="113" t="b">
        <f>+IF(FINANCIACION[[#This Row],[$ CAPITAL]]&gt;0,FINANCIACION[[#This Row],[$ CAPITAL]])</f>
        <v>0</v>
      </c>
      <c r="K454" s="120">
        <f>+IF(FINANCIACION[[#This Row],[$ CAPITAL]]&gt;=0,FINANCIACION[[#This Row],[$ CAPITAL]]+FINANCIACION[[#This Row],[$ INTERESES]],0)</f>
        <v>510671</v>
      </c>
    </row>
    <row r="455" spans="1:11" ht="24" customHeight="1" x14ac:dyDescent="0.3">
      <c r="A455" s="112">
        <v>45146</v>
      </c>
      <c r="B455" s="118" t="s">
        <v>132</v>
      </c>
      <c r="C455" s="113"/>
      <c r="D455" s="113">
        <v>380835</v>
      </c>
      <c r="E455" s="113">
        <f>+IF(FINANCIACION[[#This Row],[$ CAPITAL]]&gt;=0,FINANCIACION[[#This Row],[$ CAPITAL]]+FINANCIACION[[#This Row],[$ INTERESES]],"")</f>
        <v>380835</v>
      </c>
      <c r="F455" s="113">
        <f>+SUMIFS(FINANCIACION[$ CAPITAL],FINANCIACION[Fecha],"&lt;="&amp;FINANCIACION[[#This Row],[Fecha]],FINANCIACION[PRESTAMO],FINANCIACION[[#This Row],[PRESTAMO]])</f>
        <v>0</v>
      </c>
      <c r="G455" s="113"/>
      <c r="I455" s="119"/>
      <c r="J455" s="113" t="b">
        <f>+IF(FINANCIACION[[#This Row],[$ CAPITAL]]&gt;0,FINANCIACION[[#This Row],[$ CAPITAL]])</f>
        <v>0</v>
      </c>
      <c r="K455" s="120">
        <f>+IF(FINANCIACION[[#This Row],[$ CAPITAL]]&gt;=0,FINANCIACION[[#This Row],[$ CAPITAL]]+FINANCIACION[[#This Row],[$ INTERESES]],0)</f>
        <v>380835</v>
      </c>
    </row>
    <row r="456" spans="1:11" ht="24" customHeight="1" x14ac:dyDescent="0.3">
      <c r="A456" s="112">
        <v>45152</v>
      </c>
      <c r="B456" s="118" t="s">
        <v>132</v>
      </c>
      <c r="C456" s="113"/>
      <c r="D456" s="113">
        <v>747438</v>
      </c>
      <c r="E456" s="113">
        <f>+IF(FINANCIACION[[#This Row],[$ CAPITAL]]&gt;=0,FINANCIACION[[#This Row],[$ CAPITAL]]+FINANCIACION[[#This Row],[$ INTERESES]],"")</f>
        <v>747438</v>
      </c>
      <c r="F456" s="113">
        <f>+SUMIFS(FINANCIACION[$ CAPITAL],FINANCIACION[Fecha],"&lt;="&amp;FINANCIACION[[#This Row],[Fecha]],FINANCIACION[PRESTAMO],FINANCIACION[[#This Row],[PRESTAMO]])</f>
        <v>0</v>
      </c>
      <c r="G456" s="113"/>
      <c r="I456" s="119"/>
      <c r="J456" s="113" t="b">
        <f>+IF(FINANCIACION[[#This Row],[$ CAPITAL]]&gt;0,FINANCIACION[[#This Row],[$ CAPITAL]])</f>
        <v>0</v>
      </c>
      <c r="K456" s="120">
        <f>+IF(FINANCIACION[[#This Row],[$ CAPITAL]]&gt;=0,FINANCIACION[[#This Row],[$ CAPITAL]]+FINANCIACION[[#This Row],[$ INTERESES]],0)</f>
        <v>747438</v>
      </c>
    </row>
    <row r="457" spans="1:11" ht="24" customHeight="1" x14ac:dyDescent="0.3">
      <c r="A457" s="112">
        <v>45153</v>
      </c>
      <c r="B457" s="118" t="s">
        <v>132</v>
      </c>
      <c r="C457" s="113"/>
      <c r="D457" s="113">
        <v>525989</v>
      </c>
      <c r="E457" s="113">
        <f>+IF(FINANCIACION[[#This Row],[$ CAPITAL]]&gt;=0,FINANCIACION[[#This Row],[$ CAPITAL]]+FINANCIACION[[#This Row],[$ INTERESES]],"")</f>
        <v>525989</v>
      </c>
      <c r="F457" s="113">
        <f>+SUMIFS(FINANCIACION[$ CAPITAL],FINANCIACION[Fecha],"&lt;="&amp;FINANCIACION[[#This Row],[Fecha]],FINANCIACION[PRESTAMO],FINANCIACION[[#This Row],[PRESTAMO]])</f>
        <v>0</v>
      </c>
      <c r="G457" s="113"/>
      <c r="I457" s="119"/>
      <c r="J457" s="113" t="b">
        <f>+IF(FINANCIACION[[#This Row],[$ CAPITAL]]&gt;0,FINANCIACION[[#This Row],[$ CAPITAL]])</f>
        <v>0</v>
      </c>
      <c r="K457" s="120">
        <f>+IF(FINANCIACION[[#This Row],[$ CAPITAL]]&gt;=0,FINANCIACION[[#This Row],[$ CAPITAL]]+FINANCIACION[[#This Row],[$ INTERESES]],0)</f>
        <v>525989</v>
      </c>
    </row>
    <row r="458" spans="1:11" ht="24" customHeight="1" x14ac:dyDescent="0.3">
      <c r="A458" s="112">
        <v>45174</v>
      </c>
      <c r="B458" s="118" t="s">
        <v>132</v>
      </c>
      <c r="C458" s="113"/>
      <c r="D458" s="113">
        <v>384840</v>
      </c>
      <c r="E458" s="113">
        <f>+IF(FINANCIACION[[#This Row],[$ CAPITAL]]&gt;=0,FINANCIACION[[#This Row],[$ CAPITAL]]+FINANCIACION[[#This Row],[$ INTERESES]],"")</f>
        <v>384840</v>
      </c>
      <c r="F458" s="113">
        <f>+SUMIFS(FINANCIACION[$ CAPITAL],FINANCIACION[Fecha],"&lt;="&amp;FINANCIACION[[#This Row],[Fecha]],FINANCIACION[PRESTAMO],FINANCIACION[[#This Row],[PRESTAMO]])</f>
        <v>0</v>
      </c>
      <c r="G458" s="113"/>
      <c r="I458" s="119"/>
      <c r="J458" s="113" t="b">
        <f>+IF(FINANCIACION[[#This Row],[$ CAPITAL]]&gt;0,FINANCIACION[[#This Row],[$ CAPITAL]])</f>
        <v>0</v>
      </c>
      <c r="K458" s="120">
        <f>+IF(FINANCIACION[[#This Row],[$ CAPITAL]]&gt;=0,FINANCIACION[[#This Row],[$ CAPITAL]]+FINANCIACION[[#This Row],[$ INTERESES]],0)</f>
        <v>384840</v>
      </c>
    </row>
    <row r="459" spans="1:11" ht="24" customHeight="1" x14ac:dyDescent="0.3">
      <c r="A459" s="112">
        <v>45181</v>
      </c>
      <c r="B459" s="118" t="s">
        <v>132</v>
      </c>
      <c r="C459" s="113"/>
      <c r="D459" s="113">
        <v>759250</v>
      </c>
      <c r="E459" s="113">
        <f>+IF(FINANCIACION[[#This Row],[$ CAPITAL]]&gt;=0,FINANCIACION[[#This Row],[$ CAPITAL]]+FINANCIACION[[#This Row],[$ INTERESES]],"")</f>
        <v>759250</v>
      </c>
      <c r="F459" s="113">
        <f>+SUMIFS(FINANCIACION[$ CAPITAL],FINANCIACION[Fecha],"&lt;="&amp;FINANCIACION[[#This Row],[Fecha]],FINANCIACION[PRESTAMO],FINANCIACION[[#This Row],[PRESTAMO]])</f>
        <v>0</v>
      </c>
      <c r="G459" s="113"/>
      <c r="I459" s="119"/>
      <c r="J459" s="113" t="b">
        <f>+IF(FINANCIACION[[#This Row],[$ CAPITAL]]&gt;0,FINANCIACION[[#This Row],[$ CAPITAL]])</f>
        <v>0</v>
      </c>
      <c r="K459" s="120">
        <f>+IF(FINANCIACION[[#This Row],[$ CAPITAL]]&gt;=0,FINANCIACION[[#This Row],[$ CAPITAL]]+FINANCIACION[[#This Row],[$ INTERESES]],0)</f>
        <v>759250</v>
      </c>
    </row>
    <row r="460" spans="1:11" ht="24" customHeight="1" x14ac:dyDescent="0.3">
      <c r="A460" s="112">
        <v>45184</v>
      </c>
      <c r="B460" s="118" t="s">
        <v>132</v>
      </c>
      <c r="C460" s="113"/>
      <c r="D460" s="113">
        <v>515993</v>
      </c>
      <c r="E460" s="113">
        <f>+IF(FINANCIACION[[#This Row],[$ CAPITAL]]&gt;=0,FINANCIACION[[#This Row],[$ CAPITAL]]+FINANCIACION[[#This Row],[$ INTERESES]],"")</f>
        <v>515993</v>
      </c>
      <c r="F460" s="113">
        <f>+SUMIFS(FINANCIACION[$ CAPITAL],FINANCIACION[Fecha],"&lt;="&amp;FINANCIACION[[#This Row],[Fecha]],FINANCIACION[PRESTAMO],FINANCIACION[[#This Row],[PRESTAMO]])</f>
        <v>0</v>
      </c>
      <c r="G460" s="113"/>
      <c r="I460" s="119"/>
      <c r="J460" s="113" t="b">
        <f>+IF(FINANCIACION[[#This Row],[$ CAPITAL]]&gt;0,FINANCIACION[[#This Row],[$ CAPITAL]])</f>
        <v>0</v>
      </c>
      <c r="K460" s="120">
        <f>+IF(FINANCIACION[[#This Row],[$ CAPITAL]]&gt;=0,FINANCIACION[[#This Row],[$ CAPITAL]]+FINANCIACION[[#This Row],[$ INTERESES]],0)</f>
        <v>515993</v>
      </c>
    </row>
    <row r="461" spans="1:11" ht="24" customHeight="1" x14ac:dyDescent="0.3">
      <c r="A461" s="112">
        <v>45198</v>
      </c>
      <c r="B461" s="118" t="s">
        <v>132</v>
      </c>
      <c r="C461" s="113"/>
      <c r="D461" s="113">
        <v>299839</v>
      </c>
      <c r="E461" s="113">
        <f>+IF(FINANCIACION[[#This Row],[$ CAPITAL]]&gt;=0,FINANCIACION[[#This Row],[$ CAPITAL]]+FINANCIACION[[#This Row],[$ INTERESES]],"")</f>
        <v>299839</v>
      </c>
      <c r="F461" s="113">
        <f>+SUMIFS(FINANCIACION[$ CAPITAL],FINANCIACION[Fecha],"&lt;="&amp;FINANCIACION[[#This Row],[Fecha]],FINANCIACION[PRESTAMO],FINANCIACION[[#This Row],[PRESTAMO]])</f>
        <v>0</v>
      </c>
      <c r="G461" s="113"/>
      <c r="H461" s="119" t="s">
        <v>1120</v>
      </c>
      <c r="I461" s="119"/>
      <c r="J461" s="113" t="b">
        <f>+IF(FINANCIACION[[#This Row],[$ CAPITAL]]&gt;0,FINANCIACION[[#This Row],[$ CAPITAL]])</f>
        <v>0</v>
      </c>
      <c r="K461" s="120">
        <f>+IF(FINANCIACION[[#This Row],[$ CAPITAL]]&gt;=0,FINANCIACION[[#This Row],[$ CAPITAL]]+FINANCIACION[[#This Row],[$ INTERESES]],0)</f>
        <v>299839</v>
      </c>
    </row>
    <row r="462" spans="1:11" ht="24" customHeight="1" x14ac:dyDescent="0.3">
      <c r="A462" s="112">
        <v>45212</v>
      </c>
      <c r="B462" s="118" t="s">
        <v>132</v>
      </c>
      <c r="C462" s="113"/>
      <c r="D462" s="113">
        <v>779151</v>
      </c>
      <c r="E462" s="113">
        <f>+IF(FINANCIACION[[#This Row],[$ CAPITAL]]&gt;=0,FINANCIACION[[#This Row],[$ CAPITAL]]+FINANCIACION[[#This Row],[$ INTERESES]],"")</f>
        <v>779151</v>
      </c>
      <c r="F462" s="113">
        <f>+SUMIFS(FINANCIACION[$ CAPITAL],FINANCIACION[Fecha],"&lt;="&amp;FINANCIACION[[#This Row],[Fecha]],FINANCIACION[PRESTAMO],FINANCIACION[[#This Row],[PRESTAMO]])</f>
        <v>0</v>
      </c>
      <c r="G462" s="113"/>
      <c r="I462" s="119"/>
      <c r="J462" s="113" t="b">
        <f>+IF(FINANCIACION[[#This Row],[$ CAPITAL]]&gt;0,FINANCIACION[[#This Row],[$ CAPITAL]])</f>
        <v>0</v>
      </c>
      <c r="K462" s="120">
        <f>+IF(FINANCIACION[[#This Row],[$ CAPITAL]]&gt;=0,FINANCIACION[[#This Row],[$ CAPITAL]]+FINANCIACION[[#This Row],[$ INTERESES]],0)</f>
        <v>779151</v>
      </c>
    </row>
    <row r="463" spans="1:11" ht="24" customHeight="1" x14ac:dyDescent="0.3">
      <c r="A463" s="112">
        <v>45216</v>
      </c>
      <c r="B463" s="118" t="s">
        <v>132</v>
      </c>
      <c r="C463" s="113"/>
      <c r="D463" s="113">
        <v>540897</v>
      </c>
      <c r="E463" s="113">
        <f>+IF(FINANCIACION[[#This Row],[$ CAPITAL]]&gt;=0,FINANCIACION[[#This Row],[$ CAPITAL]]+FINANCIACION[[#This Row],[$ INTERESES]],"")</f>
        <v>540897</v>
      </c>
      <c r="F463" s="113">
        <f>+SUMIFS(FINANCIACION[$ CAPITAL],FINANCIACION[Fecha],"&lt;="&amp;FINANCIACION[[#This Row],[Fecha]],FINANCIACION[PRESTAMO],FINANCIACION[[#This Row],[PRESTAMO]])</f>
        <v>0</v>
      </c>
      <c r="G463" s="113"/>
      <c r="I463" s="119"/>
      <c r="J463" s="113" t="b">
        <f>+IF(FINANCIACION[[#This Row],[$ CAPITAL]]&gt;0,FINANCIACION[[#This Row],[$ CAPITAL]])</f>
        <v>0</v>
      </c>
      <c r="K463" s="120">
        <f>+IF(FINANCIACION[[#This Row],[$ CAPITAL]]&gt;=0,FINANCIACION[[#This Row],[$ CAPITAL]]+FINANCIACION[[#This Row],[$ INTERESES]],0)</f>
        <v>540897</v>
      </c>
    </row>
    <row r="464" spans="1:11" ht="24" customHeight="1" x14ac:dyDescent="0.3">
      <c r="A464" s="112">
        <v>45244</v>
      </c>
      <c r="B464" s="118" t="s">
        <v>132</v>
      </c>
      <c r="C464" s="113"/>
      <c r="D464" s="113">
        <v>768358</v>
      </c>
      <c r="E464" s="113">
        <f>+IF(FINANCIACION[[#This Row],[$ CAPITAL]]&gt;=0,FINANCIACION[[#This Row],[$ CAPITAL]]+FINANCIACION[[#This Row],[$ INTERESES]],"")</f>
        <v>768358</v>
      </c>
      <c r="F464" s="113">
        <f>+SUMIFS(FINANCIACION[$ CAPITAL],FINANCIACION[Fecha],"&lt;="&amp;FINANCIACION[[#This Row],[Fecha]],FINANCIACION[PRESTAMO],FINANCIACION[[#This Row],[PRESTAMO]])</f>
        <v>0</v>
      </c>
      <c r="G464" s="113"/>
      <c r="I464" s="119"/>
      <c r="J464" s="113" t="b">
        <f>+IF(FINANCIACION[[#This Row],[$ CAPITAL]]&gt;0,FINANCIACION[[#This Row],[$ CAPITAL]])</f>
        <v>0</v>
      </c>
      <c r="K464" s="120">
        <f>+IF(FINANCIACION[[#This Row],[$ CAPITAL]]&gt;=0,FINANCIACION[[#This Row],[$ CAPITAL]]+FINANCIACION[[#This Row],[$ INTERESES]],0)</f>
        <v>768358</v>
      </c>
    </row>
    <row r="465" spans="1:11" ht="24" customHeight="1" x14ac:dyDescent="0.3">
      <c r="A465" s="112">
        <v>45245</v>
      </c>
      <c r="B465" s="118" t="s">
        <v>132</v>
      </c>
      <c r="C465" s="113"/>
      <c r="D465" s="113">
        <v>521764</v>
      </c>
      <c r="E465" s="113">
        <f>+IF(FINANCIACION[[#This Row],[$ CAPITAL]]&gt;=0,FINANCIACION[[#This Row],[$ CAPITAL]]+FINANCIACION[[#This Row],[$ INTERESES]],"")</f>
        <v>521764</v>
      </c>
      <c r="F465" s="113">
        <f>+SUMIFS(FINANCIACION[$ CAPITAL],FINANCIACION[Fecha],"&lt;="&amp;FINANCIACION[[#This Row],[Fecha]],FINANCIACION[PRESTAMO],FINANCIACION[[#This Row],[PRESTAMO]])</f>
        <v>0</v>
      </c>
      <c r="G465" s="113"/>
      <c r="I465" s="119"/>
      <c r="J465" s="113" t="b">
        <f>+IF(FINANCIACION[[#This Row],[$ CAPITAL]]&gt;0,FINANCIACION[[#This Row],[$ CAPITAL]])</f>
        <v>0</v>
      </c>
      <c r="K465" s="120">
        <f>+IF(FINANCIACION[[#This Row],[$ CAPITAL]]&gt;=0,FINANCIACION[[#This Row],[$ CAPITAL]]+FINANCIACION[[#This Row],[$ INTERESES]],0)</f>
        <v>521764</v>
      </c>
    </row>
    <row r="466" spans="1:11" ht="24" customHeight="1" x14ac:dyDescent="0.3">
      <c r="A466" s="112">
        <v>45272</v>
      </c>
      <c r="B466" s="118" t="s">
        <v>132</v>
      </c>
      <c r="C466" s="113"/>
      <c r="D466" s="113">
        <v>732740</v>
      </c>
      <c r="E466" s="113">
        <f>+IF(FINANCIACION[[#This Row],[$ CAPITAL]]&gt;=0,FINANCIACION[[#This Row],[$ CAPITAL]]+FINANCIACION[[#This Row],[$ INTERESES]],"")</f>
        <v>732740</v>
      </c>
      <c r="F466" s="113">
        <f>+SUMIFS(FINANCIACION[$ CAPITAL],FINANCIACION[Fecha],"&lt;="&amp;FINANCIACION[[#This Row],[Fecha]],FINANCIACION[PRESTAMO],FINANCIACION[[#This Row],[PRESTAMO]])</f>
        <v>0</v>
      </c>
      <c r="G466" s="113"/>
      <c r="I466" s="119"/>
      <c r="J466" s="113" t="b">
        <f>+IF(FINANCIACION[[#This Row],[$ CAPITAL]]&gt;0,FINANCIACION[[#This Row],[$ CAPITAL]])</f>
        <v>0</v>
      </c>
      <c r="K466" s="120">
        <f>+IF(FINANCIACION[[#This Row],[$ CAPITAL]]&gt;=0,FINANCIACION[[#This Row],[$ CAPITAL]]+FINANCIACION[[#This Row],[$ INTERESES]],0)</f>
        <v>732740</v>
      </c>
    </row>
    <row r="467" spans="1:11" ht="24" customHeight="1" x14ac:dyDescent="0.3">
      <c r="A467" s="112">
        <v>45275</v>
      </c>
      <c r="B467" s="118" t="s">
        <v>132</v>
      </c>
      <c r="C467" s="113"/>
      <c r="D467" s="113">
        <v>503741</v>
      </c>
      <c r="E467" s="113">
        <f>+IF(FINANCIACION[[#This Row],[$ CAPITAL]]&gt;=0,FINANCIACION[[#This Row],[$ CAPITAL]]+FINANCIACION[[#This Row],[$ INTERESES]],"")</f>
        <v>503741</v>
      </c>
      <c r="F467" s="113">
        <f>+SUMIFS(FINANCIACION[$ CAPITAL],FINANCIACION[Fecha],"&lt;="&amp;FINANCIACION[[#This Row],[Fecha]],FINANCIACION[PRESTAMO],FINANCIACION[[#This Row],[PRESTAMO]])</f>
        <v>0</v>
      </c>
      <c r="G467" s="113"/>
      <c r="I467" s="119"/>
      <c r="J467" s="113" t="b">
        <f>+IF(FINANCIACION[[#This Row],[$ CAPITAL]]&gt;0,FINANCIACION[[#This Row],[$ CAPITAL]])</f>
        <v>0</v>
      </c>
      <c r="K467" s="120">
        <f>+IF(FINANCIACION[[#This Row],[$ CAPITAL]]&gt;=0,FINANCIACION[[#This Row],[$ CAPITAL]]+FINANCIACION[[#This Row],[$ INTERESES]],0)</f>
        <v>503741</v>
      </c>
    </row>
    <row r="468" spans="1:11" ht="24" customHeight="1" x14ac:dyDescent="0.3">
      <c r="A468" s="112">
        <v>45286</v>
      </c>
      <c r="B468" s="118" t="s">
        <v>132</v>
      </c>
      <c r="C468" s="113"/>
      <c r="D468" s="113">
        <v>183163</v>
      </c>
      <c r="E468" s="113">
        <f>+IF(FINANCIACION[[#This Row],[$ CAPITAL]]&gt;=0,FINANCIACION[[#This Row],[$ CAPITAL]]+FINANCIACION[[#This Row],[$ INTERESES]],"")</f>
        <v>183163</v>
      </c>
      <c r="F468" s="113">
        <f>+SUMIFS(FINANCIACION[$ CAPITAL],FINANCIACION[Fecha],"&lt;="&amp;FINANCIACION[[#This Row],[Fecha]],FINANCIACION[PRESTAMO],FINANCIACION[[#This Row],[PRESTAMO]])</f>
        <v>0</v>
      </c>
      <c r="G468" s="113"/>
      <c r="I468" s="119"/>
      <c r="J468" s="113" t="b">
        <f>+IF(FINANCIACION[[#This Row],[$ CAPITAL]]&gt;0,FINANCIACION[[#This Row],[$ CAPITAL]])</f>
        <v>0</v>
      </c>
      <c r="K468" s="120">
        <f>+IF(FINANCIACION[[#This Row],[$ CAPITAL]]&gt;=0,FINANCIACION[[#This Row],[$ CAPITAL]]+FINANCIACION[[#This Row],[$ INTERESES]],0)</f>
        <v>183163</v>
      </c>
    </row>
    <row r="469" spans="1:11" ht="24" customHeight="1" x14ac:dyDescent="0.3">
      <c r="A469" s="112">
        <v>44938</v>
      </c>
      <c r="B469" s="118" t="s">
        <v>519</v>
      </c>
      <c r="C469" s="113">
        <v>-94165500</v>
      </c>
      <c r="D469" s="113"/>
      <c r="E469" s="113" t="str">
        <f>+IF(FINANCIACION[[#This Row],[$ CAPITAL]]&gt;=0,FINANCIACION[[#This Row],[$ CAPITAL]]+FINANCIACION[[#This Row],[$ INTERESES]],"")</f>
        <v/>
      </c>
      <c r="F469" s="113">
        <f>+SUMIFS(FINANCIACION[$ CAPITAL],FINANCIACION[Fecha],"&lt;="&amp;FINANCIACION[[#This Row],[Fecha]],FINANCIACION[PRESTAMO],FINANCIACION[[#This Row],[PRESTAMO]])</f>
        <v>-94165500</v>
      </c>
      <c r="G469" s="113"/>
      <c r="H469" s="119" t="s">
        <v>520</v>
      </c>
      <c r="I469" s="119">
        <v>19500</v>
      </c>
      <c r="J469" s="113" t="b">
        <f>+IF(FINANCIACION[[#This Row],[$ CAPITAL]]&gt;0,FINANCIACION[[#This Row],[$ CAPITAL]])</f>
        <v>0</v>
      </c>
      <c r="K469" s="120">
        <f>+IF(FINANCIACION[[#This Row],[$ CAPITAL]]&gt;=0,FINANCIACION[[#This Row],[$ CAPITAL]]+FINANCIACION[[#This Row],[$ INTERESES]],0)</f>
        <v>0</v>
      </c>
    </row>
    <row r="470" spans="1:11" ht="24" customHeight="1" x14ac:dyDescent="0.3">
      <c r="A470" s="112">
        <v>44957</v>
      </c>
      <c r="B470" s="118" t="s">
        <v>519</v>
      </c>
      <c r="C470" s="113">
        <v>2905000</v>
      </c>
      <c r="D470" s="113"/>
      <c r="E470" s="113">
        <f>+IF(FINANCIACION[[#This Row],[$ CAPITAL]]&gt;=0,FINANCIACION[[#This Row],[$ CAPITAL]]+FINANCIACION[[#This Row],[$ INTERESES]],"")</f>
        <v>2905000</v>
      </c>
      <c r="F470" s="113">
        <f>+SUMIFS(FINANCIACION[$ CAPITAL],FINANCIACION[Fecha],"&lt;="&amp;FINANCIACION[[#This Row],[Fecha]],FINANCIACION[PRESTAMO],FINANCIACION[[#This Row],[PRESTAMO]])</f>
        <v>-91260500</v>
      </c>
      <c r="G470" s="113"/>
      <c r="I470" s="119"/>
      <c r="J470" s="113">
        <f>+IF(FINANCIACION[[#This Row],[$ CAPITAL]]&gt;0,FINANCIACION[[#This Row],[$ CAPITAL]])</f>
        <v>2905000</v>
      </c>
      <c r="K470" s="120">
        <f>+IF(FINANCIACION[[#This Row],[$ CAPITAL]]&gt;=0,FINANCIACION[[#This Row],[$ CAPITAL]]+FINANCIACION[[#This Row],[$ INTERESES]],0)</f>
        <v>2905000</v>
      </c>
    </row>
    <row r="471" spans="1:11" ht="24" customHeight="1" x14ac:dyDescent="0.3">
      <c r="A471" s="112">
        <v>44985</v>
      </c>
      <c r="B471" s="118" t="s">
        <v>519</v>
      </c>
      <c r="C471" s="113">
        <v>-3899500</v>
      </c>
      <c r="D471" s="113"/>
      <c r="E471" s="113" t="str">
        <f>+IF(FINANCIACION[[#This Row],[$ CAPITAL]]&gt;=0,FINANCIACION[[#This Row],[$ CAPITAL]]+FINANCIACION[[#This Row],[$ INTERESES]],"")</f>
        <v/>
      </c>
      <c r="F471" s="113">
        <f>+SUMIFS(FINANCIACION[$ CAPITAL],FINANCIACION[Fecha],"&lt;="&amp;FINANCIACION[[#This Row],[Fecha]],FINANCIACION[PRESTAMO],FINANCIACION[[#This Row],[PRESTAMO]])</f>
        <v>-95160000</v>
      </c>
      <c r="G471" s="113"/>
      <c r="I471" s="119"/>
      <c r="J471" s="113" t="b">
        <f>+IF(FINANCIACION[[#This Row],[$ CAPITAL]]&gt;0,FINANCIACION[[#This Row],[$ CAPITAL]])</f>
        <v>0</v>
      </c>
      <c r="K471" s="120">
        <f>+IF(FINANCIACION[[#This Row],[$ CAPITAL]]&gt;=0,FINANCIACION[[#This Row],[$ CAPITAL]]+FINANCIACION[[#This Row],[$ INTERESES]],0)</f>
        <v>0</v>
      </c>
    </row>
    <row r="472" spans="1:11" ht="24" customHeight="1" x14ac:dyDescent="0.3">
      <c r="A472" s="112">
        <v>45016</v>
      </c>
      <c r="B472" s="118" t="s">
        <v>519</v>
      </c>
      <c r="C472" s="113">
        <v>3510000</v>
      </c>
      <c r="D472" s="113"/>
      <c r="E472" s="113">
        <f>+IF(FINANCIACION[[#This Row],[$ CAPITAL]]&gt;=0,FINANCIACION[[#This Row],[$ CAPITAL]]+FINANCIACION[[#This Row],[$ INTERESES]],"")</f>
        <v>3510000</v>
      </c>
      <c r="F472" s="113">
        <f>+SUMIFS(FINANCIACION[$ CAPITAL],FINANCIACION[Fecha],"&lt;="&amp;FINANCIACION[[#This Row],[Fecha]],FINANCIACION[PRESTAMO],FINANCIACION[[#This Row],[PRESTAMO]])</f>
        <v>-91650000</v>
      </c>
      <c r="G472" s="113"/>
      <c r="I472" s="119"/>
      <c r="J472" s="113">
        <f>+IF(FINANCIACION[[#This Row],[$ CAPITAL]]&gt;0,FINANCIACION[[#This Row],[$ CAPITAL]])</f>
        <v>3510000</v>
      </c>
      <c r="K472" s="120">
        <f>+IF(FINANCIACION[[#This Row],[$ CAPITAL]]&gt;=0,FINANCIACION[[#This Row],[$ CAPITAL]]+FINANCIACION[[#This Row],[$ INTERESES]],0)</f>
        <v>3510000</v>
      </c>
    </row>
    <row r="473" spans="1:11" ht="24" customHeight="1" x14ac:dyDescent="0.3">
      <c r="A473" s="112">
        <v>45046</v>
      </c>
      <c r="B473" s="118" t="s">
        <v>519</v>
      </c>
      <c r="C473" s="113">
        <v>0</v>
      </c>
      <c r="D473" s="113"/>
      <c r="E473" s="113">
        <f>+IF(FINANCIACION[[#This Row],[$ CAPITAL]]&gt;=0,FINANCIACION[[#This Row],[$ CAPITAL]]+FINANCIACION[[#This Row],[$ INTERESES]],"")</f>
        <v>0</v>
      </c>
      <c r="F473" s="113">
        <f>+SUMIFS(FINANCIACION[$ CAPITAL],FINANCIACION[Fecha],"&lt;="&amp;FINANCIACION[[#This Row],[Fecha]],FINANCIACION[PRESTAMO],FINANCIACION[[#This Row],[PRESTAMO]])</f>
        <v>-91650000</v>
      </c>
      <c r="G473" s="113"/>
      <c r="I473" s="119"/>
      <c r="J473" s="113" t="b">
        <f>+IF(FINANCIACION[[#This Row],[$ CAPITAL]]&gt;0,FINANCIACION[[#This Row],[$ CAPITAL]])</f>
        <v>0</v>
      </c>
      <c r="K473" s="120">
        <f>+IF(FINANCIACION[[#This Row],[$ CAPITAL]]&gt;=0,FINANCIACION[[#This Row],[$ CAPITAL]]+FINANCIACION[[#This Row],[$ INTERESES]],0)</f>
        <v>0</v>
      </c>
    </row>
    <row r="474" spans="1:11" ht="24" customHeight="1" x14ac:dyDescent="0.3">
      <c r="A474" s="112">
        <v>45077</v>
      </c>
      <c r="B474" s="118" t="s">
        <v>519</v>
      </c>
      <c r="C474" s="113">
        <v>2730000</v>
      </c>
      <c r="D474" s="113"/>
      <c r="E474" s="113">
        <f>+IF(FINANCIACION[[#This Row],[$ CAPITAL]]&gt;=0,FINANCIACION[[#This Row],[$ CAPITAL]]+FINANCIACION[[#This Row],[$ INTERESES]],"")</f>
        <v>2730000</v>
      </c>
      <c r="F474" s="113">
        <f>+SUMIFS(FINANCIACION[$ CAPITAL],FINANCIACION[Fecha],"&lt;="&amp;FINANCIACION[[#This Row],[Fecha]],FINANCIACION[PRESTAMO],FINANCIACION[[#This Row],[PRESTAMO]])</f>
        <v>-88920000</v>
      </c>
      <c r="G474" s="113"/>
      <c r="I474" s="119"/>
      <c r="J474" s="113">
        <f>+IF(FINANCIACION[[#This Row],[$ CAPITAL]]&gt;0,FINANCIACION[[#This Row],[$ CAPITAL]])</f>
        <v>2730000</v>
      </c>
      <c r="K474" s="120">
        <f>+IF(FINANCIACION[[#This Row],[$ CAPITAL]]&gt;=0,FINANCIACION[[#This Row],[$ CAPITAL]]+FINANCIACION[[#This Row],[$ INTERESES]],0)</f>
        <v>2730000</v>
      </c>
    </row>
    <row r="475" spans="1:11" ht="24" customHeight="1" x14ac:dyDescent="0.3">
      <c r="A475" s="112">
        <v>45107</v>
      </c>
      <c r="B475" s="118" t="s">
        <v>519</v>
      </c>
      <c r="C475" s="113">
        <v>4095000</v>
      </c>
      <c r="D475" s="113"/>
      <c r="E475" s="113">
        <f>+IF(FINANCIACION[[#This Row],[$ CAPITAL]]&gt;=0,FINANCIACION[[#This Row],[$ CAPITAL]]+FINANCIACION[[#This Row],[$ INTERESES]],"")</f>
        <v>4095000</v>
      </c>
      <c r="F475" s="113">
        <f>+SUMIFS(FINANCIACION[$ CAPITAL],FINANCIACION[Fecha],"&lt;="&amp;FINANCIACION[[#This Row],[Fecha]],FINANCIACION[PRESTAMO],FINANCIACION[[#This Row],[PRESTAMO]])</f>
        <v>-84825000</v>
      </c>
      <c r="G475" s="113"/>
      <c r="I475" s="119"/>
      <c r="J475" s="113">
        <f>+IF(FINANCIACION[[#This Row],[$ CAPITAL]]&gt;0,FINANCIACION[[#This Row],[$ CAPITAL]])</f>
        <v>4095000</v>
      </c>
      <c r="K475" s="120">
        <f>+IF(FINANCIACION[[#This Row],[$ CAPITAL]]&gt;=0,FINANCIACION[[#This Row],[$ CAPITAL]]+FINANCIACION[[#This Row],[$ INTERESES]],0)</f>
        <v>4095000</v>
      </c>
    </row>
    <row r="476" spans="1:11" ht="24" customHeight="1" x14ac:dyDescent="0.3">
      <c r="A476" s="112">
        <v>45138</v>
      </c>
      <c r="B476" s="118" t="s">
        <v>519</v>
      </c>
      <c r="C476" s="113">
        <v>0</v>
      </c>
      <c r="D476" s="113"/>
      <c r="E476" s="113">
        <f>+IF(FINANCIACION[[#This Row],[$ CAPITAL]]&gt;=0,FINANCIACION[[#This Row],[$ CAPITAL]]+FINANCIACION[[#This Row],[$ INTERESES]],"")</f>
        <v>0</v>
      </c>
      <c r="F476" s="113">
        <f>+SUMIFS(FINANCIACION[$ CAPITAL],FINANCIACION[Fecha],"&lt;="&amp;FINANCIACION[[#This Row],[Fecha]],FINANCIACION[PRESTAMO],FINANCIACION[[#This Row],[PRESTAMO]])</f>
        <v>-84825000</v>
      </c>
      <c r="G476" s="113"/>
      <c r="I476" s="119"/>
      <c r="J476" s="113" t="b">
        <f>+IF(FINANCIACION[[#This Row],[$ CAPITAL]]&gt;0,FINANCIACION[[#This Row],[$ CAPITAL]])</f>
        <v>0</v>
      </c>
      <c r="K476" s="120">
        <f>+IF(FINANCIACION[[#This Row],[$ CAPITAL]]&gt;=0,FINANCIACION[[#This Row],[$ CAPITAL]]+FINANCIACION[[#This Row],[$ INTERESES]],0)</f>
        <v>0</v>
      </c>
    </row>
    <row r="477" spans="1:11" ht="24" customHeight="1" x14ac:dyDescent="0.3">
      <c r="A477" s="112">
        <v>45169</v>
      </c>
      <c r="B477" s="118" t="s">
        <v>519</v>
      </c>
      <c r="C477" s="113">
        <v>0</v>
      </c>
      <c r="D477" s="113">
        <v>0</v>
      </c>
      <c r="E477" s="113">
        <f>+IF(FINANCIACION[[#This Row],[$ CAPITAL]]&gt;=0,FINANCIACION[[#This Row],[$ CAPITAL]]+FINANCIACION[[#This Row],[$ INTERESES]],"")</f>
        <v>0</v>
      </c>
      <c r="F477" s="113">
        <f>+SUMIFS(FINANCIACION[$ CAPITAL],FINANCIACION[Fecha],"&lt;="&amp;FINANCIACION[[#This Row],[Fecha]],FINANCIACION[PRESTAMO],FINANCIACION[[#This Row],[PRESTAMO]])</f>
        <v>-84825000</v>
      </c>
      <c r="G477" s="113"/>
      <c r="I477" s="119"/>
      <c r="J477" s="113" t="b">
        <f>+IF(FINANCIACION[[#This Row],[$ CAPITAL]]&gt;0,FINANCIACION[[#This Row],[$ CAPITAL]])</f>
        <v>0</v>
      </c>
      <c r="K477" s="120">
        <f>+IF(FINANCIACION[[#This Row],[$ CAPITAL]]&gt;=0,FINANCIACION[[#This Row],[$ CAPITAL]]+FINANCIACION[[#This Row],[$ INTERESES]],0)</f>
        <v>0</v>
      </c>
    </row>
    <row r="478" spans="1:11" ht="24" customHeight="1" x14ac:dyDescent="0.3">
      <c r="A478" s="112">
        <v>45199</v>
      </c>
      <c r="B478" s="118" t="s">
        <v>519</v>
      </c>
      <c r="C478" s="113">
        <v>0</v>
      </c>
      <c r="D478" s="113">
        <v>0</v>
      </c>
      <c r="E478" s="113">
        <f>+IF(FINANCIACION[[#This Row],[$ CAPITAL]]&gt;=0,FINANCIACION[[#This Row],[$ CAPITAL]]+FINANCIACION[[#This Row],[$ INTERESES]],"")</f>
        <v>0</v>
      </c>
      <c r="F478" s="113">
        <f>+SUMIFS(FINANCIACION[$ CAPITAL],FINANCIACION[Fecha],"&lt;="&amp;FINANCIACION[[#This Row],[Fecha]],FINANCIACION[PRESTAMO],FINANCIACION[[#This Row],[PRESTAMO]])</f>
        <v>-84825000</v>
      </c>
      <c r="G478" s="113"/>
      <c r="H478" s="119" t="s">
        <v>898</v>
      </c>
      <c r="I478" s="119"/>
      <c r="J478" s="113" t="b">
        <f>+IF(FINANCIACION[[#This Row],[$ CAPITAL]]&gt;0,FINANCIACION[[#This Row],[$ CAPITAL]])</f>
        <v>0</v>
      </c>
      <c r="K478" s="120">
        <f>+IF(FINANCIACION[[#This Row],[$ CAPITAL]]&gt;=0,FINANCIACION[[#This Row],[$ CAPITAL]]+FINANCIACION[[#This Row],[$ INTERESES]],0)</f>
        <v>0</v>
      </c>
    </row>
    <row r="479" spans="1:11" ht="24" customHeight="1" x14ac:dyDescent="0.3">
      <c r="A479" s="112">
        <v>45230</v>
      </c>
      <c r="B479" s="118" t="s">
        <v>519</v>
      </c>
      <c r="C479" s="113">
        <v>0</v>
      </c>
      <c r="D479" s="113"/>
      <c r="E479" s="113">
        <f>+IF(FINANCIACION[[#This Row],[$ CAPITAL]]&gt;=0,FINANCIACION[[#This Row],[$ CAPITAL]]+FINANCIACION[[#This Row],[$ INTERESES]],"")</f>
        <v>0</v>
      </c>
      <c r="F479" s="113">
        <f>+SUMIFS(FINANCIACION[$ CAPITAL],FINANCIACION[Fecha],"&lt;="&amp;FINANCIACION[[#This Row],[Fecha]],FINANCIACION[PRESTAMO],FINANCIACION[[#This Row],[PRESTAMO]])</f>
        <v>-84825000</v>
      </c>
      <c r="G479" s="113"/>
      <c r="H479" s="119" t="s">
        <v>966</v>
      </c>
      <c r="I479" s="119"/>
      <c r="J479" s="113" t="b">
        <f>+IF(FINANCIACION[[#This Row],[$ CAPITAL]]&gt;0,FINANCIACION[[#This Row],[$ CAPITAL]])</f>
        <v>0</v>
      </c>
      <c r="K479" s="120">
        <f>+IF(FINANCIACION[[#This Row],[$ CAPITAL]]&gt;=0,FINANCIACION[[#This Row],[$ CAPITAL]]+FINANCIACION[[#This Row],[$ INTERESES]],0)</f>
        <v>0</v>
      </c>
    </row>
    <row r="480" spans="1:11" ht="24" customHeight="1" x14ac:dyDescent="0.3">
      <c r="A480" s="112">
        <v>45260</v>
      </c>
      <c r="B480" s="118" t="s">
        <v>519</v>
      </c>
      <c r="C480" s="113">
        <v>0</v>
      </c>
      <c r="D480" s="113"/>
      <c r="E480" s="113">
        <f>+IF(FINANCIACION[[#This Row],[$ CAPITAL]]&gt;=0,FINANCIACION[[#This Row],[$ CAPITAL]]+FINANCIACION[[#This Row],[$ INTERESES]],"")</f>
        <v>0</v>
      </c>
      <c r="F480" s="113">
        <f>+SUMIFS(FINANCIACION[$ CAPITAL],FINANCIACION[Fecha],"&lt;="&amp;FINANCIACION[[#This Row],[Fecha]],FINANCIACION[PRESTAMO],FINANCIACION[[#This Row],[PRESTAMO]])</f>
        <v>-84825000</v>
      </c>
      <c r="G480" s="113"/>
      <c r="H480" s="119" t="s">
        <v>966</v>
      </c>
      <c r="I480" s="119"/>
      <c r="J480" s="113" t="b">
        <f>+IF(FINANCIACION[[#This Row],[$ CAPITAL]]&gt;0,FINANCIACION[[#This Row],[$ CAPITAL]])</f>
        <v>0</v>
      </c>
      <c r="K480" s="120">
        <f>+IF(FINANCIACION[[#This Row],[$ CAPITAL]]&gt;=0,FINANCIACION[[#This Row],[$ CAPITAL]]+FINANCIACION[[#This Row],[$ INTERESES]],0)</f>
        <v>0</v>
      </c>
    </row>
    <row r="481" spans="1:11" ht="24" customHeight="1" x14ac:dyDescent="0.3">
      <c r="A481" s="112">
        <v>45291</v>
      </c>
      <c r="B481" s="118" t="s">
        <v>519</v>
      </c>
      <c r="C481" s="113">
        <v>0</v>
      </c>
      <c r="D481" s="113">
        <v>0</v>
      </c>
      <c r="E481" s="113">
        <f>+IF(FINANCIACION[[#This Row],[$ CAPITAL]]&gt;=0,FINANCIACION[[#This Row],[$ CAPITAL]]+FINANCIACION[[#This Row],[$ INTERESES]],"")</f>
        <v>0</v>
      </c>
      <c r="F481" s="113">
        <f>+SUMIFS(FINANCIACION[$ CAPITAL],FINANCIACION[Fecha],"&lt;="&amp;FINANCIACION[[#This Row],[Fecha]],FINANCIACION[PRESTAMO],FINANCIACION[[#This Row],[PRESTAMO]])</f>
        <v>-84825000</v>
      </c>
      <c r="G481" s="113"/>
      <c r="H481" s="119" t="s">
        <v>966</v>
      </c>
      <c r="I481" s="119"/>
      <c r="J481" s="113" t="b">
        <f>+IF(FINANCIACION[[#This Row],[$ CAPITAL]]&gt;0,FINANCIACION[[#This Row],[$ CAPITAL]])</f>
        <v>0</v>
      </c>
      <c r="K481" s="120">
        <f>+IF(FINANCIACION[[#This Row],[$ CAPITAL]]&gt;=0,FINANCIACION[[#This Row],[$ CAPITAL]]+FINANCIACION[[#This Row],[$ INTERESES]],0)</f>
        <v>0</v>
      </c>
    </row>
    <row r="482" spans="1:11" ht="24" customHeight="1" x14ac:dyDescent="0.3">
      <c r="A482" s="112">
        <v>44967</v>
      </c>
      <c r="B482" s="118" t="s">
        <v>617</v>
      </c>
      <c r="C482" s="113">
        <v>-60233450</v>
      </c>
      <c r="D482" s="113"/>
      <c r="E482" s="113" t="str">
        <f>+IF(FINANCIACION[[#This Row],[$ CAPITAL]]&gt;=0,FINANCIACION[[#This Row],[$ CAPITAL]]+FINANCIACION[[#This Row],[$ INTERESES]],"")</f>
        <v/>
      </c>
      <c r="F482" s="113">
        <f>+SUMIFS(FINANCIACION[$ CAPITAL],FINANCIACION[Fecha],"&lt;="&amp;FINANCIACION[[#This Row],[Fecha]],FINANCIACION[PRESTAMO],FINANCIACION[[#This Row],[PRESTAMO]])</f>
        <v>-60233450</v>
      </c>
      <c r="G482" s="113"/>
      <c r="H482" s="119" t="s">
        <v>618</v>
      </c>
      <c r="I482" s="119">
        <v>12342.92</v>
      </c>
      <c r="J482" s="113" t="b">
        <f>+IF(FINANCIACION[[#This Row],[$ CAPITAL]]&gt;0,FINANCIACION[[#This Row],[$ CAPITAL]])</f>
        <v>0</v>
      </c>
      <c r="K482" s="120">
        <f>+IF(FINANCIACION[[#This Row],[$ CAPITAL]]&gt;=0,FINANCIACION[[#This Row],[$ CAPITAL]]+FINANCIACION[[#This Row],[$ INTERESES]],0)</f>
        <v>0</v>
      </c>
    </row>
    <row r="483" spans="1:11" ht="24" customHeight="1" x14ac:dyDescent="0.3">
      <c r="A483" s="112">
        <v>45016</v>
      </c>
      <c r="B483" s="118" t="s">
        <v>617</v>
      </c>
      <c r="C483" s="113">
        <v>2221726</v>
      </c>
      <c r="D483" s="113"/>
      <c r="E483" s="113">
        <f>+IF(FINANCIACION[[#This Row],[$ CAPITAL]]&gt;=0,FINANCIACION[[#This Row],[$ CAPITAL]]+FINANCIACION[[#This Row],[$ INTERESES]],"")</f>
        <v>2221726</v>
      </c>
      <c r="F483" s="113">
        <f>+SUMIFS(FINANCIACION[$ CAPITAL],FINANCIACION[Fecha],"&lt;="&amp;FINANCIACION[[#This Row],[Fecha]],FINANCIACION[PRESTAMO],FINANCIACION[[#This Row],[PRESTAMO]])</f>
        <v>-58011724</v>
      </c>
      <c r="G483" s="113"/>
      <c r="H483" s="119" t="s">
        <v>694</v>
      </c>
      <c r="I483" s="119"/>
      <c r="J483" s="113">
        <f>+IF(FINANCIACION[[#This Row],[$ CAPITAL]]&gt;0,FINANCIACION[[#This Row],[$ CAPITAL]])</f>
        <v>2221726</v>
      </c>
      <c r="K483" s="120">
        <f>+IF(FINANCIACION[[#This Row],[$ CAPITAL]]&gt;=0,FINANCIACION[[#This Row],[$ CAPITAL]]+FINANCIACION[[#This Row],[$ INTERESES]],0)</f>
        <v>2221726</v>
      </c>
    </row>
    <row r="484" spans="1:11" ht="24" customHeight="1" x14ac:dyDescent="0.3">
      <c r="A484" s="112">
        <v>45046</v>
      </c>
      <c r="B484" s="118" t="s">
        <v>617</v>
      </c>
      <c r="C484" s="113">
        <v>0</v>
      </c>
      <c r="D484" s="113"/>
      <c r="E484" s="113">
        <f>+IF(FINANCIACION[[#This Row],[$ CAPITAL]]&gt;=0,FINANCIACION[[#This Row],[$ CAPITAL]]+FINANCIACION[[#This Row],[$ INTERESES]],"")</f>
        <v>0</v>
      </c>
      <c r="F484" s="113">
        <f>+SUMIFS(FINANCIACION[$ CAPITAL],FINANCIACION[Fecha],"&lt;="&amp;FINANCIACION[[#This Row],[Fecha]],FINANCIACION[PRESTAMO],FINANCIACION[[#This Row],[PRESTAMO]])</f>
        <v>-58011724</v>
      </c>
      <c r="G484" s="113"/>
      <c r="H484" s="119" t="s">
        <v>773</v>
      </c>
      <c r="I484" s="119"/>
      <c r="J484" s="113" t="b">
        <f>+IF(FINANCIACION[[#This Row],[$ CAPITAL]]&gt;0,FINANCIACION[[#This Row],[$ CAPITAL]])</f>
        <v>0</v>
      </c>
      <c r="K484" s="120">
        <f>+IF(FINANCIACION[[#This Row],[$ CAPITAL]]&gt;=0,FINANCIACION[[#This Row],[$ CAPITAL]]+FINANCIACION[[#This Row],[$ INTERESES]],0)</f>
        <v>0</v>
      </c>
    </row>
    <row r="485" spans="1:11" ht="24" customHeight="1" x14ac:dyDescent="0.3">
      <c r="A485" s="112">
        <v>45077</v>
      </c>
      <c r="B485" s="118" t="s">
        <v>617</v>
      </c>
      <c r="C485" s="113">
        <v>1728009</v>
      </c>
      <c r="D485" s="113"/>
      <c r="E485" s="113">
        <f>+IF(FINANCIACION[[#This Row],[$ CAPITAL]]&gt;=0,FINANCIACION[[#This Row],[$ CAPITAL]]+FINANCIACION[[#This Row],[$ INTERESES]],"")</f>
        <v>1728009</v>
      </c>
      <c r="F485" s="113">
        <f>+SUMIFS(FINANCIACION[$ CAPITAL],FINANCIACION[Fecha],"&lt;="&amp;FINANCIACION[[#This Row],[Fecha]],FINANCIACION[PRESTAMO],FINANCIACION[[#This Row],[PRESTAMO]])</f>
        <v>-56283715</v>
      </c>
      <c r="G485" s="113"/>
      <c r="I485" s="119"/>
      <c r="J485" s="113">
        <f>+IF(FINANCIACION[[#This Row],[$ CAPITAL]]&gt;0,FINANCIACION[[#This Row],[$ CAPITAL]])</f>
        <v>1728009</v>
      </c>
      <c r="K485" s="120">
        <f>+IF(FINANCIACION[[#This Row],[$ CAPITAL]]&gt;=0,FINANCIACION[[#This Row],[$ CAPITAL]]+FINANCIACION[[#This Row],[$ INTERESES]],0)</f>
        <v>1728009</v>
      </c>
    </row>
    <row r="486" spans="1:11" ht="24" customHeight="1" x14ac:dyDescent="0.3">
      <c r="A486" s="112">
        <v>45107</v>
      </c>
      <c r="B486" s="118" t="s">
        <v>617</v>
      </c>
      <c r="C486" s="113">
        <v>2592013</v>
      </c>
      <c r="D486" s="113"/>
      <c r="E486" s="113">
        <f>+IF(FINANCIACION[[#This Row],[$ CAPITAL]]&gt;=0,FINANCIACION[[#This Row],[$ CAPITAL]]+FINANCIACION[[#This Row],[$ INTERESES]],"")</f>
        <v>2592013</v>
      </c>
      <c r="F486" s="113">
        <f>+SUMIFS(FINANCIACION[$ CAPITAL],FINANCIACION[Fecha],"&lt;="&amp;FINANCIACION[[#This Row],[Fecha]],FINANCIACION[PRESTAMO],FINANCIACION[[#This Row],[PRESTAMO]])</f>
        <v>-53691702</v>
      </c>
      <c r="G486" s="113"/>
      <c r="I486" s="119"/>
      <c r="J486" s="113">
        <f>+IF(FINANCIACION[[#This Row],[$ CAPITAL]]&gt;0,FINANCIACION[[#This Row],[$ CAPITAL]])</f>
        <v>2592013</v>
      </c>
      <c r="K486" s="120">
        <f>+IF(FINANCIACION[[#This Row],[$ CAPITAL]]&gt;=0,FINANCIACION[[#This Row],[$ CAPITAL]]+FINANCIACION[[#This Row],[$ INTERESES]],0)</f>
        <v>2592013</v>
      </c>
    </row>
    <row r="487" spans="1:11" ht="24" customHeight="1" x14ac:dyDescent="0.3">
      <c r="A487" s="112">
        <v>45138</v>
      </c>
      <c r="B487" s="118" t="s">
        <v>617</v>
      </c>
      <c r="C487" s="113">
        <v>0</v>
      </c>
      <c r="D487" s="113"/>
      <c r="E487" s="113">
        <f>+IF(FINANCIACION[[#This Row],[$ CAPITAL]]&gt;=0,FINANCIACION[[#This Row],[$ CAPITAL]]+FINANCIACION[[#This Row],[$ INTERESES]],"")</f>
        <v>0</v>
      </c>
      <c r="F487" s="113">
        <f>+SUMIFS(FINANCIACION[$ CAPITAL],FINANCIACION[Fecha],"&lt;="&amp;FINANCIACION[[#This Row],[Fecha]],FINANCIACION[PRESTAMO],FINANCIACION[[#This Row],[PRESTAMO]])</f>
        <v>-53691702</v>
      </c>
      <c r="G487" s="113"/>
      <c r="I487" s="119"/>
      <c r="J487" s="113" t="b">
        <f>+IF(FINANCIACION[[#This Row],[$ CAPITAL]]&gt;0,FINANCIACION[[#This Row],[$ CAPITAL]])</f>
        <v>0</v>
      </c>
      <c r="K487" s="120">
        <f>+IF(FINANCIACION[[#This Row],[$ CAPITAL]]&gt;=0,FINANCIACION[[#This Row],[$ CAPITAL]]+FINANCIACION[[#This Row],[$ INTERESES]],0)</f>
        <v>0</v>
      </c>
    </row>
    <row r="488" spans="1:11" ht="24" customHeight="1" x14ac:dyDescent="0.3">
      <c r="A488" s="112">
        <v>45169</v>
      </c>
      <c r="B488" s="118" t="s">
        <v>617</v>
      </c>
      <c r="C488" s="113">
        <v>0</v>
      </c>
      <c r="D488" s="113">
        <v>0</v>
      </c>
      <c r="E488" s="113">
        <f>+IF(FINANCIACION[[#This Row],[$ CAPITAL]]&gt;=0,FINANCIACION[[#This Row],[$ CAPITAL]]+FINANCIACION[[#This Row],[$ INTERESES]],"")</f>
        <v>0</v>
      </c>
      <c r="F488" s="113">
        <f>+SUMIFS(FINANCIACION[$ CAPITAL],FINANCIACION[Fecha],"&lt;="&amp;FINANCIACION[[#This Row],[Fecha]],FINANCIACION[PRESTAMO],FINANCIACION[[#This Row],[PRESTAMO]])</f>
        <v>-53691702</v>
      </c>
      <c r="G488" s="113"/>
      <c r="I488" s="119"/>
      <c r="J488" s="113" t="b">
        <f>+IF(FINANCIACION[[#This Row],[$ CAPITAL]]&gt;0,FINANCIACION[[#This Row],[$ CAPITAL]])</f>
        <v>0</v>
      </c>
      <c r="K488" s="120">
        <f>+IF(FINANCIACION[[#This Row],[$ CAPITAL]]&gt;=0,FINANCIACION[[#This Row],[$ CAPITAL]]+FINANCIACION[[#This Row],[$ INTERESES]],0)</f>
        <v>0</v>
      </c>
    </row>
    <row r="489" spans="1:11" ht="24" customHeight="1" x14ac:dyDescent="0.3">
      <c r="A489" s="112">
        <v>45199</v>
      </c>
      <c r="B489" s="118" t="s">
        <v>617</v>
      </c>
      <c r="C489" s="113">
        <v>0</v>
      </c>
      <c r="D489" s="113">
        <v>0</v>
      </c>
      <c r="E489" s="113">
        <f>+IF(FINANCIACION[[#This Row],[$ CAPITAL]]&gt;=0,FINANCIACION[[#This Row],[$ CAPITAL]]+FINANCIACION[[#This Row],[$ INTERESES]],"")</f>
        <v>0</v>
      </c>
      <c r="F489" s="113">
        <f>+SUMIFS(FINANCIACION[$ CAPITAL],FINANCIACION[Fecha],"&lt;="&amp;FINANCIACION[[#This Row],[Fecha]],FINANCIACION[PRESTAMO],FINANCIACION[[#This Row],[PRESTAMO]])</f>
        <v>-53691702</v>
      </c>
      <c r="G489" s="113"/>
      <c r="I489" s="119"/>
      <c r="J489" s="113" t="b">
        <f>+IF(FINANCIACION[[#This Row],[$ CAPITAL]]&gt;0,FINANCIACION[[#This Row],[$ CAPITAL]])</f>
        <v>0</v>
      </c>
      <c r="K489" s="120">
        <f>+IF(FINANCIACION[[#This Row],[$ CAPITAL]]&gt;=0,FINANCIACION[[#This Row],[$ CAPITAL]]+FINANCIACION[[#This Row],[$ INTERESES]],0)</f>
        <v>0</v>
      </c>
    </row>
    <row r="490" spans="1:11" ht="24" customHeight="1" x14ac:dyDescent="0.3">
      <c r="A490" s="112">
        <v>45230</v>
      </c>
      <c r="B490" s="118" t="s">
        <v>617</v>
      </c>
      <c r="C490" s="113">
        <v>0</v>
      </c>
      <c r="D490" s="113"/>
      <c r="E490" s="113">
        <f>+IF(FINANCIACION[[#This Row],[$ CAPITAL]]&gt;=0,FINANCIACION[[#This Row],[$ CAPITAL]]+FINANCIACION[[#This Row],[$ INTERESES]],"")</f>
        <v>0</v>
      </c>
      <c r="F490" s="113">
        <f>+SUMIFS(FINANCIACION[$ CAPITAL],FINANCIACION[Fecha],"&lt;="&amp;FINANCIACION[[#This Row],[Fecha]],FINANCIACION[PRESTAMO],FINANCIACION[[#This Row],[PRESTAMO]])</f>
        <v>-53691702</v>
      </c>
      <c r="G490" s="113"/>
      <c r="I490" s="119"/>
      <c r="J490" s="113" t="b">
        <f>+IF(FINANCIACION[[#This Row],[$ CAPITAL]]&gt;0,FINANCIACION[[#This Row],[$ CAPITAL]])</f>
        <v>0</v>
      </c>
      <c r="K490" s="120">
        <f>+IF(FINANCIACION[[#This Row],[$ CAPITAL]]&gt;=0,FINANCIACION[[#This Row],[$ CAPITAL]]+FINANCIACION[[#This Row],[$ INTERESES]],0)</f>
        <v>0</v>
      </c>
    </row>
    <row r="491" spans="1:11" ht="24" customHeight="1" x14ac:dyDescent="0.3">
      <c r="A491" s="112">
        <v>45260</v>
      </c>
      <c r="B491" s="118" t="s">
        <v>617</v>
      </c>
      <c r="C491" s="113">
        <v>0</v>
      </c>
      <c r="D491" s="113"/>
      <c r="E491" s="113">
        <f>+IF(FINANCIACION[[#This Row],[$ CAPITAL]]&gt;=0,FINANCIACION[[#This Row],[$ CAPITAL]]+FINANCIACION[[#This Row],[$ INTERESES]],"")</f>
        <v>0</v>
      </c>
      <c r="F491" s="113">
        <f>+SUMIFS(FINANCIACION[$ CAPITAL],FINANCIACION[Fecha],"&lt;="&amp;FINANCIACION[[#This Row],[Fecha]],FINANCIACION[PRESTAMO],FINANCIACION[[#This Row],[PRESTAMO]])</f>
        <v>-53691702</v>
      </c>
      <c r="G491" s="113"/>
      <c r="I491" s="119"/>
      <c r="J491" s="113" t="b">
        <f>+IF(FINANCIACION[[#This Row],[$ CAPITAL]]&gt;0,FINANCIACION[[#This Row],[$ CAPITAL]])</f>
        <v>0</v>
      </c>
      <c r="K491" s="120">
        <f>+IF(FINANCIACION[[#This Row],[$ CAPITAL]]&gt;=0,FINANCIACION[[#This Row],[$ CAPITAL]]+FINANCIACION[[#This Row],[$ INTERESES]],0)</f>
        <v>0</v>
      </c>
    </row>
    <row r="492" spans="1:11" ht="24" customHeight="1" x14ac:dyDescent="0.3">
      <c r="A492" s="112">
        <v>45286</v>
      </c>
      <c r="B492" s="118" t="s">
        <v>617</v>
      </c>
      <c r="C492" s="113">
        <v>47942987</v>
      </c>
      <c r="D492" s="113"/>
      <c r="E492" s="113">
        <f>+IF(FINANCIACION[[#This Row],[$ CAPITAL]]&gt;=0,FINANCIACION[[#This Row],[$ CAPITAL]]+FINANCIACION[[#This Row],[$ INTERESES]],"")</f>
        <v>47942987</v>
      </c>
      <c r="F492" s="113">
        <f>+SUMIFS(FINANCIACION[$ CAPITAL],FINANCIACION[Fecha],"&lt;="&amp;FINANCIACION[[#This Row],[Fecha]],FINANCIACION[PRESTAMO],FINANCIACION[[#This Row],[PRESTAMO]])</f>
        <v>-5748715</v>
      </c>
      <c r="G492" s="113"/>
      <c r="I492" s="119"/>
      <c r="J492" s="113">
        <f>+IF(FINANCIACION[[#This Row],[$ CAPITAL]]&gt;0,FINANCIACION[[#This Row],[$ CAPITAL]])</f>
        <v>47942987</v>
      </c>
      <c r="K492" s="120">
        <f>+IF(FINANCIACION[[#This Row],[$ CAPITAL]]&gt;=0,FINANCIACION[[#This Row],[$ CAPITAL]]+FINANCIACION[[#This Row],[$ INTERESES]],0)</f>
        <v>47942987</v>
      </c>
    </row>
    <row r="493" spans="1:11" ht="24" customHeight="1" x14ac:dyDescent="0.3">
      <c r="A493" s="112">
        <v>45291</v>
      </c>
      <c r="B493" s="118" t="s">
        <v>617</v>
      </c>
      <c r="C493" s="113">
        <v>5748715</v>
      </c>
      <c r="D493" s="113"/>
      <c r="E493" s="113">
        <f>+IF(FINANCIACION[[#This Row],[$ CAPITAL]]&gt;=0,FINANCIACION[[#This Row],[$ CAPITAL]]+FINANCIACION[[#This Row],[$ INTERESES]],"")</f>
        <v>5748715</v>
      </c>
      <c r="F493" s="113">
        <f>+SUMIFS(FINANCIACION[$ CAPITAL],FINANCIACION[Fecha],"&lt;="&amp;FINANCIACION[[#This Row],[Fecha]],FINANCIACION[PRESTAMO],FINANCIACION[[#This Row],[PRESTAMO]])</f>
        <v>0</v>
      </c>
      <c r="G493" s="113"/>
      <c r="H493" s="119" t="s">
        <v>616</v>
      </c>
      <c r="I493" s="119"/>
      <c r="J493" s="113">
        <f>+IF(FINANCIACION[[#This Row],[$ CAPITAL]]&gt;0,FINANCIACION[[#This Row],[$ CAPITAL]])</f>
        <v>5748715</v>
      </c>
      <c r="K493" s="120">
        <f>+IF(FINANCIACION[[#This Row],[$ CAPITAL]]&gt;=0,FINANCIACION[[#This Row],[$ CAPITAL]]+FINANCIACION[[#This Row],[$ INTERESES]],0)</f>
        <v>5748715</v>
      </c>
    </row>
    <row r="494" spans="1:11" ht="24" customHeight="1" x14ac:dyDescent="0.3">
      <c r="A494" s="112">
        <v>44727</v>
      </c>
      <c r="B494" s="118" t="s">
        <v>133</v>
      </c>
      <c r="C494" s="113">
        <v>-15000000</v>
      </c>
      <c r="D494" s="113">
        <f>15000000-14530545</f>
        <v>469455</v>
      </c>
      <c r="E494" s="113" t="str">
        <f>+IF(FINANCIACION[[#This Row],[$ CAPITAL]]&gt;=0,FINANCIACION[[#This Row],[$ CAPITAL]]+FINANCIACION[[#This Row],[$ INTERESES]],"")</f>
        <v/>
      </c>
      <c r="F494" s="113">
        <f>+SUMIFS(FINANCIACION[$ CAPITAL],FINANCIACION[Fecha],"&lt;="&amp;FINANCIACION[[#This Row],[Fecha]],FINANCIACION[PRESTAMO],FINANCIACION[[#This Row],[PRESTAMO]])</f>
        <v>-15000000</v>
      </c>
      <c r="G494" s="113"/>
      <c r="H494" s="119" t="s">
        <v>433</v>
      </c>
      <c r="I494" s="119"/>
      <c r="J494" s="113" t="b">
        <f>+IF(FINANCIACION[[#This Row],[$ CAPITAL]]&gt;0,FINANCIACION[[#This Row],[$ CAPITAL]])</f>
        <v>0</v>
      </c>
      <c r="K494" s="120">
        <f>+IF(FINANCIACION[[#This Row],[$ CAPITAL]]&gt;=0,FINANCIACION[[#This Row],[$ CAPITAL]]+FINANCIACION[[#This Row],[$ INTERESES]],0)</f>
        <v>0</v>
      </c>
    </row>
    <row r="495" spans="1:11" ht="24" customHeight="1" x14ac:dyDescent="0.3">
      <c r="A495" s="112">
        <v>44761</v>
      </c>
      <c r="B495" s="118" t="s">
        <v>133</v>
      </c>
      <c r="C495" s="113">
        <v>417000</v>
      </c>
      <c r="D495" s="113">
        <f>627251.99-FINANCIACION[[#This Row],[$ CAPITAL]]</f>
        <v>210251.99</v>
      </c>
      <c r="E495" s="113">
        <f>+IF(FINANCIACION[[#This Row],[$ CAPITAL]]&gt;=0,FINANCIACION[[#This Row],[$ CAPITAL]]+FINANCIACION[[#This Row],[$ INTERESES]],"")</f>
        <v>627251.99</v>
      </c>
      <c r="F495" s="113">
        <f>+SUMIFS(FINANCIACION[$ CAPITAL],FINANCIACION[Fecha],"&lt;="&amp;FINANCIACION[[#This Row],[Fecha]],FINANCIACION[PRESTAMO],FINANCIACION[[#This Row],[PRESTAMO]])</f>
        <v>-14583000</v>
      </c>
      <c r="G495" s="113"/>
      <c r="I495" s="119"/>
      <c r="J495" s="113">
        <f>+IF(FINANCIACION[[#This Row],[$ CAPITAL]]&gt;0,FINANCIACION[[#This Row],[$ CAPITAL]])</f>
        <v>417000</v>
      </c>
      <c r="K495" s="120">
        <f>+IF(FINANCIACION[[#This Row],[$ CAPITAL]]&gt;=0,FINANCIACION[[#This Row],[$ CAPITAL]]+FINANCIACION[[#This Row],[$ INTERESES]],0)</f>
        <v>627251.99</v>
      </c>
    </row>
    <row r="496" spans="1:11" ht="24" customHeight="1" x14ac:dyDescent="0.3">
      <c r="A496" s="112">
        <v>44784</v>
      </c>
      <c r="B496" s="118" t="s">
        <v>133</v>
      </c>
      <c r="C496" s="113">
        <v>417000</v>
      </c>
      <c r="D496" s="113">
        <v>208327</v>
      </c>
      <c r="E496" s="113">
        <f>+IF(FINANCIACION[[#This Row],[$ CAPITAL]]&gt;=0,FINANCIACION[[#This Row],[$ CAPITAL]]+FINANCIACION[[#This Row],[$ INTERESES]],"")</f>
        <v>625327</v>
      </c>
      <c r="F496" s="113">
        <f>+SUMIFS(FINANCIACION[$ CAPITAL],FINANCIACION[Fecha],"&lt;="&amp;FINANCIACION[[#This Row],[Fecha]],FINANCIACION[PRESTAMO],FINANCIACION[[#This Row],[PRESTAMO]])</f>
        <v>-14166000</v>
      </c>
      <c r="G496" s="113"/>
      <c r="I496" s="119"/>
      <c r="J496" s="113">
        <f>+IF(FINANCIACION[[#This Row],[$ CAPITAL]]&gt;0,FINANCIACION[[#This Row],[$ CAPITAL]])</f>
        <v>417000</v>
      </c>
      <c r="K496" s="120">
        <f>+IF(FINANCIACION[[#This Row],[$ CAPITAL]]&gt;=0,FINANCIACION[[#This Row],[$ CAPITAL]]+FINANCIACION[[#This Row],[$ INTERESES]],0)</f>
        <v>625327</v>
      </c>
    </row>
    <row r="497" spans="1:11" ht="24" customHeight="1" x14ac:dyDescent="0.3">
      <c r="A497" s="112">
        <v>44804</v>
      </c>
      <c r="B497" s="118" t="s">
        <v>133</v>
      </c>
      <c r="C497" s="113"/>
      <c r="D497" s="113"/>
      <c r="E497" s="113">
        <f>+IF(FINANCIACION[[#This Row],[$ CAPITAL]]&gt;=0,FINANCIACION[[#This Row],[$ CAPITAL]]+FINANCIACION[[#This Row],[$ INTERESES]],"")</f>
        <v>0</v>
      </c>
      <c r="F497" s="113">
        <f>+SUMIFS(FINANCIACION[$ CAPITAL],FINANCIACION[Fecha],"&lt;="&amp;FINANCIACION[[#This Row],[Fecha]],FINANCIACION[PRESTAMO],FINANCIACION[[#This Row],[PRESTAMO]])</f>
        <v>-14166000</v>
      </c>
      <c r="G497" s="113"/>
      <c r="H497" s="119" t="s">
        <v>144</v>
      </c>
      <c r="I497" s="119"/>
      <c r="J497" s="113" t="b">
        <f>+IF(FINANCIACION[[#This Row],[$ CAPITAL]]&gt;0,FINANCIACION[[#This Row],[$ CAPITAL]])</f>
        <v>0</v>
      </c>
      <c r="K497" s="120">
        <f>+IF(FINANCIACION[[#This Row],[$ CAPITAL]]&gt;=0,FINANCIACION[[#This Row],[$ CAPITAL]]+FINANCIACION[[#This Row],[$ INTERESES]],0)</f>
        <v>0</v>
      </c>
    </row>
    <row r="498" spans="1:11" ht="24" customHeight="1" x14ac:dyDescent="0.3">
      <c r="A498" s="112">
        <v>44819</v>
      </c>
      <c r="B498" s="118" t="s">
        <v>133</v>
      </c>
      <c r="C498" s="113">
        <v>417000</v>
      </c>
      <c r="D498" s="113">
        <v>227121.46</v>
      </c>
      <c r="E498" s="113">
        <f>+IF(FINANCIACION[[#This Row],[$ CAPITAL]]&gt;=0,FINANCIACION[[#This Row],[$ CAPITAL]]+FINANCIACION[[#This Row],[$ INTERESES]],"")</f>
        <v>644121.46</v>
      </c>
      <c r="F498" s="113">
        <f>+SUMIFS(FINANCIACION[$ CAPITAL],FINANCIACION[Fecha],"&lt;="&amp;FINANCIACION[[#This Row],[Fecha]],FINANCIACION[PRESTAMO],FINANCIACION[[#This Row],[PRESTAMO]])</f>
        <v>-13749000</v>
      </c>
      <c r="G498" s="113"/>
      <c r="I498" s="119"/>
      <c r="J498" s="113">
        <f>+IF(FINANCIACION[[#This Row],[$ CAPITAL]]&gt;0,FINANCIACION[[#This Row],[$ CAPITAL]])</f>
        <v>417000</v>
      </c>
      <c r="K498" s="120">
        <f>+IF(FINANCIACION[[#This Row],[$ CAPITAL]]&gt;=0,FINANCIACION[[#This Row],[$ CAPITAL]]+FINANCIACION[[#This Row],[$ INTERESES]],0)</f>
        <v>644121.46</v>
      </c>
    </row>
    <row r="499" spans="1:11" ht="24" customHeight="1" x14ac:dyDescent="0.3">
      <c r="A499" s="112">
        <v>44852</v>
      </c>
      <c r="B499" s="118" t="s">
        <v>133</v>
      </c>
      <c r="C499" s="113">
        <v>417000</v>
      </c>
      <c r="D499" s="113">
        <v>226863.81</v>
      </c>
      <c r="E499" s="113">
        <f>+IF(FINANCIACION[[#This Row],[$ CAPITAL]]&gt;=0,FINANCIACION[[#This Row],[$ CAPITAL]]+FINANCIACION[[#This Row],[$ INTERESES]],"")</f>
        <v>643863.81000000006</v>
      </c>
      <c r="F499" s="113">
        <f>+SUMIFS(FINANCIACION[$ CAPITAL],FINANCIACION[Fecha],"&lt;="&amp;FINANCIACION[[#This Row],[Fecha]],FINANCIACION[PRESTAMO],FINANCIACION[[#This Row],[PRESTAMO]])</f>
        <v>-13332000</v>
      </c>
      <c r="G499" s="113"/>
      <c r="I499" s="119"/>
      <c r="J499" s="113">
        <f>+IF(FINANCIACION[[#This Row],[$ CAPITAL]]&gt;0,FINANCIACION[[#This Row],[$ CAPITAL]])</f>
        <v>417000</v>
      </c>
      <c r="K499" s="120">
        <f>+IF(FINANCIACION[[#This Row],[$ CAPITAL]]&gt;=0,FINANCIACION[[#This Row],[$ CAPITAL]]+FINANCIACION[[#This Row],[$ INTERESES]],0)</f>
        <v>643863.81000000006</v>
      </c>
    </row>
    <row r="500" spans="1:11" ht="24" customHeight="1" x14ac:dyDescent="0.3">
      <c r="A500" s="112">
        <v>44880</v>
      </c>
      <c r="B500" s="118" t="s">
        <v>133</v>
      </c>
      <c r="C500" s="113">
        <v>417000</v>
      </c>
      <c r="D500" s="113">
        <v>219054</v>
      </c>
      <c r="E500" s="113">
        <f>+IF(FINANCIACION[[#This Row],[$ CAPITAL]]&gt;=0,FINANCIACION[[#This Row],[$ CAPITAL]]+FINANCIACION[[#This Row],[$ INTERESES]],"")</f>
        <v>636054</v>
      </c>
      <c r="F500" s="113">
        <f>+SUMIFS(FINANCIACION[$ CAPITAL],FINANCIACION[Fecha],"&lt;="&amp;FINANCIACION[[#This Row],[Fecha]],FINANCIACION[PRESTAMO],FINANCIACION[[#This Row],[PRESTAMO]])</f>
        <v>-12915000</v>
      </c>
      <c r="G500" s="113"/>
      <c r="I500" s="119"/>
      <c r="J500" s="113">
        <f>+IF(FINANCIACION[[#This Row],[$ CAPITAL]]&gt;0,FINANCIACION[[#This Row],[$ CAPITAL]])</f>
        <v>417000</v>
      </c>
      <c r="K500" s="120">
        <f>+IF(FINANCIACION[[#This Row],[$ CAPITAL]]&gt;=0,FINANCIACION[[#This Row],[$ CAPITAL]]+FINANCIACION[[#This Row],[$ INTERESES]],0)</f>
        <v>636054</v>
      </c>
    </row>
    <row r="501" spans="1:11" ht="24" customHeight="1" x14ac:dyDescent="0.3">
      <c r="A501" s="112">
        <v>44910</v>
      </c>
      <c r="B501" s="118" t="s">
        <v>133</v>
      </c>
      <c r="C501" s="113">
        <v>417000</v>
      </c>
      <c r="D501" s="113">
        <v>227044</v>
      </c>
      <c r="E501" s="113">
        <f>+IF(FINANCIACION[[#This Row],[$ CAPITAL]]&gt;=0,FINANCIACION[[#This Row],[$ CAPITAL]]+FINANCIACION[[#This Row],[$ INTERESES]],"")</f>
        <v>644044</v>
      </c>
      <c r="F501" s="113">
        <f>+SUMIFS(FINANCIACION[$ CAPITAL],FINANCIACION[Fecha],"&lt;="&amp;FINANCIACION[[#This Row],[Fecha]],FINANCIACION[PRESTAMO],FINANCIACION[[#This Row],[PRESTAMO]])</f>
        <v>-12498000</v>
      </c>
      <c r="G501" s="113"/>
      <c r="I501" s="119"/>
      <c r="J501" s="113">
        <f>+IF(FINANCIACION[[#This Row],[$ CAPITAL]]&gt;0,FINANCIACION[[#This Row],[$ CAPITAL]])</f>
        <v>417000</v>
      </c>
      <c r="K501" s="120">
        <f>+IF(FINANCIACION[[#This Row],[$ CAPITAL]]&gt;=0,FINANCIACION[[#This Row],[$ CAPITAL]]+FINANCIACION[[#This Row],[$ INTERESES]],0)</f>
        <v>644044</v>
      </c>
    </row>
    <row r="502" spans="1:11" ht="24" customHeight="1" x14ac:dyDescent="0.3">
      <c r="A502" s="112">
        <v>44945</v>
      </c>
      <c r="B502" s="118" t="s">
        <v>133</v>
      </c>
      <c r="C502" s="113">
        <v>417000</v>
      </c>
      <c r="D502" s="113">
        <v>224894</v>
      </c>
      <c r="E502" s="113">
        <f>+IF(FINANCIACION[[#This Row],[$ CAPITAL]]&gt;=0,FINANCIACION[[#This Row],[$ CAPITAL]]+FINANCIACION[[#This Row],[$ INTERESES]],"")</f>
        <v>641894</v>
      </c>
      <c r="F502" s="113">
        <f>+SUMIFS(FINANCIACION[$ CAPITAL],FINANCIACION[Fecha],"&lt;="&amp;FINANCIACION[[#This Row],[Fecha]],FINANCIACION[PRESTAMO],FINANCIACION[[#This Row],[PRESTAMO]])</f>
        <v>-12081000</v>
      </c>
      <c r="G502" s="113"/>
      <c r="I502" s="119"/>
      <c r="J502" s="113">
        <f>+IF(FINANCIACION[[#This Row],[$ CAPITAL]]&gt;0,FINANCIACION[[#This Row],[$ CAPITAL]])</f>
        <v>417000</v>
      </c>
      <c r="K502" s="120">
        <f>+IF(FINANCIACION[[#This Row],[$ CAPITAL]]&gt;=0,FINANCIACION[[#This Row],[$ CAPITAL]]+FINANCIACION[[#This Row],[$ INTERESES]],0)</f>
        <v>641894</v>
      </c>
    </row>
    <row r="503" spans="1:11" ht="24" customHeight="1" x14ac:dyDescent="0.3">
      <c r="A503" s="112">
        <v>44972</v>
      </c>
      <c r="B503" s="118" t="s">
        <v>133</v>
      </c>
      <c r="C503" s="113">
        <v>417000</v>
      </c>
      <c r="D503" s="113">
        <v>221773</v>
      </c>
      <c r="E503" s="113">
        <f>+IF(FINANCIACION[[#This Row],[$ CAPITAL]]&gt;=0,FINANCIACION[[#This Row],[$ CAPITAL]]+FINANCIACION[[#This Row],[$ INTERESES]],"")</f>
        <v>638773</v>
      </c>
      <c r="F503" s="113">
        <f>+SUMIFS(FINANCIACION[$ CAPITAL],FINANCIACION[Fecha],"&lt;="&amp;FINANCIACION[[#This Row],[Fecha]],FINANCIACION[PRESTAMO],FINANCIACION[[#This Row],[PRESTAMO]])</f>
        <v>-11664000</v>
      </c>
      <c r="G503" s="113"/>
      <c r="I503" s="119"/>
      <c r="J503" s="113">
        <f>+IF(FINANCIACION[[#This Row],[$ CAPITAL]]&gt;0,FINANCIACION[[#This Row],[$ CAPITAL]])</f>
        <v>417000</v>
      </c>
      <c r="K503" s="120">
        <f>+IF(FINANCIACION[[#This Row],[$ CAPITAL]]&gt;=0,FINANCIACION[[#This Row],[$ CAPITAL]]+FINANCIACION[[#This Row],[$ INTERESES]],0)</f>
        <v>638773</v>
      </c>
    </row>
    <row r="504" spans="1:11" ht="24" customHeight="1" x14ac:dyDescent="0.3">
      <c r="A504" s="112">
        <v>45000</v>
      </c>
      <c r="B504" s="118" t="s">
        <v>133</v>
      </c>
      <c r="C504" s="113">
        <v>417000</v>
      </c>
      <c r="D504" s="113">
        <v>221772</v>
      </c>
      <c r="E504" s="113">
        <f>+IF(FINANCIACION[[#This Row],[$ CAPITAL]]&gt;=0,FINANCIACION[[#This Row],[$ CAPITAL]]+FINANCIACION[[#This Row],[$ INTERESES]],"")</f>
        <v>638772</v>
      </c>
      <c r="F504" s="113">
        <f>+SUMIFS(FINANCIACION[$ CAPITAL],FINANCIACION[Fecha],"&lt;="&amp;FINANCIACION[[#This Row],[Fecha]],FINANCIACION[PRESTAMO],FINANCIACION[[#This Row],[PRESTAMO]])</f>
        <v>-11247000</v>
      </c>
      <c r="G504" s="113"/>
      <c r="I504" s="119"/>
      <c r="J504" s="113">
        <f>+IF(FINANCIACION[[#This Row],[$ CAPITAL]]&gt;0,FINANCIACION[[#This Row],[$ CAPITAL]])</f>
        <v>417000</v>
      </c>
      <c r="K504" s="120">
        <f>+IF(FINANCIACION[[#This Row],[$ CAPITAL]]&gt;=0,FINANCIACION[[#This Row],[$ CAPITAL]]+FINANCIACION[[#This Row],[$ INTERESES]],0)</f>
        <v>638772</v>
      </c>
    </row>
    <row r="505" spans="1:11" ht="24" customHeight="1" x14ac:dyDescent="0.3">
      <c r="A505" s="112">
        <v>45031</v>
      </c>
      <c r="B505" s="118" t="s">
        <v>133</v>
      </c>
      <c r="C505" s="113">
        <v>417000</v>
      </c>
      <c r="D505" s="113">
        <v>203486</v>
      </c>
      <c r="E505" s="113">
        <f>+IF(FINANCIACION[[#This Row],[$ CAPITAL]]&gt;=0,FINANCIACION[[#This Row],[$ CAPITAL]]+FINANCIACION[[#This Row],[$ INTERESES]],"")</f>
        <v>620486</v>
      </c>
      <c r="F505" s="113">
        <f>+SUMIFS(FINANCIACION[$ CAPITAL],FINANCIACION[Fecha],"&lt;="&amp;FINANCIACION[[#This Row],[Fecha]],FINANCIACION[PRESTAMO],FINANCIACION[[#This Row],[PRESTAMO]])</f>
        <v>-10830000</v>
      </c>
      <c r="G505" s="113"/>
      <c r="I505" s="119"/>
      <c r="J505" s="113">
        <f>+IF(FINANCIACION[[#This Row],[$ CAPITAL]]&gt;0,FINANCIACION[[#This Row],[$ CAPITAL]])</f>
        <v>417000</v>
      </c>
      <c r="K505" s="120">
        <f>+IF(FINANCIACION[[#This Row],[$ CAPITAL]]&gt;=0,FINANCIACION[[#This Row],[$ CAPITAL]]+FINANCIACION[[#This Row],[$ INTERESES]],0)</f>
        <v>620486</v>
      </c>
    </row>
    <row r="506" spans="1:11" ht="24" customHeight="1" x14ac:dyDescent="0.3">
      <c r="A506" s="112">
        <v>45061</v>
      </c>
      <c r="B506" s="118" t="s">
        <v>133</v>
      </c>
      <c r="C506" s="113">
        <v>417000</v>
      </c>
      <c r="D506" s="113">
        <v>186494</v>
      </c>
      <c r="E506" s="113">
        <f>+IF(FINANCIACION[[#This Row],[$ CAPITAL]]&gt;=0,FINANCIACION[[#This Row],[$ CAPITAL]]+FINANCIACION[[#This Row],[$ INTERESES]],"")</f>
        <v>603494</v>
      </c>
      <c r="F506" s="113">
        <f>+SUMIFS(FINANCIACION[$ CAPITAL],FINANCIACION[Fecha],"&lt;="&amp;FINANCIACION[[#This Row],[Fecha]],FINANCIACION[PRESTAMO],FINANCIACION[[#This Row],[PRESTAMO]])</f>
        <v>-10413000</v>
      </c>
      <c r="G506" s="113"/>
      <c r="I506" s="119"/>
      <c r="J506" s="113">
        <f>+IF(FINANCIACION[[#This Row],[$ CAPITAL]]&gt;0,FINANCIACION[[#This Row],[$ CAPITAL]])</f>
        <v>417000</v>
      </c>
      <c r="K506" s="120">
        <f>+IF(FINANCIACION[[#This Row],[$ CAPITAL]]&gt;=0,FINANCIACION[[#This Row],[$ CAPITAL]]+FINANCIACION[[#This Row],[$ INTERESES]],0)</f>
        <v>603494</v>
      </c>
    </row>
    <row r="507" spans="1:11" ht="24" customHeight="1" x14ac:dyDescent="0.3">
      <c r="A507" s="112">
        <v>45093</v>
      </c>
      <c r="B507" s="118" t="s">
        <v>133</v>
      </c>
      <c r="C507" s="113">
        <v>417000</v>
      </c>
      <c r="D507" s="113">
        <v>495747</v>
      </c>
      <c r="E507" s="113">
        <f>+IF(FINANCIACION[[#This Row],[$ CAPITAL]]&gt;=0,FINANCIACION[[#This Row],[$ CAPITAL]]+FINANCIACION[[#This Row],[$ INTERESES]],"")</f>
        <v>912747</v>
      </c>
      <c r="F507" s="113">
        <f>+SUMIFS(FINANCIACION[$ CAPITAL],FINANCIACION[Fecha],"&lt;="&amp;FINANCIACION[[#This Row],[Fecha]],FINANCIACION[PRESTAMO],FINANCIACION[[#This Row],[PRESTAMO]])</f>
        <v>-9996000</v>
      </c>
      <c r="G507" s="113"/>
      <c r="I507" s="119"/>
      <c r="J507" s="113">
        <f>+IF(FINANCIACION[[#This Row],[$ CAPITAL]]&gt;0,FINANCIACION[[#This Row],[$ CAPITAL]])</f>
        <v>417000</v>
      </c>
      <c r="K507" s="120">
        <f>+IF(FINANCIACION[[#This Row],[$ CAPITAL]]&gt;=0,FINANCIACION[[#This Row],[$ CAPITAL]]+FINANCIACION[[#This Row],[$ INTERESES]],0)</f>
        <v>912747</v>
      </c>
    </row>
    <row r="508" spans="1:11" ht="24" customHeight="1" x14ac:dyDescent="0.3">
      <c r="A508" s="112">
        <v>45107</v>
      </c>
      <c r="B508" s="118" t="s">
        <v>133</v>
      </c>
      <c r="C508" s="113">
        <v>-94820</v>
      </c>
      <c r="D508" s="113"/>
      <c r="E508" s="113" t="str">
        <f>+IF(FINANCIACION[[#This Row],[$ CAPITAL]]&gt;=0,FINANCIACION[[#This Row],[$ CAPITAL]]+FINANCIACION[[#This Row],[$ INTERESES]],"")</f>
        <v/>
      </c>
      <c r="F508" s="113">
        <f>+SUMIFS(FINANCIACION[$ CAPITAL],FINANCIACION[Fecha],"&lt;="&amp;FINANCIACION[[#This Row],[Fecha]],FINANCIACION[PRESTAMO],FINANCIACION[[#This Row],[PRESTAMO]])</f>
        <v>-10090820</v>
      </c>
      <c r="G508" s="113"/>
      <c r="H508" s="119" t="s">
        <v>897</v>
      </c>
      <c r="I508" s="119"/>
      <c r="J508" s="113" t="b">
        <f>+IF(FINANCIACION[[#This Row],[$ CAPITAL]]&gt;0,FINANCIACION[[#This Row],[$ CAPITAL]])</f>
        <v>0</v>
      </c>
      <c r="K508" s="120">
        <f>+IF(FINANCIACION[[#This Row],[$ CAPITAL]]&gt;=0,FINANCIACION[[#This Row],[$ CAPITAL]]+FINANCIACION[[#This Row],[$ INTERESES]],0)</f>
        <v>0</v>
      </c>
    </row>
    <row r="509" spans="1:11" ht="24" customHeight="1" x14ac:dyDescent="0.3">
      <c r="A509" s="112">
        <v>45122</v>
      </c>
      <c r="B509" s="118" t="s">
        <v>133</v>
      </c>
      <c r="C509" s="113">
        <v>417000</v>
      </c>
      <c r="D509" s="113">
        <v>177789</v>
      </c>
      <c r="E509" s="113">
        <f>+IF(FINANCIACION[[#This Row],[$ CAPITAL]]&gt;=0,FINANCIACION[[#This Row],[$ CAPITAL]]+FINANCIACION[[#This Row],[$ INTERESES]],"")</f>
        <v>594789</v>
      </c>
      <c r="F509" s="113">
        <f>+SUMIFS(FINANCIACION[$ CAPITAL],FINANCIACION[Fecha],"&lt;="&amp;FINANCIACION[[#This Row],[Fecha]],FINANCIACION[PRESTAMO],FINANCIACION[[#This Row],[PRESTAMO]])</f>
        <v>-9673820</v>
      </c>
      <c r="G509" s="113"/>
      <c r="I509" s="119"/>
      <c r="J509" s="113">
        <f>+IF(FINANCIACION[[#This Row],[$ CAPITAL]]&gt;0,FINANCIACION[[#This Row],[$ CAPITAL]])</f>
        <v>417000</v>
      </c>
      <c r="K509" s="120">
        <f>+IF(FINANCIACION[[#This Row],[$ CAPITAL]]&gt;=0,FINANCIACION[[#This Row],[$ CAPITAL]]+FINANCIACION[[#This Row],[$ INTERESES]],0)</f>
        <v>594789</v>
      </c>
    </row>
    <row r="510" spans="1:11" ht="24" customHeight="1" x14ac:dyDescent="0.3">
      <c r="A510" s="112">
        <v>45160</v>
      </c>
      <c r="B510" s="118" t="s">
        <v>133</v>
      </c>
      <c r="C510" s="113">
        <v>417000</v>
      </c>
      <c r="D510" s="113">
        <v>177542</v>
      </c>
      <c r="E510" s="113">
        <f>+IF(FINANCIACION[[#This Row],[$ CAPITAL]]&gt;=0,FINANCIACION[[#This Row],[$ CAPITAL]]+FINANCIACION[[#This Row],[$ INTERESES]],"")</f>
        <v>594542</v>
      </c>
      <c r="F510" s="113">
        <f>+SUMIFS(FINANCIACION[$ CAPITAL],FINANCIACION[Fecha],"&lt;="&amp;FINANCIACION[[#This Row],[Fecha]],FINANCIACION[PRESTAMO],FINANCIACION[[#This Row],[PRESTAMO]])</f>
        <v>-9256820</v>
      </c>
      <c r="G510" s="113"/>
      <c r="I510" s="119"/>
      <c r="J510" s="113">
        <f>+IF(FINANCIACION[[#This Row],[$ CAPITAL]]&gt;0,FINANCIACION[[#This Row],[$ CAPITAL]])</f>
        <v>417000</v>
      </c>
      <c r="K510" s="120">
        <f>+IF(FINANCIACION[[#This Row],[$ CAPITAL]]&gt;=0,FINANCIACION[[#This Row],[$ CAPITAL]]+FINANCIACION[[#This Row],[$ INTERESES]],0)</f>
        <v>594542</v>
      </c>
    </row>
    <row r="511" spans="1:11" ht="24" customHeight="1" x14ac:dyDescent="0.3">
      <c r="A511" s="112">
        <v>45184</v>
      </c>
      <c r="B511" s="118" t="s">
        <v>133</v>
      </c>
      <c r="C511" s="113">
        <v>417000</v>
      </c>
      <c r="D511" s="113">
        <v>167722</v>
      </c>
      <c r="E511" s="113">
        <f>+IF(FINANCIACION[[#This Row],[$ CAPITAL]]&gt;=0,FINANCIACION[[#This Row],[$ CAPITAL]]+FINANCIACION[[#This Row],[$ INTERESES]],"")</f>
        <v>584722</v>
      </c>
      <c r="F511" s="113">
        <f>+SUMIFS(FINANCIACION[$ CAPITAL],FINANCIACION[Fecha],"&lt;="&amp;FINANCIACION[[#This Row],[Fecha]],FINANCIACION[PRESTAMO],FINANCIACION[[#This Row],[PRESTAMO]])</f>
        <v>-8839820</v>
      </c>
      <c r="G511" s="113"/>
      <c r="I511" s="119"/>
      <c r="J511" s="113">
        <f>+IF(FINANCIACION[[#This Row],[$ CAPITAL]]&gt;0,FINANCIACION[[#This Row],[$ CAPITAL]])</f>
        <v>417000</v>
      </c>
      <c r="K511" s="120">
        <f>+IF(FINANCIACION[[#This Row],[$ CAPITAL]]&gt;=0,FINANCIACION[[#This Row],[$ CAPITAL]]+FINANCIACION[[#This Row],[$ INTERESES]],0)</f>
        <v>584722</v>
      </c>
    </row>
    <row r="512" spans="1:11" ht="24" customHeight="1" x14ac:dyDescent="0.3">
      <c r="A512" s="112">
        <v>45214</v>
      </c>
      <c r="B512" s="118" t="s">
        <v>133</v>
      </c>
      <c r="C512" s="113">
        <v>417000</v>
      </c>
      <c r="D512" s="113">
        <v>158355</v>
      </c>
      <c r="E512" s="113">
        <f>+IF(FINANCIACION[[#This Row],[$ CAPITAL]]&gt;=0,FINANCIACION[[#This Row],[$ CAPITAL]]+FINANCIACION[[#This Row],[$ INTERESES]],"")</f>
        <v>575355</v>
      </c>
      <c r="F512" s="113">
        <f>+SUMIFS(FINANCIACION[$ CAPITAL],FINANCIACION[Fecha],"&lt;="&amp;FINANCIACION[[#This Row],[Fecha]],FINANCIACION[PRESTAMO],FINANCIACION[[#This Row],[PRESTAMO]])</f>
        <v>-8422820</v>
      </c>
      <c r="G512" s="113"/>
      <c r="I512" s="119"/>
      <c r="J512" s="113">
        <f>+IF(FINANCIACION[[#This Row],[$ CAPITAL]]&gt;0,FINANCIACION[[#This Row],[$ CAPITAL]])</f>
        <v>417000</v>
      </c>
      <c r="K512" s="120">
        <f>+IF(FINANCIACION[[#This Row],[$ CAPITAL]]&gt;=0,FINANCIACION[[#This Row],[$ CAPITAL]]+FINANCIACION[[#This Row],[$ INTERESES]],0)</f>
        <v>575355</v>
      </c>
    </row>
    <row r="513" spans="1:11" ht="24" customHeight="1" x14ac:dyDescent="0.3">
      <c r="A513" s="112">
        <v>45245</v>
      </c>
      <c r="B513" s="118" t="s">
        <v>133</v>
      </c>
      <c r="C513" s="113">
        <v>422000</v>
      </c>
      <c r="D513" s="113">
        <v>141890</v>
      </c>
      <c r="E513" s="113">
        <f>+IF(FINANCIACION[[#This Row],[$ CAPITAL]]&gt;=0,FINANCIACION[[#This Row],[$ CAPITAL]]+FINANCIACION[[#This Row],[$ INTERESES]],"")</f>
        <v>563890</v>
      </c>
      <c r="F513" s="113">
        <f>+SUMIFS(FINANCIACION[$ CAPITAL],FINANCIACION[Fecha],"&lt;="&amp;FINANCIACION[[#This Row],[Fecha]],FINANCIACION[PRESTAMO],FINANCIACION[[#This Row],[PRESTAMO]])</f>
        <v>-8000820</v>
      </c>
      <c r="G513" s="113"/>
      <c r="I513" s="119"/>
      <c r="J513" s="113">
        <f>+IF(FINANCIACION[[#This Row],[$ CAPITAL]]&gt;0,FINANCIACION[[#This Row],[$ CAPITAL]])</f>
        <v>422000</v>
      </c>
      <c r="K513" s="120">
        <f>+IF(FINANCIACION[[#This Row],[$ CAPITAL]]&gt;=0,FINANCIACION[[#This Row],[$ CAPITAL]]+FINANCIACION[[#This Row],[$ INTERESES]],0)</f>
        <v>563890</v>
      </c>
    </row>
    <row r="514" spans="1:11" ht="24" customHeight="1" x14ac:dyDescent="0.3">
      <c r="A514" s="112">
        <v>45258</v>
      </c>
      <c r="B514" s="118" t="s">
        <v>133</v>
      </c>
      <c r="C514" s="113">
        <v>7911000</v>
      </c>
      <c r="D514" s="113"/>
      <c r="E514" s="113">
        <f>+IF(FINANCIACION[[#This Row],[$ CAPITAL]]&gt;=0,FINANCIACION[[#This Row],[$ CAPITAL]]+FINANCIACION[[#This Row],[$ INTERESES]],"")</f>
        <v>7911000</v>
      </c>
      <c r="F514" s="113">
        <f>+SUMIFS(FINANCIACION[$ CAPITAL],FINANCIACION[Fecha],"&lt;="&amp;FINANCIACION[[#This Row],[Fecha]],FINANCIACION[PRESTAMO],FINANCIACION[[#This Row],[PRESTAMO]])</f>
        <v>-89820</v>
      </c>
      <c r="G514" s="113"/>
      <c r="I514" s="119"/>
      <c r="J514" s="113">
        <f>+IF(FINANCIACION[[#This Row],[$ CAPITAL]]&gt;0,FINANCIACION[[#This Row],[$ CAPITAL]])</f>
        <v>7911000</v>
      </c>
      <c r="K514" s="120">
        <f>+IF(FINANCIACION[[#This Row],[$ CAPITAL]]&gt;=0,FINANCIACION[[#This Row],[$ CAPITAL]]+FINANCIACION[[#This Row],[$ INTERESES]],0)</f>
        <v>7911000</v>
      </c>
    </row>
    <row r="515" spans="1:11" ht="24" customHeight="1" x14ac:dyDescent="0.3">
      <c r="A515" s="112">
        <v>45260</v>
      </c>
      <c r="B515" s="118" t="s">
        <v>133</v>
      </c>
      <c r="C515" s="113">
        <v>89820</v>
      </c>
      <c r="D515" s="113"/>
      <c r="E515" s="113">
        <f>+IF(FINANCIACION[[#This Row],[$ CAPITAL]]&gt;=0,FINANCIACION[[#This Row],[$ CAPITAL]]+FINANCIACION[[#This Row],[$ INTERESES]],"")</f>
        <v>89820</v>
      </c>
      <c r="F515" s="113">
        <f>+SUMIFS(FINANCIACION[$ CAPITAL],FINANCIACION[Fecha],"&lt;="&amp;FINANCIACION[[#This Row],[Fecha]],FINANCIACION[PRESTAMO],FINANCIACION[[#This Row],[PRESTAMO]])</f>
        <v>0</v>
      </c>
      <c r="G515" s="113"/>
      <c r="H515" s="119" t="s">
        <v>1294</v>
      </c>
      <c r="I515" s="119"/>
      <c r="J515" s="113">
        <f>+IF(FINANCIACION[[#This Row],[$ CAPITAL]]&gt;0,FINANCIACION[[#This Row],[$ CAPITAL]])</f>
        <v>89820</v>
      </c>
      <c r="K515" s="120">
        <f>+IF(FINANCIACION[[#This Row],[$ CAPITAL]]&gt;=0,FINANCIACION[[#This Row],[$ CAPITAL]]+FINANCIACION[[#This Row],[$ INTERESES]],0)</f>
        <v>89820</v>
      </c>
    </row>
    <row r="516" spans="1:11" ht="24" customHeight="1" x14ac:dyDescent="0.3">
      <c r="A516" s="112">
        <v>45270</v>
      </c>
      <c r="B516" s="118" t="s">
        <v>1295</v>
      </c>
      <c r="C516" s="113">
        <v>-100000000</v>
      </c>
      <c r="D516" s="113"/>
      <c r="E516" s="113" t="str">
        <f>+IF(FINANCIACION[[#This Row],[$ CAPITAL]]&gt;=0,FINANCIACION[[#This Row],[$ CAPITAL]]+FINANCIACION[[#This Row],[$ INTERESES]],"")</f>
        <v/>
      </c>
      <c r="F516" s="113">
        <f>+SUMIFS(FINANCIACION[$ CAPITAL],FINANCIACION[Fecha],"&lt;="&amp;FINANCIACION[[#This Row],[Fecha]],FINANCIACION[PRESTAMO],FINANCIACION[[#This Row],[PRESTAMO]])</f>
        <v>-100000000</v>
      </c>
      <c r="G516" s="103"/>
      <c r="I516" s="119"/>
      <c r="J516" s="113" t="b">
        <f>+IF(FINANCIACION[[#This Row],[$ CAPITAL]]&gt;0,FINANCIACION[[#This Row],[$ CAPITAL]])</f>
        <v>0</v>
      </c>
      <c r="K516" s="120">
        <f>+IF(FINANCIACION[[#This Row],[$ CAPITAL]]&gt;=0,FINANCIACION[[#This Row],[$ CAPITAL]]+FINANCIACION[[#This Row],[$ INTERESES]],0)</f>
        <v>0</v>
      </c>
    </row>
    <row r="517" spans="1:11" ht="24" customHeight="1" x14ac:dyDescent="0.3">
      <c r="A517" s="112">
        <v>44988</v>
      </c>
      <c r="B517" s="118" t="s">
        <v>620</v>
      </c>
      <c r="C517" s="113">
        <v>-140000000</v>
      </c>
      <c r="D517" s="113"/>
      <c r="E517" s="113" t="str">
        <f>+IF(FINANCIACION[[#This Row],[$ CAPITAL]]&gt;=0,FINANCIACION[[#This Row],[$ CAPITAL]]+FINANCIACION[[#This Row],[$ INTERESES]],"")</f>
        <v/>
      </c>
      <c r="F517" s="113">
        <f>+SUMIFS(FINANCIACION[$ CAPITAL],FINANCIACION[Fecha],"&lt;="&amp;FINANCIACION[[#This Row],[Fecha]],FINANCIACION[PRESTAMO],FINANCIACION[[#This Row],[PRESTAMO]])</f>
        <v>-140000000</v>
      </c>
      <c r="G517" s="103"/>
      <c r="I517" s="119"/>
      <c r="J517" s="113" t="b">
        <f>+IF(FINANCIACION[[#This Row],[$ CAPITAL]]&gt;0,FINANCIACION[[#This Row],[$ CAPITAL]])</f>
        <v>0</v>
      </c>
      <c r="K517" s="120">
        <f>+IF(FINANCIACION[[#This Row],[$ CAPITAL]]&gt;=0,FINANCIACION[[#This Row],[$ CAPITAL]]+FINANCIACION[[#This Row],[$ INTERESES]],0)</f>
        <v>0</v>
      </c>
    </row>
    <row r="518" spans="1:11" ht="24" customHeight="1" x14ac:dyDescent="0.3">
      <c r="A518" s="112">
        <v>45018</v>
      </c>
      <c r="B518" s="118" t="s">
        <v>620</v>
      </c>
      <c r="C518" s="113">
        <v>0</v>
      </c>
      <c r="D518" s="113">
        <v>0</v>
      </c>
      <c r="E518" s="113">
        <f>+IF(FINANCIACION[[#This Row],[$ CAPITAL]]&gt;=0,FINANCIACION[[#This Row],[$ CAPITAL]]+FINANCIACION[[#This Row],[$ INTERESES]],"")</f>
        <v>0</v>
      </c>
      <c r="F518" s="113">
        <f>+SUMIFS(FINANCIACION[$ CAPITAL],FINANCIACION[Fecha],"&lt;="&amp;FINANCIACION[[#This Row],[Fecha]],FINANCIACION[PRESTAMO],FINANCIACION[[#This Row],[PRESTAMO]])</f>
        <v>-140000000</v>
      </c>
      <c r="G518" s="103"/>
      <c r="I518" s="119"/>
      <c r="J518" s="113" t="b">
        <f>+IF(FINANCIACION[[#This Row],[$ CAPITAL]]&gt;0,FINANCIACION[[#This Row],[$ CAPITAL]])</f>
        <v>0</v>
      </c>
      <c r="K518" s="120">
        <f>+IF(FINANCIACION[[#This Row],[$ CAPITAL]]&gt;=0,FINANCIACION[[#This Row],[$ CAPITAL]]+FINANCIACION[[#This Row],[$ INTERESES]],0)</f>
        <v>0</v>
      </c>
    </row>
    <row r="519" spans="1:11" ht="24" customHeight="1" x14ac:dyDescent="0.3">
      <c r="A519" s="112">
        <v>45048</v>
      </c>
      <c r="B519" s="118" t="s">
        <v>620</v>
      </c>
      <c r="C519" s="113">
        <v>3315898</v>
      </c>
      <c r="D519" s="113">
        <v>6518092</v>
      </c>
      <c r="E519" s="113">
        <f>+IF(FINANCIACION[[#This Row],[$ CAPITAL]]&gt;=0,FINANCIACION[[#This Row],[$ CAPITAL]]+FINANCIACION[[#This Row],[$ INTERESES]],"")</f>
        <v>9833990</v>
      </c>
      <c r="F519" s="113">
        <f>+SUMIFS(FINANCIACION[$ CAPITAL],FINANCIACION[Fecha],"&lt;="&amp;FINANCIACION[[#This Row],[Fecha]],FINANCIACION[PRESTAMO],FINANCIACION[[#This Row],[PRESTAMO]])</f>
        <v>-136684102</v>
      </c>
      <c r="G519" s="103"/>
      <c r="I519" s="119"/>
      <c r="J519" s="113">
        <f>+IF(FINANCIACION[[#This Row],[$ CAPITAL]]&gt;0,FINANCIACION[[#This Row],[$ CAPITAL]])</f>
        <v>3315898</v>
      </c>
      <c r="K519" s="120">
        <f>+IF(FINANCIACION[[#This Row],[$ CAPITAL]]&gt;=0,FINANCIACION[[#This Row],[$ CAPITAL]]+FINANCIACION[[#This Row],[$ INTERESES]],0)</f>
        <v>9833990</v>
      </c>
    </row>
    <row r="520" spans="1:11" ht="24" customHeight="1" x14ac:dyDescent="0.3">
      <c r="A520" s="112">
        <v>45082</v>
      </c>
      <c r="B520" s="118" t="s">
        <v>620</v>
      </c>
      <c r="C520" s="113">
        <v>1586752</v>
      </c>
      <c r="D520" s="113">
        <v>5432950</v>
      </c>
      <c r="E520" s="113">
        <f>+IF(FINANCIACION[[#This Row],[$ CAPITAL]]&gt;=0,FINANCIACION[[#This Row],[$ CAPITAL]]+FINANCIACION[[#This Row],[$ INTERESES]],"")</f>
        <v>7019702</v>
      </c>
      <c r="F520" s="113">
        <f>+SUMIFS(FINANCIACION[$ CAPITAL],FINANCIACION[Fecha],"&lt;="&amp;FINANCIACION[[#This Row],[Fecha]],FINANCIACION[PRESTAMO],FINANCIACION[[#This Row],[PRESTAMO]])</f>
        <v>-135097350</v>
      </c>
      <c r="G520" s="103"/>
      <c r="I520" s="119"/>
      <c r="J520" s="113">
        <f>+IF(FINANCIACION[[#This Row],[$ CAPITAL]]&gt;0,FINANCIACION[[#This Row],[$ CAPITAL]])</f>
        <v>1586752</v>
      </c>
      <c r="K520" s="120">
        <f>+IF(FINANCIACION[[#This Row],[$ CAPITAL]]&gt;=0,FINANCIACION[[#This Row],[$ CAPITAL]]+FINANCIACION[[#This Row],[$ INTERESES]],0)</f>
        <v>7019702</v>
      </c>
    </row>
    <row r="521" spans="1:11" ht="24" customHeight="1" x14ac:dyDescent="0.3">
      <c r="A521" s="112">
        <v>45111</v>
      </c>
      <c r="B521" s="118" t="s">
        <v>620</v>
      </c>
      <c r="C521" s="113">
        <v>3794920</v>
      </c>
      <c r="D521" s="113">
        <v>3130802</v>
      </c>
      <c r="E521" s="113">
        <f>+IF(FINANCIACION[[#This Row],[$ CAPITAL]]&gt;=0,FINANCIACION[[#This Row],[$ CAPITAL]]+FINANCIACION[[#This Row],[$ INTERESES]],"")</f>
        <v>6925722</v>
      </c>
      <c r="F521" s="113">
        <f>+SUMIFS(FINANCIACION[$ CAPITAL],FINANCIACION[Fecha],"&lt;="&amp;FINANCIACION[[#This Row],[Fecha]],FINANCIACION[PRESTAMO],FINANCIACION[[#This Row],[PRESTAMO]])</f>
        <v>-131302430</v>
      </c>
      <c r="G521" s="103"/>
      <c r="I521" s="119"/>
      <c r="J521" s="113">
        <f>+IF(FINANCIACION[[#This Row],[$ CAPITAL]]&gt;0,FINANCIACION[[#This Row],[$ CAPITAL]])</f>
        <v>3794920</v>
      </c>
      <c r="K521" s="120">
        <f>+IF(FINANCIACION[[#This Row],[$ CAPITAL]]&gt;=0,FINANCIACION[[#This Row],[$ CAPITAL]]+FINANCIACION[[#This Row],[$ INTERESES]],0)</f>
        <v>6925722</v>
      </c>
    </row>
    <row r="522" spans="1:11" ht="24" customHeight="1" x14ac:dyDescent="0.3">
      <c r="A522" s="112">
        <v>45120</v>
      </c>
      <c r="B522" s="118" t="s">
        <v>620</v>
      </c>
      <c r="C522" s="113">
        <v>17000000</v>
      </c>
      <c r="D522" s="113">
        <v>3000000</v>
      </c>
      <c r="E522" s="113">
        <f>+IF(FINANCIACION[[#This Row],[$ CAPITAL]]&gt;=0,FINANCIACION[[#This Row],[$ CAPITAL]]+FINANCIACION[[#This Row],[$ INTERESES]],"")</f>
        <v>20000000</v>
      </c>
      <c r="F522" s="113">
        <f>+SUMIFS(FINANCIACION[$ CAPITAL],FINANCIACION[Fecha],"&lt;="&amp;FINANCIACION[[#This Row],[Fecha]],FINANCIACION[PRESTAMO],FINANCIACION[[#This Row],[PRESTAMO]])</f>
        <v>-114302430</v>
      </c>
      <c r="G522" s="103"/>
      <c r="I522" s="119"/>
      <c r="J522" s="113">
        <f>+IF(FINANCIACION[[#This Row],[$ CAPITAL]]&gt;0,FINANCIACION[[#This Row],[$ CAPITAL]])</f>
        <v>17000000</v>
      </c>
      <c r="K522" s="120">
        <f>+IF(FINANCIACION[[#This Row],[$ CAPITAL]]&gt;=0,FINANCIACION[[#This Row],[$ CAPITAL]]+FINANCIACION[[#This Row],[$ INTERESES]],0)</f>
        <v>20000000</v>
      </c>
    </row>
    <row r="523" spans="1:11" ht="24" customHeight="1" x14ac:dyDescent="0.3">
      <c r="A523" s="112">
        <v>45121</v>
      </c>
      <c r="B523" s="118" t="s">
        <v>620</v>
      </c>
      <c r="C523" s="113">
        <v>30000000</v>
      </c>
      <c r="D523" s="113"/>
      <c r="E523" s="113">
        <f>+IF(FINANCIACION[[#This Row],[$ CAPITAL]]&gt;=0,FINANCIACION[[#This Row],[$ CAPITAL]]+FINANCIACION[[#This Row],[$ INTERESES]],"")</f>
        <v>30000000</v>
      </c>
      <c r="F523" s="113">
        <f>+SUMIFS(FINANCIACION[$ CAPITAL],FINANCIACION[Fecha],"&lt;="&amp;FINANCIACION[[#This Row],[Fecha]],FINANCIACION[PRESTAMO],FINANCIACION[[#This Row],[PRESTAMO]])</f>
        <v>-84302430</v>
      </c>
      <c r="G523" s="103"/>
      <c r="I523" s="119"/>
      <c r="J523" s="113">
        <f>+IF(FINANCIACION[[#This Row],[$ CAPITAL]]&gt;0,FINANCIACION[[#This Row],[$ CAPITAL]])</f>
        <v>30000000</v>
      </c>
      <c r="K523" s="120">
        <f>+IF(FINANCIACION[[#This Row],[$ CAPITAL]]&gt;=0,FINANCIACION[[#This Row],[$ CAPITAL]]+FINANCIACION[[#This Row],[$ INTERESES]],0)</f>
        <v>30000000</v>
      </c>
    </row>
    <row r="524" spans="1:11" ht="24" customHeight="1" x14ac:dyDescent="0.3">
      <c r="A524" s="112">
        <v>45140</v>
      </c>
      <c r="B524" s="118" t="s">
        <v>620</v>
      </c>
      <c r="C524" s="113">
        <v>0</v>
      </c>
      <c r="D524" s="113">
        <v>0</v>
      </c>
      <c r="E524" s="113">
        <f>+IF(FINANCIACION[[#This Row],[$ CAPITAL]]&gt;=0,FINANCIACION[[#This Row],[$ CAPITAL]]+FINANCIACION[[#This Row],[$ INTERESES]],"")</f>
        <v>0</v>
      </c>
      <c r="F524" s="113">
        <f>+SUMIFS(FINANCIACION[$ CAPITAL],FINANCIACION[Fecha],"&lt;="&amp;FINANCIACION[[#This Row],[Fecha]],FINANCIACION[PRESTAMO],FINANCIACION[[#This Row],[PRESTAMO]])</f>
        <v>-84302430</v>
      </c>
      <c r="G524" s="103"/>
      <c r="I524" s="119"/>
      <c r="J524" s="113" t="b">
        <f>+IF(FINANCIACION[[#This Row],[$ CAPITAL]]&gt;0,FINANCIACION[[#This Row],[$ CAPITAL]])</f>
        <v>0</v>
      </c>
      <c r="K524" s="120">
        <f>+IF(FINANCIACION[[#This Row],[$ CAPITAL]]&gt;=0,FINANCIACION[[#This Row],[$ CAPITAL]]+FINANCIACION[[#This Row],[$ INTERESES]],0)</f>
        <v>0</v>
      </c>
    </row>
    <row r="525" spans="1:11" ht="24" customHeight="1" x14ac:dyDescent="0.3">
      <c r="A525" s="112">
        <v>45170</v>
      </c>
      <c r="B525" s="118" t="s">
        <v>620</v>
      </c>
      <c r="C525" s="113">
        <v>3626885</v>
      </c>
      <c r="D525" s="113">
        <f>1797434+374651</f>
        <v>2172085</v>
      </c>
      <c r="E525" s="113">
        <f>+IF(FINANCIACION[[#This Row],[$ CAPITAL]]&gt;=0,FINANCIACION[[#This Row],[$ CAPITAL]]+FINANCIACION[[#This Row],[$ INTERESES]],"")</f>
        <v>5798970</v>
      </c>
      <c r="F525" s="113">
        <f>+SUMIFS(FINANCIACION[$ CAPITAL],FINANCIACION[Fecha],"&lt;="&amp;FINANCIACION[[#This Row],[Fecha]],FINANCIACION[PRESTAMO],FINANCIACION[[#This Row],[PRESTAMO]])</f>
        <v>-80675545</v>
      </c>
      <c r="G525" s="103"/>
      <c r="I525" s="119"/>
      <c r="J525" s="113">
        <f>+IF(FINANCIACION[[#This Row],[$ CAPITAL]]&gt;0,FINANCIACION[[#This Row],[$ CAPITAL]])</f>
        <v>3626885</v>
      </c>
      <c r="K525" s="120">
        <f>+IF(FINANCIACION[[#This Row],[$ CAPITAL]]&gt;=0,FINANCIACION[[#This Row],[$ CAPITAL]]+FINANCIACION[[#This Row],[$ INTERESES]],0)</f>
        <v>5798970</v>
      </c>
    </row>
    <row r="526" spans="1:11" ht="24" customHeight="1" x14ac:dyDescent="0.3">
      <c r="A526" s="112">
        <v>45201</v>
      </c>
      <c r="B526" s="118" t="s">
        <v>620</v>
      </c>
      <c r="C526" s="113">
        <v>3806000</v>
      </c>
      <c r="D526" s="113">
        <f>1532131+356587</f>
        <v>1888718</v>
      </c>
      <c r="E526" s="113">
        <f>+IF(FINANCIACION[[#This Row],[$ CAPITAL]]&gt;=0,FINANCIACION[[#This Row],[$ CAPITAL]]+FINANCIACION[[#This Row],[$ INTERESES]],"")</f>
        <v>5694718</v>
      </c>
      <c r="F526" s="113">
        <f>+SUMIFS(FINANCIACION[$ CAPITAL],FINANCIACION[Fecha],"&lt;="&amp;FINANCIACION[[#This Row],[Fecha]],FINANCIACION[PRESTAMO],FINANCIACION[[#This Row],[PRESTAMO]])</f>
        <v>-76869545</v>
      </c>
      <c r="G526" s="103"/>
      <c r="I526" s="119"/>
      <c r="J526" s="113">
        <f>+IF(FINANCIACION[[#This Row],[$ CAPITAL]]&gt;0,FINANCIACION[[#This Row],[$ CAPITAL]])</f>
        <v>3806000</v>
      </c>
      <c r="K526" s="120">
        <f>+IF(FINANCIACION[[#This Row],[$ CAPITAL]]&gt;=0,FINANCIACION[[#This Row],[$ CAPITAL]]+FINANCIACION[[#This Row],[$ INTERESES]],0)</f>
        <v>5694718</v>
      </c>
    </row>
    <row r="527" spans="1:11" ht="24" customHeight="1" x14ac:dyDescent="0.3">
      <c r="A527" s="112">
        <v>45232</v>
      </c>
      <c r="B527" s="118" t="s">
        <v>620</v>
      </c>
      <c r="C527" s="113">
        <v>3769874</v>
      </c>
      <c r="D527" s="113">
        <f>1448896+338538</f>
        <v>1787434</v>
      </c>
      <c r="E527" s="113">
        <f>+IF(FINANCIACION[[#This Row],[$ CAPITAL]]&gt;=0,FINANCIACION[[#This Row],[$ CAPITAL]]+FINANCIACION[[#This Row],[$ INTERESES]],"")</f>
        <v>5557308</v>
      </c>
      <c r="F527" s="113">
        <f>+SUMIFS(FINANCIACION[$ CAPITAL],FINANCIACION[Fecha],"&lt;="&amp;FINANCIACION[[#This Row],[Fecha]],FINANCIACION[PRESTAMO],FINANCIACION[[#This Row],[PRESTAMO]])</f>
        <v>-73099671</v>
      </c>
      <c r="G527" s="103"/>
      <c r="I527" s="119"/>
      <c r="J527" s="113">
        <f>+IF(FINANCIACION[[#This Row],[$ CAPITAL]]&gt;0,FINANCIACION[[#This Row],[$ CAPITAL]])</f>
        <v>3769874</v>
      </c>
      <c r="K527" s="120">
        <f>+IF(FINANCIACION[[#This Row],[$ CAPITAL]]&gt;=0,FINANCIACION[[#This Row],[$ CAPITAL]]+FINANCIACION[[#This Row],[$ INTERESES]],0)</f>
        <v>5557308</v>
      </c>
    </row>
    <row r="528" spans="1:11" ht="24" customHeight="1" x14ac:dyDescent="0.3">
      <c r="A528" s="112">
        <v>45260</v>
      </c>
      <c r="B528" s="118" t="s">
        <v>620</v>
      </c>
      <c r="C528" s="113">
        <v>50000000</v>
      </c>
      <c r="D528" s="113"/>
      <c r="E528" s="113">
        <f>+IF(FINANCIACION[[#This Row],[$ CAPITAL]]&gt;=0,FINANCIACION[[#This Row],[$ CAPITAL]]+FINANCIACION[[#This Row],[$ INTERESES]],"")</f>
        <v>50000000</v>
      </c>
      <c r="F528" s="113">
        <f>+SUMIFS(FINANCIACION[$ CAPITAL],FINANCIACION[Fecha],"&lt;="&amp;FINANCIACION[[#This Row],[Fecha]],FINANCIACION[PRESTAMO],FINANCIACION[[#This Row],[PRESTAMO]])</f>
        <v>-23099671</v>
      </c>
      <c r="G528" s="103"/>
      <c r="H528" s="119" t="s">
        <v>1293</v>
      </c>
      <c r="I528" s="119"/>
      <c r="J528" s="113">
        <f>+IF(FINANCIACION[[#This Row],[$ CAPITAL]]&gt;0,FINANCIACION[[#This Row],[$ CAPITAL]])</f>
        <v>50000000</v>
      </c>
      <c r="K528" s="120">
        <f>+IF(FINANCIACION[[#This Row],[$ CAPITAL]]&gt;=0,FINANCIACION[[#This Row],[$ CAPITAL]]+FINANCIACION[[#This Row],[$ INTERESES]],0)</f>
        <v>50000000</v>
      </c>
    </row>
    <row r="529" spans="1:11" ht="24" customHeight="1" x14ac:dyDescent="0.3">
      <c r="A529" s="112">
        <v>45262</v>
      </c>
      <c r="B529" s="118" t="s">
        <v>620</v>
      </c>
      <c r="C529" s="113">
        <v>0</v>
      </c>
      <c r="D529" s="113">
        <v>0</v>
      </c>
      <c r="E529" s="113">
        <f>+IF(FINANCIACION[[#This Row],[$ CAPITAL]]&gt;=0,FINANCIACION[[#This Row],[$ CAPITAL]]+FINANCIACION[[#This Row],[$ INTERESES]],"")</f>
        <v>0</v>
      </c>
      <c r="F529" s="113">
        <f>+SUMIFS(FINANCIACION[$ CAPITAL],FINANCIACION[Fecha],"&lt;="&amp;FINANCIACION[[#This Row],[Fecha]],FINANCIACION[PRESTAMO],FINANCIACION[[#This Row],[PRESTAMO]])</f>
        <v>-23099671</v>
      </c>
      <c r="G529" s="103"/>
      <c r="I529" s="119"/>
      <c r="J529" s="113" t="b">
        <f>+IF(FINANCIACION[[#This Row],[$ CAPITAL]]&gt;0,FINANCIACION[[#This Row],[$ CAPITAL]])</f>
        <v>0</v>
      </c>
      <c r="K529" s="120">
        <f>+IF(FINANCIACION[[#This Row],[$ CAPITAL]]&gt;=0,FINANCIACION[[#This Row],[$ CAPITAL]]+FINANCIACION[[#This Row],[$ INTERESES]],0)</f>
        <v>0</v>
      </c>
    </row>
    <row r="530" spans="1:11" ht="24" customHeight="1" x14ac:dyDescent="0.3">
      <c r="A530" s="112">
        <v>45280</v>
      </c>
      <c r="B530" s="118" t="s">
        <v>620</v>
      </c>
      <c r="C530" s="113">
        <v>20920810</v>
      </c>
      <c r="D530" s="113"/>
      <c r="E530" s="113">
        <f>+IF(FINANCIACION[[#This Row],[$ CAPITAL]]&gt;=0,FINANCIACION[[#This Row],[$ CAPITAL]]+FINANCIACION[[#This Row],[$ INTERESES]],"")</f>
        <v>20920810</v>
      </c>
      <c r="F530" s="113">
        <f>+SUMIFS(FINANCIACION[$ CAPITAL],FINANCIACION[Fecha],"&lt;="&amp;FINANCIACION[[#This Row],[Fecha]],FINANCIACION[PRESTAMO],FINANCIACION[[#This Row],[PRESTAMO]])</f>
        <v>-2178861</v>
      </c>
      <c r="G530" s="103"/>
      <c r="I530" s="119"/>
      <c r="J530" s="113">
        <f>+IF(FINANCIACION[[#This Row],[$ CAPITAL]]&gt;0,FINANCIACION[[#This Row],[$ CAPITAL]])</f>
        <v>20920810</v>
      </c>
      <c r="K530" s="120">
        <f>+IF(FINANCIACION[[#This Row],[$ CAPITAL]]&gt;=0,FINANCIACION[[#This Row],[$ CAPITAL]]+FINANCIACION[[#This Row],[$ INTERESES]],0)</f>
        <v>20920810</v>
      </c>
    </row>
    <row r="531" spans="1:11" ht="24" customHeight="1" x14ac:dyDescent="0.3">
      <c r="A531" s="112">
        <v>45291</v>
      </c>
      <c r="B531" s="118" t="s">
        <v>620</v>
      </c>
      <c r="C531" s="113">
        <v>2178861</v>
      </c>
      <c r="D531" s="113"/>
      <c r="E531" s="113">
        <f>+IF(FINANCIACION[[#This Row],[$ CAPITAL]]&gt;=0,FINANCIACION[[#This Row],[$ CAPITAL]]+FINANCIACION[[#This Row],[$ INTERESES]],"")</f>
        <v>2178861</v>
      </c>
      <c r="F531" s="113">
        <f>+SUMIFS(FINANCIACION[$ CAPITAL],FINANCIACION[Fecha],"&lt;="&amp;FINANCIACION[[#This Row],[Fecha]],FINANCIACION[PRESTAMO],FINANCIACION[[#This Row],[PRESTAMO]])</f>
        <v>0</v>
      </c>
      <c r="G531" s="103"/>
      <c r="H531" s="119" t="s">
        <v>616</v>
      </c>
      <c r="I531" s="119"/>
      <c r="J531" s="113">
        <f>+IF(FINANCIACION[[#This Row],[$ CAPITAL]]&gt;0,FINANCIACION[[#This Row],[$ CAPITAL]])</f>
        <v>2178861</v>
      </c>
      <c r="K531" s="120">
        <f>+IF(FINANCIACION[[#This Row],[$ CAPITAL]]&gt;=0,FINANCIACION[[#This Row],[$ CAPITAL]]+FINANCIACION[[#This Row],[$ INTERESES]],0)</f>
        <v>2178861</v>
      </c>
    </row>
    <row r="532" spans="1:11" ht="24" customHeight="1" x14ac:dyDescent="0.3">
      <c r="A532" s="112">
        <v>43118</v>
      </c>
      <c r="B532" s="118" t="s">
        <v>347</v>
      </c>
      <c r="C532" s="113">
        <v>-382491081</v>
      </c>
      <c r="D532" s="113"/>
      <c r="E532" s="113" t="str">
        <f>+IF(FINANCIACION[[#This Row],[$ CAPITAL]]&gt;=0,FINANCIACION[[#This Row],[$ CAPITAL]]+FINANCIACION[[#This Row],[$ INTERESES]],"")</f>
        <v/>
      </c>
      <c r="F532" s="113">
        <f>+SUMIFS(FINANCIACION[$ CAPITAL],FINANCIACION[Fecha],"&lt;="&amp;FINANCIACION[[#This Row],[Fecha]],FINANCIACION[PRESTAMO],FINANCIACION[[#This Row],[PRESTAMO]])</f>
        <v>-382491081</v>
      </c>
      <c r="G532" s="103"/>
      <c r="I532" s="119"/>
      <c r="J532" s="113" t="b">
        <f>IF(FINANCIACION[[#This Row],[$ CAPITAL]]&gt;0,FINANCIACION[[#This Row],[$ CAPITAL]])</f>
        <v>0</v>
      </c>
      <c r="K532" s="120">
        <f>IF(FINANCIACION[[#This Row],[$ CAPITAL]]&gt;=0,FINANCIACION[[#This Row],[$ CAPITAL]]+FINANCIACION[[#This Row],[$ INTERESES]],0)</f>
        <v>0</v>
      </c>
    </row>
    <row r="533" spans="1:11" ht="24" customHeight="1" x14ac:dyDescent="0.3">
      <c r="A533" s="112">
        <v>43483</v>
      </c>
      <c r="B533" s="118" t="s">
        <v>347</v>
      </c>
      <c r="C533" s="113">
        <v>1268533</v>
      </c>
      <c r="D533" s="113">
        <v>12694590</v>
      </c>
      <c r="E533" s="113">
        <f>+IF(FINANCIACION[[#This Row],[$ CAPITAL]]&gt;=0,FINANCIACION[[#This Row],[$ CAPITAL]]+FINANCIACION[[#This Row],[$ INTERESES]],"")</f>
        <v>13963123</v>
      </c>
      <c r="F533" s="113">
        <f>+SUMIFS(FINANCIACION[$ CAPITAL],FINANCIACION[Fecha],"&lt;="&amp;FINANCIACION[[#This Row],[Fecha]],FINANCIACION[PRESTAMO],FINANCIACION[[#This Row],[PRESTAMO]])</f>
        <v>-381222548</v>
      </c>
      <c r="G533" s="103"/>
      <c r="H533" s="117"/>
      <c r="I533" s="119"/>
      <c r="J533" s="113">
        <f>IF(FINANCIACION[[#This Row],[$ CAPITAL]]&gt;0,FINANCIACION[[#This Row],[$ CAPITAL]])</f>
        <v>1268533</v>
      </c>
      <c r="K533" s="120">
        <f>IF(FINANCIACION[[#This Row],[$ CAPITAL]]&gt;=0,FINANCIACION[[#This Row],[$ CAPITAL]]+FINANCIACION[[#This Row],[$ INTERESES]],0)</f>
        <v>13963123</v>
      </c>
    </row>
    <row r="534" spans="1:11" ht="24" customHeight="1" x14ac:dyDescent="0.3">
      <c r="A534" s="112">
        <v>43485</v>
      </c>
      <c r="B534" s="118" t="s">
        <v>347</v>
      </c>
      <c r="C534" s="113">
        <v>1482486.9681818199</v>
      </c>
      <c r="D534" s="113">
        <v>4603361.0318181803</v>
      </c>
      <c r="E534" s="113">
        <f>+IF(FINANCIACION[[#This Row],[$ CAPITAL]]&gt;=0,FINANCIACION[[#This Row],[$ CAPITAL]]+FINANCIACION[[#This Row],[$ INTERESES]],"")</f>
        <v>6085848</v>
      </c>
      <c r="F534" s="113">
        <f>+SUMIFS(FINANCIACION[$ CAPITAL],FINANCIACION[Fecha],"&lt;="&amp;FINANCIACION[[#This Row],[Fecha]],FINANCIACION[PRESTAMO],FINANCIACION[[#This Row],[PRESTAMO]])</f>
        <v>-379740061.03181815</v>
      </c>
      <c r="G534" s="103"/>
      <c r="H534" s="124"/>
      <c r="I534" s="119"/>
      <c r="J534" s="113">
        <f>IF(FINANCIACION[[#This Row],[$ CAPITAL]]&gt;0,FINANCIACION[[#This Row],[$ CAPITAL]])</f>
        <v>1482486.9681818199</v>
      </c>
      <c r="K534" s="120">
        <f>IF(FINANCIACION[[#This Row],[$ CAPITAL]]&gt;=0,FINANCIACION[[#This Row],[$ CAPITAL]]+FINANCIACION[[#This Row],[$ INTERESES]],0)</f>
        <v>6085848</v>
      </c>
    </row>
    <row r="535" spans="1:11" ht="24" customHeight="1" x14ac:dyDescent="0.3">
      <c r="A535" s="112">
        <v>43514</v>
      </c>
      <c r="B535" s="118" t="s">
        <v>347</v>
      </c>
      <c r="C535" s="113">
        <v>1286844</v>
      </c>
      <c r="D535" s="113">
        <v>4795368</v>
      </c>
      <c r="E535" s="113">
        <f>+IF(FINANCIACION[[#This Row],[$ CAPITAL]]&gt;=0,FINANCIACION[[#This Row],[$ CAPITAL]]+FINANCIACION[[#This Row],[$ INTERESES]],"")</f>
        <v>6082212</v>
      </c>
      <c r="F535" s="113">
        <f>+SUMIFS(FINANCIACION[$ CAPITAL],FINANCIACION[Fecha],"&lt;="&amp;FINANCIACION[[#This Row],[Fecha]],FINANCIACION[PRESTAMO],FINANCIACION[[#This Row],[PRESTAMO]])</f>
        <v>-378453217.03181815</v>
      </c>
      <c r="G535" s="103"/>
      <c r="H535" s="117"/>
      <c r="I535" s="119"/>
      <c r="J535" s="113">
        <f>IF(FINANCIACION[[#This Row],[$ CAPITAL]]&gt;0,FINANCIACION[[#This Row],[$ CAPITAL]])</f>
        <v>1286844</v>
      </c>
      <c r="K535" s="120">
        <f>IF(FINANCIACION[[#This Row],[$ CAPITAL]]&gt;=0,FINANCIACION[[#This Row],[$ CAPITAL]]+FINANCIACION[[#This Row],[$ INTERESES]],0)</f>
        <v>6082212</v>
      </c>
    </row>
    <row r="536" spans="1:11" ht="24" customHeight="1" x14ac:dyDescent="0.3">
      <c r="A536" s="112">
        <v>43542</v>
      </c>
      <c r="B536" s="118" t="s">
        <v>347</v>
      </c>
      <c r="C536" s="113">
        <v>1302644</v>
      </c>
      <c r="D536" s="113">
        <v>4779568</v>
      </c>
      <c r="E536" s="113">
        <f>+IF(FINANCIACION[[#This Row],[$ CAPITAL]]&gt;=0,FINANCIACION[[#This Row],[$ CAPITAL]]+FINANCIACION[[#This Row],[$ INTERESES]],"")</f>
        <v>6082212</v>
      </c>
      <c r="F536" s="113">
        <f>+SUMIFS(FINANCIACION[$ CAPITAL],FINANCIACION[Fecha],"&lt;="&amp;FINANCIACION[[#This Row],[Fecha]],FINANCIACION[PRESTAMO],FINANCIACION[[#This Row],[PRESTAMO]])</f>
        <v>-377150573.03181815</v>
      </c>
      <c r="G536" s="103"/>
      <c r="H536" s="117"/>
      <c r="I536" s="119"/>
      <c r="J536" s="113">
        <f>IF(FINANCIACION[[#This Row],[$ CAPITAL]]&gt;0,FINANCIACION[[#This Row],[$ CAPITAL]])</f>
        <v>1302644</v>
      </c>
      <c r="K536" s="120">
        <f>IF(FINANCIACION[[#This Row],[$ CAPITAL]]&gt;=0,FINANCIACION[[#This Row],[$ CAPITAL]]+FINANCIACION[[#This Row],[$ INTERESES]],0)</f>
        <v>6082212</v>
      </c>
    </row>
    <row r="537" spans="1:11" ht="24" customHeight="1" x14ac:dyDescent="0.3">
      <c r="A537" s="112">
        <v>43577</v>
      </c>
      <c r="B537" s="118" t="s">
        <v>347</v>
      </c>
      <c r="C537" s="113">
        <v>1302644</v>
      </c>
      <c r="D537" s="113">
        <v>4779568</v>
      </c>
      <c r="E537" s="113">
        <f>+IF(FINANCIACION[[#This Row],[$ CAPITAL]]&gt;=0,FINANCIACION[[#This Row],[$ CAPITAL]]+FINANCIACION[[#This Row],[$ INTERESES]],"")</f>
        <v>6082212</v>
      </c>
      <c r="F537" s="113">
        <f>+SUMIFS(FINANCIACION[$ CAPITAL],FINANCIACION[Fecha],"&lt;="&amp;FINANCIACION[[#This Row],[Fecha]],FINANCIACION[PRESTAMO],FINANCIACION[[#This Row],[PRESTAMO]])</f>
        <v>-375847929.03181815</v>
      </c>
      <c r="G537" s="103"/>
      <c r="H537" s="117"/>
      <c r="I537" s="119"/>
      <c r="J537" s="113">
        <f>IF(FINANCIACION[[#This Row],[$ CAPITAL]]&gt;0,FINANCIACION[[#This Row],[$ CAPITAL]])</f>
        <v>1302644</v>
      </c>
      <c r="K537" s="120">
        <f>IF(FINANCIACION[[#This Row],[$ CAPITAL]]&gt;=0,FINANCIACION[[#This Row],[$ CAPITAL]]+FINANCIACION[[#This Row],[$ INTERESES]],0)</f>
        <v>6082212</v>
      </c>
    </row>
    <row r="538" spans="1:11" ht="24" customHeight="1" x14ac:dyDescent="0.3">
      <c r="A538" s="112">
        <v>43605</v>
      </c>
      <c r="B538" s="118" t="s">
        <v>347</v>
      </c>
      <c r="C538" s="113">
        <v>1334827</v>
      </c>
      <c r="D538" s="113">
        <v>4747385</v>
      </c>
      <c r="E538" s="113">
        <f>+IF(FINANCIACION[[#This Row],[$ CAPITAL]]&gt;=0,FINANCIACION[[#This Row],[$ CAPITAL]]+FINANCIACION[[#This Row],[$ INTERESES]],"")</f>
        <v>6082212</v>
      </c>
      <c r="F538" s="113">
        <f>+SUMIFS(FINANCIACION[$ CAPITAL],FINANCIACION[Fecha],"&lt;="&amp;FINANCIACION[[#This Row],[Fecha]],FINANCIACION[PRESTAMO],FINANCIACION[[#This Row],[PRESTAMO]])</f>
        <v>-374513102.03181815</v>
      </c>
      <c r="G538" s="103"/>
      <c r="H538" s="117"/>
      <c r="I538" s="119"/>
      <c r="J538" s="113">
        <f>IF(FINANCIACION[[#This Row],[$ CAPITAL]]&gt;0,FINANCIACION[[#This Row],[$ CAPITAL]])</f>
        <v>1334827</v>
      </c>
      <c r="K538" s="120">
        <f>IF(FINANCIACION[[#This Row],[$ CAPITAL]]&gt;=0,FINANCIACION[[#This Row],[$ CAPITAL]]+FINANCIACION[[#This Row],[$ INTERESES]],0)</f>
        <v>6082212</v>
      </c>
    </row>
    <row r="539" spans="1:11" ht="24" customHeight="1" x14ac:dyDescent="0.3">
      <c r="A539" s="112">
        <v>43634</v>
      </c>
      <c r="B539" s="118" t="s">
        <v>347</v>
      </c>
      <c r="C539" s="113">
        <v>1351215</v>
      </c>
      <c r="D539" s="113">
        <v>4730997</v>
      </c>
      <c r="E539" s="113">
        <f>+IF(FINANCIACION[[#This Row],[$ CAPITAL]]&gt;=0,FINANCIACION[[#This Row],[$ CAPITAL]]+FINANCIACION[[#This Row],[$ INTERESES]],"")</f>
        <v>6082212</v>
      </c>
      <c r="F539" s="113">
        <f>+SUMIFS(FINANCIACION[$ CAPITAL],FINANCIACION[Fecha],"&lt;="&amp;FINANCIACION[[#This Row],[Fecha]],FINANCIACION[PRESTAMO],FINANCIACION[[#This Row],[PRESTAMO]])</f>
        <v>-373161887.03181815</v>
      </c>
      <c r="G539" s="103"/>
      <c r="I539" s="119"/>
      <c r="J539" s="113">
        <f>IF(FINANCIACION[[#This Row],[$ CAPITAL]]&gt;0,FINANCIACION[[#This Row],[$ CAPITAL]])</f>
        <v>1351215</v>
      </c>
      <c r="K539" s="120">
        <f>IF(FINANCIACION[[#This Row],[$ CAPITAL]]&gt;=0,FINANCIACION[[#This Row],[$ CAPITAL]]+FINANCIACION[[#This Row],[$ INTERESES]],0)</f>
        <v>6082212</v>
      </c>
    </row>
    <row r="540" spans="1:11" ht="24" customHeight="1" x14ac:dyDescent="0.3">
      <c r="A540" s="112">
        <v>43664</v>
      </c>
      <c r="B540" s="118" t="s">
        <v>347</v>
      </c>
      <c r="C540" s="113">
        <v>1367805</v>
      </c>
      <c r="D540" s="113">
        <v>4714407</v>
      </c>
      <c r="E540" s="113">
        <f>+IF(FINANCIACION[[#This Row],[$ CAPITAL]]&gt;=0,FINANCIACION[[#This Row],[$ CAPITAL]]+FINANCIACION[[#This Row],[$ INTERESES]],"")</f>
        <v>6082212</v>
      </c>
      <c r="F540" s="113">
        <f>+SUMIFS(FINANCIACION[$ CAPITAL],FINANCIACION[Fecha],"&lt;="&amp;FINANCIACION[[#This Row],[Fecha]],FINANCIACION[PRESTAMO],FINANCIACION[[#This Row],[PRESTAMO]])</f>
        <v>-371794082.03181815</v>
      </c>
      <c r="G540" s="103"/>
      <c r="H540" s="117"/>
      <c r="I540" s="119"/>
      <c r="J540" s="113">
        <f>IF(FINANCIACION[[#This Row],[$ CAPITAL]]&gt;0,FINANCIACION[[#This Row],[$ CAPITAL]])</f>
        <v>1367805</v>
      </c>
      <c r="K540" s="120">
        <f>IF(FINANCIACION[[#This Row],[$ CAPITAL]]&gt;=0,FINANCIACION[[#This Row],[$ CAPITAL]]+FINANCIACION[[#This Row],[$ INTERESES]],0)</f>
        <v>6082212</v>
      </c>
    </row>
    <row r="541" spans="1:11" ht="24" customHeight="1" x14ac:dyDescent="0.3">
      <c r="A541" s="112">
        <v>43697</v>
      </c>
      <c r="B541" s="118" t="s">
        <v>347</v>
      </c>
      <c r="C541" s="113">
        <v>1392137</v>
      </c>
      <c r="D541" s="113">
        <v>4667683</v>
      </c>
      <c r="E541" s="113">
        <f>+IF(FINANCIACION[[#This Row],[$ CAPITAL]]&gt;=0,FINANCIACION[[#This Row],[$ CAPITAL]]+FINANCIACION[[#This Row],[$ INTERESES]],"")</f>
        <v>6059820</v>
      </c>
      <c r="F541" s="113">
        <f>+SUMIFS(FINANCIACION[$ CAPITAL],FINANCIACION[Fecha],"&lt;="&amp;FINANCIACION[[#This Row],[Fecha]],FINANCIACION[PRESTAMO],FINANCIACION[[#This Row],[PRESTAMO]])</f>
        <v>-370401945.03181815</v>
      </c>
      <c r="G541" s="103"/>
      <c r="H541" s="117"/>
      <c r="I541" s="119"/>
      <c r="J541" s="113">
        <f>IF(FINANCIACION[[#This Row],[$ CAPITAL]]&gt;0,FINANCIACION[[#This Row],[$ CAPITAL]])</f>
        <v>1392137</v>
      </c>
      <c r="K541" s="120">
        <f>IF(FINANCIACION[[#This Row],[$ CAPITAL]]&gt;=0,FINANCIACION[[#This Row],[$ CAPITAL]]+FINANCIACION[[#This Row],[$ INTERESES]],0)</f>
        <v>6059820</v>
      </c>
    </row>
    <row r="542" spans="1:11" ht="24" customHeight="1" x14ac:dyDescent="0.3">
      <c r="A542" s="112">
        <v>43726</v>
      </c>
      <c r="B542" s="118" t="s">
        <v>347</v>
      </c>
      <c r="C542" s="113">
        <v>1409118</v>
      </c>
      <c r="D542" s="113">
        <v>4650702</v>
      </c>
      <c r="E542" s="113">
        <f>+IF(FINANCIACION[[#This Row],[$ CAPITAL]]&gt;=0,FINANCIACION[[#This Row],[$ CAPITAL]]+FINANCIACION[[#This Row],[$ INTERESES]],"")</f>
        <v>6059820</v>
      </c>
      <c r="F542" s="113">
        <f>+SUMIFS(FINANCIACION[$ CAPITAL],FINANCIACION[Fecha],"&lt;="&amp;FINANCIACION[[#This Row],[Fecha]],FINANCIACION[PRESTAMO],FINANCIACION[[#This Row],[PRESTAMO]])</f>
        <v>-368992827.03181815</v>
      </c>
      <c r="G542" s="103"/>
      <c r="I542" s="119"/>
      <c r="J542" s="113">
        <f>IF(FINANCIACION[[#This Row],[$ CAPITAL]]&gt;0,FINANCIACION[[#This Row],[$ CAPITAL]])</f>
        <v>1409118</v>
      </c>
      <c r="K542" s="120">
        <f>IF(FINANCIACION[[#This Row],[$ CAPITAL]]&gt;=0,FINANCIACION[[#This Row],[$ CAPITAL]]+FINANCIACION[[#This Row],[$ INTERESES]],0)</f>
        <v>6059820</v>
      </c>
    </row>
    <row r="543" spans="1:11" ht="24" customHeight="1" x14ac:dyDescent="0.3">
      <c r="A543" s="112">
        <v>43756</v>
      </c>
      <c r="B543" s="118" t="s">
        <v>347</v>
      </c>
      <c r="C543" s="113">
        <v>1426306</v>
      </c>
      <c r="D543" s="113">
        <v>4592899</v>
      </c>
      <c r="E543" s="113">
        <f>+IF(FINANCIACION[[#This Row],[$ CAPITAL]]&gt;=0,FINANCIACION[[#This Row],[$ CAPITAL]]+FINANCIACION[[#This Row],[$ INTERESES]],"")</f>
        <v>6019205</v>
      </c>
      <c r="F543" s="113">
        <f>+SUMIFS(FINANCIACION[$ CAPITAL],FINANCIACION[Fecha],"&lt;="&amp;FINANCIACION[[#This Row],[Fecha]],FINANCIACION[PRESTAMO],FINANCIACION[[#This Row],[PRESTAMO]])</f>
        <v>-367566521.03181815</v>
      </c>
      <c r="G543" s="103"/>
      <c r="H543" s="117"/>
      <c r="I543" s="119"/>
      <c r="J543" s="113">
        <f>IF(FINANCIACION[[#This Row],[$ CAPITAL]]&gt;0,FINANCIACION[[#This Row],[$ CAPITAL]])</f>
        <v>1426306</v>
      </c>
      <c r="K543" s="120">
        <f>IF(FINANCIACION[[#This Row],[$ CAPITAL]]&gt;=0,FINANCIACION[[#This Row],[$ CAPITAL]]+FINANCIACION[[#This Row],[$ INTERESES]],0)</f>
        <v>6019205</v>
      </c>
    </row>
    <row r="544" spans="1:11" ht="24" customHeight="1" x14ac:dyDescent="0.3">
      <c r="A544" s="112">
        <v>43787</v>
      </c>
      <c r="B544" s="118" t="s">
        <v>347</v>
      </c>
      <c r="C544" s="113">
        <v>1442047.66666667</v>
      </c>
      <c r="D544" s="113">
        <v>4639789.3333333302</v>
      </c>
      <c r="E544" s="113">
        <f>+IF(FINANCIACION[[#This Row],[$ CAPITAL]]&gt;=0,FINANCIACION[[#This Row],[$ CAPITAL]]+FINANCIACION[[#This Row],[$ INTERESES]],"")</f>
        <v>6081837</v>
      </c>
      <c r="F544" s="113">
        <f>+SUMIFS(FINANCIACION[$ CAPITAL],FINANCIACION[Fecha],"&lt;="&amp;FINANCIACION[[#This Row],[Fecha]],FINANCIACION[PRESTAMO],FINANCIACION[[#This Row],[PRESTAMO]])</f>
        <v>-366124473.36515146</v>
      </c>
      <c r="G544" s="103"/>
      <c r="I544" s="119"/>
      <c r="J544" s="113">
        <f>IF(FINANCIACION[[#This Row],[$ CAPITAL]]&gt;0,FINANCIACION[[#This Row],[$ CAPITAL]])</f>
        <v>1442047.66666667</v>
      </c>
      <c r="K544" s="120">
        <f>IF(FINANCIACION[[#This Row],[$ CAPITAL]]&gt;=0,FINANCIACION[[#This Row],[$ CAPITAL]]+FINANCIACION[[#This Row],[$ INTERESES]],0)</f>
        <v>6081837</v>
      </c>
    </row>
    <row r="545" spans="1:11" ht="24" customHeight="1" x14ac:dyDescent="0.3">
      <c r="A545" s="112">
        <v>43817</v>
      </c>
      <c r="B545" s="118" t="s">
        <v>347</v>
      </c>
      <c r="C545" s="113">
        <v>1459836.82424242</v>
      </c>
      <c r="D545" s="113">
        <v>4622000.1757575795</v>
      </c>
      <c r="E545" s="113">
        <f>+IF(FINANCIACION[[#This Row],[$ CAPITAL]]&gt;=0,FINANCIACION[[#This Row],[$ CAPITAL]]+FINANCIACION[[#This Row],[$ INTERESES]],"")</f>
        <v>6081837</v>
      </c>
      <c r="F545" s="113">
        <f>+SUMIFS(FINANCIACION[$ CAPITAL],FINANCIACION[Fecha],"&lt;="&amp;FINANCIACION[[#This Row],[Fecha]],FINANCIACION[PRESTAMO],FINANCIACION[[#This Row],[PRESTAMO]])</f>
        <v>-364664636.54090905</v>
      </c>
      <c r="G545" s="103"/>
      <c r="H545" s="117"/>
      <c r="I545" s="119"/>
      <c r="J545" s="113">
        <f>IF(FINANCIACION[[#This Row],[$ CAPITAL]]&gt;0,FINANCIACION[[#This Row],[$ CAPITAL]])</f>
        <v>1459836.82424242</v>
      </c>
      <c r="K545" s="120">
        <f>IF(FINANCIACION[[#This Row],[$ CAPITAL]]&gt;=0,FINANCIACION[[#This Row],[$ CAPITAL]]+FINANCIACION[[#This Row],[$ INTERESES]],0)</f>
        <v>6081837</v>
      </c>
    </row>
    <row r="546" spans="1:11" ht="24" customHeight="1" x14ac:dyDescent="0.3">
      <c r="A546" s="112">
        <v>43830</v>
      </c>
      <c r="B546" s="118" t="s">
        <v>347</v>
      </c>
      <c r="C546" s="113">
        <v>-24464288.602231398</v>
      </c>
      <c r="D546" s="113"/>
      <c r="E546" s="113" t="str">
        <f>+IF(FINANCIACION[[#This Row],[$ CAPITAL]]&gt;=0,FINANCIACION[[#This Row],[$ CAPITAL]]+FINANCIACION[[#This Row],[$ INTERESES]],"")</f>
        <v/>
      </c>
      <c r="F546" s="113">
        <f>+SUMIFS(FINANCIACION[$ CAPITAL],FINANCIACION[Fecha],"&lt;="&amp;FINANCIACION[[#This Row],[Fecha]],FINANCIACION[PRESTAMO],FINANCIACION[[#This Row],[PRESTAMO]])</f>
        <v>-389128925.14314044</v>
      </c>
      <c r="G546" s="103"/>
      <c r="H546" s="117"/>
      <c r="I546" s="119"/>
      <c r="J546" s="113" t="b">
        <f>IF(FINANCIACION[[#This Row],[$ CAPITAL]]&gt;0,FINANCIACION[[#This Row],[$ CAPITAL]])</f>
        <v>0</v>
      </c>
      <c r="K546" s="120">
        <f>IF(FINANCIACION[[#This Row],[$ CAPITAL]]&gt;=0,FINANCIACION[[#This Row],[$ CAPITAL]]+FINANCIACION[[#This Row],[$ INTERESES]],0)</f>
        <v>0</v>
      </c>
    </row>
    <row r="547" spans="1:11" ht="24" customHeight="1" x14ac:dyDescent="0.3">
      <c r="A547" s="122">
        <v>43848</v>
      </c>
      <c r="B547" s="118" t="s">
        <v>347</v>
      </c>
      <c r="C547" s="113">
        <v>1471610</v>
      </c>
      <c r="D547" s="113">
        <v>4614238</v>
      </c>
      <c r="E547" s="113">
        <f>+IF(FINANCIACION[[#This Row],[$ CAPITAL]]&gt;=0,FINANCIACION[[#This Row],[$ CAPITAL]]+FINANCIACION[[#This Row],[$ INTERESES]],"")</f>
        <v>6085848</v>
      </c>
      <c r="F547" s="113">
        <f>+SUMIFS(FINANCIACION[$ CAPITAL],FINANCIACION[Fecha],"&lt;="&amp;FINANCIACION[[#This Row],[Fecha]],FINANCIACION[PRESTAMO],FINANCIACION[[#This Row],[PRESTAMO]])</f>
        <v>-387657315.14314044</v>
      </c>
      <c r="G547" s="103"/>
      <c r="H547" s="117"/>
      <c r="I547" s="119"/>
      <c r="J547" s="113">
        <f>IF(FINANCIACION[[#This Row],[$ CAPITAL]]&gt;0,FINANCIACION[[#This Row],[$ CAPITAL]])</f>
        <v>1471610</v>
      </c>
      <c r="K547" s="120">
        <f>IF(FINANCIACION[[#This Row],[$ CAPITAL]]&gt;=0,FINANCIACION[[#This Row],[$ CAPITAL]]+FINANCIACION[[#This Row],[$ INTERESES]],0)</f>
        <v>6085848</v>
      </c>
    </row>
    <row r="548" spans="1:11" ht="24" customHeight="1" x14ac:dyDescent="0.3">
      <c r="A548" s="122">
        <v>43879</v>
      </c>
      <c r="B548" s="118" t="s">
        <v>347</v>
      </c>
      <c r="C548" s="113">
        <v>1491748</v>
      </c>
      <c r="D548" s="113">
        <v>4588198</v>
      </c>
      <c r="E548" s="113">
        <f>+IF(FINANCIACION[[#This Row],[$ CAPITAL]]&gt;=0,FINANCIACION[[#This Row],[$ CAPITAL]]+FINANCIACION[[#This Row],[$ INTERESES]],"")</f>
        <v>6079946</v>
      </c>
      <c r="F548" s="113">
        <f>+SUMIFS(FINANCIACION[$ CAPITAL],FINANCIACION[Fecha],"&lt;="&amp;FINANCIACION[[#This Row],[Fecha]],FINANCIACION[PRESTAMO],FINANCIACION[[#This Row],[PRESTAMO]])</f>
        <v>-386165567.14314044</v>
      </c>
      <c r="G548" s="103"/>
      <c r="I548" s="119"/>
      <c r="J548" s="113">
        <f>IF(FINANCIACION[[#This Row],[$ CAPITAL]]&gt;0,FINANCIACION[[#This Row],[$ CAPITAL]])</f>
        <v>1491748</v>
      </c>
      <c r="K548" s="120">
        <f>IF(FINANCIACION[[#This Row],[$ CAPITAL]]&gt;=0,FINANCIACION[[#This Row],[$ CAPITAL]]+FINANCIACION[[#This Row],[$ INTERESES]],0)</f>
        <v>6079946</v>
      </c>
    </row>
    <row r="549" spans="1:11" ht="24" customHeight="1" x14ac:dyDescent="0.3">
      <c r="A549" s="122">
        <v>43908</v>
      </c>
      <c r="B549" s="118" t="s">
        <v>347</v>
      </c>
      <c r="C549" s="113">
        <v>1513636.1431404999</v>
      </c>
      <c r="D549" s="113">
        <v>4992178.8568594996</v>
      </c>
      <c r="E549" s="113">
        <f>+IF(FINANCIACION[[#This Row],[$ CAPITAL]]&gt;=0,FINANCIACION[[#This Row],[$ CAPITAL]]+FINANCIACION[[#This Row],[$ INTERESES]],"")</f>
        <v>6505815</v>
      </c>
      <c r="F549" s="113">
        <f>+SUMIFS(FINANCIACION[$ CAPITAL],FINANCIACION[Fecha],"&lt;="&amp;FINANCIACION[[#This Row],[Fecha]],FINANCIACION[PRESTAMO],FINANCIACION[[#This Row],[PRESTAMO]])</f>
        <v>-384651930.99999994</v>
      </c>
      <c r="G549" s="103"/>
      <c r="I549" s="119"/>
      <c r="J549" s="113">
        <f>IF(FINANCIACION[[#This Row],[$ CAPITAL]]&gt;0,FINANCIACION[[#This Row],[$ CAPITAL]])</f>
        <v>1513636.1431404999</v>
      </c>
      <c r="K549" s="120">
        <f>IF(FINANCIACION[[#This Row],[$ CAPITAL]]&gt;=0,FINANCIACION[[#This Row],[$ CAPITAL]]+FINANCIACION[[#This Row],[$ INTERESES]],0)</f>
        <v>6505815</v>
      </c>
    </row>
    <row r="550" spans="1:11" ht="24" customHeight="1" x14ac:dyDescent="0.3">
      <c r="A550" s="122">
        <v>44043</v>
      </c>
      <c r="B550" s="118" t="s">
        <v>347</v>
      </c>
      <c r="C550" s="113">
        <v>-183255600</v>
      </c>
      <c r="D550" s="113"/>
      <c r="E550" s="113" t="str">
        <f>+IF(FINANCIACION[[#This Row],[$ CAPITAL]]&gt;=0,FINANCIACION[[#This Row],[$ CAPITAL]]+FINANCIACION[[#This Row],[$ INTERESES]],"")</f>
        <v/>
      </c>
      <c r="F550" s="113">
        <f>+SUMIFS(FINANCIACION[$ CAPITAL],FINANCIACION[Fecha],"&lt;="&amp;FINANCIACION[[#This Row],[Fecha]],FINANCIACION[PRESTAMO],FINANCIACION[[#This Row],[PRESTAMO]])</f>
        <v>-380443064</v>
      </c>
      <c r="G550" s="103"/>
      <c r="H550" s="117"/>
      <c r="I550" s="119"/>
      <c r="J550" s="113" t="b">
        <f>IF(FINANCIACION[[#This Row],[$ CAPITAL]]&gt;0,FINANCIACION[[#This Row],[$ CAPITAL]])</f>
        <v>0</v>
      </c>
      <c r="K550" s="120">
        <f>IF(FINANCIACION[[#This Row],[$ CAPITAL]]&gt;=0,FINANCIACION[[#This Row],[$ CAPITAL]]+FINANCIACION[[#This Row],[$ INTERESES]],0)</f>
        <v>0</v>
      </c>
    </row>
    <row r="551" spans="1:11" ht="24" customHeight="1" x14ac:dyDescent="0.3">
      <c r="A551" s="122">
        <v>44043</v>
      </c>
      <c r="B551" s="118" t="s">
        <v>347</v>
      </c>
      <c r="C551" s="113">
        <v>187464467</v>
      </c>
      <c r="D551" s="113"/>
      <c r="E551" s="113">
        <f>+IF(FINANCIACION[[#This Row],[$ CAPITAL]]&gt;=0,FINANCIACION[[#This Row],[$ CAPITAL]]+FINANCIACION[[#This Row],[$ INTERESES]],"")</f>
        <v>187464467</v>
      </c>
      <c r="F551" s="113">
        <f>+SUMIFS(FINANCIACION[$ CAPITAL],FINANCIACION[Fecha],"&lt;="&amp;FINANCIACION[[#This Row],[Fecha]],FINANCIACION[PRESTAMO],FINANCIACION[[#This Row],[PRESTAMO]])</f>
        <v>-380443064</v>
      </c>
      <c r="G551" s="103"/>
      <c r="H551" s="117"/>
      <c r="I551" s="119"/>
      <c r="J551" s="113">
        <f>IF(FINANCIACION[[#This Row],[$ CAPITAL]]&gt;0,FINANCIACION[[#This Row],[$ CAPITAL]])</f>
        <v>187464467</v>
      </c>
      <c r="K551" s="120">
        <f>IF(FINANCIACION[[#This Row],[$ CAPITAL]]&gt;=0,FINANCIACION[[#This Row],[$ CAPITAL]]+FINANCIACION[[#This Row],[$ INTERESES]],0)</f>
        <v>187464467</v>
      </c>
    </row>
    <row r="552" spans="1:11" ht="24" customHeight="1" x14ac:dyDescent="0.3">
      <c r="A552" s="122">
        <v>44092</v>
      </c>
      <c r="B552" s="118" t="s">
        <v>347</v>
      </c>
      <c r="C552" s="113">
        <v>3000000</v>
      </c>
      <c r="D552" s="113"/>
      <c r="E552" s="113">
        <f>+IF(FINANCIACION[[#This Row],[$ CAPITAL]]&gt;=0,FINANCIACION[[#This Row],[$ CAPITAL]]+FINANCIACION[[#This Row],[$ INTERESES]],"")</f>
        <v>3000000</v>
      </c>
      <c r="F552" s="113">
        <f>+SUMIFS(FINANCIACION[$ CAPITAL],FINANCIACION[Fecha],"&lt;="&amp;FINANCIACION[[#This Row],[Fecha]],FINANCIACION[PRESTAMO],FINANCIACION[[#This Row],[PRESTAMO]])</f>
        <v>-377443064</v>
      </c>
      <c r="G552" s="103"/>
      <c r="H552" s="117"/>
      <c r="I552" s="119"/>
      <c r="J552" s="113">
        <f>IF(FINANCIACION[[#This Row],[$ CAPITAL]]&gt;0,FINANCIACION[[#This Row],[$ CAPITAL]])</f>
        <v>3000000</v>
      </c>
      <c r="K552" s="120">
        <f>IF(FINANCIACION[[#This Row],[$ CAPITAL]]&gt;=0,FINANCIACION[[#This Row],[$ CAPITAL]]+FINANCIACION[[#This Row],[$ INTERESES]],0)</f>
        <v>3000000</v>
      </c>
    </row>
    <row r="553" spans="1:11" ht="24" customHeight="1" x14ac:dyDescent="0.3">
      <c r="A553" s="122">
        <v>44104</v>
      </c>
      <c r="B553" s="118" t="s">
        <v>347</v>
      </c>
      <c r="C553" s="113">
        <v>-39568203</v>
      </c>
      <c r="D553" s="113"/>
      <c r="E553" s="113" t="str">
        <f>+IF(FINANCIACION[[#This Row],[$ CAPITAL]]&gt;=0,FINANCIACION[[#This Row],[$ CAPITAL]]+FINANCIACION[[#This Row],[$ INTERESES]],"")</f>
        <v/>
      </c>
      <c r="F553" s="113">
        <f>+SUMIFS(FINANCIACION[$ CAPITAL],FINANCIACION[Fecha],"&lt;="&amp;FINANCIACION[[#This Row],[Fecha]],FINANCIACION[PRESTAMO],FINANCIACION[[#This Row],[PRESTAMO]])</f>
        <v>-417011267</v>
      </c>
      <c r="G553" s="103"/>
      <c r="H553" s="117"/>
      <c r="I553" s="119"/>
      <c r="J553" s="113" t="b">
        <f>IF(FINANCIACION[[#This Row],[$ CAPITAL]]&gt;0,FINANCIACION[[#This Row],[$ CAPITAL]])</f>
        <v>0</v>
      </c>
      <c r="K553" s="120">
        <f>IF(FINANCIACION[[#This Row],[$ CAPITAL]]&gt;=0,FINANCIACION[[#This Row],[$ CAPITAL]]+FINANCIACION[[#This Row],[$ INTERESES]],0)</f>
        <v>0</v>
      </c>
    </row>
    <row r="554" spans="1:11" ht="24" customHeight="1" x14ac:dyDescent="0.3">
      <c r="A554" s="122">
        <v>44111</v>
      </c>
      <c r="B554" s="118" t="s">
        <v>347</v>
      </c>
      <c r="C554" s="113">
        <v>3000000</v>
      </c>
      <c r="D554" s="113"/>
      <c r="E554" s="113">
        <f>+IF(FINANCIACION[[#This Row],[$ CAPITAL]]&gt;=0,FINANCIACION[[#This Row],[$ CAPITAL]]+FINANCIACION[[#This Row],[$ INTERESES]],"")</f>
        <v>3000000</v>
      </c>
      <c r="F554" s="113">
        <f>+SUMIFS(FINANCIACION[$ CAPITAL],FINANCIACION[Fecha],"&lt;="&amp;FINANCIACION[[#This Row],[Fecha]],FINANCIACION[PRESTAMO],FINANCIACION[[#This Row],[PRESTAMO]])</f>
        <v>-414011267</v>
      </c>
      <c r="G554" s="103"/>
      <c r="H554" s="117"/>
      <c r="I554" s="119"/>
      <c r="J554" s="113">
        <f>IF(FINANCIACION[[#This Row],[$ CAPITAL]]&gt;0,FINANCIACION[[#This Row],[$ CAPITAL]])</f>
        <v>3000000</v>
      </c>
      <c r="K554" s="120">
        <f>IF(FINANCIACION[[#This Row],[$ CAPITAL]]&gt;=0,FINANCIACION[[#This Row],[$ CAPITAL]]+FINANCIACION[[#This Row],[$ INTERESES]],0)</f>
        <v>3000000</v>
      </c>
    </row>
    <row r="555" spans="1:11" ht="24" customHeight="1" x14ac:dyDescent="0.3">
      <c r="A555" s="122">
        <v>44131</v>
      </c>
      <c r="B555" s="118" t="s">
        <v>347</v>
      </c>
      <c r="C555" s="113">
        <v>5000000</v>
      </c>
      <c r="D555" s="113"/>
      <c r="E555" s="113">
        <f>+IF(FINANCIACION[[#This Row],[$ CAPITAL]]&gt;=0,FINANCIACION[[#This Row],[$ CAPITAL]]+FINANCIACION[[#This Row],[$ INTERESES]],"")</f>
        <v>5000000</v>
      </c>
      <c r="F555" s="113">
        <f>+SUMIFS(FINANCIACION[$ CAPITAL],FINANCIACION[Fecha],"&lt;="&amp;FINANCIACION[[#This Row],[Fecha]],FINANCIACION[PRESTAMO],FINANCIACION[[#This Row],[PRESTAMO]])</f>
        <v>-409011267</v>
      </c>
      <c r="G555" s="103"/>
      <c r="H555" s="117"/>
      <c r="I555" s="119"/>
      <c r="J555" s="113">
        <f>IF(FINANCIACION[[#This Row],[$ CAPITAL]]&gt;0,FINANCIACION[[#This Row],[$ CAPITAL]])</f>
        <v>5000000</v>
      </c>
      <c r="K555" s="120">
        <f>IF(FINANCIACION[[#This Row],[$ CAPITAL]]&gt;=0,FINANCIACION[[#This Row],[$ CAPITAL]]+FINANCIACION[[#This Row],[$ INTERESES]],0)</f>
        <v>5000000</v>
      </c>
    </row>
    <row r="556" spans="1:11" ht="24" customHeight="1" x14ac:dyDescent="0.3">
      <c r="A556" s="122">
        <v>44135</v>
      </c>
      <c r="B556" s="118" t="s">
        <v>347</v>
      </c>
      <c r="C556" s="113">
        <v>6521200</v>
      </c>
      <c r="D556" s="113"/>
      <c r="E556" s="113">
        <f>+IF(FINANCIACION[[#This Row],[$ CAPITAL]]&gt;=0,FINANCIACION[[#This Row],[$ CAPITAL]]+FINANCIACION[[#This Row],[$ INTERESES]],"")</f>
        <v>6521200</v>
      </c>
      <c r="F556" s="113">
        <f>+SUMIFS(FINANCIACION[$ CAPITAL],FINANCIACION[Fecha],"&lt;="&amp;FINANCIACION[[#This Row],[Fecha]],FINANCIACION[PRESTAMO],FINANCIACION[[#This Row],[PRESTAMO]])</f>
        <v>-402490067</v>
      </c>
      <c r="G556" s="103"/>
      <c r="H556" s="117"/>
      <c r="I556" s="119"/>
      <c r="J556" s="113">
        <f>IF(FINANCIACION[[#This Row],[$ CAPITAL]]&gt;0,FINANCIACION[[#This Row],[$ CAPITAL]])</f>
        <v>6521200</v>
      </c>
      <c r="K556" s="120">
        <f>IF(FINANCIACION[[#This Row],[$ CAPITAL]]&gt;=0,FINANCIACION[[#This Row],[$ CAPITAL]]+FINANCIACION[[#This Row],[$ INTERESES]],0)</f>
        <v>6521200</v>
      </c>
    </row>
    <row r="557" spans="1:11" ht="24" customHeight="1" x14ac:dyDescent="0.3">
      <c r="A557" s="122">
        <v>44161</v>
      </c>
      <c r="B557" s="118" t="s">
        <v>347</v>
      </c>
      <c r="C557" s="113">
        <v>0</v>
      </c>
      <c r="D557" s="113">
        <v>2000000</v>
      </c>
      <c r="E557" s="113">
        <f>+IF(FINANCIACION[[#This Row],[$ CAPITAL]]&gt;=0,FINANCIACION[[#This Row],[$ CAPITAL]]+FINANCIACION[[#This Row],[$ INTERESES]],"")</f>
        <v>2000000</v>
      </c>
      <c r="F557" s="113">
        <f>+SUMIFS(FINANCIACION[$ CAPITAL],FINANCIACION[Fecha],"&lt;="&amp;FINANCIACION[[#This Row],[Fecha]],FINANCIACION[PRESTAMO],FINANCIACION[[#This Row],[PRESTAMO]])</f>
        <v>-402490067</v>
      </c>
      <c r="G557" s="103"/>
      <c r="H557" s="117"/>
      <c r="I557" s="119"/>
      <c r="J557" s="113" t="b">
        <f>IF(FINANCIACION[[#This Row],[$ CAPITAL]]&gt;0,FINANCIACION[[#This Row],[$ CAPITAL]])</f>
        <v>0</v>
      </c>
      <c r="K557" s="120">
        <f>IF(FINANCIACION[[#This Row],[$ CAPITAL]]&gt;=0,FINANCIACION[[#This Row],[$ CAPITAL]]+FINANCIACION[[#This Row],[$ INTERESES]],0)</f>
        <v>2000000</v>
      </c>
    </row>
    <row r="558" spans="1:11" ht="24" customHeight="1" x14ac:dyDescent="0.3">
      <c r="A558" s="122">
        <v>44165</v>
      </c>
      <c r="B558" s="118" t="s">
        <v>347</v>
      </c>
      <c r="C558" s="113">
        <v>5494197</v>
      </c>
      <c r="D558" s="113"/>
      <c r="E558" s="113">
        <f>+IF(FINANCIACION[[#This Row],[$ CAPITAL]]&gt;=0,FINANCIACION[[#This Row],[$ CAPITAL]]+FINANCIACION[[#This Row],[$ INTERESES]],"")</f>
        <v>5494197</v>
      </c>
      <c r="F558" s="113">
        <f>+SUMIFS(FINANCIACION[$ CAPITAL],FINANCIACION[Fecha],"&lt;="&amp;FINANCIACION[[#This Row],[Fecha]],FINANCIACION[PRESTAMO],FINANCIACION[[#This Row],[PRESTAMO]])</f>
        <v>-396995870</v>
      </c>
      <c r="G558" s="103"/>
      <c r="H558" s="117"/>
      <c r="I558" s="119"/>
      <c r="J558" s="113">
        <f>IF(FINANCIACION[[#This Row],[$ CAPITAL]]&gt;0,FINANCIACION[[#This Row],[$ CAPITAL]])</f>
        <v>5494197</v>
      </c>
      <c r="K558" s="120">
        <f>IF(FINANCIACION[[#This Row],[$ CAPITAL]]&gt;=0,FINANCIACION[[#This Row],[$ CAPITAL]]+FINANCIACION[[#This Row],[$ INTERESES]],0)</f>
        <v>5494197</v>
      </c>
    </row>
    <row r="559" spans="1:11" ht="24" customHeight="1" x14ac:dyDescent="0.3">
      <c r="A559" s="122">
        <v>44187</v>
      </c>
      <c r="B559" s="118" t="s">
        <v>347</v>
      </c>
      <c r="C559" s="113">
        <v>5215587</v>
      </c>
      <c r="D559" s="113"/>
      <c r="E559" s="113">
        <f>+IF(FINANCIACION[[#This Row],[$ CAPITAL]]&gt;=0,FINANCIACION[[#This Row],[$ CAPITAL]]+FINANCIACION[[#This Row],[$ INTERESES]],"")</f>
        <v>5215587</v>
      </c>
      <c r="F559" s="113">
        <f>+SUMIFS(FINANCIACION[$ CAPITAL],FINANCIACION[Fecha],"&lt;="&amp;FINANCIACION[[#This Row],[Fecha]],FINANCIACION[PRESTAMO],FINANCIACION[[#This Row],[PRESTAMO]])</f>
        <v>-391780283</v>
      </c>
      <c r="G559" s="103"/>
      <c r="H559" s="117"/>
      <c r="I559" s="119"/>
      <c r="J559" s="113">
        <f>IF(FINANCIACION[[#This Row],[$ CAPITAL]]&gt;0,FINANCIACION[[#This Row],[$ CAPITAL]])</f>
        <v>5215587</v>
      </c>
      <c r="K559" s="120">
        <f>IF(FINANCIACION[[#This Row],[$ CAPITAL]]&gt;=0,FINANCIACION[[#This Row],[$ CAPITAL]]+FINANCIACION[[#This Row],[$ INTERESES]],0)</f>
        <v>5215587</v>
      </c>
    </row>
    <row r="560" spans="1:11" ht="24" customHeight="1" x14ac:dyDescent="0.3">
      <c r="A560" s="122">
        <v>44196</v>
      </c>
      <c r="B560" s="118" t="s">
        <v>347</v>
      </c>
      <c r="C560" s="113">
        <v>36112485</v>
      </c>
      <c r="D560" s="113"/>
      <c r="E560" s="113">
        <f>+IF(FINANCIACION[[#This Row],[$ CAPITAL]]&gt;=0,FINANCIACION[[#This Row],[$ CAPITAL]]+FINANCIACION[[#This Row],[$ INTERESES]],"")</f>
        <v>36112485</v>
      </c>
      <c r="F560" s="113">
        <f>+SUMIFS(FINANCIACION[$ CAPITAL],FINANCIACION[Fecha],"&lt;="&amp;FINANCIACION[[#This Row],[Fecha]],FINANCIACION[PRESTAMO],FINANCIACION[[#This Row],[PRESTAMO]])</f>
        <v>-349958312</v>
      </c>
      <c r="G560" s="103"/>
      <c r="H560" s="117" t="s">
        <v>216</v>
      </c>
      <c r="I560" s="119"/>
      <c r="J560" s="113">
        <f>IF(FINANCIACION[[#This Row],[$ CAPITAL]]&gt;0,FINANCIACION[[#This Row],[$ CAPITAL]])</f>
        <v>36112485</v>
      </c>
      <c r="K560" s="120">
        <f>IF(FINANCIACION[[#This Row],[$ CAPITAL]]&gt;=0,FINANCIACION[[#This Row],[$ CAPITAL]]+FINANCIACION[[#This Row],[$ INTERESES]],0)</f>
        <v>36112485</v>
      </c>
    </row>
    <row r="561" spans="1:11" ht="24" customHeight="1" x14ac:dyDescent="0.3">
      <c r="A561" s="122">
        <v>44196</v>
      </c>
      <c r="B561" s="118" t="s">
        <v>347</v>
      </c>
      <c r="C561" s="113">
        <v>5709486</v>
      </c>
      <c r="D561" s="113"/>
      <c r="E561" s="113">
        <f>+IF(FINANCIACION[[#This Row],[$ CAPITAL]]&gt;=0,FINANCIACION[[#This Row],[$ CAPITAL]]+FINANCIACION[[#This Row],[$ INTERESES]],"")</f>
        <v>5709486</v>
      </c>
      <c r="F561" s="113">
        <f>+SUMIFS(FINANCIACION[$ CAPITAL],FINANCIACION[Fecha],"&lt;="&amp;FINANCIACION[[#This Row],[Fecha]],FINANCIACION[PRESTAMO],FINANCIACION[[#This Row],[PRESTAMO]])</f>
        <v>-349958312</v>
      </c>
      <c r="G561" s="103"/>
      <c r="H561" s="117"/>
      <c r="I561" s="119"/>
      <c r="J561" s="113">
        <f>IF(FINANCIACION[[#This Row],[$ CAPITAL]]&gt;0,FINANCIACION[[#This Row],[$ CAPITAL]])</f>
        <v>5709486</v>
      </c>
      <c r="K561" s="120">
        <f>IF(FINANCIACION[[#This Row],[$ CAPITAL]]&gt;=0,FINANCIACION[[#This Row],[$ CAPITAL]]+FINANCIACION[[#This Row],[$ INTERESES]],0)</f>
        <v>5709486</v>
      </c>
    </row>
    <row r="562" spans="1:11" ht="24" customHeight="1" x14ac:dyDescent="0.3">
      <c r="A562" s="112">
        <v>44244</v>
      </c>
      <c r="B562" s="118" t="s">
        <v>347</v>
      </c>
      <c r="C562" s="113">
        <v>108181</v>
      </c>
      <c r="D562" s="113"/>
      <c r="E562" s="113">
        <f>+IF(FINANCIACION[[#This Row],[$ CAPITAL]]&gt;=0,FINANCIACION[[#This Row],[$ CAPITAL]]+FINANCIACION[[#This Row],[$ INTERESES]],"")</f>
        <v>108181</v>
      </c>
      <c r="F562" s="113">
        <f>+SUMIFS(FINANCIACION[$ CAPITAL],FINANCIACION[Fecha],"&lt;="&amp;FINANCIACION[[#This Row],[Fecha]],FINANCIACION[PRESTAMO],FINANCIACION[[#This Row],[PRESTAMO]])</f>
        <v>-346350131</v>
      </c>
      <c r="G562" s="103"/>
      <c r="H562" s="117"/>
      <c r="I562" s="119"/>
      <c r="J562" s="113">
        <f>IF(FINANCIACION[[#This Row],[$ CAPITAL]]&gt;0,FINANCIACION[[#This Row],[$ CAPITAL]])</f>
        <v>108181</v>
      </c>
      <c r="K562" s="120">
        <f>IF(FINANCIACION[[#This Row],[$ CAPITAL]]&gt;=0,FINANCIACION[[#This Row],[$ CAPITAL]]+FINANCIACION[[#This Row],[$ INTERESES]],0)</f>
        <v>108181</v>
      </c>
    </row>
    <row r="563" spans="1:11" ht="24" customHeight="1" x14ac:dyDescent="0.3">
      <c r="A563" s="112">
        <v>44244</v>
      </c>
      <c r="B563" s="118" t="s">
        <v>347</v>
      </c>
      <c r="C563" s="113">
        <v>3500000</v>
      </c>
      <c r="D563" s="113"/>
      <c r="E563" s="113">
        <f>+IF(FINANCIACION[[#This Row],[$ CAPITAL]]&gt;=0,FINANCIACION[[#This Row],[$ CAPITAL]]+FINANCIACION[[#This Row],[$ INTERESES]],"")</f>
        <v>3500000</v>
      </c>
      <c r="F563" s="113">
        <f>+SUMIFS(FINANCIACION[$ CAPITAL],FINANCIACION[Fecha],"&lt;="&amp;FINANCIACION[[#This Row],[Fecha]],FINANCIACION[PRESTAMO],FINANCIACION[[#This Row],[PRESTAMO]])</f>
        <v>-346350131</v>
      </c>
      <c r="G563" s="103"/>
      <c r="H563" s="117"/>
      <c r="I563" s="119"/>
      <c r="J563" s="113">
        <f>IF(FINANCIACION[[#This Row],[$ CAPITAL]]&gt;0,FINANCIACION[[#This Row],[$ CAPITAL]])</f>
        <v>3500000</v>
      </c>
      <c r="K563" s="120">
        <f>IF(FINANCIACION[[#This Row],[$ CAPITAL]]&gt;=0,FINANCIACION[[#This Row],[$ CAPITAL]]+FINANCIACION[[#This Row],[$ INTERESES]],0)</f>
        <v>3500000</v>
      </c>
    </row>
    <row r="564" spans="1:11" ht="24" customHeight="1" x14ac:dyDescent="0.3">
      <c r="A564" s="112">
        <v>44255</v>
      </c>
      <c r="B564" s="118" t="s">
        <v>347</v>
      </c>
      <c r="C564" s="113">
        <v>-8929573</v>
      </c>
      <c r="D564" s="113"/>
      <c r="E564" s="113" t="str">
        <f>+IF(FINANCIACION[[#This Row],[$ CAPITAL]]&gt;=0,FINANCIACION[[#This Row],[$ CAPITAL]]+FINANCIACION[[#This Row],[$ INTERESES]],"")</f>
        <v/>
      </c>
      <c r="F564" s="113">
        <f>+SUMIFS(FINANCIACION[$ CAPITAL],FINANCIACION[Fecha],"&lt;="&amp;FINANCIACION[[#This Row],[Fecha]],FINANCIACION[PRESTAMO],FINANCIACION[[#This Row],[PRESTAMO]])</f>
        <v>-355279704</v>
      </c>
      <c r="G564" s="103"/>
      <c r="H564" s="117" t="s">
        <v>144</v>
      </c>
      <c r="I564" s="119"/>
      <c r="J564" s="113" t="b">
        <f>IF(FINANCIACION[[#This Row],[$ CAPITAL]]&gt;0,FINANCIACION[[#This Row],[$ CAPITAL]])</f>
        <v>0</v>
      </c>
      <c r="K564" s="120">
        <f>IF(FINANCIACION[[#This Row],[$ CAPITAL]]&gt;=0,FINANCIACION[[#This Row],[$ CAPITAL]]+FINANCIACION[[#This Row],[$ INTERESES]],0)</f>
        <v>0</v>
      </c>
    </row>
    <row r="565" spans="1:11" ht="24" customHeight="1" x14ac:dyDescent="0.3">
      <c r="A565" s="112">
        <v>44284</v>
      </c>
      <c r="B565" s="118" t="s">
        <v>347</v>
      </c>
      <c r="C565" s="113">
        <v>8286154</v>
      </c>
      <c r="D565" s="113">
        <v>120765</v>
      </c>
      <c r="E565" s="113">
        <f>+IF(FINANCIACION[[#This Row],[$ CAPITAL]]&gt;=0,FINANCIACION[[#This Row],[$ CAPITAL]]+FINANCIACION[[#This Row],[$ INTERESES]],"")</f>
        <v>8406919</v>
      </c>
      <c r="F565" s="113">
        <f>+SUMIFS(FINANCIACION[$ CAPITAL],FINANCIACION[Fecha],"&lt;="&amp;FINANCIACION[[#This Row],[Fecha]],FINANCIACION[PRESTAMO],FINANCIACION[[#This Row],[PRESTAMO]])</f>
        <v>-346993550</v>
      </c>
      <c r="G565" s="103"/>
      <c r="H565" s="117"/>
      <c r="I565" s="119"/>
      <c r="J565" s="113">
        <f>IF(FINANCIACION[[#This Row],[$ CAPITAL]]&gt;0,FINANCIACION[[#This Row],[$ CAPITAL]])</f>
        <v>8286154</v>
      </c>
      <c r="K565" s="120">
        <f>IF(FINANCIACION[[#This Row],[$ CAPITAL]]&gt;=0,FINANCIACION[[#This Row],[$ CAPITAL]]+FINANCIACION[[#This Row],[$ INTERESES]],0)</f>
        <v>8406919</v>
      </c>
    </row>
    <row r="566" spans="1:11" ht="24" customHeight="1" x14ac:dyDescent="0.3">
      <c r="A566" s="112">
        <v>44286</v>
      </c>
      <c r="B566" s="118" t="s">
        <v>347</v>
      </c>
      <c r="C566" s="113">
        <v>-4128919</v>
      </c>
      <c r="D566" s="113"/>
      <c r="E566" s="113" t="str">
        <f>+IF(FINANCIACION[[#This Row],[$ CAPITAL]]&gt;=0,FINANCIACION[[#This Row],[$ CAPITAL]]+FINANCIACION[[#This Row],[$ INTERESES]],"")</f>
        <v/>
      </c>
      <c r="F566" s="113">
        <f>+SUMIFS(FINANCIACION[$ CAPITAL],FINANCIACION[Fecha],"&lt;="&amp;FINANCIACION[[#This Row],[Fecha]],FINANCIACION[PRESTAMO],FINANCIACION[[#This Row],[PRESTAMO]])</f>
        <v>-351122469</v>
      </c>
      <c r="G566" s="103"/>
      <c r="H566" s="117" t="s">
        <v>144</v>
      </c>
      <c r="I566" s="119"/>
      <c r="J566" s="113" t="b">
        <f>IF(FINANCIACION[[#This Row],[$ CAPITAL]]&gt;0,FINANCIACION[[#This Row],[$ CAPITAL]])</f>
        <v>0</v>
      </c>
      <c r="K566" s="120">
        <f>IF(FINANCIACION[[#This Row],[$ CAPITAL]]&gt;=0,FINANCIACION[[#This Row],[$ CAPITAL]]+FINANCIACION[[#This Row],[$ INTERESES]],0)</f>
        <v>0</v>
      </c>
    </row>
    <row r="567" spans="1:11" ht="24" customHeight="1" x14ac:dyDescent="0.3">
      <c r="A567" s="112">
        <v>44316</v>
      </c>
      <c r="B567" s="118" t="s">
        <v>347</v>
      </c>
      <c r="C567" s="113">
        <v>-3722340</v>
      </c>
      <c r="D567" s="113"/>
      <c r="E567" s="113" t="str">
        <f>+IF(FINANCIACION[[#This Row],[$ CAPITAL]]&gt;=0,FINANCIACION[[#This Row],[$ CAPITAL]]+FINANCIACION[[#This Row],[$ INTERESES]],"")</f>
        <v/>
      </c>
      <c r="F567" s="113">
        <f>+SUMIFS(FINANCIACION[$ CAPITAL],FINANCIACION[Fecha],"&lt;="&amp;FINANCIACION[[#This Row],[Fecha]],FINANCIACION[PRESTAMO],FINANCIACION[[#This Row],[PRESTAMO]])</f>
        <v>-354844809</v>
      </c>
      <c r="G567" s="103"/>
      <c r="H567" s="117" t="s">
        <v>144</v>
      </c>
      <c r="I567" s="119"/>
      <c r="J567" s="113" t="b">
        <f>IF(FINANCIACION[[#This Row],[$ CAPITAL]]&gt;0,FINANCIACION[[#This Row],[$ CAPITAL]])</f>
        <v>0</v>
      </c>
      <c r="K567" s="120">
        <f>IF(FINANCIACION[[#This Row],[$ CAPITAL]]&gt;=0,FINANCIACION[[#This Row],[$ CAPITAL]]+FINANCIACION[[#This Row],[$ INTERESES]],0)</f>
        <v>0</v>
      </c>
    </row>
    <row r="568" spans="1:11" ht="24" customHeight="1" x14ac:dyDescent="0.3">
      <c r="A568" s="112">
        <v>44320</v>
      </c>
      <c r="B568" s="118" t="s">
        <v>347</v>
      </c>
      <c r="C568" s="113">
        <v>5000000</v>
      </c>
      <c r="D568" s="113"/>
      <c r="E568" s="113">
        <f>+IF(FINANCIACION[[#This Row],[$ CAPITAL]]&gt;=0,FINANCIACION[[#This Row],[$ CAPITAL]]+FINANCIACION[[#This Row],[$ INTERESES]],"")</f>
        <v>5000000</v>
      </c>
      <c r="F568" s="113">
        <f>+SUMIFS(FINANCIACION[$ CAPITAL],FINANCIACION[Fecha],"&lt;="&amp;FINANCIACION[[#This Row],[Fecha]],FINANCIACION[PRESTAMO],FINANCIACION[[#This Row],[PRESTAMO]])</f>
        <v>-349844809</v>
      </c>
      <c r="G568" s="103"/>
      <c r="H568" s="117"/>
      <c r="I568" s="119"/>
      <c r="J568" s="113">
        <f>IF(FINANCIACION[[#This Row],[$ CAPITAL]]&gt;0,FINANCIACION[[#This Row],[$ CAPITAL]])</f>
        <v>5000000</v>
      </c>
      <c r="K568" s="120">
        <f>IF(FINANCIACION[[#This Row],[$ CAPITAL]]&gt;=0,FINANCIACION[[#This Row],[$ CAPITAL]]+FINANCIACION[[#This Row],[$ INTERESES]],0)</f>
        <v>5000000</v>
      </c>
    </row>
    <row r="569" spans="1:11" ht="24" customHeight="1" x14ac:dyDescent="0.3">
      <c r="A569" s="112">
        <v>44328</v>
      </c>
      <c r="B569" s="118" t="s">
        <v>347</v>
      </c>
      <c r="C569" s="113">
        <v>918187</v>
      </c>
      <c r="D569" s="113"/>
      <c r="E569" s="113">
        <f>+IF(FINANCIACION[[#This Row],[$ CAPITAL]]&gt;=0,FINANCIACION[[#This Row],[$ CAPITAL]]+FINANCIACION[[#This Row],[$ INTERESES]],"")</f>
        <v>918187</v>
      </c>
      <c r="F569" s="113">
        <f>+SUMIFS(FINANCIACION[$ CAPITAL],FINANCIACION[Fecha],"&lt;="&amp;FINANCIACION[[#This Row],[Fecha]],FINANCIACION[PRESTAMO],FINANCIACION[[#This Row],[PRESTAMO]])</f>
        <v>-348926622</v>
      </c>
      <c r="G569" s="103"/>
      <c r="H569" s="117"/>
      <c r="I569" s="119"/>
      <c r="J569" s="113">
        <f>IF(FINANCIACION[[#This Row],[$ CAPITAL]]&gt;0,FINANCIACION[[#This Row],[$ CAPITAL]])</f>
        <v>918187</v>
      </c>
      <c r="K569" s="120">
        <f>IF(FINANCIACION[[#This Row],[$ CAPITAL]]&gt;=0,FINANCIACION[[#This Row],[$ CAPITAL]]+FINANCIACION[[#This Row],[$ INTERESES]],0)</f>
        <v>918187</v>
      </c>
    </row>
    <row r="570" spans="1:11" ht="24" customHeight="1" x14ac:dyDescent="0.3">
      <c r="A570" s="112">
        <v>44346</v>
      </c>
      <c r="B570" s="118" t="s">
        <v>347</v>
      </c>
      <c r="C570" s="113">
        <v>-7131410</v>
      </c>
      <c r="D570" s="113"/>
      <c r="E570" s="113" t="str">
        <f>+IF(FINANCIACION[[#This Row],[$ CAPITAL]]&gt;=0,FINANCIACION[[#This Row],[$ CAPITAL]]+FINANCIACION[[#This Row],[$ INTERESES]],"")</f>
        <v/>
      </c>
      <c r="F570" s="113">
        <f>+SUMIFS(FINANCIACION[$ CAPITAL],FINANCIACION[Fecha],"&lt;="&amp;FINANCIACION[[#This Row],[Fecha]],FINANCIACION[PRESTAMO],FINANCIACION[[#This Row],[PRESTAMO]])</f>
        <v>-356058032</v>
      </c>
      <c r="G570" s="103"/>
      <c r="H570" s="117" t="s">
        <v>144</v>
      </c>
      <c r="I570" s="119"/>
      <c r="J570" s="113" t="b">
        <f>IF(FINANCIACION[[#This Row],[$ CAPITAL]]&gt;0,FINANCIACION[[#This Row],[$ CAPITAL]])</f>
        <v>0</v>
      </c>
      <c r="K570" s="121">
        <f>IF(FINANCIACION[[#This Row],[$ CAPITAL]]&gt;=0,FINANCIACION[[#This Row],[$ CAPITAL]]+FINANCIACION[[#This Row],[$ INTERESES]],0)</f>
        <v>0</v>
      </c>
    </row>
    <row r="571" spans="1:11" ht="24" customHeight="1" x14ac:dyDescent="0.3">
      <c r="A571" s="112">
        <v>44375</v>
      </c>
      <c r="B571" s="118" t="s">
        <v>347</v>
      </c>
      <c r="C571" s="113">
        <v>11613334</v>
      </c>
      <c r="D571" s="113">
        <v>235877</v>
      </c>
      <c r="E571" s="113">
        <f>+IF(FINANCIACION[[#This Row],[$ CAPITAL]]&gt;=0,FINANCIACION[[#This Row],[$ CAPITAL]]+FINANCIACION[[#This Row],[$ INTERESES]],"")</f>
        <v>11849211</v>
      </c>
      <c r="F571" s="113">
        <f>+SUMIFS(FINANCIACION[$ CAPITAL],FINANCIACION[Fecha],"&lt;="&amp;FINANCIACION[[#This Row],[Fecha]],FINANCIACION[PRESTAMO],FINANCIACION[[#This Row],[PRESTAMO]])</f>
        <v>-344444698</v>
      </c>
      <c r="G571" s="103"/>
      <c r="I571" s="119"/>
      <c r="J571" s="113">
        <f>IF(FINANCIACION[[#This Row],[$ CAPITAL]]&gt;0,FINANCIACION[[#This Row],[$ CAPITAL]])</f>
        <v>11613334</v>
      </c>
      <c r="K571" s="120">
        <f>IF(FINANCIACION[[#This Row],[$ CAPITAL]]&gt;=0,FINANCIACION[[#This Row],[$ CAPITAL]]+FINANCIACION[[#This Row],[$ INTERESES]],0)</f>
        <v>11849211</v>
      </c>
    </row>
    <row r="572" spans="1:11" ht="24" customHeight="1" x14ac:dyDescent="0.3">
      <c r="A572" s="112">
        <v>44426</v>
      </c>
      <c r="B572" s="118" t="s">
        <v>347</v>
      </c>
      <c r="C572" s="113">
        <v>5709486</v>
      </c>
      <c r="D572" s="113">
        <v>242086</v>
      </c>
      <c r="E572" s="113">
        <f>+IF(FINANCIACION[[#This Row],[$ CAPITAL]]&gt;=0,FINANCIACION[[#This Row],[$ CAPITAL]]+FINANCIACION[[#This Row],[$ INTERESES]],"")</f>
        <v>5951572</v>
      </c>
      <c r="F572" s="113">
        <f>+SUMIFS(FINANCIACION[$ CAPITAL],FINANCIACION[Fecha],"&lt;="&amp;FINANCIACION[[#This Row],[Fecha]],FINANCIACION[PRESTAMO],FINANCIACION[[#This Row],[PRESTAMO]])</f>
        <v>-338735212</v>
      </c>
      <c r="G572" s="103"/>
      <c r="H572" s="117"/>
      <c r="I572" s="119"/>
      <c r="J572" s="113">
        <f>IF(FINANCIACION[[#This Row],[$ CAPITAL]]&gt;0,FINANCIACION[[#This Row],[$ CAPITAL]])</f>
        <v>5709486</v>
      </c>
      <c r="K572" s="120">
        <f>IF(FINANCIACION[[#This Row],[$ CAPITAL]]&gt;=0,FINANCIACION[[#This Row],[$ CAPITAL]]+FINANCIACION[[#This Row],[$ INTERESES]],0)</f>
        <v>5951572</v>
      </c>
    </row>
    <row r="573" spans="1:11" ht="24" customHeight="1" x14ac:dyDescent="0.3">
      <c r="A573" s="112">
        <v>44459</v>
      </c>
      <c r="B573" s="118" t="s">
        <v>347</v>
      </c>
      <c r="C573" s="113">
        <v>5238034</v>
      </c>
      <c r="D573" s="113">
        <v>713538</v>
      </c>
      <c r="E573" s="113">
        <f>+IF(FINANCIACION[[#This Row],[$ CAPITAL]]&gt;=0,FINANCIACION[[#This Row],[$ CAPITAL]]+FINANCIACION[[#This Row],[$ INTERESES]],"")</f>
        <v>5951572</v>
      </c>
      <c r="F573" s="113">
        <f>+SUMIFS(FINANCIACION[$ CAPITAL],FINANCIACION[Fecha],"&lt;="&amp;FINANCIACION[[#This Row],[Fecha]],FINANCIACION[PRESTAMO],FINANCIACION[[#This Row],[PRESTAMO]])</f>
        <v>-333497178</v>
      </c>
      <c r="G573" s="103"/>
      <c r="H573" s="117"/>
      <c r="I573" s="119"/>
      <c r="J573" s="113">
        <f>IF(FINANCIACION[[#This Row],[$ CAPITAL]]&gt;0,FINANCIACION[[#This Row],[$ CAPITAL]])</f>
        <v>5238034</v>
      </c>
      <c r="K573" s="120">
        <f>IF(FINANCIACION[[#This Row],[$ CAPITAL]]&gt;=0,FINANCIACION[[#This Row],[$ CAPITAL]]+FINANCIACION[[#This Row],[$ INTERESES]],0)</f>
        <v>5951572</v>
      </c>
    </row>
    <row r="574" spans="1:11" ht="24" customHeight="1" x14ac:dyDescent="0.3">
      <c r="A574" s="112">
        <v>44488</v>
      </c>
      <c r="B574" s="118" t="s">
        <v>347</v>
      </c>
      <c r="C574" s="113">
        <v>5238034</v>
      </c>
      <c r="D574" s="113">
        <v>683538</v>
      </c>
      <c r="E574" s="113">
        <f>+IF(FINANCIACION[[#This Row],[$ CAPITAL]]&gt;=0,FINANCIACION[[#This Row],[$ CAPITAL]]+FINANCIACION[[#This Row],[$ INTERESES]],"")</f>
        <v>5921572</v>
      </c>
      <c r="F574" s="113">
        <f>+SUMIFS(FINANCIACION[$ CAPITAL],FINANCIACION[Fecha],"&lt;="&amp;FINANCIACION[[#This Row],[Fecha]],FINANCIACION[PRESTAMO],FINANCIACION[[#This Row],[PRESTAMO]])</f>
        <v>-328259144</v>
      </c>
      <c r="G574" s="103"/>
      <c r="I574" s="119"/>
      <c r="J574" s="113">
        <f>IF(FINANCIACION[[#This Row],[$ CAPITAL]]&gt;0,FINANCIACION[[#This Row],[$ CAPITAL]])</f>
        <v>5238034</v>
      </c>
      <c r="K574" s="120">
        <f>IF(FINANCIACION[[#This Row],[$ CAPITAL]]&gt;=0,FINANCIACION[[#This Row],[$ CAPITAL]]+FINANCIACION[[#This Row],[$ INTERESES]],0)</f>
        <v>5921572</v>
      </c>
    </row>
    <row r="575" spans="1:11" ht="24" customHeight="1" x14ac:dyDescent="0.3">
      <c r="A575" s="112">
        <v>44518</v>
      </c>
      <c r="B575" s="118" t="s">
        <v>347</v>
      </c>
      <c r="C575" s="113">
        <v>5143385</v>
      </c>
      <c r="D575" s="113">
        <v>835554</v>
      </c>
      <c r="E575" s="113">
        <f>+IF(FINANCIACION[[#This Row],[$ CAPITAL]]&gt;=0,FINANCIACION[[#This Row],[$ CAPITAL]]+FINANCIACION[[#This Row],[$ INTERESES]],"")</f>
        <v>5978939</v>
      </c>
      <c r="F575" s="113">
        <f>+SUMIFS(FINANCIACION[$ CAPITAL],FINANCIACION[Fecha],"&lt;="&amp;FINANCIACION[[#This Row],[Fecha]],FINANCIACION[PRESTAMO],FINANCIACION[[#This Row],[PRESTAMO]])</f>
        <v>-323115759</v>
      </c>
      <c r="G575" s="103"/>
      <c r="I575" s="119"/>
      <c r="J575" s="113">
        <f>IF(FINANCIACION[[#This Row],[$ CAPITAL]]&gt;0,FINANCIACION[[#This Row],[$ CAPITAL]])</f>
        <v>5143385</v>
      </c>
      <c r="K575" s="120">
        <f>IF(FINANCIACION[[#This Row],[$ CAPITAL]]&gt;=0,FINANCIACION[[#This Row],[$ CAPITAL]]+FINANCIACION[[#This Row],[$ INTERESES]],0)</f>
        <v>5978939</v>
      </c>
    </row>
    <row r="576" spans="1:11" ht="24" customHeight="1" x14ac:dyDescent="0.3">
      <c r="A576" s="112">
        <v>44544</v>
      </c>
      <c r="B576" s="118" t="s">
        <v>347</v>
      </c>
      <c r="C576" s="113">
        <v>4796627</v>
      </c>
      <c r="D576" s="113">
        <v>1182312</v>
      </c>
      <c r="E576" s="113">
        <f>+IF(FINANCIACION[[#This Row],[$ CAPITAL]]&gt;=0,FINANCIACION[[#This Row],[$ CAPITAL]]+FINANCIACION[[#This Row],[$ INTERESES]],"")</f>
        <v>5978939</v>
      </c>
      <c r="F576" s="113">
        <f>+SUMIFS(FINANCIACION[$ CAPITAL],FINANCIACION[Fecha],"&lt;="&amp;FINANCIACION[[#This Row],[Fecha]],FINANCIACION[PRESTAMO],FINANCIACION[[#This Row],[PRESTAMO]])</f>
        <v>-318319132</v>
      </c>
      <c r="G576" s="103"/>
      <c r="I576" s="119"/>
      <c r="J576" s="113">
        <f>IF(FINANCIACION[[#This Row],[$ CAPITAL]]&gt;0,FINANCIACION[[#This Row],[$ CAPITAL]])</f>
        <v>4796627</v>
      </c>
      <c r="K576" s="120">
        <f>IF(FINANCIACION[[#This Row],[$ CAPITAL]]&gt;=0,FINANCIACION[[#This Row],[$ CAPITAL]]+FINANCIACION[[#This Row],[$ INTERESES]],0)</f>
        <v>5978939</v>
      </c>
    </row>
    <row r="577" spans="1:11" ht="24" customHeight="1" x14ac:dyDescent="0.3">
      <c r="A577" s="112">
        <v>44561</v>
      </c>
      <c r="B577" s="118" t="s">
        <v>347</v>
      </c>
      <c r="C577" s="113">
        <v>-18803895</v>
      </c>
      <c r="D577" s="113"/>
      <c r="E577" s="113" t="str">
        <f>+IF(FINANCIACION[[#This Row],[$ CAPITAL]]&gt;=0,FINANCIACION[[#This Row],[$ CAPITAL]]+FINANCIACION[[#This Row],[$ INTERESES]],"")</f>
        <v/>
      </c>
      <c r="F577" s="113">
        <f>+SUMIFS(FINANCIACION[$ CAPITAL],FINANCIACION[Fecha],"&lt;="&amp;FINANCIACION[[#This Row],[Fecha]],FINANCIACION[PRESTAMO],FINANCIACION[[#This Row],[PRESTAMO]])</f>
        <v>-388924522</v>
      </c>
      <c r="G577" s="103"/>
      <c r="H577" s="119" t="s">
        <v>144</v>
      </c>
      <c r="I577" s="119"/>
      <c r="J577" s="113" t="b">
        <f>IF(FINANCIACION[[#This Row],[$ CAPITAL]]&gt;0,FINANCIACION[[#This Row],[$ CAPITAL]])</f>
        <v>0</v>
      </c>
      <c r="K577" s="120">
        <f>IF(FINANCIACION[[#This Row],[$ CAPITAL]]&gt;=0,FINANCIACION[[#This Row],[$ CAPITAL]]+FINANCIACION[[#This Row],[$ INTERESES]],0)</f>
        <v>0</v>
      </c>
    </row>
    <row r="578" spans="1:11" ht="24" customHeight="1" x14ac:dyDescent="0.3">
      <c r="A578" s="112">
        <v>44561</v>
      </c>
      <c r="B578" s="118" t="s">
        <v>347</v>
      </c>
      <c r="C578" s="113">
        <v>-51801495</v>
      </c>
      <c r="D578" s="113"/>
      <c r="E578" s="113" t="str">
        <f>+IF(FINANCIACION[[#This Row],[$ CAPITAL]]&gt;=0,FINANCIACION[[#This Row],[$ CAPITAL]]+FINANCIACION[[#This Row],[$ INTERESES]],"")</f>
        <v/>
      </c>
      <c r="F578" s="113">
        <f>+SUMIFS(FINANCIACION[$ CAPITAL],FINANCIACION[Fecha],"&lt;="&amp;FINANCIACION[[#This Row],[Fecha]],FINANCIACION[PRESTAMO],FINANCIACION[[#This Row],[PRESTAMO]])</f>
        <v>-388924522</v>
      </c>
      <c r="G578" s="103"/>
      <c r="H578" s="119" t="s">
        <v>440</v>
      </c>
      <c r="I578" s="119"/>
      <c r="J578" s="113" t="b">
        <f>+IF(FINANCIACION[[#This Row],[$ CAPITAL]]&gt;0,FINANCIACION[[#This Row],[$ CAPITAL]])</f>
        <v>0</v>
      </c>
      <c r="K578" s="120">
        <f>+IF(FINANCIACION[[#This Row],[$ CAPITAL]]&gt;=0,FINANCIACION[[#This Row],[$ CAPITAL]]+FINANCIACION[[#This Row],[$ INTERESES]],0)</f>
        <v>0</v>
      </c>
    </row>
    <row r="579" spans="1:11" ht="24" customHeight="1" x14ac:dyDescent="0.3">
      <c r="A579" s="112">
        <v>44579</v>
      </c>
      <c r="B579" s="118" t="s">
        <v>347</v>
      </c>
      <c r="C579" s="113">
        <v>506866</v>
      </c>
      <c r="D579" s="113">
        <v>5475236</v>
      </c>
      <c r="E579" s="113">
        <f>+IF(FINANCIACION[[#This Row],[$ CAPITAL]]&gt;=0,FINANCIACION[[#This Row],[$ CAPITAL]]+FINANCIACION[[#This Row],[$ INTERESES]],"")</f>
        <v>5982102</v>
      </c>
      <c r="F579" s="113">
        <f>+SUMIFS(FINANCIACION[$ CAPITAL],FINANCIACION[Fecha],"&lt;="&amp;FINANCIACION[[#This Row],[Fecha]],FINANCIACION[PRESTAMO],FINANCIACION[[#This Row],[PRESTAMO]])</f>
        <v>-388417656</v>
      </c>
      <c r="G579" s="103"/>
      <c r="I579" s="119"/>
      <c r="J579" s="113">
        <f>IF(FINANCIACION[[#This Row],[$ CAPITAL]]&gt;0,FINANCIACION[[#This Row],[$ CAPITAL]])</f>
        <v>506866</v>
      </c>
      <c r="K579" s="120">
        <f>IF(FINANCIACION[[#This Row],[$ CAPITAL]]&gt;=0,FINANCIACION[[#This Row],[$ CAPITAL]]+FINANCIACION[[#This Row],[$ INTERESES]],0)</f>
        <v>5982102</v>
      </c>
    </row>
    <row r="580" spans="1:11" ht="24" customHeight="1" x14ac:dyDescent="0.3">
      <c r="A580" s="112">
        <v>44610</v>
      </c>
      <c r="B580" s="118" t="s">
        <v>347</v>
      </c>
      <c r="C580" s="113">
        <v>5809351</v>
      </c>
      <c r="D580" s="113">
        <v>379619</v>
      </c>
      <c r="E580" s="113">
        <f>+IF(FINANCIACION[[#This Row],[$ CAPITAL]]&gt;=0,FINANCIACION[[#This Row],[$ CAPITAL]]+FINANCIACION[[#This Row],[$ INTERESES]],"")</f>
        <v>6188970</v>
      </c>
      <c r="F580" s="113">
        <f>+SUMIFS(FINANCIACION[$ CAPITAL],FINANCIACION[Fecha],"&lt;="&amp;FINANCIACION[[#This Row],[Fecha]],FINANCIACION[PRESTAMO],FINANCIACION[[#This Row],[PRESTAMO]])</f>
        <v>-382608305</v>
      </c>
      <c r="G580" s="103"/>
      <c r="I580" s="119"/>
      <c r="J580" s="113">
        <f>+IF(FINANCIACION[[#This Row],[$ CAPITAL]]&gt;0,FINANCIACION[[#This Row],[$ CAPITAL]])</f>
        <v>5809351</v>
      </c>
      <c r="K580" s="120">
        <f>+IF(FINANCIACION[[#This Row],[$ CAPITAL]]&gt;=0,FINANCIACION[[#This Row],[$ CAPITAL]]+FINANCIACION[[#This Row],[$ INTERESES]],0)</f>
        <v>6188970</v>
      </c>
    </row>
    <row r="581" spans="1:11" ht="24" customHeight="1" x14ac:dyDescent="0.3">
      <c r="A581" s="112">
        <v>44638</v>
      </c>
      <c r="B581" s="118" t="s">
        <v>347</v>
      </c>
      <c r="C581" s="113">
        <v>5497957</v>
      </c>
      <c r="D581" s="113">
        <v>252367</v>
      </c>
      <c r="E581" s="113">
        <f>+IF(FINANCIACION[[#This Row],[$ CAPITAL]]&gt;=0,FINANCIACION[[#This Row],[$ CAPITAL]]+FINANCIACION[[#This Row],[$ INTERESES]],"")</f>
        <v>5750324</v>
      </c>
      <c r="F581" s="113">
        <f>+SUMIFS(FINANCIACION[$ CAPITAL],FINANCIACION[Fecha],"&lt;="&amp;FINANCIACION[[#This Row],[Fecha]],FINANCIACION[PRESTAMO],FINANCIACION[[#This Row],[PRESTAMO]])</f>
        <v>-377110348</v>
      </c>
      <c r="G581" s="103"/>
      <c r="I581" s="119"/>
      <c r="J581" s="113">
        <f>+IF(FINANCIACION[[#This Row],[$ CAPITAL]]&gt;0,FINANCIACION[[#This Row],[$ CAPITAL]])</f>
        <v>5497957</v>
      </c>
      <c r="K581" s="120">
        <f>+IF(FINANCIACION[[#This Row],[$ CAPITAL]]&gt;=0,FINANCIACION[[#This Row],[$ CAPITAL]]+FINANCIACION[[#This Row],[$ INTERESES]],0)</f>
        <v>5750324</v>
      </c>
    </row>
    <row r="582" spans="1:11" ht="24" customHeight="1" x14ac:dyDescent="0.3">
      <c r="A582" s="112">
        <v>44670</v>
      </c>
      <c r="B582" s="118" t="s">
        <v>347</v>
      </c>
      <c r="C582" s="113">
        <v>4839732</v>
      </c>
      <c r="D582" s="113">
        <v>910592</v>
      </c>
      <c r="E582" s="113">
        <f>+IF(FINANCIACION[[#This Row],[$ CAPITAL]]&gt;=0,FINANCIACION[[#This Row],[$ CAPITAL]]+FINANCIACION[[#This Row],[$ INTERESES]],"")</f>
        <v>5750324</v>
      </c>
      <c r="F582" s="113">
        <f>+SUMIFS(FINANCIACION[$ CAPITAL],FINANCIACION[Fecha],"&lt;="&amp;FINANCIACION[[#This Row],[Fecha]],FINANCIACION[PRESTAMO],FINANCIACION[[#This Row],[PRESTAMO]])</f>
        <v>-372270616</v>
      </c>
      <c r="G582" s="103"/>
      <c r="I582" s="119"/>
      <c r="J582" s="113">
        <f>+IF(FINANCIACION[[#This Row],[$ CAPITAL]]&gt;0,FINANCIACION[[#This Row],[$ CAPITAL]])</f>
        <v>4839732</v>
      </c>
      <c r="K582" s="120">
        <f>+IF(FINANCIACION[[#This Row],[$ CAPITAL]]&gt;=0,FINANCIACION[[#This Row],[$ CAPITAL]]+FINANCIACION[[#This Row],[$ INTERESES]],0)</f>
        <v>5750324</v>
      </c>
    </row>
    <row r="583" spans="1:11" ht="24" customHeight="1" x14ac:dyDescent="0.3">
      <c r="A583" s="112">
        <v>44699</v>
      </c>
      <c r="B583" s="118" t="s">
        <v>347</v>
      </c>
      <c r="C583" s="113">
        <v>5828926</v>
      </c>
      <c r="D583" s="113">
        <v>266879</v>
      </c>
      <c r="E583" s="113">
        <f>+IF(FINANCIACION[[#This Row],[$ CAPITAL]]&gt;=0,FINANCIACION[[#This Row],[$ CAPITAL]]+FINANCIACION[[#This Row],[$ INTERESES]],"")</f>
        <v>6095805</v>
      </c>
      <c r="F583" s="113">
        <f>+SUMIFS(FINANCIACION[$ CAPITAL],FINANCIACION[Fecha],"&lt;="&amp;FINANCIACION[[#This Row],[Fecha]],FINANCIACION[PRESTAMO],FINANCIACION[[#This Row],[PRESTAMO]])</f>
        <v>-366441690</v>
      </c>
      <c r="G583" s="103"/>
      <c r="I583" s="119"/>
      <c r="J583" s="113">
        <f>+IF(FINANCIACION[[#This Row],[$ CAPITAL]]&gt;0,FINANCIACION[[#This Row],[$ CAPITAL]])</f>
        <v>5828926</v>
      </c>
      <c r="K583" s="120">
        <f>+IF(FINANCIACION[[#This Row],[$ CAPITAL]]&gt;=0,FINANCIACION[[#This Row],[$ CAPITAL]]+FINANCIACION[[#This Row],[$ INTERESES]],0)</f>
        <v>6095805</v>
      </c>
    </row>
    <row r="584" spans="1:11" ht="24" customHeight="1" x14ac:dyDescent="0.3">
      <c r="A584" s="112">
        <v>44733</v>
      </c>
      <c r="B584" s="118" t="s">
        <v>347</v>
      </c>
      <c r="C584" s="113">
        <v>1384152</v>
      </c>
      <c r="D584" s="113">
        <v>4711653</v>
      </c>
      <c r="E584" s="113">
        <f>+IF(FINANCIACION[[#This Row],[$ CAPITAL]]&gt;=0,FINANCIACION[[#This Row],[$ CAPITAL]]+FINANCIACION[[#This Row],[$ INTERESES]],"")</f>
        <v>6095805</v>
      </c>
      <c r="F584" s="113">
        <f>+SUMIFS(FINANCIACION[$ CAPITAL],FINANCIACION[Fecha],"&lt;="&amp;FINANCIACION[[#This Row],[Fecha]],FINANCIACION[PRESTAMO],FINANCIACION[[#This Row],[PRESTAMO]])</f>
        <v>-365057538</v>
      </c>
      <c r="G584" s="103"/>
      <c r="I584" s="119"/>
      <c r="J584" s="113">
        <f>+IF(FINANCIACION[[#This Row],[$ CAPITAL]]&gt;0,FINANCIACION[[#This Row],[$ CAPITAL]])</f>
        <v>1384152</v>
      </c>
      <c r="K584" s="120">
        <f>+IF(FINANCIACION[[#This Row],[$ CAPITAL]]&gt;=0,FINANCIACION[[#This Row],[$ CAPITAL]]+FINANCIACION[[#This Row],[$ INTERESES]],0)</f>
        <v>6095805</v>
      </c>
    </row>
    <row r="585" spans="1:11" ht="24" customHeight="1" x14ac:dyDescent="0.3">
      <c r="A585" s="112">
        <v>44761</v>
      </c>
      <c r="B585" s="118" t="s">
        <v>347</v>
      </c>
      <c r="C585" s="113">
        <v>1336670</v>
      </c>
      <c r="D585" s="113">
        <v>4759135</v>
      </c>
      <c r="E585" s="113">
        <f>+IF(FINANCIACION[[#This Row],[$ CAPITAL]]&gt;=0,FINANCIACION[[#This Row],[$ CAPITAL]]+FINANCIACION[[#This Row],[$ INTERESES]],"")</f>
        <v>6095805</v>
      </c>
      <c r="F585" s="113">
        <f>+SUMIFS(FINANCIACION[$ CAPITAL],FINANCIACION[Fecha],"&lt;="&amp;FINANCIACION[[#This Row],[Fecha]],FINANCIACION[PRESTAMO],FINANCIACION[[#This Row],[PRESTAMO]])</f>
        <v>-363720868</v>
      </c>
      <c r="G585" s="103"/>
      <c r="I585" s="119"/>
      <c r="J585" s="113">
        <f>+IF(FINANCIACION[[#This Row],[$ CAPITAL]]&gt;0,FINANCIACION[[#This Row],[$ CAPITAL]])</f>
        <v>1336670</v>
      </c>
      <c r="K585" s="120">
        <f>+IF(FINANCIACION[[#This Row],[$ CAPITAL]]&gt;=0,FINANCIACION[[#This Row],[$ CAPITAL]]+FINANCIACION[[#This Row],[$ INTERESES]],0)</f>
        <v>6095805</v>
      </c>
    </row>
    <row r="586" spans="1:11" ht="24" customHeight="1" x14ac:dyDescent="0.3">
      <c r="A586" s="112">
        <v>44791</v>
      </c>
      <c r="B586" s="118" t="s">
        <v>347</v>
      </c>
      <c r="C586" s="113">
        <v>1264566</v>
      </c>
      <c r="D586" s="113">
        <v>5302748</v>
      </c>
      <c r="E586" s="113">
        <f>+IF(FINANCIACION[[#This Row],[$ CAPITAL]]&gt;=0,FINANCIACION[[#This Row],[$ CAPITAL]]+FINANCIACION[[#This Row],[$ INTERESES]],"")</f>
        <v>6567314</v>
      </c>
      <c r="F586" s="113">
        <f>+SUMIFS(FINANCIACION[$ CAPITAL],FINANCIACION[Fecha],"&lt;="&amp;FINANCIACION[[#This Row],[Fecha]],FINANCIACION[PRESTAMO],FINANCIACION[[#This Row],[PRESTAMO]])</f>
        <v>-362456302</v>
      </c>
      <c r="G586" s="103"/>
      <c r="I586" s="119"/>
      <c r="J586" s="113">
        <f>+IF(FINANCIACION[[#This Row],[$ CAPITAL]]&gt;0,FINANCIACION[[#This Row],[$ CAPITAL]])</f>
        <v>1264566</v>
      </c>
      <c r="K586" s="120">
        <f>+IF(FINANCIACION[[#This Row],[$ CAPITAL]]&gt;=0,FINANCIACION[[#This Row],[$ CAPITAL]]+FINANCIACION[[#This Row],[$ INTERESES]],0)</f>
        <v>6567314</v>
      </c>
    </row>
    <row r="587" spans="1:11" ht="24" customHeight="1" x14ac:dyDescent="0.3">
      <c r="A587" s="112">
        <v>44823</v>
      </c>
      <c r="B587" s="118" t="s">
        <v>347</v>
      </c>
      <c r="C587" s="113">
        <v>1283103</v>
      </c>
      <c r="D587" s="113">
        <v>4776103</v>
      </c>
      <c r="E587" s="113">
        <f>+IF(FINANCIACION[[#This Row],[$ CAPITAL]]&gt;=0,FINANCIACION[[#This Row],[$ CAPITAL]]+FINANCIACION[[#This Row],[$ INTERESES]],"")</f>
        <v>6059206</v>
      </c>
      <c r="F587" s="113">
        <f>+SUMIFS(FINANCIACION[$ CAPITAL],FINANCIACION[Fecha],"&lt;="&amp;FINANCIACION[[#This Row],[Fecha]],FINANCIACION[PRESTAMO],FINANCIACION[[#This Row],[PRESTAMO]])</f>
        <v>-361173199</v>
      </c>
      <c r="G587" s="103"/>
      <c r="I587" s="119"/>
      <c r="J587" s="113">
        <f>+IF(FINANCIACION[[#This Row],[$ CAPITAL]]&gt;0,FINANCIACION[[#This Row],[$ CAPITAL]])</f>
        <v>1283103</v>
      </c>
      <c r="K587" s="120">
        <f>+IF(FINANCIACION[[#This Row],[$ CAPITAL]]&gt;=0,FINANCIACION[[#This Row],[$ CAPITAL]]+FINANCIACION[[#This Row],[$ INTERESES]],0)</f>
        <v>6059206</v>
      </c>
    </row>
    <row r="588" spans="1:11" ht="24" customHeight="1" x14ac:dyDescent="0.3">
      <c r="A588" s="112">
        <v>44853</v>
      </c>
      <c r="B588" s="118" t="s">
        <v>347</v>
      </c>
      <c r="C588" s="113">
        <v>1301911</v>
      </c>
      <c r="D588" s="113">
        <v>4884117</v>
      </c>
      <c r="E588" s="113">
        <f>+IF(FINANCIACION[[#This Row],[$ CAPITAL]]&gt;=0,FINANCIACION[[#This Row],[$ CAPITAL]]+FINANCIACION[[#This Row],[$ INTERESES]],"")</f>
        <v>6186028</v>
      </c>
      <c r="F588" s="113">
        <f>+SUMIFS(FINANCIACION[$ CAPITAL],FINANCIACION[Fecha],"&lt;="&amp;FINANCIACION[[#This Row],[Fecha]],FINANCIACION[PRESTAMO],FINANCIACION[[#This Row],[PRESTAMO]])</f>
        <v>-359871288</v>
      </c>
      <c r="G588" s="103"/>
      <c r="I588" s="119"/>
      <c r="J588" s="113">
        <f>+IF(FINANCIACION[[#This Row],[$ CAPITAL]]&gt;0,FINANCIACION[[#This Row],[$ CAPITAL]])</f>
        <v>1301911</v>
      </c>
      <c r="K588" s="120">
        <f>+IF(FINANCIACION[[#This Row],[$ CAPITAL]]&gt;=0,FINANCIACION[[#This Row],[$ CAPITAL]]+FINANCIACION[[#This Row],[$ INTERESES]],0)</f>
        <v>6186028</v>
      </c>
    </row>
    <row r="589" spans="1:11" ht="24" customHeight="1" x14ac:dyDescent="0.3">
      <c r="A589" s="112">
        <v>44884</v>
      </c>
      <c r="B589" s="118" t="s">
        <v>347</v>
      </c>
      <c r="C589" s="113">
        <v>1161336</v>
      </c>
      <c r="D589" s="113">
        <v>5945012</v>
      </c>
      <c r="E589" s="113">
        <f>+IF(FINANCIACION[[#This Row],[$ CAPITAL]]&gt;=0,FINANCIACION[[#This Row],[$ CAPITAL]]+FINANCIACION[[#This Row],[$ INTERESES]],"")</f>
        <v>7106348</v>
      </c>
      <c r="F589" s="113">
        <f>+SUMIFS(FINANCIACION[$ CAPITAL],FINANCIACION[Fecha],"&lt;="&amp;FINANCIACION[[#This Row],[Fecha]],FINANCIACION[PRESTAMO],FINANCIACION[[#This Row],[PRESTAMO]])</f>
        <v>-358709952</v>
      </c>
      <c r="G589" s="103"/>
      <c r="I589" s="119"/>
      <c r="J589" s="113">
        <f>+IF(FINANCIACION[[#This Row],[$ CAPITAL]]&gt;0,FINANCIACION[[#This Row],[$ CAPITAL]])</f>
        <v>1161336</v>
      </c>
      <c r="K589" s="120">
        <f>+IF(FINANCIACION[[#This Row],[$ CAPITAL]]&gt;=0,FINANCIACION[[#This Row],[$ CAPITAL]]+FINANCIACION[[#This Row],[$ INTERESES]],0)</f>
        <v>7106348</v>
      </c>
    </row>
    <row r="590" spans="1:11" ht="24" customHeight="1" x14ac:dyDescent="0.3">
      <c r="A590" s="112">
        <v>44911</v>
      </c>
      <c r="B590" s="118" t="s">
        <v>347</v>
      </c>
      <c r="C590" s="113">
        <v>1179230</v>
      </c>
      <c r="D590" s="113">
        <v>4989908</v>
      </c>
      <c r="E590" s="113">
        <f>+IF(FINANCIACION[[#This Row],[$ CAPITAL]]&gt;=0,FINANCIACION[[#This Row],[$ CAPITAL]]+FINANCIACION[[#This Row],[$ INTERESES]],"")</f>
        <v>6169138</v>
      </c>
      <c r="F590" s="113">
        <f>+SUMIFS(FINANCIACION[$ CAPITAL],FINANCIACION[Fecha],"&lt;="&amp;FINANCIACION[[#This Row],[Fecha]],FINANCIACION[PRESTAMO],FINANCIACION[[#This Row],[PRESTAMO]])</f>
        <v>-357530722</v>
      </c>
      <c r="G590" s="103"/>
      <c r="I590" s="119"/>
      <c r="J590" s="113">
        <f>+IF(FINANCIACION[[#This Row],[$ CAPITAL]]&gt;0,FINANCIACION[[#This Row],[$ CAPITAL]])</f>
        <v>1179230</v>
      </c>
      <c r="K590" s="120">
        <f>+IF(FINANCIACION[[#This Row],[$ CAPITAL]]&gt;=0,FINANCIACION[[#This Row],[$ CAPITAL]]+FINANCIACION[[#This Row],[$ INTERESES]],0)</f>
        <v>6169138</v>
      </c>
    </row>
    <row r="591" spans="1:11" ht="24" customHeight="1" x14ac:dyDescent="0.3">
      <c r="A591" s="112">
        <v>44943</v>
      </c>
      <c r="B591" s="118" t="s">
        <v>347</v>
      </c>
      <c r="C591" s="113">
        <v>1200732</v>
      </c>
      <c r="D591" s="113">
        <v>5930311</v>
      </c>
      <c r="E591" s="113">
        <f>+IF(FINANCIACION[[#This Row],[$ CAPITAL]]&gt;=0,FINANCIACION[[#This Row],[$ CAPITAL]]+FINANCIACION[[#This Row],[$ INTERESES]],"")</f>
        <v>7131043</v>
      </c>
      <c r="F591" s="113">
        <f>+SUMIFS(FINANCIACION[$ CAPITAL],FINANCIACION[Fecha],"&lt;="&amp;FINANCIACION[[#This Row],[Fecha]],FINANCIACION[PRESTAMO],FINANCIACION[[#This Row],[PRESTAMO]])</f>
        <v>-356329990</v>
      </c>
      <c r="G591" s="103"/>
      <c r="I591" s="119"/>
      <c r="J591" s="113">
        <f>+IF(FINANCIACION[[#This Row],[$ CAPITAL]]&gt;0,FINANCIACION[[#This Row],[$ CAPITAL]])</f>
        <v>1200732</v>
      </c>
      <c r="K591" s="120">
        <f>+IF(FINANCIACION[[#This Row],[$ CAPITAL]]&gt;=0,FINANCIACION[[#This Row],[$ CAPITAL]]+FINANCIACION[[#This Row],[$ INTERESES]],0)</f>
        <v>7131043</v>
      </c>
    </row>
    <row r="592" spans="1:11" ht="24" customHeight="1" x14ac:dyDescent="0.3">
      <c r="A592" s="112">
        <v>44978</v>
      </c>
      <c r="B592" s="118" t="s">
        <v>347</v>
      </c>
      <c r="C592" s="113">
        <v>1090811</v>
      </c>
      <c r="D592" s="113">
        <v>6525724</v>
      </c>
      <c r="E592" s="113">
        <f>+IF(FINANCIACION[[#This Row],[$ CAPITAL]]&gt;=0,FINANCIACION[[#This Row],[$ CAPITAL]]+FINANCIACION[[#This Row],[$ INTERESES]],"")</f>
        <v>7616535</v>
      </c>
      <c r="F592" s="113">
        <f>+SUMIFS(FINANCIACION[$ CAPITAL],FINANCIACION[Fecha],"&lt;="&amp;FINANCIACION[[#This Row],[Fecha]],FINANCIACION[PRESTAMO],FINANCIACION[[#This Row],[PRESTAMO]])</f>
        <v>-355239179</v>
      </c>
      <c r="G592" s="103"/>
      <c r="I592" s="119"/>
      <c r="J592" s="113">
        <f>+IF(FINANCIACION[[#This Row],[$ CAPITAL]]&gt;0,FINANCIACION[[#This Row],[$ CAPITAL]])</f>
        <v>1090811</v>
      </c>
      <c r="K592" s="120">
        <f>+IF(FINANCIACION[[#This Row],[$ CAPITAL]]&gt;=0,FINANCIACION[[#This Row],[$ CAPITAL]]+FINANCIACION[[#This Row],[$ INTERESES]],0)</f>
        <v>7616535</v>
      </c>
    </row>
    <row r="593" spans="1:11" ht="24" customHeight="1" x14ac:dyDescent="0.3">
      <c r="A593" s="112">
        <v>45006</v>
      </c>
      <c r="B593" s="118" t="s">
        <v>347</v>
      </c>
      <c r="C593" s="113">
        <v>1111000</v>
      </c>
      <c r="D593" s="113">
        <v>13053979</v>
      </c>
      <c r="E593" s="113">
        <f>+IF(FINANCIACION[[#This Row],[$ CAPITAL]]&gt;=0,FINANCIACION[[#This Row],[$ CAPITAL]]+FINANCIACION[[#This Row],[$ INTERESES]],"")</f>
        <v>14164979</v>
      </c>
      <c r="F593" s="113">
        <f>+SUMIFS(FINANCIACION[$ CAPITAL],FINANCIACION[Fecha],"&lt;="&amp;FINANCIACION[[#This Row],[Fecha]],FINANCIACION[PRESTAMO],FINANCIACION[[#This Row],[PRESTAMO]])</f>
        <v>-354128179</v>
      </c>
      <c r="G593" s="103"/>
      <c r="H593" s="119" t="s">
        <v>696</v>
      </c>
      <c r="I593" s="119"/>
      <c r="J593" s="113">
        <f>+IF(FINANCIACION[[#This Row],[$ CAPITAL]]&gt;0,FINANCIACION[[#This Row],[$ CAPITAL]])</f>
        <v>1111000</v>
      </c>
      <c r="K593" s="120">
        <f>+IF(FINANCIACION[[#This Row],[$ CAPITAL]]&gt;=0,FINANCIACION[[#This Row],[$ CAPITAL]]+FINANCIACION[[#This Row],[$ INTERESES]],0)</f>
        <v>14164979</v>
      </c>
    </row>
    <row r="594" spans="1:11" ht="24" customHeight="1" x14ac:dyDescent="0.3">
      <c r="A594" s="112">
        <v>45034</v>
      </c>
      <c r="B594" s="118" t="s">
        <v>347</v>
      </c>
      <c r="C594" s="113">
        <v>1239164</v>
      </c>
      <c r="D594" s="113">
        <v>6376253</v>
      </c>
      <c r="E594" s="113">
        <f>+IF(FINANCIACION[[#This Row],[$ CAPITAL]]&gt;=0,FINANCIACION[[#This Row],[$ CAPITAL]]+FINANCIACION[[#This Row],[$ INTERESES]],"")</f>
        <v>7615417</v>
      </c>
      <c r="F594" s="113">
        <f>+SUMIFS(FINANCIACION[$ CAPITAL],FINANCIACION[Fecha],"&lt;="&amp;FINANCIACION[[#This Row],[Fecha]],FINANCIACION[PRESTAMO],FINANCIACION[[#This Row],[PRESTAMO]])</f>
        <v>-352889015</v>
      </c>
      <c r="G594" s="103"/>
      <c r="I594" s="119"/>
      <c r="J594" s="113">
        <f>+IF(FINANCIACION[[#This Row],[$ CAPITAL]]&gt;0,FINANCIACION[[#This Row],[$ CAPITAL]])</f>
        <v>1239164</v>
      </c>
      <c r="K594" s="120">
        <f>+IF(FINANCIACION[[#This Row],[$ CAPITAL]]&gt;=0,FINANCIACION[[#This Row],[$ CAPITAL]]+FINANCIACION[[#This Row],[$ INTERESES]],0)</f>
        <v>7615417</v>
      </c>
    </row>
    <row r="595" spans="1:11" ht="24" customHeight="1" x14ac:dyDescent="0.3">
      <c r="A595" s="112">
        <v>45064</v>
      </c>
      <c r="B595" s="118" t="s">
        <v>347</v>
      </c>
      <c r="C595" s="113">
        <v>1184963</v>
      </c>
      <c r="D595" s="113">
        <v>6311276</v>
      </c>
      <c r="E595" s="113">
        <f>+IF(FINANCIACION[[#This Row],[$ CAPITAL]]&gt;=0,FINANCIACION[[#This Row],[$ CAPITAL]]+FINANCIACION[[#This Row],[$ INTERESES]],"")</f>
        <v>7496239</v>
      </c>
      <c r="F595" s="113">
        <f>+SUMIFS(FINANCIACION[$ CAPITAL],FINANCIACION[Fecha],"&lt;="&amp;FINANCIACION[[#This Row],[Fecha]],FINANCIACION[PRESTAMO],FINANCIACION[[#This Row],[PRESTAMO]])</f>
        <v>-351704052</v>
      </c>
      <c r="G595" s="103"/>
      <c r="I595" s="119"/>
      <c r="J595" s="113">
        <f>+IF(FINANCIACION[[#This Row],[$ CAPITAL]]&gt;0,FINANCIACION[[#This Row],[$ CAPITAL]])</f>
        <v>1184963</v>
      </c>
      <c r="K595" s="120">
        <f>+IF(FINANCIACION[[#This Row],[$ CAPITAL]]&gt;=0,FINANCIACION[[#This Row],[$ CAPITAL]]+FINANCIACION[[#This Row],[$ INTERESES]],0)</f>
        <v>7496239</v>
      </c>
    </row>
    <row r="596" spans="1:11" ht="24" customHeight="1" x14ac:dyDescent="0.3">
      <c r="A596" s="112">
        <v>45097</v>
      </c>
      <c r="B596" s="118" t="s">
        <v>347</v>
      </c>
      <c r="C596" s="113">
        <v>1206607</v>
      </c>
      <c r="D596" s="113">
        <v>5908346</v>
      </c>
      <c r="E596" s="113">
        <f>+IF(FINANCIACION[[#This Row],[$ CAPITAL]]&gt;=0,FINANCIACION[[#This Row],[$ CAPITAL]]+FINANCIACION[[#This Row],[$ INTERESES]],"")</f>
        <v>7114953</v>
      </c>
      <c r="F596" s="113">
        <f>+SUMIFS(FINANCIACION[$ CAPITAL],FINANCIACION[Fecha],"&lt;="&amp;FINANCIACION[[#This Row],[Fecha]],FINANCIACION[PRESTAMO],FINANCIACION[[#This Row],[PRESTAMO]])</f>
        <v>-350497445</v>
      </c>
      <c r="G596" s="103"/>
      <c r="I596" s="119"/>
      <c r="J596" s="113">
        <f>+IF(FINANCIACION[[#This Row],[$ CAPITAL]]&gt;0,FINANCIACION[[#This Row],[$ CAPITAL]])</f>
        <v>1206607</v>
      </c>
      <c r="K596" s="120">
        <f>+IF(FINANCIACION[[#This Row],[$ CAPITAL]]&gt;=0,FINANCIACION[[#This Row],[$ CAPITAL]]+FINANCIACION[[#This Row],[$ INTERESES]],0)</f>
        <v>7114953</v>
      </c>
    </row>
    <row r="597" spans="1:11" ht="24" customHeight="1" x14ac:dyDescent="0.3">
      <c r="A597" s="112">
        <v>45107</v>
      </c>
      <c r="B597" s="118" t="s">
        <v>347</v>
      </c>
      <c r="C597" s="113">
        <v>2089972</v>
      </c>
      <c r="D597" s="113"/>
      <c r="E597" s="113">
        <f>+IF(FINANCIACION[[#This Row],[$ CAPITAL]]&gt;=0,FINANCIACION[[#This Row],[$ CAPITAL]]+FINANCIACION[[#This Row],[$ INTERESES]],"")</f>
        <v>2089972</v>
      </c>
      <c r="F597" s="113">
        <f>+SUMIFS(FINANCIACION[$ CAPITAL],FINANCIACION[Fecha],"&lt;="&amp;FINANCIACION[[#This Row],[Fecha]],FINANCIACION[PRESTAMO],FINANCIACION[[#This Row],[PRESTAMO]])</f>
        <v>-348407473</v>
      </c>
      <c r="G597" s="103"/>
      <c r="H597" s="119" t="s">
        <v>897</v>
      </c>
      <c r="I597" s="119"/>
      <c r="J597" s="113">
        <f>+IF(FINANCIACION[[#This Row],[$ CAPITAL]]&gt;0,FINANCIACION[[#This Row],[$ CAPITAL]])</f>
        <v>2089972</v>
      </c>
      <c r="K597" s="120">
        <f>+IF(FINANCIACION[[#This Row],[$ CAPITAL]]&gt;=0,FINANCIACION[[#This Row],[$ CAPITAL]]+FINANCIACION[[#This Row],[$ INTERESES]],0)</f>
        <v>2089972</v>
      </c>
    </row>
    <row r="598" spans="1:11" ht="24" customHeight="1" x14ac:dyDescent="0.3">
      <c r="A598" s="112">
        <v>45125</v>
      </c>
      <c r="B598" s="118" t="s">
        <v>347</v>
      </c>
      <c r="C598" s="113">
        <v>1228646</v>
      </c>
      <c r="D598" s="113">
        <f>5734853+151454+370999+10287</f>
        <v>6267593</v>
      </c>
      <c r="E598" s="113">
        <f>+IF(FINANCIACION[[#This Row],[$ CAPITAL]]&gt;=0,FINANCIACION[[#This Row],[$ CAPITAL]]+FINANCIACION[[#This Row],[$ INTERESES]],"")</f>
        <v>7496239</v>
      </c>
      <c r="F598" s="113">
        <f>+SUMIFS(FINANCIACION[$ CAPITAL],FINANCIACION[Fecha],"&lt;="&amp;FINANCIACION[[#This Row],[Fecha]],FINANCIACION[PRESTAMO],FINANCIACION[[#This Row],[PRESTAMO]])</f>
        <v>-347178827</v>
      </c>
      <c r="G598" s="103"/>
      <c r="I598" s="119"/>
      <c r="J598" s="113">
        <f>+IF(FINANCIACION[[#This Row],[$ CAPITAL]]&gt;0,FINANCIACION[[#This Row],[$ CAPITAL]])</f>
        <v>1228646</v>
      </c>
      <c r="K598" s="120">
        <f>+IF(FINANCIACION[[#This Row],[$ CAPITAL]]&gt;=0,FINANCIACION[[#This Row],[$ CAPITAL]]+FINANCIACION[[#This Row],[$ INTERESES]],0)</f>
        <v>7496239</v>
      </c>
    </row>
    <row r="599" spans="1:11" ht="24" customHeight="1" x14ac:dyDescent="0.3">
      <c r="A599" s="112">
        <v>45156</v>
      </c>
      <c r="B599" s="118" t="s">
        <v>347</v>
      </c>
      <c r="C599" s="113">
        <v>1251087</v>
      </c>
      <c r="D599" s="113">
        <f>5712412+151454+370999+10287</f>
        <v>6245152</v>
      </c>
      <c r="E599" s="113">
        <f>+IF(FINANCIACION[[#This Row],[$ CAPITAL]]&gt;=0,FINANCIACION[[#This Row],[$ CAPITAL]]+FINANCIACION[[#This Row],[$ INTERESES]],"")</f>
        <v>7496239</v>
      </c>
      <c r="F599" s="113">
        <f>+SUMIFS(FINANCIACION[$ CAPITAL],FINANCIACION[Fecha],"&lt;="&amp;FINANCIACION[[#This Row],[Fecha]],FINANCIACION[PRESTAMO],FINANCIACION[[#This Row],[PRESTAMO]])</f>
        <v>-345927740</v>
      </c>
      <c r="G599" s="103"/>
      <c r="I599" s="119"/>
      <c r="J599" s="113">
        <f>+IF(FINANCIACION[[#This Row],[$ CAPITAL]]&gt;0,FINANCIACION[[#This Row],[$ CAPITAL]])</f>
        <v>1251087</v>
      </c>
      <c r="K599" s="120">
        <f>+IF(FINANCIACION[[#This Row],[$ CAPITAL]]&gt;=0,FINANCIACION[[#This Row],[$ CAPITAL]]+FINANCIACION[[#This Row],[$ INTERESES]],0)</f>
        <v>7496239</v>
      </c>
    </row>
    <row r="600" spans="1:11" ht="24" customHeight="1" x14ac:dyDescent="0.3">
      <c r="A600" s="112">
        <v>45187</v>
      </c>
      <c r="B600" s="118" t="s">
        <v>347</v>
      </c>
      <c r="C600" s="113">
        <v>1273939</v>
      </c>
      <c r="D600" s="113">
        <f>5689560+151454+381286</f>
        <v>6222300</v>
      </c>
      <c r="E600" s="113">
        <f>+IF(FINANCIACION[[#This Row],[$ CAPITAL]]&gt;=0,FINANCIACION[[#This Row],[$ CAPITAL]]+FINANCIACION[[#This Row],[$ INTERESES]],"")</f>
        <v>7496239</v>
      </c>
      <c r="F600" s="113">
        <f>+SUMIFS(FINANCIACION[$ CAPITAL],FINANCIACION[Fecha],"&lt;="&amp;FINANCIACION[[#This Row],[Fecha]],FINANCIACION[PRESTAMO],FINANCIACION[[#This Row],[PRESTAMO]])</f>
        <v>-344653801</v>
      </c>
      <c r="G600" s="103"/>
      <c r="I600" s="119"/>
      <c r="J600" s="113">
        <f>+IF(FINANCIACION[[#This Row],[$ CAPITAL]]&gt;0,FINANCIACION[[#This Row],[$ CAPITAL]])</f>
        <v>1273939</v>
      </c>
      <c r="K600" s="120">
        <f>+IF(FINANCIACION[[#This Row],[$ CAPITAL]]&gt;=0,FINANCIACION[[#This Row],[$ CAPITAL]]+FINANCIACION[[#This Row],[$ INTERESES]],0)</f>
        <v>7496239</v>
      </c>
    </row>
    <row r="601" spans="1:11" ht="24" customHeight="1" x14ac:dyDescent="0.3">
      <c r="A601" s="112">
        <v>45217</v>
      </c>
      <c r="B601" s="118" t="s">
        <v>347</v>
      </c>
      <c r="C601" s="113">
        <v>1297208</v>
      </c>
      <c r="D601" s="113">
        <f>381286+5666291+151454</f>
        <v>6199031</v>
      </c>
      <c r="E601" s="113">
        <f>+IF(FINANCIACION[[#This Row],[$ CAPITAL]]&gt;=0,FINANCIACION[[#This Row],[$ CAPITAL]]+FINANCIACION[[#This Row],[$ INTERESES]],"")</f>
        <v>7496239</v>
      </c>
      <c r="F601" s="113">
        <f>+SUMIFS(FINANCIACION[$ CAPITAL],FINANCIACION[Fecha],"&lt;="&amp;FINANCIACION[[#This Row],[Fecha]],FINANCIACION[PRESTAMO],FINANCIACION[[#This Row],[PRESTAMO]])</f>
        <v>-343356593</v>
      </c>
      <c r="G601" s="103"/>
      <c r="I601" s="119"/>
      <c r="J601" s="113">
        <f>+IF(FINANCIACION[[#This Row],[$ CAPITAL]]&gt;0,FINANCIACION[[#This Row],[$ CAPITAL]])</f>
        <v>1297208</v>
      </c>
      <c r="K601" s="120">
        <f>+IF(FINANCIACION[[#This Row],[$ CAPITAL]]&gt;=0,FINANCIACION[[#This Row],[$ CAPITAL]]+FINANCIACION[[#This Row],[$ INTERESES]],0)</f>
        <v>7496239</v>
      </c>
    </row>
    <row r="602" spans="1:11" ht="24" customHeight="1" x14ac:dyDescent="0.3">
      <c r="A602" s="112">
        <v>45250</v>
      </c>
      <c r="B602" s="118" t="s">
        <v>347</v>
      </c>
      <c r="C602" s="113">
        <v>1320430</v>
      </c>
      <c r="D602" s="113">
        <f>5644707+151454+381286</f>
        <v>6177447</v>
      </c>
      <c r="E602" s="113">
        <f>+IF(FINANCIACION[[#This Row],[$ CAPITAL]]&gt;=0,FINANCIACION[[#This Row],[$ CAPITAL]]+FINANCIACION[[#This Row],[$ INTERESES]],"")</f>
        <v>7497877</v>
      </c>
      <c r="F602" s="113">
        <f>+SUMIFS(FINANCIACION[$ CAPITAL],FINANCIACION[Fecha],"&lt;="&amp;FINANCIACION[[#This Row],[Fecha]],FINANCIACION[PRESTAMO],FINANCIACION[[#This Row],[PRESTAMO]])</f>
        <v>-342036163</v>
      </c>
      <c r="G602" s="103"/>
      <c r="I602" s="119"/>
      <c r="J602" s="113">
        <f>+IF(FINANCIACION[[#This Row],[$ CAPITAL]]&gt;0,FINANCIACION[[#This Row],[$ CAPITAL]])</f>
        <v>1320430</v>
      </c>
      <c r="K602" s="120">
        <f>+IF(FINANCIACION[[#This Row],[$ CAPITAL]]&gt;=0,FINANCIACION[[#This Row],[$ CAPITAL]]+FINANCIACION[[#This Row],[$ INTERESES]],0)</f>
        <v>7497877</v>
      </c>
    </row>
    <row r="603" spans="1:11" ht="24" customHeight="1" x14ac:dyDescent="0.3">
      <c r="A603" s="112">
        <v>45278</v>
      </c>
      <c r="B603" s="118" t="s">
        <v>347</v>
      </c>
      <c r="C603" s="113">
        <v>1344557</v>
      </c>
      <c r="D603" s="113">
        <f>5620580+151454+381286</f>
        <v>6153320</v>
      </c>
      <c r="E603" s="113">
        <f>+IF(FINANCIACION[[#This Row],[$ CAPITAL]]&gt;=0,FINANCIACION[[#This Row],[$ CAPITAL]]+FINANCIACION[[#This Row],[$ INTERESES]],"")</f>
        <v>7497877</v>
      </c>
      <c r="F603" s="113">
        <f>+SUMIFS(FINANCIACION[$ CAPITAL],FINANCIACION[Fecha],"&lt;="&amp;FINANCIACION[[#This Row],[Fecha]],FINANCIACION[PRESTAMO],FINANCIACION[[#This Row],[PRESTAMO]])</f>
        <v>-340691606</v>
      </c>
      <c r="G603" s="103"/>
      <c r="I603" s="119"/>
      <c r="J603" s="113">
        <f>+IF(FINANCIACION[[#This Row],[$ CAPITAL]]&gt;0,FINANCIACION[[#This Row],[$ CAPITAL]])</f>
        <v>1344557</v>
      </c>
      <c r="K603" s="120">
        <f>+IF(FINANCIACION[[#This Row],[$ CAPITAL]]&gt;=0,FINANCIACION[[#This Row],[$ CAPITAL]]+FINANCIACION[[#This Row],[$ INTERESES]],0)</f>
        <v>7497877</v>
      </c>
    </row>
    <row r="604" spans="1:11" ht="24" customHeight="1" x14ac:dyDescent="0.3">
      <c r="A604" s="112">
        <v>45291</v>
      </c>
      <c r="B604" s="118" t="s">
        <v>347</v>
      </c>
      <c r="C604" s="113">
        <v>1200575</v>
      </c>
      <c r="D604" s="113"/>
      <c r="E604" s="113">
        <f>+IF(FINANCIACION[[#This Row],[$ CAPITAL]]&gt;=0,FINANCIACION[[#This Row],[$ CAPITAL]]+FINANCIACION[[#This Row],[$ INTERESES]],"")</f>
        <v>1200575</v>
      </c>
      <c r="F604" s="113">
        <f>+SUMIFS(FINANCIACION[$ CAPITAL],FINANCIACION[Fecha],"&lt;="&amp;FINANCIACION[[#This Row],[Fecha]],FINANCIACION[PRESTAMO],FINANCIACION[[#This Row],[PRESTAMO]])</f>
        <v>-318824853</v>
      </c>
      <c r="G604" s="103"/>
      <c r="H604" s="119" t="s">
        <v>897</v>
      </c>
      <c r="I604" s="119"/>
      <c r="J604" s="113">
        <f>+IF(FINANCIACION[[#This Row],[$ CAPITAL]]&gt;0,FINANCIACION[[#This Row],[$ CAPITAL]])</f>
        <v>1200575</v>
      </c>
      <c r="K604" s="120">
        <f>+IF(FINANCIACION[[#This Row],[$ CAPITAL]]&gt;=0,FINANCIACION[[#This Row],[$ CAPITAL]]+FINANCIACION[[#This Row],[$ INTERESES]],0)</f>
        <v>1200575</v>
      </c>
    </row>
    <row r="605" spans="1:11" ht="24" customHeight="1" x14ac:dyDescent="0.3">
      <c r="A605" s="112">
        <v>44226</v>
      </c>
      <c r="B605" s="118" t="s">
        <v>1399</v>
      </c>
      <c r="C605" s="113">
        <v>-7016439</v>
      </c>
      <c r="D605" s="113"/>
      <c r="E605" s="113" t="str">
        <f>+IF(FINANCIACION[[#This Row],[$ CAPITAL]]&gt;=0,FINANCIACION[[#This Row],[$ CAPITAL]]+FINANCIACION[[#This Row],[$ INTERESES]],"")</f>
        <v/>
      </c>
      <c r="F605" s="113">
        <f>+SUMIFS(FINANCIACION[$ CAPITAL],FINANCIACION[Fecha],"&lt;="&amp;FINANCIACION[[#This Row],[Fecha]],FINANCIACION[PRESTAMO],FINANCIACION[[#This Row],[PRESTAMO]])</f>
        <v>-7016439</v>
      </c>
      <c r="G605" s="113"/>
      <c r="H605" s="117" t="s">
        <v>144</v>
      </c>
      <c r="I605" s="119"/>
      <c r="J605" s="113" t="b">
        <f>IF(FINANCIACION[[#This Row],[$ CAPITAL]]&gt;0,FINANCIACION[[#This Row],[$ CAPITAL]])</f>
        <v>0</v>
      </c>
      <c r="K605" s="120">
        <f>IF(FINANCIACION[[#This Row],[$ CAPITAL]]&gt;=0,FINANCIACION[[#This Row],[$ CAPITAL]]+FINANCIACION[[#This Row],[$ INTERESES]],0)</f>
        <v>0</v>
      </c>
    </row>
    <row r="606" spans="1:11" ht="24" customHeight="1" x14ac:dyDescent="0.3">
      <c r="A606" s="112">
        <v>44255</v>
      </c>
      <c r="B606" s="118" t="s">
        <v>1399</v>
      </c>
      <c r="C606" s="113">
        <v>-20437161</v>
      </c>
      <c r="D606" s="113"/>
      <c r="E606" s="113" t="str">
        <f>+IF(FINANCIACION[[#This Row],[$ CAPITAL]]&gt;=0,FINANCIACION[[#This Row],[$ CAPITAL]]+FINANCIACION[[#This Row],[$ INTERESES]],"")</f>
        <v/>
      </c>
      <c r="F606" s="113">
        <f>+SUMIFS(FINANCIACION[$ CAPITAL],FINANCIACION[Fecha],"&lt;="&amp;FINANCIACION[[#This Row],[Fecha]],FINANCIACION[PRESTAMO],FINANCIACION[[#This Row],[PRESTAMO]])</f>
        <v>-27453600</v>
      </c>
      <c r="G606" s="113"/>
      <c r="H606" s="117" t="s">
        <v>144</v>
      </c>
      <c r="I606" s="119"/>
      <c r="J606" s="113" t="b">
        <f>IF(FINANCIACION[[#This Row],[$ CAPITAL]]&gt;0,FINANCIACION[[#This Row],[$ CAPITAL]])</f>
        <v>0</v>
      </c>
      <c r="K606" s="120">
        <f>IF(FINANCIACION[[#This Row],[$ CAPITAL]]&gt;=0,FINANCIACION[[#This Row],[$ CAPITAL]]+FINANCIACION[[#This Row],[$ INTERESES]],0)</f>
        <v>0</v>
      </c>
    </row>
    <row r="607" spans="1:11" ht="24" customHeight="1" x14ac:dyDescent="0.3">
      <c r="A607" s="112">
        <v>44285</v>
      </c>
      <c r="B607" s="118" t="s">
        <v>1399</v>
      </c>
      <c r="C607" s="113">
        <v>1068900</v>
      </c>
      <c r="D607" s="113"/>
      <c r="E607" s="113">
        <f>+IF(FINANCIACION[[#This Row],[$ CAPITAL]]&gt;=0,FINANCIACION[[#This Row],[$ CAPITAL]]+FINANCIACION[[#This Row],[$ INTERESES]],"")</f>
        <v>1068900</v>
      </c>
      <c r="F607" s="113">
        <f>+SUMIFS(FINANCIACION[$ CAPITAL],FINANCIACION[Fecha],"&lt;="&amp;FINANCIACION[[#This Row],[Fecha]],FINANCIACION[PRESTAMO],FINANCIACION[[#This Row],[PRESTAMO]])</f>
        <v>-26384700</v>
      </c>
      <c r="G607" s="113"/>
      <c r="H607" s="117" t="s">
        <v>144</v>
      </c>
      <c r="I607" s="119"/>
      <c r="J607" s="113">
        <f>IF(FINANCIACION[[#This Row],[$ CAPITAL]]&gt;0,FINANCIACION[[#This Row],[$ CAPITAL]])</f>
        <v>1068900</v>
      </c>
      <c r="K607" s="120">
        <f>IF(FINANCIACION[[#This Row],[$ CAPITAL]]&gt;=0,FINANCIACION[[#This Row],[$ CAPITAL]]+FINANCIACION[[#This Row],[$ INTERESES]],0)</f>
        <v>1068900</v>
      </c>
    </row>
    <row r="608" spans="1:11" ht="24" customHeight="1" x14ac:dyDescent="0.3">
      <c r="A608" s="112">
        <v>44316</v>
      </c>
      <c r="B608" s="118" t="s">
        <v>1399</v>
      </c>
      <c r="C608" s="113">
        <v>-7917900</v>
      </c>
      <c r="D608" s="113"/>
      <c r="E608" s="113" t="str">
        <f>+IF(FINANCIACION[[#This Row],[$ CAPITAL]]&gt;=0,FINANCIACION[[#This Row],[$ CAPITAL]]+FINANCIACION[[#This Row],[$ INTERESES]],"")</f>
        <v/>
      </c>
      <c r="F608" s="113">
        <f>+SUMIFS(FINANCIACION[$ CAPITAL],FINANCIACION[Fecha],"&lt;="&amp;FINANCIACION[[#This Row],[Fecha]],FINANCIACION[PRESTAMO],FINANCIACION[[#This Row],[PRESTAMO]])</f>
        <v>-34302600</v>
      </c>
      <c r="G608" s="113"/>
      <c r="H608" s="117" t="s">
        <v>144</v>
      </c>
      <c r="I608" s="119"/>
      <c r="J608" s="113" t="b">
        <f>IF(FINANCIACION[[#This Row],[$ CAPITAL]]&gt;0,FINANCIACION[[#This Row],[$ CAPITAL]])</f>
        <v>0</v>
      </c>
      <c r="K608" s="120">
        <f>IF(FINANCIACION[[#This Row],[$ CAPITAL]]&gt;=0,FINANCIACION[[#This Row],[$ CAPITAL]]+FINANCIACION[[#This Row],[$ INTERESES]],0)</f>
        <v>0</v>
      </c>
    </row>
    <row r="609" spans="1:11" ht="24" customHeight="1" x14ac:dyDescent="0.3">
      <c r="A609" s="112">
        <v>44346</v>
      </c>
      <c r="B609" s="118" t="s">
        <v>1399</v>
      </c>
      <c r="C609" s="113">
        <v>936000</v>
      </c>
      <c r="D609" s="113"/>
      <c r="E609" s="113">
        <f>+IF(FINANCIACION[[#This Row],[$ CAPITAL]]&gt;=0,FINANCIACION[[#This Row],[$ CAPITAL]]+FINANCIACION[[#This Row],[$ INTERESES]],"")</f>
        <v>936000</v>
      </c>
      <c r="F609" s="113">
        <f>+SUMIFS(FINANCIACION[$ CAPITAL],FINANCIACION[Fecha],"&lt;="&amp;FINANCIACION[[#This Row],[Fecha]],FINANCIACION[PRESTAMO],FINANCIACION[[#This Row],[PRESTAMO]])</f>
        <v>-33366600</v>
      </c>
      <c r="G609" s="113"/>
      <c r="H609" s="117"/>
      <c r="I609" s="119"/>
      <c r="J609" s="113">
        <f>IF(FINANCIACION[[#This Row],[$ CAPITAL]]&gt;0,FINANCIACION[[#This Row],[$ CAPITAL]])</f>
        <v>936000</v>
      </c>
      <c r="K609" s="121">
        <f>IF(FINANCIACION[[#This Row],[$ CAPITAL]]&gt;=0,FINANCIACION[[#This Row],[$ CAPITAL]]+FINANCIACION[[#This Row],[$ INTERESES]],0)</f>
        <v>936000</v>
      </c>
    </row>
    <row r="610" spans="1:11" ht="24" customHeight="1" x14ac:dyDescent="0.3">
      <c r="A610" s="112">
        <v>44350</v>
      </c>
      <c r="B610" s="118" t="s">
        <v>1399</v>
      </c>
      <c r="C610" s="113">
        <v>3642290</v>
      </c>
      <c r="D610" s="113"/>
      <c r="E610" s="113">
        <f>+IF(FINANCIACION[[#This Row],[$ CAPITAL]]&gt;=0,FINANCIACION[[#This Row],[$ CAPITAL]]+FINANCIACION[[#This Row],[$ INTERESES]],"")</f>
        <v>3642290</v>
      </c>
      <c r="F610" s="113">
        <f>+SUMIFS(FINANCIACION[$ CAPITAL],FINANCIACION[Fecha],"&lt;="&amp;FINANCIACION[[#This Row],[Fecha]],FINANCIACION[PRESTAMO],FINANCIACION[[#This Row],[PRESTAMO]])</f>
        <v>-29724310</v>
      </c>
      <c r="G610" s="113"/>
      <c r="H610" s="117"/>
      <c r="I610" s="119"/>
      <c r="J610" s="113">
        <f>IF(FINANCIACION[[#This Row],[$ CAPITAL]]&gt;0,FINANCIACION[[#This Row],[$ CAPITAL]])</f>
        <v>3642290</v>
      </c>
      <c r="K610" s="121">
        <f>IF(FINANCIACION[[#This Row],[$ CAPITAL]]&gt;=0,FINANCIACION[[#This Row],[$ CAPITAL]]+FINANCIACION[[#This Row],[$ INTERESES]],0)</f>
        <v>3642290</v>
      </c>
    </row>
    <row r="611" spans="1:11" ht="24" customHeight="1" x14ac:dyDescent="0.3">
      <c r="A611" s="112">
        <v>44365</v>
      </c>
      <c r="B611" s="118" t="s">
        <v>1399</v>
      </c>
      <c r="C611" s="113">
        <v>5968720</v>
      </c>
      <c r="D611" s="113"/>
      <c r="E611" s="113">
        <f>+IF(FINANCIACION[[#This Row],[$ CAPITAL]]&gt;=0,FINANCIACION[[#This Row],[$ CAPITAL]]+FINANCIACION[[#This Row],[$ INTERESES]],"")</f>
        <v>5968720</v>
      </c>
      <c r="F611" s="113">
        <f>+SUMIFS(FINANCIACION[$ CAPITAL],FINANCIACION[Fecha],"&lt;="&amp;FINANCIACION[[#This Row],[Fecha]],FINANCIACION[PRESTAMO],FINANCIACION[[#This Row],[PRESTAMO]])</f>
        <v>-23755590</v>
      </c>
      <c r="G611" s="113"/>
      <c r="I611" s="119"/>
      <c r="J611" s="113">
        <f>IF(FINANCIACION[[#This Row],[$ CAPITAL]]&gt;0,FINANCIACION[[#This Row],[$ CAPITAL]])</f>
        <v>5968720</v>
      </c>
      <c r="K611" s="120">
        <f>IF(FINANCIACION[[#This Row],[$ CAPITAL]]&gt;=0,FINANCIACION[[#This Row],[$ CAPITAL]]+FINANCIACION[[#This Row],[$ INTERESES]],0)</f>
        <v>5968720</v>
      </c>
    </row>
    <row r="612" spans="1:11" ht="24" customHeight="1" x14ac:dyDescent="0.3">
      <c r="A612" s="112">
        <v>44377</v>
      </c>
      <c r="B612" s="118" t="s">
        <v>1399</v>
      </c>
      <c r="C612" s="113">
        <v>1790</v>
      </c>
      <c r="D612" s="113"/>
      <c r="E612" s="113">
        <f>+IF(FINANCIACION[[#This Row],[$ CAPITAL]]&gt;=0,FINANCIACION[[#This Row],[$ CAPITAL]]+FINANCIACION[[#This Row],[$ INTERESES]],"")</f>
        <v>1790</v>
      </c>
      <c r="F612" s="113">
        <f>+SUMIFS(FINANCIACION[$ CAPITAL],FINANCIACION[Fecha],"&lt;="&amp;FINANCIACION[[#This Row],[Fecha]],FINANCIACION[PRESTAMO],FINANCIACION[[#This Row],[PRESTAMO]])</f>
        <v>-23753800</v>
      </c>
      <c r="G612" s="113"/>
      <c r="H612" s="119" t="s">
        <v>144</v>
      </c>
      <c r="I612" s="119"/>
      <c r="J612" s="113">
        <f>IF(FINANCIACION[[#This Row],[$ CAPITAL]]&gt;0,FINANCIACION[[#This Row],[$ CAPITAL]])</f>
        <v>1790</v>
      </c>
      <c r="K612" s="120">
        <f>IF(FINANCIACION[[#This Row],[$ CAPITAL]]&gt;=0,FINANCIACION[[#This Row],[$ CAPITAL]]+FINANCIACION[[#This Row],[$ INTERESES]],0)</f>
        <v>1790</v>
      </c>
    </row>
    <row r="613" spans="1:11" ht="24" customHeight="1" x14ac:dyDescent="0.3">
      <c r="A613" s="112">
        <v>44389</v>
      </c>
      <c r="B613" s="118" t="s">
        <v>1399</v>
      </c>
      <c r="C613" s="113">
        <v>3829460</v>
      </c>
      <c r="D613" s="113"/>
      <c r="E613" s="113">
        <f>+IF(FINANCIACION[[#This Row],[$ CAPITAL]]&gt;=0,FINANCIACION[[#This Row],[$ CAPITAL]]+FINANCIACION[[#This Row],[$ INTERESES]],"")</f>
        <v>3829460</v>
      </c>
      <c r="F613" s="113">
        <f>+SUMIFS(FINANCIACION[$ CAPITAL],FINANCIACION[Fecha],"&lt;="&amp;FINANCIACION[[#This Row],[Fecha]],FINANCIACION[PRESTAMO],FINANCIACION[[#This Row],[PRESTAMO]])</f>
        <v>-19924340</v>
      </c>
      <c r="G613" s="113"/>
      <c r="I613" s="119"/>
      <c r="J613" s="113">
        <f>IF(FINANCIACION[[#This Row],[$ CAPITAL]]&gt;0,FINANCIACION[[#This Row],[$ CAPITAL]])</f>
        <v>3829460</v>
      </c>
      <c r="K613" s="120">
        <f>IF(FINANCIACION[[#This Row],[$ CAPITAL]]&gt;=0,FINANCIACION[[#This Row],[$ CAPITAL]]+FINANCIACION[[#This Row],[$ INTERESES]],0)</f>
        <v>3829460</v>
      </c>
    </row>
    <row r="614" spans="1:11" ht="24" customHeight="1" x14ac:dyDescent="0.3">
      <c r="A614" s="112">
        <v>44396</v>
      </c>
      <c r="B614" s="118" t="s">
        <v>1399</v>
      </c>
      <c r="C614" s="113">
        <v>3808460</v>
      </c>
      <c r="D614" s="113"/>
      <c r="E614" s="113">
        <f>+IF(FINANCIACION[[#This Row],[$ CAPITAL]]&gt;=0,FINANCIACION[[#This Row],[$ CAPITAL]]+FINANCIACION[[#This Row],[$ INTERESES]],"")</f>
        <v>3808460</v>
      </c>
      <c r="F614" s="113">
        <f>+SUMIFS(FINANCIACION[$ CAPITAL],FINANCIACION[Fecha],"&lt;="&amp;FINANCIACION[[#This Row],[Fecha]],FINANCIACION[PRESTAMO],FINANCIACION[[#This Row],[PRESTAMO]])</f>
        <v>-16115880</v>
      </c>
      <c r="G614" s="113"/>
      <c r="I614" s="119"/>
      <c r="J614" s="113">
        <f>IF(FINANCIACION[[#This Row],[$ CAPITAL]]&gt;0,FINANCIACION[[#This Row],[$ CAPITAL]])</f>
        <v>3808460</v>
      </c>
      <c r="K614" s="120">
        <f>IF(FINANCIACION[[#This Row],[$ CAPITAL]]&gt;=0,FINANCIACION[[#This Row],[$ CAPITAL]]+FINANCIACION[[#This Row],[$ INTERESES]],0)</f>
        <v>3808460</v>
      </c>
    </row>
    <row r="615" spans="1:11" ht="24" customHeight="1" x14ac:dyDescent="0.3">
      <c r="A615" s="112">
        <v>44408</v>
      </c>
      <c r="B615" s="118" t="s">
        <v>1399</v>
      </c>
      <c r="C615" s="113">
        <v>-11578020</v>
      </c>
      <c r="D615" s="113"/>
      <c r="E615" s="113" t="str">
        <f>+IF(FINANCIACION[[#This Row],[$ CAPITAL]]&gt;=0,FINANCIACION[[#This Row],[$ CAPITAL]]+FINANCIACION[[#This Row],[$ INTERESES]],"")</f>
        <v/>
      </c>
      <c r="F615" s="113">
        <f>+SUMIFS(FINANCIACION[$ CAPITAL],FINANCIACION[Fecha],"&lt;="&amp;FINANCIACION[[#This Row],[Fecha]],FINANCIACION[PRESTAMO],FINANCIACION[[#This Row],[PRESTAMO]])</f>
        <v>-27693900</v>
      </c>
      <c r="G615" s="113"/>
      <c r="H615" s="117" t="s">
        <v>144</v>
      </c>
      <c r="I615" s="119"/>
      <c r="J615" s="113" t="b">
        <f>IF(FINANCIACION[[#This Row],[$ CAPITAL]]&gt;0,FINANCIACION[[#This Row],[$ CAPITAL]])</f>
        <v>0</v>
      </c>
      <c r="K615" s="121">
        <f>IF(FINANCIACION[[#This Row],[$ CAPITAL]]&gt;=0,FINANCIACION[[#This Row],[$ CAPITAL]]+FINANCIACION[[#This Row],[$ INTERESES]],0)</f>
        <v>0</v>
      </c>
    </row>
    <row r="616" spans="1:11" ht="24" customHeight="1" x14ac:dyDescent="0.3">
      <c r="A616" s="112">
        <v>44414</v>
      </c>
      <c r="B616" s="118" t="s">
        <v>1399</v>
      </c>
      <c r="C616" s="113">
        <v>3910810</v>
      </c>
      <c r="D616" s="113"/>
      <c r="E616" s="113">
        <f>+IF(FINANCIACION[[#This Row],[$ CAPITAL]]&gt;=0,FINANCIACION[[#This Row],[$ CAPITAL]]+FINANCIACION[[#This Row],[$ INTERESES]],"")</f>
        <v>3910810</v>
      </c>
      <c r="F616" s="113">
        <f>+SUMIFS(FINANCIACION[$ CAPITAL],FINANCIACION[Fecha],"&lt;="&amp;FINANCIACION[[#This Row],[Fecha]],FINANCIACION[PRESTAMO],FINANCIACION[[#This Row],[PRESTAMO]])</f>
        <v>-23783090</v>
      </c>
      <c r="G616" s="113"/>
      <c r="I616" s="119"/>
      <c r="J616" s="113">
        <f>IF(FINANCIACION[[#This Row],[$ CAPITAL]]&gt;0,FINANCIACION[[#This Row],[$ CAPITAL]])</f>
        <v>3910810</v>
      </c>
      <c r="K616" s="120">
        <f>IF(FINANCIACION[[#This Row],[$ CAPITAL]]&gt;=0,FINANCIACION[[#This Row],[$ CAPITAL]]+FINANCIACION[[#This Row],[$ INTERESES]],0)</f>
        <v>3910810</v>
      </c>
    </row>
    <row r="617" spans="1:11" ht="24" customHeight="1" x14ac:dyDescent="0.3">
      <c r="A617" s="112">
        <v>44421</v>
      </c>
      <c r="B617" s="118" t="s">
        <v>1399</v>
      </c>
      <c r="C617" s="113">
        <v>3887070</v>
      </c>
      <c r="D617" s="113"/>
      <c r="E617" s="113">
        <f>+IF(FINANCIACION[[#This Row],[$ CAPITAL]]&gt;=0,FINANCIACION[[#This Row],[$ CAPITAL]]+FINANCIACION[[#This Row],[$ INTERESES]],"")</f>
        <v>3887070</v>
      </c>
      <c r="F617" s="113">
        <f>+SUMIFS(FINANCIACION[$ CAPITAL],FINANCIACION[Fecha],"&lt;="&amp;FINANCIACION[[#This Row],[Fecha]],FINANCIACION[PRESTAMO],FINANCIACION[[#This Row],[PRESTAMO]])</f>
        <v>-19896020</v>
      </c>
      <c r="G617" s="113"/>
      <c r="I617" s="119"/>
      <c r="J617" s="113">
        <f>IF(FINANCIACION[[#This Row],[$ CAPITAL]]&gt;0,FINANCIACION[[#This Row],[$ CAPITAL]])</f>
        <v>3887070</v>
      </c>
      <c r="K617" s="120">
        <f>IF(FINANCIACION[[#This Row],[$ CAPITAL]]&gt;=0,FINANCIACION[[#This Row],[$ CAPITAL]]+FINANCIACION[[#This Row],[$ INTERESES]],0)</f>
        <v>3887070</v>
      </c>
    </row>
    <row r="618" spans="1:11" ht="24" customHeight="1" x14ac:dyDescent="0.3">
      <c r="A618" s="112">
        <v>44426</v>
      </c>
      <c r="B618" s="118" t="s">
        <v>1399</v>
      </c>
      <c r="C618" s="113">
        <v>3868410</v>
      </c>
      <c r="D618" s="113"/>
      <c r="E618" s="113">
        <f>+IF(FINANCIACION[[#This Row],[$ CAPITAL]]&gt;=0,FINANCIACION[[#This Row],[$ CAPITAL]]+FINANCIACION[[#This Row],[$ INTERESES]],"")</f>
        <v>3868410</v>
      </c>
      <c r="F618" s="113">
        <f>+SUMIFS(FINANCIACION[$ CAPITAL],FINANCIACION[Fecha],"&lt;="&amp;FINANCIACION[[#This Row],[Fecha]],FINANCIACION[PRESTAMO],FINANCIACION[[#This Row],[PRESTAMO]])</f>
        <v>-16027610</v>
      </c>
      <c r="G618" s="113"/>
      <c r="H618" s="117"/>
      <c r="I618" s="119"/>
      <c r="J618" s="113">
        <f>IF(FINANCIACION[[#This Row],[$ CAPITAL]]&gt;0,FINANCIACION[[#This Row],[$ CAPITAL]])</f>
        <v>3868410</v>
      </c>
      <c r="K618" s="121">
        <f>IF(FINANCIACION[[#This Row],[$ CAPITAL]]&gt;=0,FINANCIACION[[#This Row],[$ CAPITAL]]+FINANCIACION[[#This Row],[$ INTERESES]],0)</f>
        <v>3868410</v>
      </c>
    </row>
    <row r="619" spans="1:11" ht="24" customHeight="1" x14ac:dyDescent="0.3">
      <c r="A619" s="112">
        <v>44439</v>
      </c>
      <c r="B619" s="118" t="s">
        <v>1399</v>
      </c>
      <c r="C619" s="113">
        <v>38068.699999999997</v>
      </c>
      <c r="D619" s="113"/>
      <c r="E619" s="113">
        <f>+IF(FINANCIACION[[#This Row],[$ CAPITAL]]&gt;=0,FINANCIACION[[#This Row],[$ CAPITAL]]+FINANCIACION[[#This Row],[$ INTERESES]],"")</f>
        <v>38068.699999999997</v>
      </c>
      <c r="F619" s="113">
        <f>+SUMIFS(FINANCIACION[$ CAPITAL],FINANCIACION[Fecha],"&lt;="&amp;FINANCIACION[[#This Row],[Fecha]],FINANCIACION[PRESTAMO],FINANCIACION[[#This Row],[PRESTAMO]])</f>
        <v>-31683600</v>
      </c>
      <c r="G619" s="113"/>
      <c r="I619" s="119"/>
      <c r="J619" s="113">
        <f>IF(FINANCIACION[[#This Row],[$ CAPITAL]]&gt;0,FINANCIACION[[#This Row],[$ CAPITAL]])</f>
        <v>38068.699999999997</v>
      </c>
      <c r="K619" s="120">
        <f>IF(FINANCIACION[[#This Row],[$ CAPITAL]]&gt;=0,FINANCIACION[[#This Row],[$ CAPITAL]]+FINANCIACION[[#This Row],[$ INTERESES]],0)</f>
        <v>38068.699999999997</v>
      </c>
    </row>
    <row r="620" spans="1:11" ht="24" customHeight="1" x14ac:dyDescent="0.3">
      <c r="A620" s="112">
        <v>44439</v>
      </c>
      <c r="B620" s="118" t="s">
        <v>1399</v>
      </c>
      <c r="C620" s="113">
        <v>-15694058.699999999</v>
      </c>
      <c r="D620" s="113"/>
      <c r="E620" s="113" t="str">
        <f>+IF(FINANCIACION[[#This Row],[$ CAPITAL]]&gt;=0,FINANCIACION[[#This Row],[$ CAPITAL]]+FINANCIACION[[#This Row],[$ INTERESES]],"")</f>
        <v/>
      </c>
      <c r="F620" s="113">
        <f>+SUMIFS(FINANCIACION[$ CAPITAL],FINANCIACION[Fecha],"&lt;="&amp;FINANCIACION[[#This Row],[Fecha]],FINANCIACION[PRESTAMO],FINANCIACION[[#This Row],[PRESTAMO]])</f>
        <v>-31683600</v>
      </c>
      <c r="G620" s="113"/>
      <c r="H620" s="119" t="s">
        <v>144</v>
      </c>
      <c r="I620" s="119"/>
      <c r="J620" s="113" t="b">
        <f>IF(FINANCIACION[[#This Row],[$ CAPITAL]]&gt;0,FINANCIACION[[#This Row],[$ CAPITAL]])</f>
        <v>0</v>
      </c>
      <c r="K620" s="120">
        <f>IF(FINANCIACION[[#This Row],[$ CAPITAL]]&gt;=0,FINANCIACION[[#This Row],[$ CAPITAL]]+FINANCIACION[[#This Row],[$ INTERESES]],0)</f>
        <v>0</v>
      </c>
    </row>
    <row r="621" spans="1:11" ht="24" customHeight="1" x14ac:dyDescent="0.3">
      <c r="A621" s="112">
        <v>44440</v>
      </c>
      <c r="B621" s="118" t="s">
        <v>1399</v>
      </c>
      <c r="C621" s="113">
        <v>11300000</v>
      </c>
      <c r="D621" s="113"/>
      <c r="E621" s="113">
        <f>+IF(FINANCIACION[[#This Row],[$ CAPITAL]]&gt;=0,FINANCIACION[[#This Row],[$ CAPITAL]]+FINANCIACION[[#This Row],[$ INTERESES]],"")</f>
        <v>11300000</v>
      </c>
      <c r="F621" s="113">
        <f>+SUMIFS(FINANCIACION[$ CAPITAL],FINANCIACION[Fecha],"&lt;="&amp;FINANCIACION[[#This Row],[Fecha]],FINANCIACION[PRESTAMO],FINANCIACION[[#This Row],[PRESTAMO]])</f>
        <v>-20383600</v>
      </c>
      <c r="G621" s="113"/>
      <c r="H621" s="117"/>
      <c r="I621" s="119"/>
      <c r="J621" s="113">
        <f>IF(FINANCIACION[[#This Row],[$ CAPITAL]]&gt;0,FINANCIACION[[#This Row],[$ CAPITAL]])</f>
        <v>11300000</v>
      </c>
      <c r="K621" s="120">
        <f>IF(FINANCIACION[[#This Row],[$ CAPITAL]]&gt;=0,FINANCIACION[[#This Row],[$ CAPITAL]]+FINANCIACION[[#This Row],[$ INTERESES]],0)</f>
        <v>11300000</v>
      </c>
    </row>
    <row r="622" spans="1:11" ht="24" customHeight="1" x14ac:dyDescent="0.3">
      <c r="A622" s="112">
        <v>44469</v>
      </c>
      <c r="B622" s="118" t="s">
        <v>1399</v>
      </c>
      <c r="C622" s="113">
        <v>-13423250</v>
      </c>
      <c r="D622" s="113"/>
      <c r="E622" s="113" t="str">
        <f>+IF(FINANCIACION[[#This Row],[$ CAPITAL]]&gt;=0,FINANCIACION[[#This Row],[$ CAPITAL]]+FINANCIACION[[#This Row],[$ INTERESES]],"")</f>
        <v/>
      </c>
      <c r="F622" s="113">
        <f>+SUMIFS(FINANCIACION[$ CAPITAL],FINANCIACION[Fecha],"&lt;="&amp;FINANCIACION[[#This Row],[Fecha]],FINANCIACION[PRESTAMO],FINANCIACION[[#This Row],[PRESTAMO]])</f>
        <v>-33806850</v>
      </c>
      <c r="G622" s="113"/>
      <c r="H622" s="119" t="s">
        <v>144</v>
      </c>
      <c r="I622" s="119"/>
      <c r="J622" s="113" t="b">
        <f>IF(FINANCIACION[[#This Row],[$ CAPITAL]]&gt;0,FINANCIACION[[#This Row],[$ CAPITAL]])</f>
        <v>0</v>
      </c>
      <c r="K622" s="120">
        <f>IF(FINANCIACION[[#This Row],[$ CAPITAL]]&gt;=0,FINANCIACION[[#This Row],[$ CAPITAL]]+FINANCIACION[[#This Row],[$ INTERESES]],0)</f>
        <v>0</v>
      </c>
    </row>
    <row r="623" spans="1:11" ht="24" customHeight="1" x14ac:dyDescent="0.3">
      <c r="A623" s="112">
        <v>44476</v>
      </c>
      <c r="B623" s="118" t="s">
        <v>1399</v>
      </c>
      <c r="C623" s="113">
        <v>3788030</v>
      </c>
      <c r="D623" s="113"/>
      <c r="E623" s="113">
        <f>+IF(FINANCIACION[[#This Row],[$ CAPITAL]]&gt;=0,FINANCIACION[[#This Row],[$ CAPITAL]]+FINANCIACION[[#This Row],[$ INTERESES]],"")</f>
        <v>3788030</v>
      </c>
      <c r="F623" s="113">
        <f>+SUMIFS(FINANCIACION[$ CAPITAL],FINANCIACION[Fecha],"&lt;="&amp;FINANCIACION[[#This Row],[Fecha]],FINANCIACION[PRESTAMO],FINANCIACION[[#This Row],[PRESTAMO]])</f>
        <v>-30018820</v>
      </c>
      <c r="G623" s="113"/>
      <c r="I623" s="119"/>
      <c r="J623" s="113">
        <f>IF(FINANCIACION[[#This Row],[$ CAPITAL]]&gt;0,FINANCIACION[[#This Row],[$ CAPITAL]])</f>
        <v>3788030</v>
      </c>
      <c r="K623" s="120">
        <f>IF(FINANCIACION[[#This Row],[$ CAPITAL]]&gt;=0,FINANCIACION[[#This Row],[$ CAPITAL]]+FINANCIACION[[#This Row],[$ INTERESES]],0)</f>
        <v>3788030</v>
      </c>
    </row>
    <row r="624" spans="1:11" ht="24" customHeight="1" x14ac:dyDescent="0.3">
      <c r="A624" s="112">
        <v>44480</v>
      </c>
      <c r="B624" s="118" t="s">
        <v>1399</v>
      </c>
      <c r="C624" s="113">
        <v>3765800</v>
      </c>
      <c r="D624" s="113"/>
      <c r="E624" s="113">
        <f>+IF(FINANCIACION[[#This Row],[$ CAPITAL]]&gt;=0,FINANCIACION[[#This Row],[$ CAPITAL]]+FINANCIACION[[#This Row],[$ INTERESES]],"")</f>
        <v>3765800</v>
      </c>
      <c r="F624" s="113">
        <f>+SUMIFS(FINANCIACION[$ CAPITAL],FINANCIACION[Fecha],"&lt;="&amp;FINANCIACION[[#This Row],[Fecha]],FINANCIACION[PRESTAMO],FINANCIACION[[#This Row],[PRESTAMO]])</f>
        <v>-26253020</v>
      </c>
      <c r="G624" s="113"/>
      <c r="H624" s="117"/>
      <c r="I624" s="119"/>
      <c r="J624" s="113">
        <f>IF(FINANCIACION[[#This Row],[$ CAPITAL]]&gt;0,FINANCIACION[[#This Row],[$ CAPITAL]])</f>
        <v>3765800</v>
      </c>
      <c r="K624" s="120">
        <f>IF(FINANCIACION[[#This Row],[$ CAPITAL]]&gt;=0,FINANCIACION[[#This Row],[$ CAPITAL]]+FINANCIACION[[#This Row],[$ INTERESES]],0)</f>
        <v>3765800</v>
      </c>
    </row>
    <row r="625" spans="1:11" ht="24" customHeight="1" x14ac:dyDescent="0.3">
      <c r="A625" s="112">
        <v>44483</v>
      </c>
      <c r="B625" s="118" t="s">
        <v>1399</v>
      </c>
      <c r="C625" s="113">
        <v>5607720</v>
      </c>
      <c r="D625" s="113"/>
      <c r="E625" s="113">
        <f>+IF(FINANCIACION[[#This Row],[$ CAPITAL]]&gt;=0,FINANCIACION[[#This Row],[$ CAPITAL]]+FINANCIACION[[#This Row],[$ INTERESES]],"")</f>
        <v>5607720</v>
      </c>
      <c r="F625" s="113">
        <f>+SUMIFS(FINANCIACION[$ CAPITAL],FINANCIACION[Fecha],"&lt;="&amp;FINANCIACION[[#This Row],[Fecha]],FINANCIACION[PRESTAMO],FINANCIACION[[#This Row],[PRESTAMO]])</f>
        <v>-5691380</v>
      </c>
      <c r="G625" s="113"/>
      <c r="H625" s="117"/>
      <c r="I625" s="119"/>
      <c r="J625" s="113">
        <f>IF(FINANCIACION[[#This Row],[$ CAPITAL]]&gt;0,FINANCIACION[[#This Row],[$ CAPITAL]])</f>
        <v>5607720</v>
      </c>
      <c r="K625" s="121">
        <f>IF(FINANCIACION[[#This Row],[$ CAPITAL]]&gt;=0,FINANCIACION[[#This Row],[$ CAPITAL]]+FINANCIACION[[#This Row],[$ INTERESES]],0)</f>
        <v>5607720</v>
      </c>
    </row>
    <row r="626" spans="1:11" ht="24" customHeight="1" x14ac:dyDescent="0.3">
      <c r="A626" s="112">
        <v>44483</v>
      </c>
      <c r="B626" s="118" t="s">
        <v>1399</v>
      </c>
      <c r="C626" s="113">
        <v>14953920</v>
      </c>
      <c r="D626" s="113"/>
      <c r="E626" s="113">
        <f>+IF(FINANCIACION[[#This Row],[$ CAPITAL]]&gt;=0,FINANCIACION[[#This Row],[$ CAPITAL]]+FINANCIACION[[#This Row],[$ INTERESES]],"")</f>
        <v>14953920</v>
      </c>
      <c r="F626" s="113">
        <f>+SUMIFS(FINANCIACION[$ CAPITAL],FINANCIACION[Fecha],"&lt;="&amp;FINANCIACION[[#This Row],[Fecha]],FINANCIACION[PRESTAMO],FINANCIACION[[#This Row],[PRESTAMO]])</f>
        <v>-5691380</v>
      </c>
      <c r="G626" s="113"/>
      <c r="H626" s="117"/>
      <c r="I626" s="119"/>
      <c r="J626" s="113">
        <f>IF(FINANCIACION[[#This Row],[$ CAPITAL]]&gt;0,FINANCIACION[[#This Row],[$ CAPITAL]])</f>
        <v>14953920</v>
      </c>
      <c r="K626" s="121">
        <f>IF(FINANCIACION[[#This Row],[$ CAPITAL]]&gt;=0,FINANCIACION[[#This Row],[$ CAPITAL]]+FINANCIACION[[#This Row],[$ INTERESES]],0)</f>
        <v>14953920</v>
      </c>
    </row>
    <row r="627" spans="1:11" ht="24" customHeight="1" x14ac:dyDescent="0.3">
      <c r="A627" s="112">
        <v>44491</v>
      </c>
      <c r="B627" s="118" t="s">
        <v>1399</v>
      </c>
      <c r="C627" s="113">
        <v>3783300</v>
      </c>
      <c r="D627" s="113"/>
      <c r="E627" s="113">
        <f>+IF(FINANCIACION[[#This Row],[$ CAPITAL]]&gt;=0,FINANCIACION[[#This Row],[$ CAPITAL]]+FINANCIACION[[#This Row],[$ INTERESES]],"")</f>
        <v>3783300</v>
      </c>
      <c r="F627" s="113">
        <f>+SUMIFS(FINANCIACION[$ CAPITAL],FINANCIACION[Fecha],"&lt;="&amp;FINANCIACION[[#This Row],[Fecha]],FINANCIACION[PRESTAMO],FINANCIACION[[#This Row],[PRESTAMO]])</f>
        <v>1875220</v>
      </c>
      <c r="G627" s="113"/>
      <c r="I627" s="119"/>
      <c r="J627" s="113">
        <f>IF(FINANCIACION[[#This Row],[$ CAPITAL]]&gt;0,FINANCIACION[[#This Row],[$ CAPITAL]])</f>
        <v>3783300</v>
      </c>
      <c r="K627" s="120">
        <f>IF(FINANCIACION[[#This Row],[$ CAPITAL]]&gt;=0,FINANCIACION[[#This Row],[$ CAPITAL]]+FINANCIACION[[#This Row],[$ INTERESES]],0)</f>
        <v>3783300</v>
      </c>
    </row>
    <row r="628" spans="1:11" ht="24" customHeight="1" x14ac:dyDescent="0.3">
      <c r="A628" s="112">
        <v>44491</v>
      </c>
      <c r="B628" s="118" t="s">
        <v>1399</v>
      </c>
      <c r="C628" s="113">
        <v>3783300</v>
      </c>
      <c r="D628" s="113"/>
      <c r="E628" s="113">
        <f>+IF(FINANCIACION[[#This Row],[$ CAPITAL]]&gt;=0,FINANCIACION[[#This Row],[$ CAPITAL]]+FINANCIACION[[#This Row],[$ INTERESES]],"")</f>
        <v>3783300</v>
      </c>
      <c r="F628" s="113">
        <f>+SUMIFS(FINANCIACION[$ CAPITAL],FINANCIACION[Fecha],"&lt;="&amp;FINANCIACION[[#This Row],[Fecha]],FINANCIACION[PRESTAMO],FINANCIACION[[#This Row],[PRESTAMO]])</f>
        <v>1875220</v>
      </c>
      <c r="G628" s="113"/>
      <c r="I628" s="119"/>
      <c r="J628" s="113">
        <f>IF(FINANCIACION[[#This Row],[$ CAPITAL]]&gt;0,FINANCIACION[[#This Row],[$ CAPITAL]])</f>
        <v>3783300</v>
      </c>
      <c r="K628" s="120">
        <f>IF(FINANCIACION[[#This Row],[$ CAPITAL]]&gt;=0,FINANCIACION[[#This Row],[$ CAPITAL]]+FINANCIACION[[#This Row],[$ INTERESES]],0)</f>
        <v>3783300</v>
      </c>
    </row>
    <row r="629" spans="1:11" ht="24" customHeight="1" x14ac:dyDescent="0.3">
      <c r="A629" s="112">
        <v>44500</v>
      </c>
      <c r="B629" s="118" t="s">
        <v>1399</v>
      </c>
      <c r="C629" s="113">
        <v>-1876641</v>
      </c>
      <c r="D629" s="113"/>
      <c r="E629" s="113" t="str">
        <f>+IF(FINANCIACION[[#This Row],[$ CAPITAL]]&gt;=0,FINANCIACION[[#This Row],[$ CAPITAL]]+FINANCIACION[[#This Row],[$ INTERESES]],"")</f>
        <v/>
      </c>
      <c r="F629" s="113">
        <f>+SUMIFS(FINANCIACION[$ CAPITAL],FINANCIACION[Fecha],"&lt;="&amp;FINANCIACION[[#This Row],[Fecha]],FINANCIACION[PRESTAMO],FINANCIACION[[#This Row],[PRESTAMO]])</f>
        <v>-1421</v>
      </c>
      <c r="G629" s="113"/>
      <c r="H629" s="119" t="s">
        <v>144</v>
      </c>
      <c r="I629" s="119"/>
      <c r="J629" s="113" t="b">
        <f>IF(FINANCIACION[[#This Row],[$ CAPITAL]]&gt;0,FINANCIACION[[#This Row],[$ CAPITAL]])</f>
        <v>0</v>
      </c>
      <c r="K629" s="120">
        <f>IF(FINANCIACION[[#This Row],[$ CAPITAL]]&gt;=0,FINANCIACION[[#This Row],[$ CAPITAL]]+FINANCIACION[[#This Row],[$ INTERESES]],0)</f>
        <v>0</v>
      </c>
    </row>
    <row r="630" spans="1:11" ht="24" customHeight="1" x14ac:dyDescent="0.3">
      <c r="A630" s="112">
        <v>44502</v>
      </c>
      <c r="B630" s="118" t="s">
        <v>1399</v>
      </c>
      <c r="C630" s="113">
        <v>1892220</v>
      </c>
      <c r="D630" s="113"/>
      <c r="E630" s="113">
        <f>+IF(FINANCIACION[[#This Row],[$ CAPITAL]]&gt;=0,FINANCIACION[[#This Row],[$ CAPITAL]]+FINANCIACION[[#This Row],[$ INTERESES]],"")</f>
        <v>1892220</v>
      </c>
      <c r="F630" s="113">
        <f>+SUMIFS(FINANCIACION[$ CAPITAL],FINANCIACION[Fecha],"&lt;="&amp;FINANCIACION[[#This Row],[Fecha]],FINANCIACION[PRESTAMO],FINANCIACION[[#This Row],[PRESTAMO]])</f>
        <v>1890799</v>
      </c>
      <c r="G630" s="113"/>
      <c r="I630" s="119"/>
      <c r="J630" s="113">
        <f>IF(FINANCIACION[[#This Row],[$ CAPITAL]]&gt;0,FINANCIACION[[#This Row],[$ CAPITAL]])</f>
        <v>1892220</v>
      </c>
      <c r="K630" s="120">
        <f>IF(FINANCIACION[[#This Row],[$ CAPITAL]]&gt;=0,FINANCIACION[[#This Row],[$ CAPITAL]]+FINANCIACION[[#This Row],[$ INTERESES]],0)</f>
        <v>1892220</v>
      </c>
    </row>
    <row r="631" spans="1:11" ht="24" customHeight="1" x14ac:dyDescent="0.3">
      <c r="A631" s="112">
        <v>44510</v>
      </c>
      <c r="B631" s="118" t="s">
        <v>1399</v>
      </c>
      <c r="C631" s="125">
        <v>2713802</v>
      </c>
      <c r="D631" s="113"/>
      <c r="E631" s="113">
        <f>+IF(FINANCIACION[[#This Row],[$ CAPITAL]]&gt;=0,FINANCIACION[[#This Row],[$ CAPITAL]]+FINANCIACION[[#This Row],[$ INTERESES]],"")</f>
        <v>2713802</v>
      </c>
      <c r="F631" s="113">
        <f>+SUMIFS(FINANCIACION[$ CAPITAL],FINANCIACION[Fecha],"&lt;="&amp;FINANCIACION[[#This Row],[Fecha]],FINANCIACION[PRESTAMO],FINANCIACION[[#This Row],[PRESTAMO]])</f>
        <v>4604601</v>
      </c>
      <c r="G631" s="113"/>
      <c r="I631" s="119"/>
      <c r="J631" s="113">
        <f>IF(FINANCIACION[[#This Row],[$ CAPITAL]]&gt;0,FINANCIACION[[#This Row],[$ CAPITAL]])</f>
        <v>2713802</v>
      </c>
      <c r="K631" s="120">
        <f>IF(FINANCIACION[[#This Row],[$ CAPITAL]]&gt;=0,FINANCIACION[[#This Row],[$ CAPITAL]]+FINANCIACION[[#This Row],[$ INTERESES]],0)</f>
        <v>2713802</v>
      </c>
    </row>
    <row r="632" spans="1:11" ht="24" customHeight="1" x14ac:dyDescent="0.3">
      <c r="A632" s="112">
        <v>44525</v>
      </c>
      <c r="B632" s="118" t="s">
        <v>1399</v>
      </c>
      <c r="C632" s="113">
        <v>9244400</v>
      </c>
      <c r="D632" s="113"/>
      <c r="E632" s="113">
        <f>+IF(FINANCIACION[[#This Row],[$ CAPITAL]]&gt;=0,FINANCIACION[[#This Row],[$ CAPITAL]]+FINANCIACION[[#This Row],[$ INTERESES]],"")</f>
        <v>9244400</v>
      </c>
      <c r="F632" s="113">
        <f>+SUMIFS(FINANCIACION[$ CAPITAL],FINANCIACION[Fecha],"&lt;="&amp;FINANCIACION[[#This Row],[Fecha]],FINANCIACION[PRESTAMO],FINANCIACION[[#This Row],[PRESTAMO]])</f>
        <v>13849001</v>
      </c>
      <c r="G632" s="113"/>
      <c r="I632" s="119"/>
      <c r="J632" s="113">
        <f>IF(FINANCIACION[[#This Row],[$ CAPITAL]]&gt;0,FINANCIACION[[#This Row],[$ CAPITAL]])</f>
        <v>9244400</v>
      </c>
      <c r="K632" s="120">
        <f>IF(FINANCIACION[[#This Row],[$ CAPITAL]]&gt;=0,FINANCIACION[[#This Row],[$ CAPITAL]]+FINANCIACION[[#This Row],[$ INTERESES]],0)</f>
        <v>9244400</v>
      </c>
    </row>
    <row r="633" spans="1:11" ht="24" customHeight="1" x14ac:dyDescent="0.3">
      <c r="A633" s="112">
        <v>44530</v>
      </c>
      <c r="B633" s="118" t="s">
        <v>1399</v>
      </c>
      <c r="C633" s="113">
        <v>-42540986</v>
      </c>
      <c r="D633" s="113"/>
      <c r="E633" s="113" t="str">
        <f>+IF(FINANCIACION[[#This Row],[$ CAPITAL]]&gt;=0,FINANCIACION[[#This Row],[$ CAPITAL]]+FINANCIACION[[#This Row],[$ INTERESES]],"")</f>
        <v/>
      </c>
      <c r="F633" s="113">
        <f>+SUMIFS(FINANCIACION[$ CAPITAL],FINANCIACION[Fecha],"&lt;="&amp;FINANCIACION[[#This Row],[Fecha]],FINANCIACION[PRESTAMO],FINANCIACION[[#This Row],[PRESTAMO]])</f>
        <v>-28691985</v>
      </c>
      <c r="G633" s="113"/>
      <c r="H633" s="119" t="s">
        <v>144</v>
      </c>
      <c r="I633" s="119"/>
      <c r="J633" s="113" t="b">
        <f>IF(FINANCIACION[[#This Row],[$ CAPITAL]]&gt;0,FINANCIACION[[#This Row],[$ CAPITAL]])</f>
        <v>0</v>
      </c>
      <c r="K633" s="120">
        <f>IF(FINANCIACION[[#This Row],[$ CAPITAL]]&gt;=0,FINANCIACION[[#This Row],[$ CAPITAL]]+FINANCIACION[[#This Row],[$ INTERESES]],0)</f>
        <v>0</v>
      </c>
    </row>
    <row r="634" spans="1:11" ht="24" customHeight="1" x14ac:dyDescent="0.3">
      <c r="A634" s="112">
        <v>44536</v>
      </c>
      <c r="B634" s="118" t="s">
        <v>1399</v>
      </c>
      <c r="C634" s="113">
        <v>11844990</v>
      </c>
      <c r="D634" s="113"/>
      <c r="E634" s="113">
        <f>+IF(FINANCIACION[[#This Row],[$ CAPITAL]]&gt;=0,FINANCIACION[[#This Row],[$ CAPITAL]]+FINANCIACION[[#This Row],[$ INTERESES]],"")</f>
        <v>11844990</v>
      </c>
      <c r="F634" s="113">
        <f>+SUMIFS(FINANCIACION[$ CAPITAL],FINANCIACION[Fecha],"&lt;="&amp;FINANCIACION[[#This Row],[Fecha]],FINANCIACION[PRESTAMO],FINANCIACION[[#This Row],[PRESTAMO]])</f>
        <v>-16846995</v>
      </c>
      <c r="G634" s="113"/>
      <c r="I634" s="119"/>
      <c r="J634" s="113">
        <f>IF(FINANCIACION[[#This Row],[$ CAPITAL]]&gt;0,FINANCIACION[[#This Row],[$ CAPITAL]])</f>
        <v>11844990</v>
      </c>
      <c r="K634" s="120">
        <f>IF(FINANCIACION[[#This Row],[$ CAPITAL]]&gt;=0,FINANCIACION[[#This Row],[$ CAPITAL]]+FINANCIACION[[#This Row],[$ INTERESES]],0)</f>
        <v>11844990</v>
      </c>
    </row>
    <row r="635" spans="1:11" ht="24" customHeight="1" x14ac:dyDescent="0.3">
      <c r="A635" s="112">
        <v>44554</v>
      </c>
      <c r="B635" s="118" t="s">
        <v>1399</v>
      </c>
      <c r="C635" s="113">
        <v>3997090</v>
      </c>
      <c r="D635" s="113"/>
      <c r="E635" s="113">
        <f>+IF(FINANCIACION[[#This Row],[$ CAPITAL]]&gt;=0,FINANCIACION[[#This Row],[$ CAPITAL]]+FINANCIACION[[#This Row],[$ INTERESES]],"")</f>
        <v>3997090</v>
      </c>
      <c r="F635" s="113">
        <f>+SUMIFS(FINANCIACION[$ CAPITAL],FINANCIACION[Fecha],"&lt;="&amp;FINANCIACION[[#This Row],[Fecha]],FINANCIACION[PRESTAMO],FINANCIACION[[#This Row],[PRESTAMO]])</f>
        <v>-12849905</v>
      </c>
      <c r="G635" s="113"/>
      <c r="I635" s="119"/>
      <c r="J635" s="113">
        <f>IF(FINANCIACION[[#This Row],[$ CAPITAL]]&gt;0,FINANCIACION[[#This Row],[$ CAPITAL]])</f>
        <v>3997090</v>
      </c>
      <c r="K635" s="120">
        <f>IF(FINANCIACION[[#This Row],[$ CAPITAL]]&gt;=0,FINANCIACION[[#This Row],[$ CAPITAL]]+FINANCIACION[[#This Row],[$ INTERESES]],0)</f>
        <v>3997090</v>
      </c>
    </row>
    <row r="636" spans="1:11" ht="24" customHeight="1" x14ac:dyDescent="0.3">
      <c r="A636" s="112">
        <v>44557</v>
      </c>
      <c r="B636" s="118" t="s">
        <v>1399</v>
      </c>
      <c r="C636" s="113">
        <v>3994150</v>
      </c>
      <c r="D636" s="113"/>
      <c r="E636" s="113">
        <f>+IF(FINANCIACION[[#This Row],[$ CAPITAL]]&gt;=0,FINANCIACION[[#This Row],[$ CAPITAL]]+FINANCIACION[[#This Row],[$ INTERESES]],"")</f>
        <v>3994150</v>
      </c>
      <c r="F636" s="113">
        <f>+SUMIFS(FINANCIACION[$ CAPITAL],FINANCIACION[Fecha],"&lt;="&amp;FINANCIACION[[#This Row],[Fecha]],FINANCIACION[PRESTAMO],FINANCIACION[[#This Row],[PRESTAMO]])</f>
        <v>-8855755</v>
      </c>
      <c r="G636" s="113"/>
      <c r="H636" s="117"/>
      <c r="I636" s="119"/>
      <c r="J636" s="113">
        <f>IF(FINANCIACION[[#This Row],[$ CAPITAL]]&gt;0,FINANCIACION[[#This Row],[$ CAPITAL]])</f>
        <v>3994150</v>
      </c>
      <c r="K636" s="120">
        <f>IF(FINANCIACION[[#This Row],[$ CAPITAL]]&gt;=0,FINANCIACION[[#This Row],[$ CAPITAL]]+FINANCIACION[[#This Row],[$ INTERESES]],0)</f>
        <v>3994150</v>
      </c>
    </row>
    <row r="637" spans="1:11" ht="24" customHeight="1" x14ac:dyDescent="0.3">
      <c r="A637" s="112">
        <v>44560</v>
      </c>
      <c r="B637" s="118" t="s">
        <v>1399</v>
      </c>
      <c r="C637" s="113">
        <v>4023680</v>
      </c>
      <c r="D637" s="113"/>
      <c r="E637" s="113">
        <f>+IF(FINANCIACION[[#This Row],[$ CAPITAL]]&gt;=0,FINANCIACION[[#This Row],[$ CAPITAL]]+FINANCIACION[[#This Row],[$ INTERESES]],"")</f>
        <v>4023680</v>
      </c>
      <c r="F637" s="113">
        <f>+SUMIFS(FINANCIACION[$ CAPITAL],FINANCIACION[Fecha],"&lt;="&amp;FINANCIACION[[#This Row],[Fecha]],FINANCIACION[PRESTAMO],FINANCIACION[[#This Row],[PRESTAMO]])</f>
        <v>-4832075</v>
      </c>
      <c r="G637" s="113"/>
      <c r="I637" s="119"/>
      <c r="J637" s="113">
        <f>IF(FINANCIACION[[#This Row],[$ CAPITAL]]&gt;0,FINANCIACION[[#This Row],[$ CAPITAL]])</f>
        <v>4023680</v>
      </c>
      <c r="K637" s="120">
        <f>IF(FINANCIACION[[#This Row],[$ CAPITAL]]&gt;=0,FINANCIACION[[#This Row],[$ CAPITAL]]+FINANCIACION[[#This Row],[$ INTERESES]],0)</f>
        <v>4023680</v>
      </c>
    </row>
    <row r="638" spans="1:11" ht="24" customHeight="1" x14ac:dyDescent="0.3">
      <c r="A638" s="112">
        <v>44561</v>
      </c>
      <c r="B638" s="118" t="s">
        <v>1399</v>
      </c>
      <c r="C638" s="113">
        <v>-15729425</v>
      </c>
      <c r="D638" s="113"/>
      <c r="E638" s="113" t="str">
        <f>+IF(FINANCIACION[[#This Row],[$ CAPITAL]]&gt;=0,FINANCIACION[[#This Row],[$ CAPITAL]]+FINANCIACION[[#This Row],[$ INTERESES]],"")</f>
        <v/>
      </c>
      <c r="F638" s="113">
        <f>+SUMIFS(FINANCIACION[$ CAPITAL],FINANCIACION[Fecha],"&lt;="&amp;FINANCIACION[[#This Row],[Fecha]],FINANCIACION[PRESTAMO],FINANCIACION[[#This Row],[PRESTAMO]])</f>
        <v>-20561500</v>
      </c>
      <c r="G638" s="113"/>
      <c r="I638" s="119"/>
      <c r="J638" s="113" t="b">
        <f>IF(FINANCIACION[[#This Row],[$ CAPITAL]]&gt;0,FINANCIACION[[#This Row],[$ CAPITAL]])</f>
        <v>0</v>
      </c>
      <c r="K638" s="120">
        <f>IF(FINANCIACION[[#This Row],[$ CAPITAL]]&gt;=0,FINANCIACION[[#This Row],[$ CAPITAL]]+FINANCIACION[[#This Row],[$ INTERESES]],0)</f>
        <v>0</v>
      </c>
    </row>
    <row r="639" spans="1:11" ht="24" customHeight="1" x14ac:dyDescent="0.3">
      <c r="A639" s="112">
        <v>44581</v>
      </c>
      <c r="B639" s="118" t="s">
        <v>1399</v>
      </c>
      <c r="C639" s="113">
        <v>2001975</v>
      </c>
      <c r="D639" s="113"/>
      <c r="E639" s="113">
        <f>+IF(FINANCIACION[[#This Row],[$ CAPITAL]]&gt;=0,FINANCIACION[[#This Row],[$ CAPITAL]]+FINANCIACION[[#This Row],[$ INTERESES]],"")</f>
        <v>2001975</v>
      </c>
      <c r="F639" s="113">
        <f>+SUMIFS(FINANCIACION[$ CAPITAL],FINANCIACION[Fecha],"&lt;="&amp;FINANCIACION[[#This Row],[Fecha]],FINANCIACION[PRESTAMO],FINANCIACION[[#This Row],[PRESTAMO]])</f>
        <v>-18559525</v>
      </c>
      <c r="G639" s="113"/>
      <c r="I639" s="119"/>
      <c r="J639" s="113">
        <f>+IF(FINANCIACION[[#This Row],[$ CAPITAL]]&gt;0,FINANCIACION[[#This Row],[$ CAPITAL]])</f>
        <v>2001975</v>
      </c>
      <c r="K639" s="120">
        <f>+IF(FINANCIACION[[#This Row],[$ CAPITAL]]&gt;=0,FINANCIACION[[#This Row],[$ CAPITAL]]+FINANCIACION[[#This Row],[$ INTERESES]],0)</f>
        <v>2001975</v>
      </c>
    </row>
    <row r="640" spans="1:11" ht="24" customHeight="1" x14ac:dyDescent="0.3">
      <c r="A640" s="112">
        <v>44592</v>
      </c>
      <c r="B640" s="118" t="s">
        <v>1399</v>
      </c>
      <c r="C640" s="113">
        <v>-11936475</v>
      </c>
      <c r="D640" s="113"/>
      <c r="E640" s="113" t="str">
        <f>+IF(FINANCIACION[[#This Row],[$ CAPITAL]]&gt;=0,FINANCIACION[[#This Row],[$ CAPITAL]]+FINANCIACION[[#This Row],[$ INTERESES]],"")</f>
        <v/>
      </c>
      <c r="F640" s="113">
        <f>+SUMIFS(FINANCIACION[$ CAPITAL],FINANCIACION[Fecha],"&lt;="&amp;FINANCIACION[[#This Row],[Fecha]],FINANCIACION[PRESTAMO],FINANCIACION[[#This Row],[PRESTAMO]])</f>
        <v>-30496000</v>
      </c>
      <c r="G640" s="113"/>
      <c r="I640" s="119"/>
      <c r="J640" s="113" t="b">
        <f>+IF(FINANCIACION[[#This Row],[$ CAPITAL]]&gt;0,FINANCIACION[[#This Row],[$ CAPITAL]])</f>
        <v>0</v>
      </c>
      <c r="K640" s="120">
        <f>+IF(FINANCIACION[[#This Row],[$ CAPITAL]]&gt;=0,FINANCIACION[[#This Row],[$ CAPITAL]]+FINANCIACION[[#This Row],[$ INTERESES]],0)</f>
        <v>0</v>
      </c>
    </row>
    <row r="641" spans="1:11" ht="24" customHeight="1" x14ac:dyDescent="0.3">
      <c r="A641" s="112">
        <v>44620</v>
      </c>
      <c r="B641" s="118" t="s">
        <v>1399</v>
      </c>
      <c r="C641" s="113">
        <v>-1113500</v>
      </c>
      <c r="D641" s="113"/>
      <c r="E641" s="113" t="str">
        <f>+IF(FINANCIACION[[#This Row],[$ CAPITAL]]&gt;=0,FINANCIACION[[#This Row],[$ CAPITAL]]+FINANCIACION[[#This Row],[$ INTERESES]],"")</f>
        <v/>
      </c>
      <c r="F641" s="113">
        <f>+SUMIFS(FINANCIACION[$ CAPITAL],FINANCIACION[Fecha],"&lt;="&amp;FINANCIACION[[#This Row],[Fecha]],FINANCIACION[PRESTAMO],FINANCIACION[[#This Row],[PRESTAMO]])</f>
        <v>-31609500</v>
      </c>
      <c r="G641" s="113"/>
      <c r="H641" s="119" t="s">
        <v>144</v>
      </c>
      <c r="I641" s="119"/>
      <c r="J641" s="113" t="b">
        <f>+IF(FINANCIACION[[#This Row],[$ CAPITAL]]&gt;0,FINANCIACION[[#This Row],[$ CAPITAL]])</f>
        <v>0</v>
      </c>
      <c r="K641" s="120">
        <f>+IF(FINANCIACION[[#This Row],[$ CAPITAL]]&gt;=0,FINANCIACION[[#This Row],[$ CAPITAL]]+FINANCIACION[[#This Row],[$ INTERESES]],0)</f>
        <v>0</v>
      </c>
    </row>
    <row r="642" spans="1:11" ht="24" customHeight="1" x14ac:dyDescent="0.3">
      <c r="A642" s="112">
        <v>44651</v>
      </c>
      <c r="B642" s="118" t="s">
        <v>1399</v>
      </c>
      <c r="C642" s="113">
        <v>251900</v>
      </c>
      <c r="D642" s="113"/>
      <c r="E642" s="113">
        <f>+IF(FINANCIACION[[#This Row],[$ CAPITAL]]&gt;=0,FINANCIACION[[#This Row],[$ CAPITAL]]+FINANCIACION[[#This Row],[$ INTERESES]],"")</f>
        <v>251900</v>
      </c>
      <c r="F642" s="113">
        <f>+SUMIFS(FINANCIACION[$ CAPITAL],FINANCIACION[Fecha],"&lt;="&amp;FINANCIACION[[#This Row],[Fecha]],FINANCIACION[PRESTAMO],FINANCIACION[[#This Row],[PRESTAMO]])</f>
        <v>-31357600</v>
      </c>
      <c r="G642" s="113"/>
      <c r="I642" s="119"/>
      <c r="J642" s="113">
        <f>+IF(FINANCIACION[[#This Row],[$ CAPITAL]]&gt;0,FINANCIACION[[#This Row],[$ CAPITAL]])</f>
        <v>251900</v>
      </c>
      <c r="K642" s="120">
        <f>+IF(FINANCIACION[[#This Row],[$ CAPITAL]]&gt;=0,FINANCIACION[[#This Row],[$ CAPITAL]]+FINANCIACION[[#This Row],[$ INTERESES]],0)</f>
        <v>251900</v>
      </c>
    </row>
    <row r="643" spans="1:11" ht="24" customHeight="1" x14ac:dyDescent="0.3">
      <c r="A643" s="112">
        <v>44681</v>
      </c>
      <c r="B643" s="118" t="s">
        <v>1399</v>
      </c>
      <c r="C643" s="113">
        <v>-1502400</v>
      </c>
      <c r="D643" s="113"/>
      <c r="E643" s="113" t="str">
        <f>+IF(FINANCIACION[[#This Row],[$ CAPITAL]]&gt;=0,FINANCIACION[[#This Row],[$ CAPITAL]]+FINANCIACION[[#This Row],[$ INTERESES]],"")</f>
        <v/>
      </c>
      <c r="F643" s="113">
        <f>+SUMIFS(FINANCIACION[$ CAPITAL],FINANCIACION[Fecha],"&lt;="&amp;FINANCIACION[[#This Row],[Fecha]],FINANCIACION[PRESTAMO],FINANCIACION[[#This Row],[PRESTAMO]])</f>
        <v>-32860000</v>
      </c>
      <c r="G643" s="113"/>
      <c r="H643" s="119" t="s">
        <v>144</v>
      </c>
      <c r="I643" s="119"/>
      <c r="J643" s="113" t="b">
        <f>+IF(FINANCIACION[[#This Row],[$ CAPITAL]]&gt;0,FINANCIACION[[#This Row],[$ CAPITAL]])</f>
        <v>0</v>
      </c>
      <c r="K643" s="120">
        <f>+IF(FINANCIACION[[#This Row],[$ CAPITAL]]&gt;=0,FINANCIACION[[#This Row],[$ CAPITAL]]+FINANCIACION[[#This Row],[$ INTERESES]],0)</f>
        <v>0</v>
      </c>
    </row>
    <row r="644" spans="1:11" ht="24" customHeight="1" x14ac:dyDescent="0.3">
      <c r="A644" s="112">
        <v>44712</v>
      </c>
      <c r="B644" s="118" t="s">
        <v>1399</v>
      </c>
      <c r="C644" s="113">
        <v>-773800</v>
      </c>
      <c r="D644" s="113"/>
      <c r="E644" s="113" t="str">
        <f>+IF(FINANCIACION[[#This Row],[$ CAPITAL]]&gt;=0,FINANCIACION[[#This Row],[$ CAPITAL]]+FINANCIACION[[#This Row],[$ INTERESES]],"")</f>
        <v/>
      </c>
      <c r="F644" s="113">
        <f>+SUMIFS(FINANCIACION[$ CAPITAL],FINANCIACION[Fecha],"&lt;="&amp;FINANCIACION[[#This Row],[Fecha]],FINANCIACION[PRESTAMO],FINANCIACION[[#This Row],[PRESTAMO]])</f>
        <v>-33633800</v>
      </c>
      <c r="G644" s="113"/>
      <c r="H644" s="119" t="s">
        <v>144</v>
      </c>
      <c r="I644" s="119"/>
      <c r="J644" s="113" t="b">
        <f>+IF(FINANCIACION[[#This Row],[$ CAPITAL]]&gt;0,FINANCIACION[[#This Row],[$ CAPITAL]])</f>
        <v>0</v>
      </c>
      <c r="K644" s="120">
        <f>+IF(FINANCIACION[[#This Row],[$ CAPITAL]]&gt;=0,FINANCIACION[[#This Row],[$ CAPITAL]]+FINANCIACION[[#This Row],[$ INTERESES]],0)</f>
        <v>0</v>
      </c>
    </row>
    <row r="645" spans="1:11" ht="24" customHeight="1" x14ac:dyDescent="0.3">
      <c r="A645" s="112">
        <v>44742</v>
      </c>
      <c r="B645" s="118" t="s">
        <v>1399</v>
      </c>
      <c r="C645" s="113">
        <v>11583800</v>
      </c>
      <c r="D645" s="113"/>
      <c r="E645" s="113">
        <f>+IF(FINANCIACION[[#This Row],[$ CAPITAL]]&gt;=0,FINANCIACION[[#This Row],[$ CAPITAL]]+FINANCIACION[[#This Row],[$ INTERESES]],"")</f>
        <v>11583800</v>
      </c>
      <c r="F645" s="113">
        <f>+SUMIFS(FINANCIACION[$ CAPITAL],FINANCIACION[Fecha],"&lt;="&amp;FINANCIACION[[#This Row],[Fecha]],FINANCIACION[PRESTAMO],FINANCIACION[[#This Row],[PRESTAMO]])</f>
        <v>-22050000</v>
      </c>
      <c r="G645" s="113"/>
      <c r="H645" s="119" t="s">
        <v>144</v>
      </c>
      <c r="I645" s="119"/>
      <c r="J645" s="113">
        <f>+IF(FINANCIACION[[#This Row],[$ CAPITAL]]&gt;0,FINANCIACION[[#This Row],[$ CAPITAL]])</f>
        <v>11583800</v>
      </c>
      <c r="K645" s="120">
        <f>+IF(FINANCIACION[[#This Row],[$ CAPITAL]]&gt;=0,FINANCIACION[[#This Row],[$ CAPITAL]]+FINANCIACION[[#This Row],[$ INTERESES]],0)</f>
        <v>11583800</v>
      </c>
    </row>
    <row r="646" spans="1:11" ht="24" customHeight="1" x14ac:dyDescent="0.3">
      <c r="A646" s="112">
        <v>44773</v>
      </c>
      <c r="B646" s="118" t="s">
        <v>1399</v>
      </c>
      <c r="C646" s="113">
        <v>4909800</v>
      </c>
      <c r="D646" s="113"/>
      <c r="E646" s="113">
        <f>+IF(FINANCIACION[[#This Row],[$ CAPITAL]]&gt;=0,FINANCIACION[[#This Row],[$ CAPITAL]]+FINANCIACION[[#This Row],[$ INTERESES]],"")</f>
        <v>4909800</v>
      </c>
      <c r="F646" s="113">
        <f>+SUMIFS(FINANCIACION[$ CAPITAL],FINANCIACION[Fecha],"&lt;="&amp;FINANCIACION[[#This Row],[Fecha]],FINANCIACION[PRESTAMO],FINANCIACION[[#This Row],[PRESTAMO]])</f>
        <v>-17140200</v>
      </c>
      <c r="G646" s="113"/>
      <c r="H646" s="119" t="s">
        <v>144</v>
      </c>
      <c r="I646" s="119"/>
      <c r="J646" s="113">
        <f>+IF(FINANCIACION[[#This Row],[$ CAPITAL]]&gt;0,FINANCIACION[[#This Row],[$ CAPITAL]])</f>
        <v>4909800</v>
      </c>
      <c r="K646" s="120">
        <f>+IF(FINANCIACION[[#This Row],[$ CAPITAL]]&gt;=0,FINANCIACION[[#This Row],[$ CAPITAL]]+FINANCIACION[[#This Row],[$ INTERESES]],0)</f>
        <v>4909800</v>
      </c>
    </row>
    <row r="647" spans="1:11" ht="24" customHeight="1" x14ac:dyDescent="0.3">
      <c r="A647" s="112">
        <v>44804</v>
      </c>
      <c r="B647" s="118" t="s">
        <v>1399</v>
      </c>
      <c r="C647" s="125">
        <v>-5300120</v>
      </c>
      <c r="D647" s="113"/>
      <c r="E647" s="113" t="str">
        <f>+IF(FINANCIACION[[#This Row],[$ CAPITAL]]&gt;=0,FINANCIACION[[#This Row],[$ CAPITAL]]+FINANCIACION[[#This Row],[$ INTERESES]],"")</f>
        <v/>
      </c>
      <c r="F647" s="113">
        <f>+SUMIFS(FINANCIACION[$ CAPITAL],FINANCIACION[Fecha],"&lt;="&amp;FINANCIACION[[#This Row],[Fecha]],FINANCIACION[PRESTAMO],FINANCIACION[[#This Row],[PRESTAMO]])</f>
        <v>-22440320</v>
      </c>
      <c r="G647" s="113"/>
      <c r="I647" s="119"/>
      <c r="J647" s="113" t="b">
        <f>+IF(FINANCIACION[[#This Row],[$ CAPITAL]]&gt;0,FINANCIACION[[#This Row],[$ CAPITAL]])</f>
        <v>0</v>
      </c>
      <c r="K647" s="120">
        <f>+IF(FINANCIACION[[#This Row],[$ CAPITAL]]&gt;=0,FINANCIACION[[#This Row],[$ CAPITAL]]+FINANCIACION[[#This Row],[$ INTERESES]],0)</f>
        <v>0</v>
      </c>
    </row>
    <row r="648" spans="1:11" ht="24" customHeight="1" x14ac:dyDescent="0.3">
      <c r="A648" s="112">
        <v>44834</v>
      </c>
      <c r="B648" s="118" t="s">
        <v>1399</v>
      </c>
      <c r="C648" s="113">
        <v>1444150</v>
      </c>
      <c r="D648" s="113"/>
      <c r="E648" s="113">
        <f>+IF(FINANCIACION[[#This Row],[$ CAPITAL]]&gt;=0,FINANCIACION[[#This Row],[$ CAPITAL]]+FINANCIACION[[#This Row],[$ INTERESES]],"")</f>
        <v>1444150</v>
      </c>
      <c r="F648" s="113">
        <f>+SUMIFS(FINANCIACION[$ CAPITAL],FINANCIACION[Fecha],"&lt;="&amp;FINANCIACION[[#This Row],[Fecha]],FINANCIACION[PRESTAMO],FINANCIACION[[#This Row],[PRESTAMO]])</f>
        <v>-20996170</v>
      </c>
      <c r="G648" s="113"/>
      <c r="H648" s="119" t="s">
        <v>482</v>
      </c>
      <c r="I648" s="119"/>
      <c r="J648" s="113">
        <f>+IF(FINANCIACION[[#This Row],[$ CAPITAL]]&gt;0,FINANCIACION[[#This Row],[$ CAPITAL]])</f>
        <v>1444150</v>
      </c>
      <c r="K648" s="120">
        <f>+IF(FINANCIACION[[#This Row],[$ CAPITAL]]&gt;=0,FINANCIACION[[#This Row],[$ CAPITAL]]+FINANCIACION[[#This Row],[$ INTERESES]],0)</f>
        <v>1444150</v>
      </c>
    </row>
    <row r="649" spans="1:11" ht="24" customHeight="1" x14ac:dyDescent="0.3">
      <c r="A649" s="112">
        <v>44865</v>
      </c>
      <c r="B649" s="118" t="s">
        <v>1399</v>
      </c>
      <c r="C649" s="113">
        <f>20996170-23005500</f>
        <v>-2009330</v>
      </c>
      <c r="D649" s="113"/>
      <c r="E649" s="113" t="str">
        <f>+IF(FINANCIACION[[#This Row],[$ CAPITAL]]&gt;=0,FINANCIACION[[#This Row],[$ CAPITAL]]+FINANCIACION[[#This Row],[$ INTERESES]],"")</f>
        <v/>
      </c>
      <c r="F649" s="113">
        <f>+SUMIFS(FINANCIACION[$ CAPITAL],FINANCIACION[Fecha],"&lt;="&amp;FINANCIACION[[#This Row],[Fecha]],FINANCIACION[PRESTAMO],FINANCIACION[[#This Row],[PRESTAMO]])</f>
        <v>-23005500</v>
      </c>
      <c r="G649" s="113"/>
      <c r="H649" s="119" t="s">
        <v>504</v>
      </c>
      <c r="I649" s="119"/>
      <c r="J649" s="113" t="b">
        <f>+IF(FINANCIACION[[#This Row],[$ CAPITAL]]&gt;0,FINANCIACION[[#This Row],[$ CAPITAL]])</f>
        <v>0</v>
      </c>
      <c r="K649" s="120">
        <f>+IF(FINANCIACION[[#This Row],[$ CAPITAL]]&gt;=0,FINANCIACION[[#This Row],[$ CAPITAL]]+FINANCIACION[[#This Row],[$ INTERESES]],0)</f>
        <v>0</v>
      </c>
    </row>
    <row r="650" spans="1:11" ht="24" customHeight="1" x14ac:dyDescent="0.3">
      <c r="A650" s="112">
        <v>44926</v>
      </c>
      <c r="B650" s="118" t="s">
        <v>1399</v>
      </c>
      <c r="C650" s="113">
        <v>22192100</v>
      </c>
      <c r="D650" s="113"/>
      <c r="E650" s="113">
        <f>+IF(FINANCIACION[[#This Row],[$ CAPITAL]]&gt;=0,FINANCIACION[[#This Row],[$ CAPITAL]]+FINANCIACION[[#This Row],[$ INTERESES]],"")</f>
        <v>22192100</v>
      </c>
      <c r="F650" s="113">
        <f>+SUMIFS(FINANCIACION[$ CAPITAL],FINANCIACION[Fecha],"&lt;="&amp;FINANCIACION[[#This Row],[Fecha]],FINANCIACION[PRESTAMO],FINANCIACION[[#This Row],[PRESTAMO]])</f>
        <v>-813400</v>
      </c>
      <c r="G650" s="113"/>
      <c r="I650" s="119"/>
      <c r="J650" s="113">
        <f>+IF(FINANCIACION[[#This Row],[$ CAPITAL]]&gt;0,FINANCIACION[[#This Row],[$ CAPITAL]])</f>
        <v>22192100</v>
      </c>
      <c r="K650" s="120">
        <f>+IF(FINANCIACION[[#This Row],[$ CAPITAL]]&gt;=0,FINANCIACION[[#This Row],[$ CAPITAL]]+FINANCIACION[[#This Row],[$ INTERESES]],0)</f>
        <v>22192100</v>
      </c>
    </row>
    <row r="651" spans="1:11" ht="24" customHeight="1" x14ac:dyDescent="0.3">
      <c r="A651" s="112">
        <v>44957</v>
      </c>
      <c r="B651" s="118" t="s">
        <v>1399</v>
      </c>
      <c r="C651" s="113">
        <v>-6645600</v>
      </c>
      <c r="D651" s="113"/>
      <c r="E651" s="113" t="str">
        <f>+IF(FINANCIACION[[#This Row],[$ CAPITAL]]&gt;=0,FINANCIACION[[#This Row],[$ CAPITAL]]+FINANCIACION[[#This Row],[$ INTERESES]],"")</f>
        <v/>
      </c>
      <c r="F651" s="113">
        <f>+SUMIFS(FINANCIACION[$ CAPITAL],FINANCIACION[Fecha],"&lt;="&amp;FINANCIACION[[#This Row],[Fecha]],FINANCIACION[PRESTAMO],FINANCIACION[[#This Row],[PRESTAMO]])</f>
        <v>-7459000</v>
      </c>
      <c r="G651" s="113"/>
      <c r="I651" s="119"/>
      <c r="J651" s="113" t="b">
        <f>+IF(FINANCIACION[[#This Row],[$ CAPITAL]]&gt;0,FINANCIACION[[#This Row],[$ CAPITAL]])</f>
        <v>0</v>
      </c>
      <c r="K651" s="120">
        <f>+IF(FINANCIACION[[#This Row],[$ CAPITAL]]&gt;=0,FINANCIACION[[#This Row],[$ CAPITAL]]+FINANCIACION[[#This Row],[$ INTERESES]],0)</f>
        <v>0</v>
      </c>
    </row>
    <row r="652" spans="1:11" ht="24" customHeight="1" x14ac:dyDescent="0.3">
      <c r="A652" s="112">
        <v>44985</v>
      </c>
      <c r="B652" s="118" t="s">
        <v>1399</v>
      </c>
      <c r="C652" s="113">
        <v>-9419360</v>
      </c>
      <c r="D652" s="113"/>
      <c r="E652" s="113" t="str">
        <f>+IF(FINANCIACION[[#This Row],[$ CAPITAL]]&gt;=0,FINANCIACION[[#This Row],[$ CAPITAL]]+FINANCIACION[[#This Row],[$ INTERESES]],"")</f>
        <v/>
      </c>
      <c r="F652" s="113">
        <f>+SUMIFS(FINANCIACION[$ CAPITAL],FINANCIACION[Fecha],"&lt;="&amp;FINANCIACION[[#This Row],[Fecha]],FINANCIACION[PRESTAMO],FINANCIACION[[#This Row],[PRESTAMO]])</f>
        <v>-16878360</v>
      </c>
      <c r="G652" s="113"/>
      <c r="I652" s="119"/>
      <c r="J652" s="113" t="b">
        <f>+IF(FINANCIACION[[#This Row],[$ CAPITAL]]&gt;0,FINANCIACION[[#This Row],[$ CAPITAL]])</f>
        <v>0</v>
      </c>
      <c r="K652" s="120">
        <f>+IF(FINANCIACION[[#This Row],[$ CAPITAL]]&gt;=0,FINANCIACION[[#This Row],[$ CAPITAL]]+FINANCIACION[[#This Row],[$ INTERESES]],0)</f>
        <v>0</v>
      </c>
    </row>
    <row r="653" spans="1:11" ht="24" customHeight="1" x14ac:dyDescent="0.3">
      <c r="A653" s="112">
        <v>45016</v>
      </c>
      <c r="B653" s="118" t="s">
        <v>1399</v>
      </c>
      <c r="C653" s="113">
        <v>-1447240</v>
      </c>
      <c r="D653" s="113"/>
      <c r="E653" s="113" t="str">
        <f>+IF(FINANCIACION[[#This Row],[$ CAPITAL]]&gt;=0,FINANCIACION[[#This Row],[$ CAPITAL]]+FINANCIACION[[#This Row],[$ INTERESES]],"")</f>
        <v/>
      </c>
      <c r="F653" s="113">
        <f>+SUMIFS(FINANCIACION[$ CAPITAL],FINANCIACION[Fecha],"&lt;="&amp;FINANCIACION[[#This Row],[Fecha]],FINANCIACION[PRESTAMO],FINANCIACION[[#This Row],[PRESTAMO]])</f>
        <v>-18325600</v>
      </c>
      <c r="G653" s="113"/>
      <c r="I653" s="119"/>
      <c r="J653" s="113" t="b">
        <f>+IF(FINANCIACION[[#This Row],[$ CAPITAL]]&gt;0,FINANCIACION[[#This Row],[$ CAPITAL]])</f>
        <v>0</v>
      </c>
      <c r="K653" s="120">
        <f>+IF(FINANCIACION[[#This Row],[$ CAPITAL]]&gt;=0,FINANCIACION[[#This Row],[$ CAPITAL]]+FINANCIACION[[#This Row],[$ INTERESES]],0)</f>
        <v>0</v>
      </c>
    </row>
    <row r="654" spans="1:11" ht="24" customHeight="1" x14ac:dyDescent="0.3">
      <c r="A654" s="112">
        <v>45046</v>
      </c>
      <c r="B654" s="118" t="s">
        <v>1399</v>
      </c>
      <c r="C654" s="113">
        <v>-540500</v>
      </c>
      <c r="D654" s="113"/>
      <c r="E654" s="113" t="str">
        <f>+IF(FINANCIACION[[#This Row],[$ CAPITAL]]&gt;=0,FINANCIACION[[#This Row],[$ CAPITAL]]+FINANCIACION[[#This Row],[$ INTERESES]],"")</f>
        <v/>
      </c>
      <c r="F654" s="113">
        <f>+SUMIFS(FINANCIACION[$ CAPITAL],FINANCIACION[Fecha],"&lt;="&amp;FINANCIACION[[#This Row],[Fecha]],FINANCIACION[PRESTAMO],FINANCIACION[[#This Row],[PRESTAMO]])</f>
        <v>-18866100</v>
      </c>
      <c r="G654" s="113"/>
      <c r="I654" s="119"/>
      <c r="J654" s="113" t="b">
        <f>+IF(FINANCIACION[[#This Row],[$ CAPITAL]]&gt;0,FINANCIACION[[#This Row],[$ CAPITAL]])</f>
        <v>0</v>
      </c>
      <c r="K654" s="120">
        <f>+IF(FINANCIACION[[#This Row],[$ CAPITAL]]&gt;=0,FINANCIACION[[#This Row],[$ CAPITAL]]+FINANCIACION[[#This Row],[$ INTERESES]],0)</f>
        <v>0</v>
      </c>
    </row>
    <row r="655" spans="1:11" ht="24" customHeight="1" x14ac:dyDescent="0.3">
      <c r="A655" s="112">
        <v>45077</v>
      </c>
      <c r="B655" s="118" t="s">
        <v>1399</v>
      </c>
      <c r="C655" s="113">
        <v>-3557140</v>
      </c>
      <c r="D655" s="113"/>
      <c r="E655" s="113" t="str">
        <f>+IF(FINANCIACION[[#This Row],[$ CAPITAL]]&gt;=0,FINANCIACION[[#This Row],[$ CAPITAL]]+FINANCIACION[[#This Row],[$ INTERESES]],"")</f>
        <v/>
      </c>
      <c r="F655" s="113">
        <f>+SUMIFS(FINANCIACION[$ CAPITAL],FINANCIACION[Fecha],"&lt;="&amp;FINANCIACION[[#This Row],[Fecha]],FINANCIACION[PRESTAMO],FINANCIACION[[#This Row],[PRESTAMO]])</f>
        <v>-22423240</v>
      </c>
      <c r="G655" s="113"/>
      <c r="I655" s="119"/>
      <c r="J655" s="113" t="b">
        <f>+IF(FINANCIACION[[#This Row],[$ CAPITAL]]&gt;0,FINANCIACION[[#This Row],[$ CAPITAL]])</f>
        <v>0</v>
      </c>
      <c r="K655" s="120">
        <f>+IF(FINANCIACION[[#This Row],[$ CAPITAL]]&gt;=0,FINANCIACION[[#This Row],[$ CAPITAL]]+FINANCIACION[[#This Row],[$ INTERESES]],0)</f>
        <v>0</v>
      </c>
    </row>
    <row r="656" spans="1:11" ht="24" customHeight="1" x14ac:dyDescent="0.3">
      <c r="A656" s="112">
        <v>45107</v>
      </c>
      <c r="B656" s="118" t="s">
        <v>1399</v>
      </c>
      <c r="C656" s="113">
        <v>629790</v>
      </c>
      <c r="D656" s="113"/>
      <c r="E656" s="113">
        <f>+IF(FINANCIACION[[#This Row],[$ CAPITAL]]&gt;=0,FINANCIACION[[#This Row],[$ CAPITAL]]+FINANCIACION[[#This Row],[$ INTERESES]],"")</f>
        <v>629790</v>
      </c>
      <c r="F656" s="113">
        <f>+SUMIFS(FINANCIACION[$ CAPITAL],FINANCIACION[Fecha],"&lt;="&amp;FINANCIACION[[#This Row],[Fecha]],FINANCIACION[PRESTAMO],FINANCIACION[[#This Row],[PRESTAMO]])</f>
        <v>-21793450</v>
      </c>
      <c r="G656" s="113"/>
      <c r="I656" s="119"/>
      <c r="J656" s="113">
        <f>+IF(FINANCIACION[[#This Row],[$ CAPITAL]]&gt;0,FINANCIACION[[#This Row],[$ CAPITAL]])</f>
        <v>629790</v>
      </c>
      <c r="K656" s="120">
        <f>+IF(FINANCIACION[[#This Row],[$ CAPITAL]]&gt;=0,FINANCIACION[[#This Row],[$ CAPITAL]]+FINANCIACION[[#This Row],[$ INTERESES]],0)</f>
        <v>629790</v>
      </c>
    </row>
    <row r="657" spans="1:11" ht="24" customHeight="1" x14ac:dyDescent="0.3">
      <c r="A657" s="112">
        <v>45138</v>
      </c>
      <c r="B657" s="118" t="s">
        <v>1399</v>
      </c>
      <c r="C657" s="113">
        <v>17952450</v>
      </c>
      <c r="D657" s="113"/>
      <c r="E657" s="113">
        <f>+IF(FINANCIACION[[#This Row],[$ CAPITAL]]&gt;=0,FINANCIACION[[#This Row],[$ CAPITAL]]+FINANCIACION[[#This Row],[$ INTERESES]],"")</f>
        <v>17952450</v>
      </c>
      <c r="F657" s="113">
        <f>+SUMIFS(FINANCIACION[$ CAPITAL],FINANCIACION[Fecha],"&lt;="&amp;FINANCIACION[[#This Row],[Fecha]],FINANCIACION[PRESTAMO],FINANCIACION[[#This Row],[PRESTAMO]])</f>
        <v>-3841000</v>
      </c>
      <c r="G657" s="113"/>
      <c r="I657" s="119"/>
      <c r="J657" s="113">
        <f>+IF(FINANCIACION[[#This Row],[$ CAPITAL]]&gt;0,FINANCIACION[[#This Row],[$ CAPITAL]])</f>
        <v>17952450</v>
      </c>
      <c r="K657" s="120">
        <f>+IF(FINANCIACION[[#This Row],[$ CAPITAL]]&gt;=0,FINANCIACION[[#This Row],[$ CAPITAL]]+FINANCIACION[[#This Row],[$ INTERESES]],0)</f>
        <v>17952450</v>
      </c>
    </row>
    <row r="658" spans="1:11" ht="24" customHeight="1" x14ac:dyDescent="0.3">
      <c r="A658" s="112">
        <v>45169</v>
      </c>
      <c r="B658" s="118" t="s">
        <v>1399</v>
      </c>
      <c r="C658" s="113">
        <v>-8247504</v>
      </c>
      <c r="D658" s="113"/>
      <c r="E658" s="113" t="str">
        <f>+IF(FINANCIACION[[#This Row],[$ CAPITAL]]&gt;=0,FINANCIACION[[#This Row],[$ CAPITAL]]+FINANCIACION[[#This Row],[$ INTERESES]],"")</f>
        <v/>
      </c>
      <c r="F658" s="113">
        <f>+SUMIFS(FINANCIACION[$ CAPITAL],FINANCIACION[Fecha],"&lt;="&amp;FINANCIACION[[#This Row],[Fecha]],FINANCIACION[PRESTAMO],FINANCIACION[[#This Row],[PRESTAMO]])</f>
        <v>-12088504</v>
      </c>
      <c r="G658" s="113"/>
      <c r="I658" s="119"/>
      <c r="J658" s="113" t="b">
        <f>+IF(FINANCIACION[[#This Row],[$ CAPITAL]]&gt;0,FINANCIACION[[#This Row],[$ CAPITAL]])</f>
        <v>0</v>
      </c>
      <c r="K658" s="120">
        <f>+IF(FINANCIACION[[#This Row],[$ CAPITAL]]&gt;=0,FINANCIACION[[#This Row],[$ CAPITAL]]+FINANCIACION[[#This Row],[$ INTERESES]],0)</f>
        <v>0</v>
      </c>
    </row>
    <row r="659" spans="1:11" ht="24" customHeight="1" x14ac:dyDescent="0.3">
      <c r="A659" s="112">
        <v>45199</v>
      </c>
      <c r="B659" s="118" t="s">
        <v>1399</v>
      </c>
      <c r="C659" s="113">
        <v>-5702946</v>
      </c>
      <c r="D659" s="113"/>
      <c r="E659" s="113" t="str">
        <f>+IF(FINANCIACION[[#This Row],[$ CAPITAL]]&gt;=0,FINANCIACION[[#This Row],[$ CAPITAL]]+FINANCIACION[[#This Row],[$ INTERESES]],"")</f>
        <v/>
      </c>
      <c r="F659" s="113">
        <f>+SUMIFS(FINANCIACION[$ CAPITAL],FINANCIACION[Fecha],"&lt;="&amp;FINANCIACION[[#This Row],[Fecha]],FINANCIACION[PRESTAMO],FINANCIACION[[#This Row],[PRESTAMO]])</f>
        <v>-17791450</v>
      </c>
      <c r="G659" s="113"/>
      <c r="I659" s="119"/>
      <c r="J659" s="113" t="b">
        <f>+IF(FINANCIACION[[#This Row],[$ CAPITAL]]&gt;0,FINANCIACION[[#This Row],[$ CAPITAL]])</f>
        <v>0</v>
      </c>
      <c r="K659" s="120">
        <f>+IF(FINANCIACION[[#This Row],[$ CAPITAL]]&gt;=0,FINANCIACION[[#This Row],[$ CAPITAL]]+FINANCIACION[[#This Row],[$ INTERESES]],0)</f>
        <v>0</v>
      </c>
    </row>
    <row r="660" spans="1:11" ht="24" customHeight="1" x14ac:dyDescent="0.3">
      <c r="A660" s="112">
        <v>45230</v>
      </c>
      <c r="B660" s="118" t="s">
        <v>1399</v>
      </c>
      <c r="C660" s="113">
        <v>769950</v>
      </c>
      <c r="D660" s="113"/>
      <c r="E660" s="113">
        <f>+IF(FINANCIACION[[#This Row],[$ CAPITAL]]&gt;=0,FINANCIACION[[#This Row],[$ CAPITAL]]+FINANCIACION[[#This Row],[$ INTERESES]],"")</f>
        <v>769950</v>
      </c>
      <c r="F660" s="113">
        <f>+SUMIFS(FINANCIACION[$ CAPITAL],FINANCIACION[Fecha],"&lt;="&amp;FINANCIACION[[#This Row],[Fecha]],FINANCIACION[PRESTAMO],FINANCIACION[[#This Row],[PRESTAMO]])</f>
        <v>-17021500</v>
      </c>
      <c r="G660" s="113"/>
      <c r="I660" s="119"/>
      <c r="J660" s="113">
        <f>+IF(FINANCIACION[[#This Row],[$ CAPITAL]]&gt;0,FINANCIACION[[#This Row],[$ CAPITAL]])</f>
        <v>769950</v>
      </c>
      <c r="K660" s="120">
        <f>+IF(FINANCIACION[[#This Row],[$ CAPITAL]]&gt;=0,FINANCIACION[[#This Row],[$ CAPITAL]]+FINANCIACION[[#This Row],[$ INTERESES]],0)</f>
        <v>769950</v>
      </c>
    </row>
    <row r="661" spans="1:11" ht="24" customHeight="1" x14ac:dyDescent="0.3">
      <c r="A661" s="112">
        <v>45260</v>
      </c>
      <c r="B661" s="118" t="s">
        <v>1399</v>
      </c>
      <c r="C661" s="113">
        <v>15576000</v>
      </c>
      <c r="D661" s="113"/>
      <c r="E661" s="113">
        <f>+IF(FINANCIACION[[#This Row],[$ CAPITAL]]&gt;=0,FINANCIACION[[#This Row],[$ CAPITAL]]+FINANCIACION[[#This Row],[$ INTERESES]],"")</f>
        <v>15576000</v>
      </c>
      <c r="F661" s="113">
        <f>+SUMIFS(FINANCIACION[$ CAPITAL],FINANCIACION[Fecha],"&lt;="&amp;FINANCIACION[[#This Row],[Fecha]],FINANCIACION[PRESTAMO],FINANCIACION[[#This Row],[PRESTAMO]])</f>
        <v>10603950</v>
      </c>
      <c r="G661" s="113"/>
      <c r="I661" s="119"/>
      <c r="J661" s="113">
        <f>+IF(FINANCIACION[[#This Row],[$ CAPITAL]]&gt;0,FINANCIACION[[#This Row],[$ CAPITAL]])</f>
        <v>15576000</v>
      </c>
      <c r="K661" s="120">
        <f>+IF(FINANCIACION[[#This Row],[$ CAPITAL]]&gt;=0,FINANCIACION[[#This Row],[$ CAPITAL]]+FINANCIACION[[#This Row],[$ INTERESES]],0)</f>
        <v>15576000</v>
      </c>
    </row>
    <row r="662" spans="1:11" ht="24" customHeight="1" x14ac:dyDescent="0.3">
      <c r="A662" s="112">
        <v>45291</v>
      </c>
      <c r="B662" s="118" t="s">
        <v>1399</v>
      </c>
      <c r="C662" s="113">
        <v>-10603950</v>
      </c>
      <c r="D662" s="113"/>
      <c r="E662" s="113" t="str">
        <f>+IF(FINANCIACION[[#This Row],[$ CAPITAL]]&gt;=0,FINANCIACION[[#This Row],[$ CAPITAL]]+FINANCIACION[[#This Row],[$ INTERESES]],"")</f>
        <v/>
      </c>
      <c r="F662" s="113">
        <f>+SUMIFS(FINANCIACION[$ CAPITAL],FINANCIACION[Fecha],"&lt;="&amp;FINANCIACION[[#This Row],[Fecha]],FINANCIACION[PRESTAMO],FINANCIACION[[#This Row],[PRESTAMO]])</f>
        <v>0</v>
      </c>
      <c r="G662" s="113"/>
      <c r="I662" s="119"/>
      <c r="J662" s="113" t="b">
        <f>+IF(FINANCIACION[[#This Row],[$ CAPITAL]]&gt;0,FINANCIACION[[#This Row],[$ CAPITAL]])</f>
        <v>0</v>
      </c>
      <c r="K662" s="120">
        <f>+IF(FINANCIACION[[#This Row],[$ CAPITAL]]&gt;=0,FINANCIACION[[#This Row],[$ CAPITAL]]+FINANCIACION[[#This Row],[$ INTERESES]],0)</f>
        <v>0</v>
      </c>
    </row>
    <row r="663" spans="1:11" ht="24" customHeight="1" x14ac:dyDescent="0.3">
      <c r="A663" s="112">
        <v>44927</v>
      </c>
      <c r="B663" s="118" t="s">
        <v>1401</v>
      </c>
      <c r="C663" s="113">
        <v>442515</v>
      </c>
      <c r="D663" s="113"/>
      <c r="E663" s="113">
        <f>+IF(FINANCIACION[[#This Row],[$ CAPITAL]]&gt;=0,FINANCIACION[[#This Row],[$ CAPITAL]]+FINANCIACION[[#This Row],[$ INTERESES]],"")</f>
        <v>442515</v>
      </c>
      <c r="F663" s="113">
        <f>+SUMIFS(FINANCIACION[$ CAPITAL],FINANCIACION[Fecha],"&lt;="&amp;FINANCIACION[[#This Row],[Fecha]],FINANCIACION[PRESTAMO],FINANCIACION[[#This Row],[PRESTAMO]])</f>
        <v>442515</v>
      </c>
      <c r="G663" s="113"/>
      <c r="H663" s="119" t="s">
        <v>144</v>
      </c>
      <c r="I663" s="119"/>
      <c r="J663" s="113">
        <f>+IF(FINANCIACION[[#This Row],[$ CAPITAL]]&gt;0,FINANCIACION[[#This Row],[$ CAPITAL]])</f>
        <v>442515</v>
      </c>
      <c r="K663" s="120">
        <f>+IF(FINANCIACION[[#This Row],[$ CAPITAL]]&gt;=0,FINANCIACION[[#This Row],[$ CAPITAL]]+FINANCIACION[[#This Row],[$ INTERESES]],0)</f>
        <v>442515</v>
      </c>
    </row>
    <row r="664" spans="1:11" ht="24" customHeight="1" x14ac:dyDescent="0.3">
      <c r="A664" s="112">
        <v>44957</v>
      </c>
      <c r="B664" s="118" t="s">
        <v>1401</v>
      </c>
      <c r="C664" s="113">
        <v>-442515</v>
      </c>
      <c r="D664" s="113"/>
      <c r="E664" s="113" t="str">
        <f>+IF(FINANCIACION[[#This Row],[$ CAPITAL]]&gt;=0,FINANCIACION[[#This Row],[$ CAPITAL]]+FINANCIACION[[#This Row],[$ INTERESES]],"")</f>
        <v/>
      </c>
      <c r="F664" s="113">
        <f>+SUMIFS(FINANCIACION[$ CAPITAL],FINANCIACION[Fecha],"&lt;="&amp;FINANCIACION[[#This Row],[Fecha]],FINANCIACION[PRESTAMO],FINANCIACION[[#This Row],[PRESTAMO]])</f>
        <v>0</v>
      </c>
      <c r="G664" s="113"/>
      <c r="I664" s="119"/>
      <c r="J664" s="113" t="b">
        <f>+IF(FINANCIACION[[#This Row],[$ CAPITAL]]&gt;0,FINANCIACION[[#This Row],[$ CAPITAL]])</f>
        <v>0</v>
      </c>
      <c r="K664" s="120">
        <f>+IF(FINANCIACION[[#This Row],[$ CAPITAL]]&gt;=0,FINANCIACION[[#This Row],[$ CAPITAL]]+FINANCIACION[[#This Row],[$ INTERESES]],0)</f>
        <v>0</v>
      </c>
    </row>
    <row r="665" spans="1:11" ht="24" customHeight="1" x14ac:dyDescent="0.3">
      <c r="A665" s="112">
        <v>44985</v>
      </c>
      <c r="B665" s="118" t="s">
        <v>1401</v>
      </c>
      <c r="C665" s="113">
        <v>982925</v>
      </c>
      <c r="D665" s="113"/>
      <c r="E665" s="113">
        <f>+IF(FINANCIACION[[#This Row],[$ CAPITAL]]&gt;=0,FINANCIACION[[#This Row],[$ CAPITAL]]+FINANCIACION[[#This Row],[$ INTERESES]],"")</f>
        <v>982925</v>
      </c>
      <c r="F665" s="113">
        <f>+SUMIFS(FINANCIACION[$ CAPITAL],FINANCIACION[Fecha],"&lt;="&amp;FINANCIACION[[#This Row],[Fecha]],FINANCIACION[PRESTAMO],FINANCIACION[[#This Row],[PRESTAMO]])</f>
        <v>982925</v>
      </c>
      <c r="G665" s="113"/>
      <c r="I665" s="119"/>
      <c r="J665" s="113">
        <f>+IF(FINANCIACION[[#This Row],[$ CAPITAL]]&gt;0,FINANCIACION[[#This Row],[$ CAPITAL]])</f>
        <v>982925</v>
      </c>
      <c r="K665" s="120">
        <f>+IF(FINANCIACION[[#This Row],[$ CAPITAL]]&gt;=0,FINANCIACION[[#This Row],[$ CAPITAL]]+FINANCIACION[[#This Row],[$ INTERESES]],0)</f>
        <v>982925</v>
      </c>
    </row>
    <row r="666" spans="1:11" ht="24" customHeight="1" x14ac:dyDescent="0.3">
      <c r="A666" s="112">
        <v>45016</v>
      </c>
      <c r="B666" s="118" t="s">
        <v>1401</v>
      </c>
      <c r="C666" s="113">
        <v>-80343</v>
      </c>
      <c r="D666" s="113"/>
      <c r="E666" s="113" t="str">
        <f>+IF(FINANCIACION[[#This Row],[$ CAPITAL]]&gt;=0,FINANCIACION[[#This Row],[$ CAPITAL]]+FINANCIACION[[#This Row],[$ INTERESES]],"")</f>
        <v/>
      </c>
      <c r="F666" s="113">
        <f>+SUMIFS(FINANCIACION[$ CAPITAL],FINANCIACION[Fecha],"&lt;="&amp;FINANCIACION[[#This Row],[Fecha]],FINANCIACION[PRESTAMO],FINANCIACION[[#This Row],[PRESTAMO]])</f>
        <v>902582</v>
      </c>
      <c r="G666" s="113"/>
      <c r="I666" s="119"/>
      <c r="J666" s="113" t="b">
        <f>+IF(FINANCIACION[[#This Row],[$ CAPITAL]]&gt;0,FINANCIACION[[#This Row],[$ CAPITAL]])</f>
        <v>0</v>
      </c>
      <c r="K666" s="120">
        <f>+IF(FINANCIACION[[#This Row],[$ CAPITAL]]&gt;=0,FINANCIACION[[#This Row],[$ CAPITAL]]+FINANCIACION[[#This Row],[$ INTERESES]],0)</f>
        <v>0</v>
      </c>
    </row>
    <row r="667" spans="1:11" ht="24" customHeight="1" x14ac:dyDescent="0.3">
      <c r="A667" s="112">
        <v>45046</v>
      </c>
      <c r="B667" s="118" t="s">
        <v>1401</v>
      </c>
      <c r="C667" s="113">
        <v>2826258</v>
      </c>
      <c r="D667" s="113"/>
      <c r="E667" s="113">
        <f>+IF(FINANCIACION[[#This Row],[$ CAPITAL]]&gt;=0,FINANCIACION[[#This Row],[$ CAPITAL]]+FINANCIACION[[#This Row],[$ INTERESES]],"")</f>
        <v>2826258</v>
      </c>
      <c r="F667" s="113">
        <f>+SUMIFS(FINANCIACION[$ CAPITAL],FINANCIACION[Fecha],"&lt;="&amp;FINANCIACION[[#This Row],[Fecha]],FINANCIACION[PRESTAMO],FINANCIACION[[#This Row],[PRESTAMO]])</f>
        <v>3728840</v>
      </c>
      <c r="G667" s="113"/>
      <c r="I667" s="119"/>
      <c r="J667" s="113">
        <f>+IF(FINANCIACION[[#This Row],[$ CAPITAL]]&gt;0,FINANCIACION[[#This Row],[$ CAPITAL]])</f>
        <v>2826258</v>
      </c>
      <c r="K667" s="120">
        <f>+IF(FINANCIACION[[#This Row],[$ CAPITAL]]&gt;=0,FINANCIACION[[#This Row],[$ CAPITAL]]+FINANCIACION[[#This Row],[$ INTERESES]],0)</f>
        <v>2826258</v>
      </c>
    </row>
    <row r="668" spans="1:11" ht="24" customHeight="1" x14ac:dyDescent="0.3">
      <c r="A668" s="112">
        <v>45077</v>
      </c>
      <c r="B668" s="118" t="s">
        <v>1401</v>
      </c>
      <c r="C668" s="113">
        <v>-4517238</v>
      </c>
      <c r="D668" s="113"/>
      <c r="E668" s="113" t="str">
        <f>+IF(FINANCIACION[[#This Row],[$ CAPITAL]]&gt;=0,FINANCIACION[[#This Row],[$ CAPITAL]]+FINANCIACION[[#This Row],[$ INTERESES]],"")</f>
        <v/>
      </c>
      <c r="F668" s="113">
        <f>+SUMIFS(FINANCIACION[$ CAPITAL],FINANCIACION[Fecha],"&lt;="&amp;FINANCIACION[[#This Row],[Fecha]],FINANCIACION[PRESTAMO],FINANCIACION[[#This Row],[PRESTAMO]])</f>
        <v>-788398</v>
      </c>
      <c r="G668" s="113"/>
      <c r="I668" s="119"/>
      <c r="J668" s="113" t="b">
        <f>+IF(FINANCIACION[[#This Row],[$ CAPITAL]]&gt;0,FINANCIACION[[#This Row],[$ CAPITAL]])</f>
        <v>0</v>
      </c>
      <c r="K668" s="120">
        <f>+IF(FINANCIACION[[#This Row],[$ CAPITAL]]&gt;=0,FINANCIACION[[#This Row],[$ CAPITAL]]+FINANCIACION[[#This Row],[$ INTERESES]],0)</f>
        <v>0</v>
      </c>
    </row>
    <row r="669" spans="1:11" ht="24" customHeight="1" x14ac:dyDescent="0.3">
      <c r="A669" s="112">
        <v>45107</v>
      </c>
      <c r="B669" s="118" t="s">
        <v>1401</v>
      </c>
      <c r="C669" s="113">
        <v>2026596</v>
      </c>
      <c r="D669" s="113"/>
      <c r="E669" s="113">
        <f>+IF(FINANCIACION[[#This Row],[$ CAPITAL]]&gt;=0,FINANCIACION[[#This Row],[$ CAPITAL]]+FINANCIACION[[#This Row],[$ INTERESES]],"")</f>
        <v>2026596</v>
      </c>
      <c r="F669" s="113">
        <f>+SUMIFS(FINANCIACION[$ CAPITAL],FINANCIACION[Fecha],"&lt;="&amp;FINANCIACION[[#This Row],[Fecha]],FINANCIACION[PRESTAMO],FINANCIACION[[#This Row],[PRESTAMO]])</f>
        <v>1238198</v>
      </c>
      <c r="G669" s="113"/>
      <c r="I669" s="119"/>
      <c r="J669" s="113">
        <f>+IF(FINANCIACION[[#This Row],[$ CAPITAL]]&gt;0,FINANCIACION[[#This Row],[$ CAPITAL]])</f>
        <v>2026596</v>
      </c>
      <c r="K669" s="120">
        <f>+IF(FINANCIACION[[#This Row],[$ CAPITAL]]&gt;=0,FINANCIACION[[#This Row],[$ CAPITAL]]+FINANCIACION[[#This Row],[$ INTERESES]],0)</f>
        <v>2026596</v>
      </c>
    </row>
    <row r="670" spans="1:11" ht="24" customHeight="1" x14ac:dyDescent="0.3">
      <c r="A670" s="112">
        <v>45138</v>
      </c>
      <c r="B670" s="118" t="s">
        <v>1401</v>
      </c>
      <c r="C670" s="113">
        <v>373808</v>
      </c>
      <c r="D670" s="113"/>
      <c r="E670" s="113">
        <f>+IF(FINANCIACION[[#This Row],[$ CAPITAL]]&gt;=0,FINANCIACION[[#This Row],[$ CAPITAL]]+FINANCIACION[[#This Row],[$ INTERESES]],"")</f>
        <v>373808</v>
      </c>
      <c r="F670" s="113">
        <f>+SUMIFS(FINANCIACION[$ CAPITAL],FINANCIACION[Fecha],"&lt;="&amp;FINANCIACION[[#This Row],[Fecha]],FINANCIACION[PRESTAMO],FINANCIACION[[#This Row],[PRESTAMO]])</f>
        <v>1612006</v>
      </c>
      <c r="G670" s="113"/>
      <c r="I670" s="119"/>
      <c r="J670" s="113">
        <f>+IF(FINANCIACION[[#This Row],[$ CAPITAL]]&gt;0,FINANCIACION[[#This Row],[$ CAPITAL]])</f>
        <v>373808</v>
      </c>
      <c r="K670" s="120">
        <f>+IF(FINANCIACION[[#This Row],[$ CAPITAL]]&gt;=0,FINANCIACION[[#This Row],[$ CAPITAL]]+FINANCIACION[[#This Row],[$ INTERESES]],0)</f>
        <v>373808</v>
      </c>
    </row>
    <row r="671" spans="1:11" ht="24" customHeight="1" x14ac:dyDescent="0.3">
      <c r="A671" s="112">
        <v>45169</v>
      </c>
      <c r="B671" s="118" t="s">
        <v>1401</v>
      </c>
      <c r="C671" s="113">
        <v>2206994</v>
      </c>
      <c r="D671" s="113"/>
      <c r="E671" s="113">
        <f>+IF(FINANCIACION[[#This Row],[$ CAPITAL]]&gt;=0,FINANCIACION[[#This Row],[$ CAPITAL]]+FINANCIACION[[#This Row],[$ INTERESES]],"")</f>
        <v>2206994</v>
      </c>
      <c r="F671" s="113">
        <f>+SUMIFS(FINANCIACION[$ CAPITAL],FINANCIACION[Fecha],"&lt;="&amp;FINANCIACION[[#This Row],[Fecha]],FINANCIACION[PRESTAMO],FINANCIACION[[#This Row],[PRESTAMO]])</f>
        <v>3819000</v>
      </c>
      <c r="G671" s="113"/>
      <c r="I671" s="119"/>
      <c r="J671" s="113">
        <f>+IF(FINANCIACION[[#This Row],[$ CAPITAL]]&gt;0,FINANCIACION[[#This Row],[$ CAPITAL]])</f>
        <v>2206994</v>
      </c>
      <c r="K671" s="120">
        <f>+IF(FINANCIACION[[#This Row],[$ CAPITAL]]&gt;=0,FINANCIACION[[#This Row],[$ CAPITAL]]+FINANCIACION[[#This Row],[$ INTERESES]],0)</f>
        <v>2206994</v>
      </c>
    </row>
    <row r="672" spans="1:11" ht="24" customHeight="1" x14ac:dyDescent="0.3">
      <c r="A672" s="112">
        <v>45199</v>
      </c>
      <c r="B672" s="118" t="s">
        <v>1401</v>
      </c>
      <c r="C672" s="113">
        <v>-2662251</v>
      </c>
      <c r="D672" s="113"/>
      <c r="E672" s="113" t="str">
        <f>+IF(FINANCIACION[[#This Row],[$ CAPITAL]]&gt;=0,FINANCIACION[[#This Row],[$ CAPITAL]]+FINANCIACION[[#This Row],[$ INTERESES]],"")</f>
        <v/>
      </c>
      <c r="F672" s="113">
        <f>+SUMIFS(FINANCIACION[$ CAPITAL],FINANCIACION[Fecha],"&lt;="&amp;FINANCIACION[[#This Row],[Fecha]],FINANCIACION[PRESTAMO],FINANCIACION[[#This Row],[PRESTAMO]])</f>
        <v>1156749</v>
      </c>
      <c r="G672" s="113"/>
      <c r="I672" s="119"/>
      <c r="J672" s="113" t="b">
        <f>+IF(FINANCIACION[[#This Row],[$ CAPITAL]]&gt;0,FINANCIACION[[#This Row],[$ CAPITAL]])</f>
        <v>0</v>
      </c>
      <c r="K672" s="120">
        <f>+IF(FINANCIACION[[#This Row],[$ CAPITAL]]&gt;=0,FINANCIACION[[#This Row],[$ CAPITAL]]+FINANCIACION[[#This Row],[$ INTERESES]],0)</f>
        <v>0</v>
      </c>
    </row>
    <row r="673" spans="1:11" ht="24" customHeight="1" x14ac:dyDescent="0.3">
      <c r="A673" s="112">
        <v>45230</v>
      </c>
      <c r="B673" s="118" t="s">
        <v>1401</v>
      </c>
      <c r="C673" s="113">
        <v>895339</v>
      </c>
      <c r="D673" s="113"/>
      <c r="E673" s="113">
        <f>+IF(FINANCIACION[[#This Row],[$ CAPITAL]]&gt;=0,FINANCIACION[[#This Row],[$ CAPITAL]]+FINANCIACION[[#This Row],[$ INTERESES]],"")</f>
        <v>895339</v>
      </c>
      <c r="F673" s="113">
        <f>+SUMIFS(FINANCIACION[$ CAPITAL],FINANCIACION[Fecha],"&lt;="&amp;FINANCIACION[[#This Row],[Fecha]],FINANCIACION[PRESTAMO],FINANCIACION[[#This Row],[PRESTAMO]])</f>
        <v>2052088</v>
      </c>
      <c r="G673" s="113"/>
      <c r="I673" s="119"/>
      <c r="J673" s="113">
        <f>+IF(FINANCIACION[[#This Row],[$ CAPITAL]]&gt;0,FINANCIACION[[#This Row],[$ CAPITAL]])</f>
        <v>895339</v>
      </c>
      <c r="K673" s="120">
        <f>+IF(FINANCIACION[[#This Row],[$ CAPITAL]]&gt;=0,FINANCIACION[[#This Row],[$ CAPITAL]]+FINANCIACION[[#This Row],[$ INTERESES]],0)</f>
        <v>895339</v>
      </c>
    </row>
    <row r="674" spans="1:11" ht="24" customHeight="1" x14ac:dyDescent="0.3">
      <c r="A674" s="112">
        <v>45260</v>
      </c>
      <c r="B674" s="118" t="s">
        <v>1401</v>
      </c>
      <c r="C674" s="113">
        <v>-2165488</v>
      </c>
      <c r="D674" s="113"/>
      <c r="E674" s="113" t="str">
        <f>+IF(FINANCIACION[[#This Row],[$ CAPITAL]]&gt;=0,FINANCIACION[[#This Row],[$ CAPITAL]]+FINANCIACION[[#This Row],[$ INTERESES]],"")</f>
        <v/>
      </c>
      <c r="F674" s="113">
        <f>+SUMIFS(FINANCIACION[$ CAPITAL],FINANCIACION[Fecha],"&lt;="&amp;FINANCIACION[[#This Row],[Fecha]],FINANCIACION[PRESTAMO],FINANCIACION[[#This Row],[PRESTAMO]])</f>
        <v>-3932437</v>
      </c>
      <c r="G674" s="113"/>
      <c r="I674" s="119"/>
      <c r="J674" s="113" t="b">
        <f>+IF(FINANCIACION[[#This Row],[$ CAPITAL]]&gt;0,FINANCIACION[[#This Row],[$ CAPITAL]])</f>
        <v>0</v>
      </c>
      <c r="K674" s="120">
        <f>+IF(FINANCIACION[[#This Row],[$ CAPITAL]]&gt;=0,FINANCIACION[[#This Row],[$ CAPITAL]]+FINANCIACION[[#This Row],[$ INTERESES]],0)</f>
        <v>0</v>
      </c>
    </row>
    <row r="675" spans="1:11" ht="24" customHeight="1" x14ac:dyDescent="0.3">
      <c r="A675" s="112">
        <v>45291</v>
      </c>
      <c r="B675" s="118" t="s">
        <v>1401</v>
      </c>
      <c r="C675" s="113">
        <v>3816487</v>
      </c>
      <c r="D675" s="113"/>
      <c r="E675" s="113">
        <f>+IF(FINANCIACION[[#This Row],[$ CAPITAL]]&gt;=0,FINANCIACION[[#This Row],[$ CAPITAL]]+FINANCIACION[[#This Row],[$ INTERESES]],"")</f>
        <v>3816487</v>
      </c>
      <c r="F675" s="113">
        <f>+SUMIFS(FINANCIACION[$ CAPITAL],FINANCIACION[Fecha],"&lt;="&amp;FINANCIACION[[#This Row],[Fecha]],FINANCIACION[PRESTAMO],FINANCIACION[[#This Row],[PRESTAMO]])</f>
        <v>-115950</v>
      </c>
      <c r="G675" s="113"/>
      <c r="I675" s="119"/>
      <c r="J675" s="113">
        <f>+IF(FINANCIACION[[#This Row],[$ CAPITAL]]&gt;0,FINANCIACION[[#This Row],[$ CAPITAL]])</f>
        <v>3816487</v>
      </c>
      <c r="K675" s="120">
        <f>+IF(FINANCIACION[[#This Row],[$ CAPITAL]]&gt;=0,FINANCIACION[[#This Row],[$ CAPITAL]]+FINANCIACION[[#This Row],[$ INTERESES]],0)</f>
        <v>3816487</v>
      </c>
    </row>
    <row r="676" spans="1:11" ht="24" customHeight="1" x14ac:dyDescent="0.3">
      <c r="A676" s="112">
        <v>44927</v>
      </c>
      <c r="B676" s="118" t="s">
        <v>1400</v>
      </c>
      <c r="C676" s="113">
        <f>10016677-14662059</f>
        <v>-4645382</v>
      </c>
      <c r="D676" s="114"/>
      <c r="E676" s="113" t="str">
        <f>+IF(FINANCIACION[[#This Row],[$ CAPITAL]]&gt;=0,FINANCIACION[[#This Row],[$ CAPITAL]]+FINANCIACION[[#This Row],[$ INTERESES]],"")</f>
        <v/>
      </c>
      <c r="F676" s="113">
        <f>+SUMIFS(FINANCIACION[$ CAPITAL],FINANCIACION[Fecha],"&lt;="&amp;FINANCIACION[[#This Row],[Fecha]],FINANCIACION[PRESTAMO],FINANCIACION[[#This Row],[PRESTAMO]])</f>
        <v>-4645382</v>
      </c>
      <c r="G676" s="103"/>
      <c r="H676" s="117" t="s">
        <v>144</v>
      </c>
      <c r="I676" s="115"/>
      <c r="J676" s="126" t="b">
        <f>+IF(FINANCIACION[[#This Row],[$ CAPITAL]]&gt;0,FINANCIACION[[#This Row],[$ CAPITAL]])</f>
        <v>0</v>
      </c>
      <c r="K676" s="127">
        <f>+IF(FINANCIACION[[#This Row],[$ CAPITAL]]&gt;=0,FINANCIACION[[#This Row],[$ CAPITAL]]+FINANCIACION[[#This Row],[$ INTERESES]],0)</f>
        <v>0</v>
      </c>
    </row>
    <row r="677" spans="1:11" ht="24" customHeight="1" x14ac:dyDescent="0.3">
      <c r="A677" s="112">
        <v>44957</v>
      </c>
      <c r="B677" s="118" t="s">
        <v>1400</v>
      </c>
      <c r="C677" s="113">
        <v>-10016677</v>
      </c>
      <c r="D677" s="113"/>
      <c r="E677" s="113" t="str">
        <f>+IF(FINANCIACION[[#This Row],[$ CAPITAL]]&gt;=0,FINANCIACION[[#This Row],[$ CAPITAL]]+FINANCIACION[[#This Row],[$ INTERESES]],"")</f>
        <v/>
      </c>
      <c r="F677" s="113">
        <f>+SUMIFS(FINANCIACION[$ CAPITAL],FINANCIACION[Fecha],"&lt;="&amp;FINANCIACION[[#This Row],[Fecha]],FINANCIACION[PRESTAMO],FINANCIACION[[#This Row],[PRESTAMO]])</f>
        <v>-14662059</v>
      </c>
      <c r="G677" s="103"/>
      <c r="I677" s="119"/>
      <c r="J677" s="113" t="b">
        <f>+IF(FINANCIACION[[#This Row],[$ CAPITAL]]&gt;0,FINANCIACION[[#This Row],[$ CAPITAL]])</f>
        <v>0</v>
      </c>
      <c r="K677" s="120">
        <f>+IF(FINANCIACION[[#This Row],[$ CAPITAL]]&gt;=0,FINANCIACION[[#This Row],[$ CAPITAL]]+FINANCIACION[[#This Row],[$ INTERESES]],0)</f>
        <v>0</v>
      </c>
    </row>
    <row r="678" spans="1:11" ht="24" customHeight="1" x14ac:dyDescent="0.3">
      <c r="A678" s="112">
        <v>44985</v>
      </c>
      <c r="B678" s="118" t="s">
        <v>1400</v>
      </c>
      <c r="C678" s="113">
        <v>7555577</v>
      </c>
      <c r="D678" s="113"/>
      <c r="E678" s="113">
        <f>+IF(FINANCIACION[[#This Row],[$ CAPITAL]]&gt;=0,FINANCIACION[[#This Row],[$ CAPITAL]]+FINANCIACION[[#This Row],[$ INTERESES]],"")</f>
        <v>7555577</v>
      </c>
      <c r="F678" s="113">
        <f>+SUMIFS(FINANCIACION[$ CAPITAL],FINANCIACION[Fecha],"&lt;="&amp;FINANCIACION[[#This Row],[Fecha]],FINANCIACION[PRESTAMO],FINANCIACION[[#This Row],[PRESTAMO]])</f>
        <v>-7106482</v>
      </c>
      <c r="G678" s="103"/>
      <c r="I678" s="119"/>
      <c r="J678" s="113">
        <f>+IF(FINANCIACION[[#This Row],[$ CAPITAL]]&gt;0,FINANCIACION[[#This Row],[$ CAPITAL]])</f>
        <v>7555577</v>
      </c>
      <c r="K678" s="120">
        <f>+IF(FINANCIACION[[#This Row],[$ CAPITAL]]&gt;=0,FINANCIACION[[#This Row],[$ CAPITAL]]+FINANCIACION[[#This Row],[$ INTERESES]],0)</f>
        <v>7555577</v>
      </c>
    </row>
    <row r="679" spans="1:11" ht="24" customHeight="1" x14ac:dyDescent="0.3">
      <c r="A679" s="112">
        <v>45016</v>
      </c>
      <c r="B679" s="118" t="s">
        <v>1400</v>
      </c>
      <c r="C679" s="113">
        <v>-9795454</v>
      </c>
      <c r="D679" s="113"/>
      <c r="E679" s="113" t="str">
        <f>+IF(FINANCIACION[[#This Row],[$ CAPITAL]]&gt;=0,FINANCIACION[[#This Row],[$ CAPITAL]]+FINANCIACION[[#This Row],[$ INTERESES]],"")</f>
        <v/>
      </c>
      <c r="F679" s="113">
        <f>+SUMIFS(FINANCIACION[$ CAPITAL],FINANCIACION[Fecha],"&lt;="&amp;FINANCIACION[[#This Row],[Fecha]],FINANCIACION[PRESTAMO],FINANCIACION[[#This Row],[PRESTAMO]])</f>
        <v>-16901936</v>
      </c>
      <c r="G679" s="103"/>
      <c r="I679" s="119"/>
      <c r="J679" s="113" t="b">
        <f>+IF(FINANCIACION[[#This Row],[$ CAPITAL]]&gt;0,FINANCIACION[[#This Row],[$ CAPITAL]])</f>
        <v>0</v>
      </c>
      <c r="K679" s="120">
        <f>+IF(FINANCIACION[[#This Row],[$ CAPITAL]]&gt;=0,FINANCIACION[[#This Row],[$ CAPITAL]]+FINANCIACION[[#This Row],[$ INTERESES]],0)</f>
        <v>0</v>
      </c>
    </row>
    <row r="680" spans="1:11" ht="24" customHeight="1" x14ac:dyDescent="0.3">
      <c r="A680" s="112">
        <v>45046</v>
      </c>
      <c r="B680" s="118" t="s">
        <v>1400</v>
      </c>
      <c r="C680" s="113">
        <v>-2011168</v>
      </c>
      <c r="D680" s="113"/>
      <c r="E680" s="113" t="str">
        <f>+IF(FINANCIACION[[#This Row],[$ CAPITAL]]&gt;=0,FINANCIACION[[#This Row],[$ CAPITAL]]+FINANCIACION[[#This Row],[$ INTERESES]],"")</f>
        <v/>
      </c>
      <c r="F680" s="113">
        <f>+SUMIFS(FINANCIACION[$ CAPITAL],FINANCIACION[Fecha],"&lt;="&amp;FINANCIACION[[#This Row],[Fecha]],FINANCIACION[PRESTAMO],FINANCIACION[[#This Row],[PRESTAMO]])</f>
        <v>-18913104</v>
      </c>
      <c r="G680" s="103"/>
      <c r="I680" s="119"/>
      <c r="J680" s="113" t="b">
        <f>+IF(FINANCIACION[[#This Row],[$ CAPITAL]]&gt;0,FINANCIACION[[#This Row],[$ CAPITAL]])</f>
        <v>0</v>
      </c>
      <c r="K680" s="120">
        <f>+IF(FINANCIACION[[#This Row],[$ CAPITAL]]&gt;=0,FINANCIACION[[#This Row],[$ CAPITAL]]+FINANCIACION[[#This Row],[$ INTERESES]],0)</f>
        <v>0</v>
      </c>
    </row>
    <row r="681" spans="1:11" ht="24" customHeight="1" x14ac:dyDescent="0.3">
      <c r="A681" s="112">
        <v>45077</v>
      </c>
      <c r="B681" s="118" t="s">
        <v>1400</v>
      </c>
      <c r="C681" s="113">
        <v>-446369</v>
      </c>
      <c r="D681" s="113"/>
      <c r="E681" s="113" t="str">
        <f>+IF(FINANCIACION[[#This Row],[$ CAPITAL]]&gt;=0,FINANCIACION[[#This Row],[$ CAPITAL]]+FINANCIACION[[#This Row],[$ INTERESES]],"")</f>
        <v/>
      </c>
      <c r="F681" s="113">
        <f>+SUMIFS(FINANCIACION[$ CAPITAL],FINANCIACION[Fecha],"&lt;="&amp;FINANCIACION[[#This Row],[Fecha]],FINANCIACION[PRESTAMO],FINANCIACION[[#This Row],[PRESTAMO]])</f>
        <v>-19359473</v>
      </c>
      <c r="G681" s="103"/>
      <c r="I681" s="119"/>
      <c r="J681" s="113" t="b">
        <f>+IF(FINANCIACION[[#This Row],[$ CAPITAL]]&gt;0,FINANCIACION[[#This Row],[$ CAPITAL]])</f>
        <v>0</v>
      </c>
      <c r="K681" s="120">
        <f>+IF(FINANCIACION[[#This Row],[$ CAPITAL]]&gt;=0,FINANCIACION[[#This Row],[$ CAPITAL]]+FINANCIACION[[#This Row],[$ INTERESES]],0)</f>
        <v>0</v>
      </c>
    </row>
    <row r="682" spans="1:11" ht="24" customHeight="1" x14ac:dyDescent="0.3">
      <c r="A682" s="112">
        <v>45107</v>
      </c>
      <c r="B682" s="118" t="s">
        <v>1400</v>
      </c>
      <c r="C682" s="113">
        <v>-862409</v>
      </c>
      <c r="D682" s="113"/>
      <c r="E682" s="113" t="str">
        <f>+IF(FINANCIACION[[#This Row],[$ CAPITAL]]&gt;=0,FINANCIACION[[#This Row],[$ CAPITAL]]+FINANCIACION[[#This Row],[$ INTERESES]],"")</f>
        <v/>
      </c>
      <c r="F682" s="113">
        <f>+SUMIFS(FINANCIACION[$ CAPITAL],FINANCIACION[Fecha],"&lt;="&amp;FINANCIACION[[#This Row],[Fecha]],FINANCIACION[PRESTAMO],FINANCIACION[[#This Row],[PRESTAMO]])</f>
        <v>-20221882</v>
      </c>
      <c r="G682" s="103"/>
      <c r="I682" s="119"/>
      <c r="J682" s="113" t="b">
        <f>+IF(FINANCIACION[[#This Row],[$ CAPITAL]]&gt;0,FINANCIACION[[#This Row],[$ CAPITAL]])</f>
        <v>0</v>
      </c>
      <c r="K682" s="120">
        <f>+IF(FINANCIACION[[#This Row],[$ CAPITAL]]&gt;=0,FINANCIACION[[#This Row],[$ CAPITAL]]+FINANCIACION[[#This Row],[$ INTERESES]],0)</f>
        <v>0</v>
      </c>
    </row>
    <row r="683" spans="1:11" ht="24" customHeight="1" x14ac:dyDescent="0.3">
      <c r="A683" s="112">
        <v>45138</v>
      </c>
      <c r="B683" s="118" t="s">
        <v>1400</v>
      </c>
      <c r="C683" s="113">
        <v>-306722</v>
      </c>
      <c r="D683" s="113"/>
      <c r="E683" s="113" t="str">
        <f>+IF(FINANCIACION[[#This Row],[$ CAPITAL]]&gt;=0,FINANCIACION[[#This Row],[$ CAPITAL]]+FINANCIACION[[#This Row],[$ INTERESES]],"")</f>
        <v/>
      </c>
      <c r="F683" s="113">
        <f>+SUMIFS(FINANCIACION[$ CAPITAL],FINANCIACION[Fecha],"&lt;="&amp;FINANCIACION[[#This Row],[Fecha]],FINANCIACION[PRESTAMO],FINANCIACION[[#This Row],[PRESTAMO]])</f>
        <v>-20528604</v>
      </c>
      <c r="G683" s="103"/>
      <c r="I683" s="119"/>
      <c r="J683" s="113" t="b">
        <f>+IF(FINANCIACION[[#This Row],[$ CAPITAL]]&gt;0,FINANCIACION[[#This Row],[$ CAPITAL]])</f>
        <v>0</v>
      </c>
      <c r="K683" s="120">
        <f>+IF(FINANCIACION[[#This Row],[$ CAPITAL]]&gt;=0,FINANCIACION[[#This Row],[$ CAPITAL]]+FINANCIACION[[#This Row],[$ INTERESES]],0)</f>
        <v>0</v>
      </c>
    </row>
    <row r="684" spans="1:11" ht="24" customHeight="1" x14ac:dyDescent="0.3">
      <c r="A684" s="112">
        <v>45169</v>
      </c>
      <c r="B684" s="118" t="s">
        <v>1400</v>
      </c>
      <c r="C684" s="113">
        <v>8669196</v>
      </c>
      <c r="D684" s="113"/>
      <c r="E684" s="113">
        <f>+IF(FINANCIACION[[#This Row],[$ CAPITAL]]&gt;=0,FINANCIACION[[#This Row],[$ CAPITAL]]+FINANCIACION[[#This Row],[$ INTERESES]],"")</f>
        <v>8669196</v>
      </c>
      <c r="F684" s="113">
        <f>+SUMIFS(FINANCIACION[$ CAPITAL],FINANCIACION[Fecha],"&lt;="&amp;FINANCIACION[[#This Row],[Fecha]],FINANCIACION[PRESTAMO],FINANCIACION[[#This Row],[PRESTAMO]])</f>
        <v>-11859408</v>
      </c>
      <c r="G684" s="103"/>
      <c r="I684" s="119"/>
      <c r="J684" s="113">
        <f>+IF(FINANCIACION[[#This Row],[$ CAPITAL]]&gt;0,FINANCIACION[[#This Row],[$ CAPITAL]])</f>
        <v>8669196</v>
      </c>
      <c r="K684" s="120">
        <f>+IF(FINANCIACION[[#This Row],[$ CAPITAL]]&gt;=0,FINANCIACION[[#This Row],[$ CAPITAL]]+FINANCIACION[[#This Row],[$ INTERESES]],0)</f>
        <v>8669196</v>
      </c>
    </row>
    <row r="685" spans="1:11" ht="24" customHeight="1" x14ac:dyDescent="0.3">
      <c r="A685" s="112">
        <v>45199</v>
      </c>
      <c r="B685" s="118" t="s">
        <v>1400</v>
      </c>
      <c r="C685" s="113">
        <v>25180</v>
      </c>
      <c r="D685" s="113"/>
      <c r="E685" s="113">
        <f>+IF(FINANCIACION[[#This Row],[$ CAPITAL]]&gt;=0,FINANCIACION[[#This Row],[$ CAPITAL]]+FINANCIACION[[#This Row],[$ INTERESES]],"")</f>
        <v>25180</v>
      </c>
      <c r="F685" s="113">
        <f>+SUMIFS(FINANCIACION[$ CAPITAL],FINANCIACION[Fecha],"&lt;="&amp;FINANCIACION[[#This Row],[Fecha]],FINANCIACION[PRESTAMO],FINANCIACION[[#This Row],[PRESTAMO]])</f>
        <v>-11834228</v>
      </c>
      <c r="G685" s="103"/>
      <c r="I685" s="119"/>
      <c r="J685" s="113">
        <f>+IF(FINANCIACION[[#This Row],[$ CAPITAL]]&gt;0,FINANCIACION[[#This Row],[$ CAPITAL]])</f>
        <v>25180</v>
      </c>
      <c r="K685" s="120">
        <f>+IF(FINANCIACION[[#This Row],[$ CAPITAL]]&gt;=0,FINANCIACION[[#This Row],[$ CAPITAL]]+FINANCIACION[[#This Row],[$ INTERESES]],0)</f>
        <v>25180</v>
      </c>
    </row>
    <row r="686" spans="1:11" ht="24" customHeight="1" x14ac:dyDescent="0.3">
      <c r="A686" s="112">
        <v>45230</v>
      </c>
      <c r="B686" s="118" t="s">
        <v>1400</v>
      </c>
      <c r="C686" s="113">
        <v>-3423159</v>
      </c>
      <c r="D686" s="113"/>
      <c r="E686" s="113" t="str">
        <f>+IF(FINANCIACION[[#This Row],[$ CAPITAL]]&gt;=0,FINANCIACION[[#This Row],[$ CAPITAL]]+FINANCIACION[[#This Row],[$ INTERESES]],"")</f>
        <v/>
      </c>
      <c r="F686" s="113">
        <f>+SUMIFS(FINANCIACION[$ CAPITAL],FINANCIACION[Fecha],"&lt;="&amp;FINANCIACION[[#This Row],[Fecha]],FINANCIACION[PRESTAMO],FINANCIACION[[#This Row],[PRESTAMO]])</f>
        <v>-15257387</v>
      </c>
      <c r="G686" s="103"/>
      <c r="I686" s="119"/>
      <c r="J686" s="113" t="b">
        <f>+IF(FINANCIACION[[#This Row],[$ CAPITAL]]&gt;0,FINANCIACION[[#This Row],[$ CAPITAL]])</f>
        <v>0</v>
      </c>
      <c r="K686" s="120">
        <f>+IF(FINANCIACION[[#This Row],[$ CAPITAL]]&gt;=0,FINANCIACION[[#This Row],[$ CAPITAL]]+FINANCIACION[[#This Row],[$ INTERESES]],0)</f>
        <v>0</v>
      </c>
    </row>
    <row r="687" spans="1:11" ht="24" customHeight="1" x14ac:dyDescent="0.3">
      <c r="A687" s="112">
        <v>45260</v>
      </c>
      <c r="B687" s="118" t="s">
        <v>1400</v>
      </c>
      <c r="C687" s="113">
        <v>9815942</v>
      </c>
      <c r="D687" s="113"/>
      <c r="E687" s="113">
        <f>+IF(FINANCIACION[[#This Row],[$ CAPITAL]]&gt;=0,FINANCIACION[[#This Row],[$ CAPITAL]]+FINANCIACION[[#This Row],[$ INTERESES]],"")</f>
        <v>9815942</v>
      </c>
      <c r="F687" s="113">
        <f>+SUMIFS(FINANCIACION[$ CAPITAL],FINANCIACION[Fecha],"&lt;="&amp;FINANCIACION[[#This Row],[Fecha]],FINANCIACION[PRESTAMO],FINANCIACION[[#This Row],[PRESTAMO]])</f>
        <v>-17361280</v>
      </c>
      <c r="G687" s="103"/>
      <c r="I687" s="119"/>
      <c r="J687" s="113">
        <f>+IF(FINANCIACION[[#This Row],[$ CAPITAL]]&gt;0,FINANCIACION[[#This Row],[$ CAPITAL]])</f>
        <v>9815942</v>
      </c>
      <c r="K687" s="120">
        <f>+IF(FINANCIACION[[#This Row],[$ CAPITAL]]&gt;=0,FINANCIACION[[#This Row],[$ CAPITAL]]+FINANCIACION[[#This Row],[$ INTERESES]],0)</f>
        <v>9815942</v>
      </c>
    </row>
    <row r="688" spans="1:11" ht="24" customHeight="1" x14ac:dyDescent="0.3">
      <c r="A688" s="112">
        <v>45291</v>
      </c>
      <c r="B688" s="118" t="s">
        <v>1400</v>
      </c>
      <c r="C688" s="113">
        <v>-2595310</v>
      </c>
      <c r="D688" s="113"/>
      <c r="E688" s="113" t="str">
        <f>+IF(FINANCIACION[[#This Row],[$ CAPITAL]]&gt;=0,FINANCIACION[[#This Row],[$ CAPITAL]]+FINANCIACION[[#This Row],[$ INTERESES]],"")</f>
        <v/>
      </c>
      <c r="F688" s="113">
        <f>+SUMIFS(FINANCIACION[$ CAPITAL],FINANCIACION[Fecha],"&lt;="&amp;FINANCIACION[[#This Row],[Fecha]],FINANCIACION[PRESTAMO],FINANCIACION[[#This Row],[PRESTAMO]])</f>
        <v>-19956590</v>
      </c>
      <c r="G688" s="103"/>
      <c r="I688" s="119"/>
      <c r="J688" s="113" t="b">
        <f>+IF(FINANCIACION[[#This Row],[$ CAPITAL]]&gt;0,FINANCIACION[[#This Row],[$ CAPITAL]])</f>
        <v>0</v>
      </c>
      <c r="K688" s="120">
        <f>+IF(FINANCIACION[[#This Row],[$ CAPITAL]]&gt;=0,FINANCIACION[[#This Row],[$ CAPITAL]]+FINANCIACION[[#This Row],[$ INTERESES]],0)</f>
        <v>0</v>
      </c>
    </row>
    <row r="689" spans="1:11" ht="24" customHeight="1" x14ac:dyDescent="0.3">
      <c r="A689" s="112">
        <v>45293</v>
      </c>
      <c r="B689" s="118" t="s">
        <v>1431</v>
      </c>
      <c r="C689" s="113">
        <f>5873600-4405200</f>
        <v>1468400</v>
      </c>
      <c r="D689" s="113">
        <v>107809</v>
      </c>
      <c r="E689" s="113">
        <f>+IF(FINANCIACION[[#This Row],[$ CAPITAL]]&gt;=0,FINANCIACION[[#This Row],[$ CAPITAL]]+FINANCIACION[[#This Row],[$ INTERESES]],"")</f>
        <v>1576209</v>
      </c>
      <c r="F689" s="113">
        <f>+SUMIFS(FINANCIACION[$ CAPITAL],FINANCIACION[Fecha],"&lt;="&amp;FINANCIACION[[#This Row],[Fecha]],FINANCIACION[PRESTAMO],FINANCIACION[[#This Row],[PRESTAMO]])</f>
        <v>-4405200</v>
      </c>
      <c r="G689" s="103"/>
      <c r="I689" s="119"/>
      <c r="J689" s="113">
        <f>+IF(FINANCIACION[[#This Row],[$ CAPITAL]]&gt;0,FINANCIACION[[#This Row],[$ CAPITAL]])</f>
        <v>1468400</v>
      </c>
      <c r="K689" s="120">
        <f>+IF(FINANCIACION[[#This Row],[$ CAPITAL]]&gt;=0,FINANCIACION[[#This Row],[$ CAPITAL]]+FINANCIACION[[#This Row],[$ INTERESES]],0)</f>
        <v>1576209</v>
      </c>
    </row>
    <row r="690" spans="1:11" ht="24" customHeight="1" x14ac:dyDescent="0.3">
      <c r="A690" s="112">
        <v>45322</v>
      </c>
      <c r="B690" s="118" t="s">
        <v>1431</v>
      </c>
      <c r="C690" s="113">
        <v>1468400</v>
      </c>
      <c r="D690" s="113">
        <v>80979</v>
      </c>
      <c r="E690" s="113">
        <f>+IF(FINANCIACION[[#This Row],[$ CAPITAL]]&gt;=0,FINANCIACION[[#This Row],[$ CAPITAL]]+FINANCIACION[[#This Row],[$ INTERESES]],"")</f>
        <v>1549379</v>
      </c>
      <c r="F690" s="113">
        <f>+SUMIFS(FINANCIACION[$ CAPITAL],FINANCIACION[Fecha],"&lt;="&amp;FINANCIACION[[#This Row],[Fecha]],FINANCIACION[PRESTAMO],FINANCIACION[[#This Row],[PRESTAMO]])</f>
        <v>-2936800</v>
      </c>
      <c r="G690" s="103"/>
      <c r="I690" s="119"/>
      <c r="J690" s="113">
        <f>+IF(FINANCIACION[[#This Row],[$ CAPITAL]]&gt;0,FINANCIACION[[#This Row],[$ CAPITAL]])</f>
        <v>1468400</v>
      </c>
      <c r="K690" s="120">
        <f>+IF(FINANCIACION[[#This Row],[$ CAPITAL]]&gt;=0,FINANCIACION[[#This Row],[$ CAPITAL]]+FINANCIACION[[#This Row],[$ INTERESES]],0)</f>
        <v>1549379</v>
      </c>
    </row>
    <row r="691" spans="1:11" ht="24" customHeight="1" x14ac:dyDescent="0.3">
      <c r="A691" s="112">
        <v>45260</v>
      </c>
      <c r="B691" s="118" t="s">
        <v>1401</v>
      </c>
      <c r="C691" s="113">
        <v>-3819037</v>
      </c>
      <c r="D691" s="113"/>
      <c r="E691" s="113" t="str">
        <f>+IF(FINANCIACION[[#This Row],[$ CAPITAL]]&gt;=0,FINANCIACION[[#This Row],[$ CAPITAL]]+FINANCIACION[[#This Row],[$ INTERESES]],"")</f>
        <v/>
      </c>
      <c r="F691" s="113">
        <f>+SUMIFS(FINANCIACION[$ CAPITAL],FINANCIACION[Fecha],"&lt;="&amp;FINANCIACION[[#This Row],[Fecha]],FINANCIACION[PRESTAMO],FINANCIACION[[#This Row],[PRESTAMO]])</f>
        <v>-3932437</v>
      </c>
      <c r="G691" s="113"/>
      <c r="H691" s="119" t="s">
        <v>144</v>
      </c>
      <c r="I691" s="119"/>
      <c r="J691" s="113" t="b">
        <f>+IF(FINANCIACION[[#This Row],[$ CAPITAL]]&gt;0,FINANCIACION[[#This Row],[$ CAPITAL]])</f>
        <v>0</v>
      </c>
      <c r="K691" s="120">
        <f>+IF(FINANCIACION[[#This Row],[$ CAPITAL]]&gt;=0,FINANCIACION[[#This Row],[$ CAPITAL]]+FINANCIACION[[#This Row],[$ INTERESES]],0)</f>
        <v>0</v>
      </c>
    </row>
    <row r="692" spans="1:11" ht="24" customHeight="1" x14ac:dyDescent="0.3">
      <c r="A692" s="112">
        <v>45260</v>
      </c>
      <c r="B692" s="118" t="s">
        <v>1399</v>
      </c>
      <c r="C692" s="113">
        <v>12049450</v>
      </c>
      <c r="D692" s="113"/>
      <c r="E692" s="113">
        <f>+IF(FINANCIACION[[#This Row],[$ CAPITAL]]&gt;=0,FINANCIACION[[#This Row],[$ CAPITAL]]+FINANCIACION[[#This Row],[$ INTERESES]],"")</f>
        <v>12049450</v>
      </c>
      <c r="F692" s="113">
        <f>+SUMIFS(FINANCIACION[$ CAPITAL],FINANCIACION[Fecha],"&lt;="&amp;FINANCIACION[[#This Row],[Fecha]],FINANCIACION[PRESTAMO],FINANCIACION[[#This Row],[PRESTAMO]])</f>
        <v>10603950</v>
      </c>
      <c r="G692" s="113"/>
      <c r="H692" s="119" t="s">
        <v>144</v>
      </c>
      <c r="I692" s="119"/>
      <c r="J692" s="113">
        <f>+IF(FINANCIACION[[#This Row],[$ CAPITAL]]&gt;0,FINANCIACION[[#This Row],[$ CAPITAL]])</f>
        <v>12049450</v>
      </c>
      <c r="K692" s="120">
        <f>+IF(FINANCIACION[[#This Row],[$ CAPITAL]]&gt;=0,FINANCIACION[[#This Row],[$ CAPITAL]]+FINANCIACION[[#This Row],[$ INTERESES]],0)</f>
        <v>12049450</v>
      </c>
    </row>
    <row r="693" spans="1:11" ht="24" customHeight="1" x14ac:dyDescent="0.3">
      <c r="A693" s="112">
        <v>45260</v>
      </c>
      <c r="B693" s="118" t="s">
        <v>1400</v>
      </c>
      <c r="C693" s="113">
        <f>8036755-19956590</f>
        <v>-11919835</v>
      </c>
      <c r="D693" s="113"/>
      <c r="E693" s="113" t="str">
        <f>+IF(FINANCIACION[[#This Row],[$ CAPITAL]]&gt;=0,FINANCIACION[[#This Row],[$ CAPITAL]]+FINANCIACION[[#This Row],[$ INTERESES]],"")</f>
        <v/>
      </c>
      <c r="F693" s="113">
        <f>+SUMIFS(FINANCIACION[$ CAPITAL],FINANCIACION[Fecha],"&lt;="&amp;FINANCIACION[[#This Row],[Fecha]],FINANCIACION[PRESTAMO],FINANCIACION[[#This Row],[PRESTAMO]])</f>
        <v>-17361280</v>
      </c>
      <c r="G693" s="103"/>
      <c r="H693" s="119" t="s">
        <v>144</v>
      </c>
      <c r="I693" s="119"/>
      <c r="J693" s="113" t="b">
        <f>+IF(FINANCIACION[[#This Row],[$ CAPITAL]]&gt;0,FINANCIACION[[#This Row],[$ CAPITAL]])</f>
        <v>0</v>
      </c>
      <c r="K693" s="120">
        <f>+IF(FINANCIACION[[#This Row],[$ CAPITAL]]&gt;=0,FINANCIACION[[#This Row],[$ CAPITAL]]+FINANCIACION[[#This Row],[$ INTERESES]],0)</f>
        <v>0</v>
      </c>
    </row>
    <row r="694" spans="1:11" ht="24" customHeight="1" x14ac:dyDescent="0.3">
      <c r="A694" s="112">
        <v>44525</v>
      </c>
      <c r="B694" s="118" t="s">
        <v>1402</v>
      </c>
      <c r="C694" s="113">
        <v>-80206729.879999995</v>
      </c>
      <c r="D694" s="113">
        <v>6148159.1900000004</v>
      </c>
      <c r="E694" s="113" t="str">
        <f>+IF(FINANCIACION[[#This Row],[$ CAPITAL]]&gt;=0,FINANCIACION[[#This Row],[$ CAPITAL]]+FINANCIACION[[#This Row],[$ INTERESES]],"")</f>
        <v/>
      </c>
      <c r="F694" s="113">
        <f>+SUMIFS(FINANCIACION[$ CAPITAL],FINANCIACION[Fecha],"&lt;="&amp;FINANCIACION[[#This Row],[Fecha]],FINANCIACION[PRESTAMO],FINANCIACION[[#This Row],[PRESTAMO]])</f>
        <v>-80206729.879999995</v>
      </c>
      <c r="G694" s="113"/>
      <c r="I694" s="119"/>
      <c r="J694" s="113" t="b">
        <f>+IF(FINANCIACION[[#This Row],[$ CAPITAL]]&gt;0,FINANCIACION[[#This Row],[$ CAPITAL]])</f>
        <v>0</v>
      </c>
      <c r="K694" s="120">
        <f>+IF(FINANCIACION[[#This Row],[$ CAPITAL]]&gt;=0,FINANCIACION[[#This Row],[$ CAPITAL]]+FINANCIACION[[#This Row],[$ INTERESES]],0)</f>
        <v>0</v>
      </c>
    </row>
    <row r="695" spans="1:11" ht="24" customHeight="1" x14ac:dyDescent="0.3">
      <c r="A695" s="112">
        <v>44544</v>
      </c>
      <c r="B695" s="118" t="s">
        <v>1402</v>
      </c>
      <c r="C695" s="113">
        <v>345651.39999999106</v>
      </c>
      <c r="D695" s="113">
        <v>172348.60000000894</v>
      </c>
      <c r="E695" s="113">
        <f>+IF(FINANCIACION[[#This Row],[$ CAPITAL]]&gt;=0,FINANCIACION[[#This Row],[$ CAPITAL]]+FINANCIACION[[#This Row],[$ INTERESES]],"")</f>
        <v>518000</v>
      </c>
      <c r="F695" s="113">
        <f>+SUMIFS(FINANCIACION[$ CAPITAL],FINANCIACION[Fecha],"&lt;="&amp;FINANCIACION[[#This Row],[Fecha]],FINANCIACION[PRESTAMO],FINANCIACION[[#This Row],[PRESTAMO]])</f>
        <v>-79861078.480000004</v>
      </c>
      <c r="G695" s="113"/>
      <c r="I695" s="119"/>
      <c r="J695" s="113">
        <f>+IF(FINANCIACION[[#This Row],[$ CAPITAL]]&gt;0,FINANCIACION[[#This Row],[$ CAPITAL]])</f>
        <v>345651.39999999106</v>
      </c>
      <c r="K695" s="120">
        <f>+IF(FINANCIACION[[#This Row],[$ CAPITAL]]&gt;=0,FINANCIACION[[#This Row],[$ CAPITAL]]+FINANCIACION[[#This Row],[$ INTERESES]],0)</f>
        <v>518000</v>
      </c>
    </row>
    <row r="696" spans="1:11" ht="24" customHeight="1" x14ac:dyDescent="0.3">
      <c r="A696" s="112">
        <v>44561</v>
      </c>
      <c r="B696" s="118" t="s">
        <v>1402</v>
      </c>
      <c r="C696" s="113">
        <v>-1661234.7599999905</v>
      </c>
      <c r="D696" s="113"/>
      <c r="E696" s="113" t="str">
        <f>+IF(FINANCIACION[[#This Row],[$ CAPITAL]]&gt;=0,FINANCIACION[[#This Row],[$ CAPITAL]]+FINANCIACION[[#This Row],[$ INTERESES]],"")</f>
        <v/>
      </c>
      <c r="F696" s="113">
        <f>+SUMIFS(FINANCIACION[$ CAPITAL],FINANCIACION[Fecha],"&lt;="&amp;FINANCIACION[[#This Row],[Fecha]],FINANCIACION[PRESTAMO],FINANCIACION[[#This Row],[PRESTAMO]])</f>
        <v>-82321407.039999992</v>
      </c>
      <c r="G696" s="113"/>
      <c r="I696" s="119"/>
      <c r="J696" s="113" t="b">
        <f>+IF(FINANCIACION[[#This Row],[$ CAPITAL]]&gt;0,FINANCIACION[[#This Row],[$ CAPITAL]])</f>
        <v>0</v>
      </c>
      <c r="K696" s="120">
        <f>+IF(FINANCIACION[[#This Row],[$ CAPITAL]]&gt;=0,FINANCIACION[[#This Row],[$ CAPITAL]]+FINANCIACION[[#This Row],[$ INTERESES]],0)</f>
        <v>0</v>
      </c>
    </row>
    <row r="697" spans="1:11" ht="24" customHeight="1" x14ac:dyDescent="0.3">
      <c r="A697" s="112">
        <v>44561</v>
      </c>
      <c r="B697" s="118" t="s">
        <v>1402</v>
      </c>
      <c r="C697" s="113">
        <v>-799093.79999999702</v>
      </c>
      <c r="D697" s="113"/>
      <c r="E697" s="113" t="str">
        <f>+IF(FINANCIACION[[#This Row],[$ CAPITAL]]&gt;=0,FINANCIACION[[#This Row],[$ CAPITAL]]+FINANCIACION[[#This Row],[$ INTERESES]],"")</f>
        <v/>
      </c>
      <c r="F697" s="113">
        <f>+SUMIFS(FINANCIACION[$ CAPITAL],FINANCIACION[Fecha],"&lt;="&amp;FINANCIACION[[#This Row],[Fecha]],FINANCIACION[PRESTAMO],FINANCIACION[[#This Row],[PRESTAMO]])</f>
        <v>-82321407.039999992</v>
      </c>
      <c r="G697" s="113"/>
      <c r="I697" s="119"/>
      <c r="J697" s="113" t="b">
        <f>+IF(FINANCIACION[[#This Row],[$ CAPITAL]]&gt;0,FINANCIACION[[#This Row],[$ CAPITAL]])</f>
        <v>0</v>
      </c>
      <c r="K697" s="120">
        <f>+IF(FINANCIACION[[#This Row],[$ CAPITAL]]&gt;=0,FINANCIACION[[#This Row],[$ CAPITAL]]+FINANCIACION[[#This Row],[$ INTERESES]],0)</f>
        <v>0</v>
      </c>
    </row>
    <row r="698" spans="1:11" ht="24" customHeight="1" x14ac:dyDescent="0.3">
      <c r="A698" s="112">
        <v>44579</v>
      </c>
      <c r="B698" s="118" t="s">
        <v>1402</v>
      </c>
      <c r="C698" s="113">
        <v>831.03</v>
      </c>
      <c r="D698" s="113">
        <v>541168.97</v>
      </c>
      <c r="E698" s="113">
        <f>+IF(FINANCIACION[[#This Row],[$ CAPITAL]]&gt;=0,FINANCIACION[[#This Row],[$ CAPITAL]]+FINANCIACION[[#This Row],[$ INTERESES]],"")</f>
        <v>542000</v>
      </c>
      <c r="F698" s="113">
        <f>+SUMIFS(FINANCIACION[$ CAPITAL],FINANCIACION[Fecha],"&lt;="&amp;FINANCIACION[[#This Row],[Fecha]],FINANCIACION[PRESTAMO],FINANCIACION[[#This Row],[PRESTAMO]])</f>
        <v>-82320576.00999999</v>
      </c>
      <c r="G698" s="113"/>
      <c r="I698" s="119"/>
      <c r="J698" s="113">
        <f>+IF(FINANCIACION[[#This Row],[$ CAPITAL]]&gt;0,FINANCIACION[[#This Row],[$ CAPITAL]])</f>
        <v>831.03</v>
      </c>
      <c r="K698" s="120">
        <f>+IF(FINANCIACION[[#This Row],[$ CAPITAL]]&gt;=0,FINANCIACION[[#This Row],[$ CAPITAL]]+FINANCIACION[[#This Row],[$ INTERESES]],0)</f>
        <v>542000</v>
      </c>
    </row>
    <row r="699" spans="1:11" ht="24" customHeight="1" x14ac:dyDescent="0.3">
      <c r="A699" s="112">
        <v>44610</v>
      </c>
      <c r="B699" s="118" t="s">
        <v>1402</v>
      </c>
      <c r="C699" s="113">
        <v>489945.29999999702</v>
      </c>
      <c r="D699" s="113">
        <v>72054.70000000298</v>
      </c>
      <c r="E699" s="113">
        <f>+IF(FINANCIACION[[#This Row],[$ CAPITAL]]&gt;=0,FINANCIACION[[#This Row],[$ CAPITAL]]+FINANCIACION[[#This Row],[$ INTERESES]],"")</f>
        <v>562000</v>
      </c>
      <c r="F699" s="113">
        <f>+SUMIFS(FINANCIACION[$ CAPITAL],FINANCIACION[Fecha],"&lt;="&amp;FINANCIACION[[#This Row],[Fecha]],FINANCIACION[PRESTAMO],FINANCIACION[[#This Row],[PRESTAMO]])</f>
        <v>-81830630.709999993</v>
      </c>
      <c r="G699" s="113"/>
      <c r="I699" s="119"/>
      <c r="J699" s="113">
        <f>+IF(FINANCIACION[[#This Row],[$ CAPITAL]]&gt;0,FINANCIACION[[#This Row],[$ CAPITAL]])</f>
        <v>489945.29999999702</v>
      </c>
      <c r="K699" s="120">
        <f>+IF(FINANCIACION[[#This Row],[$ CAPITAL]]&gt;=0,FINANCIACION[[#This Row],[$ CAPITAL]]+FINANCIACION[[#This Row],[$ INTERESES]],0)</f>
        <v>562000</v>
      </c>
    </row>
    <row r="700" spans="1:11" ht="24" customHeight="1" x14ac:dyDescent="0.3">
      <c r="A700" s="112">
        <v>44638</v>
      </c>
      <c r="B700" s="118" t="s">
        <v>1402</v>
      </c>
      <c r="C700" s="113">
        <v>519036.93999999762</v>
      </c>
      <c r="D700" s="113">
        <v>85963.060000002384</v>
      </c>
      <c r="E700" s="113">
        <f>+IF(FINANCIACION[[#This Row],[$ CAPITAL]]&gt;=0,FINANCIACION[[#This Row],[$ CAPITAL]]+FINANCIACION[[#This Row],[$ INTERESES]],"")</f>
        <v>605000</v>
      </c>
      <c r="F700" s="113">
        <f>+SUMIFS(FINANCIACION[$ CAPITAL],FINANCIACION[Fecha],"&lt;="&amp;FINANCIACION[[#This Row],[Fecha]],FINANCIACION[PRESTAMO],FINANCIACION[[#This Row],[PRESTAMO]])</f>
        <v>-81311593.769999996</v>
      </c>
      <c r="G700" s="113"/>
      <c r="I700" s="119"/>
      <c r="J700" s="113">
        <f>+IF(FINANCIACION[[#This Row],[$ CAPITAL]]&gt;0,FINANCIACION[[#This Row],[$ CAPITAL]])</f>
        <v>519036.93999999762</v>
      </c>
      <c r="K700" s="120">
        <f>+IF(FINANCIACION[[#This Row],[$ CAPITAL]]&gt;=0,FINANCIACION[[#This Row],[$ CAPITAL]]+FINANCIACION[[#This Row],[$ INTERESES]],0)</f>
        <v>605000</v>
      </c>
    </row>
    <row r="701" spans="1:11" ht="24" customHeight="1" x14ac:dyDescent="0.3">
      <c r="A701" s="112">
        <v>44670</v>
      </c>
      <c r="B701" s="118" t="s">
        <v>1402</v>
      </c>
      <c r="C701" s="113">
        <v>626870.95999999344</v>
      </c>
      <c r="D701" s="113">
        <v>43129.040000006557</v>
      </c>
      <c r="E701" s="113">
        <f>+IF(FINANCIACION[[#This Row],[$ CAPITAL]]&gt;=0,FINANCIACION[[#This Row],[$ CAPITAL]]+FINANCIACION[[#This Row],[$ INTERESES]],"")</f>
        <v>670000</v>
      </c>
      <c r="F701" s="113">
        <f>+SUMIFS(FINANCIACION[$ CAPITAL],FINANCIACION[Fecha],"&lt;="&amp;FINANCIACION[[#This Row],[Fecha]],FINANCIACION[PRESTAMO],FINANCIACION[[#This Row],[PRESTAMO]])</f>
        <v>-80684722.810000002</v>
      </c>
      <c r="G701" s="113"/>
      <c r="I701" s="119"/>
      <c r="J701" s="113">
        <f>+IF(FINANCIACION[[#This Row],[$ CAPITAL]]&gt;0,FINANCIACION[[#This Row],[$ CAPITAL]])</f>
        <v>626870.95999999344</v>
      </c>
      <c r="K701" s="120">
        <f>+IF(FINANCIACION[[#This Row],[$ CAPITAL]]&gt;=0,FINANCIACION[[#This Row],[$ CAPITAL]]+FINANCIACION[[#This Row],[$ INTERESES]],0)</f>
        <v>670000</v>
      </c>
    </row>
    <row r="702" spans="1:11" ht="24" customHeight="1" x14ac:dyDescent="0.3">
      <c r="A702" s="112">
        <v>44699</v>
      </c>
      <c r="B702" s="118" t="s">
        <v>1402</v>
      </c>
      <c r="C702" s="113">
        <v>693257.62999999523</v>
      </c>
      <c r="D702" s="113">
        <v>23742.370000004768</v>
      </c>
      <c r="E702" s="113">
        <f>+IF(FINANCIACION[[#This Row],[$ CAPITAL]]&gt;=0,FINANCIACION[[#This Row],[$ CAPITAL]]+FINANCIACION[[#This Row],[$ INTERESES]],"")</f>
        <v>717000</v>
      </c>
      <c r="F702" s="113">
        <f>+SUMIFS(FINANCIACION[$ CAPITAL],FINANCIACION[Fecha],"&lt;="&amp;FINANCIACION[[#This Row],[Fecha]],FINANCIACION[PRESTAMO],FINANCIACION[[#This Row],[PRESTAMO]])</f>
        <v>-79991465.180000007</v>
      </c>
      <c r="G702" s="113"/>
      <c r="I702" s="119"/>
      <c r="J702" s="113">
        <f>+IF(FINANCIACION[[#This Row],[$ CAPITAL]]&gt;0,FINANCIACION[[#This Row],[$ CAPITAL]])</f>
        <v>693257.62999999523</v>
      </c>
      <c r="K702" s="120">
        <f>+IF(FINANCIACION[[#This Row],[$ CAPITAL]]&gt;=0,FINANCIACION[[#This Row],[$ CAPITAL]]+FINANCIACION[[#This Row],[$ INTERESES]],0)</f>
        <v>717000</v>
      </c>
    </row>
    <row r="703" spans="1:11" ht="24" customHeight="1" x14ac:dyDescent="0.3">
      <c r="A703" s="112">
        <v>44733</v>
      </c>
      <c r="B703" s="118" t="s">
        <v>1402</v>
      </c>
      <c r="C703" s="113">
        <v>1482386.81</v>
      </c>
      <c r="D703" s="113">
        <v>783613.19</v>
      </c>
      <c r="E703" s="113">
        <f>+IF(FINANCIACION[[#This Row],[$ CAPITAL]]&gt;=0,FINANCIACION[[#This Row],[$ CAPITAL]]+FINANCIACION[[#This Row],[$ INTERESES]],"")</f>
        <v>2266000</v>
      </c>
      <c r="F703" s="113">
        <f>+SUMIFS(FINANCIACION[$ CAPITAL],FINANCIACION[Fecha],"&lt;="&amp;FINANCIACION[[#This Row],[Fecha]],FINANCIACION[PRESTAMO],FINANCIACION[[#This Row],[PRESTAMO]])</f>
        <v>-78509078.370000005</v>
      </c>
      <c r="G703" s="113"/>
      <c r="I703" s="119"/>
      <c r="J703" s="113">
        <f>+IF(FINANCIACION[[#This Row],[$ CAPITAL]]&gt;0,FINANCIACION[[#This Row],[$ CAPITAL]])</f>
        <v>1482386.81</v>
      </c>
      <c r="K703" s="120">
        <f>+IF(FINANCIACION[[#This Row],[$ CAPITAL]]&gt;=0,FINANCIACION[[#This Row],[$ CAPITAL]]+FINANCIACION[[#This Row],[$ INTERESES]],0)</f>
        <v>2266000</v>
      </c>
    </row>
    <row r="704" spans="1:11" ht="24" customHeight="1" x14ac:dyDescent="0.3">
      <c r="A704" s="112">
        <v>44761</v>
      </c>
      <c r="B704" s="118" t="s">
        <v>1402</v>
      </c>
      <c r="C704" s="113">
        <v>1481481.48</v>
      </c>
      <c r="D704" s="113">
        <v>797518.52</v>
      </c>
      <c r="E704" s="113">
        <f>+IF(FINANCIACION[[#This Row],[$ CAPITAL]]&gt;=0,FINANCIACION[[#This Row],[$ CAPITAL]]+FINANCIACION[[#This Row],[$ INTERESES]],"")</f>
        <v>2279000</v>
      </c>
      <c r="F704" s="113">
        <f>+SUMIFS(FINANCIACION[$ CAPITAL],FINANCIACION[Fecha],"&lt;="&amp;FINANCIACION[[#This Row],[Fecha]],FINANCIACION[PRESTAMO],FINANCIACION[[#This Row],[PRESTAMO]])</f>
        <v>-77027596.890000001</v>
      </c>
      <c r="G704" s="113"/>
      <c r="I704" s="119"/>
      <c r="J704" s="113">
        <f>+IF(FINANCIACION[[#This Row],[$ CAPITAL]]&gt;0,FINANCIACION[[#This Row],[$ CAPITAL]])</f>
        <v>1481481.48</v>
      </c>
      <c r="K704" s="120">
        <f>+IF(FINANCIACION[[#This Row],[$ CAPITAL]]&gt;=0,FINANCIACION[[#This Row],[$ CAPITAL]]+FINANCIACION[[#This Row],[$ INTERESES]],0)</f>
        <v>2279000</v>
      </c>
    </row>
    <row r="705" spans="1:11" ht="24" customHeight="1" x14ac:dyDescent="0.3">
      <c r="A705" s="112">
        <v>44791</v>
      </c>
      <c r="B705" s="118" t="s">
        <v>1402</v>
      </c>
      <c r="C705" s="113">
        <v>1481481.48</v>
      </c>
      <c r="D705" s="113">
        <v>884518.52</v>
      </c>
      <c r="E705" s="113">
        <f>+IF(FINANCIACION[[#This Row],[$ CAPITAL]]&gt;=0,FINANCIACION[[#This Row],[$ CAPITAL]]+FINANCIACION[[#This Row],[$ INTERESES]],"")</f>
        <v>2366000</v>
      </c>
      <c r="F705" s="113">
        <f>+SUMIFS(FINANCIACION[$ CAPITAL],FINANCIACION[Fecha],"&lt;="&amp;FINANCIACION[[#This Row],[Fecha]],FINANCIACION[PRESTAMO],FINANCIACION[[#This Row],[PRESTAMO]])</f>
        <v>-75546115.409999996</v>
      </c>
      <c r="G705" s="113"/>
      <c r="I705" s="119"/>
      <c r="J705" s="113">
        <f>+IF(FINANCIACION[[#This Row],[$ CAPITAL]]&gt;0,FINANCIACION[[#This Row],[$ CAPITAL]])</f>
        <v>1481481.48</v>
      </c>
      <c r="K705" s="120">
        <f>+IF(FINANCIACION[[#This Row],[$ CAPITAL]]&gt;=0,FINANCIACION[[#This Row],[$ CAPITAL]]+FINANCIACION[[#This Row],[$ INTERESES]],0)</f>
        <v>2366000</v>
      </c>
    </row>
    <row r="706" spans="1:11" ht="24" customHeight="1" x14ac:dyDescent="0.3">
      <c r="A706" s="112">
        <v>44830</v>
      </c>
      <c r="B706" s="118" t="s">
        <v>1402</v>
      </c>
      <c r="C706" s="113">
        <v>1481481.48</v>
      </c>
      <c r="D706" s="113">
        <v>930667.62</v>
      </c>
      <c r="E706" s="113">
        <f>+IF(FINANCIACION[[#This Row],[$ CAPITAL]]&gt;=0,FINANCIACION[[#This Row],[$ CAPITAL]]+FINANCIACION[[#This Row],[$ INTERESES]],"")</f>
        <v>2412149.1</v>
      </c>
      <c r="F706" s="113">
        <f>+SUMIFS(FINANCIACION[$ CAPITAL],FINANCIACION[Fecha],"&lt;="&amp;FINANCIACION[[#This Row],[Fecha]],FINANCIACION[PRESTAMO],FINANCIACION[[#This Row],[PRESTAMO]])</f>
        <v>-74064633.929999992</v>
      </c>
      <c r="G706" s="113"/>
      <c r="I706" s="119"/>
      <c r="J706" s="113">
        <f>+IF(FINANCIACION[[#This Row],[$ CAPITAL]]&gt;0,FINANCIACION[[#This Row],[$ CAPITAL]])</f>
        <v>1481481.48</v>
      </c>
      <c r="K706" s="120">
        <f>+IF(FINANCIACION[[#This Row],[$ CAPITAL]]&gt;=0,FINANCIACION[[#This Row],[$ CAPITAL]]+FINANCIACION[[#This Row],[$ INTERESES]],0)</f>
        <v>2412149.1</v>
      </c>
    </row>
    <row r="707" spans="1:11" ht="24" customHeight="1" x14ac:dyDescent="0.3">
      <c r="A707" s="112">
        <v>44859</v>
      </c>
      <c r="B707" s="118" t="s">
        <v>1402</v>
      </c>
      <c r="C707" s="113">
        <v>1481481.48</v>
      </c>
      <c r="D707" s="113">
        <v>926400.64</v>
      </c>
      <c r="E707" s="113">
        <f>+IF(FINANCIACION[[#This Row],[$ CAPITAL]]&gt;=0,FINANCIACION[[#This Row],[$ CAPITAL]]+FINANCIACION[[#This Row],[$ INTERESES]],"")</f>
        <v>2407882.12</v>
      </c>
      <c r="F707" s="113">
        <f>+SUMIFS(FINANCIACION[$ CAPITAL],FINANCIACION[Fecha],"&lt;="&amp;FINANCIACION[[#This Row],[Fecha]],FINANCIACION[PRESTAMO],FINANCIACION[[#This Row],[PRESTAMO]])</f>
        <v>-72583152.449999988</v>
      </c>
      <c r="G707" s="113"/>
      <c r="I707" s="119"/>
      <c r="J707" s="113">
        <f>+IF(FINANCIACION[[#This Row],[$ CAPITAL]]&gt;0,FINANCIACION[[#This Row],[$ CAPITAL]])</f>
        <v>1481481.48</v>
      </c>
      <c r="K707" s="120">
        <f>+IF(FINANCIACION[[#This Row],[$ CAPITAL]]&gt;=0,FINANCIACION[[#This Row],[$ CAPITAL]]+FINANCIACION[[#This Row],[$ INTERESES]],0)</f>
        <v>2407882.12</v>
      </c>
    </row>
    <row r="708" spans="1:11" ht="24" customHeight="1" x14ac:dyDescent="0.3">
      <c r="A708" s="112">
        <v>44890</v>
      </c>
      <c r="B708" s="118" t="s">
        <v>1402</v>
      </c>
      <c r="C708" s="113">
        <v>1481314</v>
      </c>
      <c r="D708" s="113">
        <v>944686</v>
      </c>
      <c r="E708" s="113">
        <f>+IF(FINANCIACION[[#This Row],[$ CAPITAL]]&gt;=0,FINANCIACION[[#This Row],[$ CAPITAL]]+FINANCIACION[[#This Row],[$ INTERESES]],"")</f>
        <v>2426000</v>
      </c>
      <c r="F708" s="113">
        <f>+SUMIFS(FINANCIACION[$ CAPITAL],FINANCIACION[Fecha],"&lt;="&amp;FINANCIACION[[#This Row],[Fecha]],FINANCIACION[PRESTAMO],FINANCIACION[[#This Row],[PRESTAMO]])</f>
        <v>-71101838.449999988</v>
      </c>
      <c r="G708" s="113"/>
      <c r="I708" s="119"/>
      <c r="J708" s="113">
        <f>+IF(FINANCIACION[[#This Row],[$ CAPITAL]]&gt;0,FINANCIACION[[#This Row],[$ CAPITAL]])</f>
        <v>1481314</v>
      </c>
      <c r="K708" s="120">
        <f>+IF(FINANCIACION[[#This Row],[$ CAPITAL]]&gt;=0,FINANCIACION[[#This Row],[$ CAPITAL]]+FINANCIACION[[#This Row],[$ INTERESES]],0)</f>
        <v>2426000</v>
      </c>
    </row>
    <row r="709" spans="1:11" ht="24" customHeight="1" x14ac:dyDescent="0.3">
      <c r="A709" s="112">
        <v>44918</v>
      </c>
      <c r="B709" s="118" t="s">
        <v>1402</v>
      </c>
      <c r="C709" s="113">
        <v>1536477</v>
      </c>
      <c r="D709" s="113">
        <v>932563</v>
      </c>
      <c r="E709" s="113">
        <f>+IF(FINANCIACION[[#This Row],[$ CAPITAL]]&gt;=0,FINANCIACION[[#This Row],[$ CAPITAL]]+FINANCIACION[[#This Row],[$ INTERESES]],"")</f>
        <v>2469040</v>
      </c>
      <c r="F709" s="113">
        <f>+SUMIFS(FINANCIACION[$ CAPITAL],FINANCIACION[Fecha],"&lt;="&amp;FINANCIACION[[#This Row],[Fecha]],FINANCIACION[PRESTAMO],FINANCIACION[[#This Row],[PRESTAMO]])</f>
        <v>-69565361.449999988</v>
      </c>
      <c r="G709" s="113"/>
      <c r="I709" s="119"/>
      <c r="J709" s="113">
        <f>+IF(FINANCIACION[[#This Row],[$ CAPITAL]]&gt;0,FINANCIACION[[#This Row],[$ CAPITAL]])</f>
        <v>1536477</v>
      </c>
      <c r="K709" s="120">
        <f>+IF(FINANCIACION[[#This Row],[$ CAPITAL]]&gt;=0,FINANCIACION[[#This Row],[$ CAPITAL]]+FINANCIACION[[#This Row],[$ INTERESES]],0)</f>
        <v>2469040</v>
      </c>
    </row>
    <row r="710" spans="1:11" ht="24" customHeight="1" x14ac:dyDescent="0.3">
      <c r="A710" s="112">
        <v>44949</v>
      </c>
      <c r="B710" s="118" t="s">
        <v>1402</v>
      </c>
      <c r="C710" s="113">
        <v>1481481</v>
      </c>
      <c r="D710" s="113">
        <v>985519</v>
      </c>
      <c r="E710" s="113">
        <f>+IF(FINANCIACION[[#This Row],[$ CAPITAL]]&gt;=0,FINANCIACION[[#This Row],[$ CAPITAL]]+FINANCIACION[[#This Row],[$ INTERESES]],"")</f>
        <v>2467000</v>
      </c>
      <c r="F710" s="113">
        <f>+SUMIFS(FINANCIACION[$ CAPITAL],FINANCIACION[Fecha],"&lt;="&amp;FINANCIACION[[#This Row],[Fecha]],FINANCIACION[PRESTAMO],FINANCIACION[[#This Row],[PRESTAMO]])</f>
        <v>-68083880.449999988</v>
      </c>
      <c r="G710" s="113"/>
      <c r="I710" s="119"/>
      <c r="J710" s="113">
        <f>+IF(FINANCIACION[[#This Row],[$ CAPITAL]]&gt;0,FINANCIACION[[#This Row],[$ CAPITAL]])</f>
        <v>1481481</v>
      </c>
      <c r="K710" s="120">
        <f>+IF(FINANCIACION[[#This Row],[$ CAPITAL]]&gt;=0,FINANCIACION[[#This Row],[$ CAPITAL]]+FINANCIACION[[#This Row],[$ INTERESES]],0)</f>
        <v>2467000</v>
      </c>
    </row>
    <row r="711" spans="1:11" ht="24" customHeight="1" x14ac:dyDescent="0.3">
      <c r="A711" s="112">
        <v>44984</v>
      </c>
      <c r="B711" s="118" t="s">
        <v>1402</v>
      </c>
      <c r="C711" s="113">
        <v>1481481</v>
      </c>
      <c r="D711" s="113">
        <v>1008519</v>
      </c>
      <c r="E711" s="113">
        <f>+IF(FINANCIACION[[#This Row],[$ CAPITAL]]&gt;=0,FINANCIACION[[#This Row],[$ CAPITAL]]+FINANCIACION[[#This Row],[$ INTERESES]],"")</f>
        <v>2490000</v>
      </c>
      <c r="F711" s="113">
        <f>+SUMIFS(FINANCIACION[$ CAPITAL],FINANCIACION[Fecha],"&lt;="&amp;FINANCIACION[[#This Row],[Fecha]],FINANCIACION[PRESTAMO],FINANCIACION[[#This Row],[PRESTAMO]])</f>
        <v>-66602399.449999988</v>
      </c>
      <c r="G711" s="113"/>
      <c r="I711" s="119"/>
      <c r="J711" s="113">
        <f>+IF(FINANCIACION[[#This Row],[$ CAPITAL]]&gt;0,FINANCIACION[[#This Row],[$ CAPITAL]])</f>
        <v>1481481</v>
      </c>
      <c r="K711" s="120">
        <f>+IF(FINANCIACION[[#This Row],[$ CAPITAL]]&gt;=0,FINANCIACION[[#This Row],[$ CAPITAL]]+FINANCIACION[[#This Row],[$ INTERESES]],0)</f>
        <v>2490000</v>
      </c>
    </row>
    <row r="712" spans="1:11" ht="24" customHeight="1" x14ac:dyDescent="0.3">
      <c r="A712" s="112">
        <v>45012</v>
      </c>
      <c r="B712" s="118" t="s">
        <v>1402</v>
      </c>
      <c r="C712" s="113">
        <v>1481000</v>
      </c>
      <c r="D712" s="113">
        <v>1009000</v>
      </c>
      <c r="E712" s="113">
        <f>+IF(FINANCIACION[[#This Row],[$ CAPITAL]]&gt;=0,FINANCIACION[[#This Row],[$ CAPITAL]]+FINANCIACION[[#This Row],[$ INTERESES]],"")</f>
        <v>2490000</v>
      </c>
      <c r="F712" s="113">
        <f>+SUMIFS(FINANCIACION[$ CAPITAL],FINANCIACION[Fecha],"&lt;="&amp;FINANCIACION[[#This Row],[Fecha]],FINANCIACION[PRESTAMO],FINANCIACION[[#This Row],[PRESTAMO]])</f>
        <v>-65121399.449999988</v>
      </c>
      <c r="G712" s="113"/>
      <c r="I712" s="119"/>
      <c r="J712" s="113">
        <f>+IF(FINANCIACION[[#This Row],[$ CAPITAL]]&gt;0,FINANCIACION[[#This Row],[$ CAPITAL]])</f>
        <v>1481000</v>
      </c>
      <c r="K712" s="120">
        <f>+IF(FINANCIACION[[#This Row],[$ CAPITAL]]&gt;=0,FINANCIACION[[#This Row],[$ CAPITAL]]+FINANCIACION[[#This Row],[$ INTERESES]],0)</f>
        <v>2490000</v>
      </c>
    </row>
    <row r="713" spans="1:11" ht="24" customHeight="1" x14ac:dyDescent="0.3">
      <c r="A713" s="112">
        <v>45041</v>
      </c>
      <c r="B713" s="118" t="s">
        <v>1402</v>
      </c>
      <c r="C713" s="113">
        <v>1481481</v>
      </c>
      <c r="D713" s="113">
        <v>933519</v>
      </c>
      <c r="E713" s="113">
        <f>+IF(FINANCIACION[[#This Row],[$ CAPITAL]]&gt;=0,FINANCIACION[[#This Row],[$ CAPITAL]]+FINANCIACION[[#This Row],[$ INTERESES]],"")</f>
        <v>2415000</v>
      </c>
      <c r="F713" s="113">
        <f>+SUMIFS(FINANCIACION[$ CAPITAL],FINANCIACION[Fecha],"&lt;="&amp;FINANCIACION[[#This Row],[Fecha]],FINANCIACION[PRESTAMO],FINANCIACION[[#This Row],[PRESTAMO]])</f>
        <v>-63639918.449999988</v>
      </c>
      <c r="G713" s="113"/>
      <c r="I713" s="119"/>
      <c r="J713" s="113">
        <f>+IF(FINANCIACION[[#This Row],[$ CAPITAL]]&gt;0,FINANCIACION[[#This Row],[$ CAPITAL]])</f>
        <v>1481481</v>
      </c>
      <c r="K713" s="120">
        <f>+IF(FINANCIACION[[#This Row],[$ CAPITAL]]&gt;=0,FINANCIACION[[#This Row],[$ CAPITAL]]+FINANCIACION[[#This Row],[$ INTERESES]],0)</f>
        <v>2415000</v>
      </c>
    </row>
    <row r="714" spans="1:11" ht="24" customHeight="1" x14ac:dyDescent="0.3">
      <c r="A714" s="112">
        <v>45071</v>
      </c>
      <c r="B714" s="118" t="s">
        <v>1402</v>
      </c>
      <c r="C714" s="113">
        <v>1481000</v>
      </c>
      <c r="D714" s="113">
        <v>873000</v>
      </c>
      <c r="E714" s="113">
        <f>+IF(FINANCIACION[[#This Row],[$ CAPITAL]]&gt;=0,FINANCIACION[[#This Row],[$ CAPITAL]]+FINANCIACION[[#This Row],[$ INTERESES]],"")</f>
        <v>2354000</v>
      </c>
      <c r="F714" s="113">
        <f>+SUMIFS(FINANCIACION[$ CAPITAL],FINANCIACION[Fecha],"&lt;="&amp;FINANCIACION[[#This Row],[Fecha]],FINANCIACION[PRESTAMO],FINANCIACION[[#This Row],[PRESTAMO]])</f>
        <v>-62158918.449999988</v>
      </c>
      <c r="G714" s="113"/>
      <c r="I714" s="119"/>
      <c r="J714" s="113">
        <f>+IF(FINANCIACION[[#This Row],[$ CAPITAL]]&gt;0,FINANCIACION[[#This Row],[$ CAPITAL]])</f>
        <v>1481000</v>
      </c>
      <c r="K714" s="120">
        <f>+IF(FINANCIACION[[#This Row],[$ CAPITAL]]&gt;=0,FINANCIACION[[#This Row],[$ CAPITAL]]+FINANCIACION[[#This Row],[$ INTERESES]],0)</f>
        <v>2354000</v>
      </c>
    </row>
    <row r="715" spans="1:11" ht="24" customHeight="1" x14ac:dyDescent="0.3">
      <c r="A715" s="112">
        <v>45103</v>
      </c>
      <c r="B715" s="118" t="s">
        <v>1402</v>
      </c>
      <c r="C715" s="113">
        <v>1481481</v>
      </c>
      <c r="D715" s="113">
        <v>852113</v>
      </c>
      <c r="E715" s="113">
        <f>+IF(FINANCIACION[[#This Row],[$ CAPITAL]]&gt;=0,FINANCIACION[[#This Row],[$ CAPITAL]]+FINANCIACION[[#This Row],[$ INTERESES]],"")</f>
        <v>2333594</v>
      </c>
      <c r="F715" s="113">
        <f>+SUMIFS(FINANCIACION[$ CAPITAL],FINANCIACION[Fecha],"&lt;="&amp;FINANCIACION[[#This Row],[Fecha]],FINANCIACION[PRESTAMO],FINANCIACION[[#This Row],[PRESTAMO]])</f>
        <v>-60677437.449999988</v>
      </c>
      <c r="G715" s="113"/>
      <c r="I715" s="119"/>
      <c r="J715" s="113">
        <f>+IF(FINANCIACION[[#This Row],[$ CAPITAL]]&gt;0,FINANCIACION[[#This Row],[$ CAPITAL]])</f>
        <v>1481481</v>
      </c>
      <c r="K715" s="120">
        <f>+IF(FINANCIACION[[#This Row],[$ CAPITAL]]&gt;=0,FINANCIACION[[#This Row],[$ CAPITAL]]+FINANCIACION[[#This Row],[$ INTERESES]],0)</f>
        <v>2333594</v>
      </c>
    </row>
    <row r="716" spans="1:11" ht="24" customHeight="1" x14ac:dyDescent="0.3">
      <c r="A716" s="112">
        <v>45107</v>
      </c>
      <c r="B716" s="118" t="s">
        <v>1402</v>
      </c>
      <c r="C716" s="113">
        <v>-172263</v>
      </c>
      <c r="D716" s="113"/>
      <c r="E716" s="113" t="str">
        <f>+IF(FINANCIACION[[#This Row],[$ CAPITAL]]&gt;=0,FINANCIACION[[#This Row],[$ CAPITAL]]+FINANCIACION[[#This Row],[$ INTERESES]],"")</f>
        <v/>
      </c>
      <c r="F716" s="113">
        <f>+SUMIFS(FINANCIACION[$ CAPITAL],FINANCIACION[Fecha],"&lt;="&amp;FINANCIACION[[#This Row],[Fecha]],FINANCIACION[PRESTAMO],FINANCIACION[[#This Row],[PRESTAMO]])</f>
        <v>-60849700.449999988</v>
      </c>
      <c r="G716" s="113"/>
      <c r="I716" s="119"/>
      <c r="J716" s="113" t="b">
        <f>+IF(FINANCIACION[[#This Row],[$ CAPITAL]]&gt;0,FINANCIACION[[#This Row],[$ CAPITAL]])</f>
        <v>0</v>
      </c>
      <c r="K716" s="120">
        <f>+IF(FINANCIACION[[#This Row],[$ CAPITAL]]&gt;=0,FINANCIACION[[#This Row],[$ CAPITAL]]+FINANCIACION[[#This Row],[$ INTERESES]],0)</f>
        <v>0</v>
      </c>
    </row>
    <row r="717" spans="1:11" ht="24" customHeight="1" x14ac:dyDescent="0.3">
      <c r="A717" s="112">
        <v>45131</v>
      </c>
      <c r="B717" s="118" t="s">
        <v>1402</v>
      </c>
      <c r="C717" s="113">
        <v>1481482</v>
      </c>
      <c r="D717" s="113">
        <v>862214</v>
      </c>
      <c r="E717" s="113">
        <f>+IF(FINANCIACION[[#This Row],[$ CAPITAL]]&gt;=0,FINANCIACION[[#This Row],[$ CAPITAL]]+FINANCIACION[[#This Row],[$ INTERESES]],"")</f>
        <v>2343696</v>
      </c>
      <c r="F717" s="113">
        <f>+SUMIFS(FINANCIACION[$ CAPITAL],FINANCIACION[Fecha],"&lt;="&amp;FINANCIACION[[#This Row],[Fecha]],FINANCIACION[PRESTAMO],FINANCIACION[[#This Row],[PRESTAMO]])</f>
        <v>-59368218.449999988</v>
      </c>
      <c r="G717" s="113"/>
      <c r="I717" s="119"/>
      <c r="J717" s="113">
        <f>+IF(FINANCIACION[[#This Row],[$ CAPITAL]]&gt;0,FINANCIACION[[#This Row],[$ CAPITAL]])</f>
        <v>1481482</v>
      </c>
      <c r="K717" s="120">
        <f>+IF(FINANCIACION[[#This Row],[$ CAPITAL]]&gt;=0,FINANCIACION[[#This Row],[$ CAPITAL]]+FINANCIACION[[#This Row],[$ INTERESES]],0)</f>
        <v>2343696</v>
      </c>
    </row>
    <row r="718" spans="1:11" ht="24" customHeight="1" x14ac:dyDescent="0.3">
      <c r="A718" s="112">
        <v>45163</v>
      </c>
      <c r="B718" s="118" t="s">
        <v>1402</v>
      </c>
      <c r="C718" s="113">
        <v>1481481</v>
      </c>
      <c r="D718" s="113">
        <v>860568</v>
      </c>
      <c r="E718" s="113">
        <f>+IF(FINANCIACION[[#This Row],[$ CAPITAL]]&gt;=0,FINANCIACION[[#This Row],[$ CAPITAL]]+FINANCIACION[[#This Row],[$ INTERESES]],"")</f>
        <v>2342049</v>
      </c>
      <c r="F718" s="113">
        <f>+SUMIFS(FINANCIACION[$ CAPITAL],FINANCIACION[Fecha],"&lt;="&amp;FINANCIACION[[#This Row],[Fecha]],FINANCIACION[PRESTAMO],FINANCIACION[[#This Row],[PRESTAMO]])</f>
        <v>-57886737.449999988</v>
      </c>
      <c r="G718" s="113"/>
      <c r="I718" s="119"/>
      <c r="J718" s="113">
        <f>+IF(FINANCIACION[[#This Row],[$ CAPITAL]]&gt;0,FINANCIACION[[#This Row],[$ CAPITAL]])</f>
        <v>1481481</v>
      </c>
      <c r="K718" s="120">
        <f>+IF(FINANCIACION[[#This Row],[$ CAPITAL]]&gt;=0,FINANCIACION[[#This Row],[$ CAPITAL]]+FINANCIACION[[#This Row],[$ INTERESES]],0)</f>
        <v>2342049</v>
      </c>
    </row>
    <row r="719" spans="1:11" ht="24" customHeight="1" x14ac:dyDescent="0.3">
      <c r="A719" s="112">
        <v>45194</v>
      </c>
      <c r="B719" s="118" t="s">
        <v>1402</v>
      </c>
      <c r="C719" s="113">
        <v>1481481</v>
      </c>
      <c r="D719" s="113">
        <v>853352</v>
      </c>
      <c r="E719" s="113">
        <f>+IF(FINANCIACION[[#This Row],[$ CAPITAL]]&gt;=0,FINANCIACION[[#This Row],[$ CAPITAL]]+FINANCIACION[[#This Row],[$ INTERESES]],"")</f>
        <v>2334833</v>
      </c>
      <c r="F719" s="113">
        <f>+SUMIFS(FINANCIACION[$ CAPITAL],FINANCIACION[Fecha],"&lt;="&amp;FINANCIACION[[#This Row],[Fecha]],FINANCIACION[PRESTAMO],FINANCIACION[[#This Row],[PRESTAMO]])</f>
        <v>-56405256.449999988</v>
      </c>
      <c r="G719" s="113"/>
      <c r="I719" s="119"/>
      <c r="J719" s="113">
        <f>+IF(FINANCIACION[[#This Row],[$ CAPITAL]]&gt;0,FINANCIACION[[#This Row],[$ CAPITAL]])</f>
        <v>1481481</v>
      </c>
      <c r="K719" s="120">
        <f>+IF(FINANCIACION[[#This Row],[$ CAPITAL]]&gt;=0,FINANCIACION[[#This Row],[$ CAPITAL]]+FINANCIACION[[#This Row],[$ INTERESES]],0)</f>
        <v>2334833</v>
      </c>
    </row>
    <row r="720" spans="1:11" ht="24" customHeight="1" x14ac:dyDescent="0.3">
      <c r="A720" s="112">
        <v>45223</v>
      </c>
      <c r="B720" s="118" t="s">
        <v>1402</v>
      </c>
      <c r="C720" s="113">
        <v>1482234</v>
      </c>
      <c r="D720" s="113">
        <v>797766</v>
      </c>
      <c r="E720" s="113">
        <f>+IF(FINANCIACION[[#This Row],[$ CAPITAL]]&gt;=0,FINANCIACION[[#This Row],[$ CAPITAL]]+FINANCIACION[[#This Row],[$ INTERESES]],"")</f>
        <v>2280000</v>
      </c>
      <c r="F720" s="113">
        <f>+SUMIFS(FINANCIACION[$ CAPITAL],FINANCIACION[Fecha],"&lt;="&amp;FINANCIACION[[#This Row],[Fecha]],FINANCIACION[PRESTAMO],FINANCIACION[[#This Row],[PRESTAMO]])</f>
        <v>-54923022.449999988</v>
      </c>
      <c r="G720" s="113"/>
      <c r="I720" s="119"/>
      <c r="J720" s="113">
        <f>+IF(FINANCIACION[[#This Row],[$ CAPITAL]]&gt;0,FINANCIACION[[#This Row],[$ CAPITAL]])</f>
        <v>1482234</v>
      </c>
      <c r="K720" s="120">
        <f>+IF(FINANCIACION[[#This Row],[$ CAPITAL]]&gt;=0,FINANCIACION[[#This Row],[$ CAPITAL]]+FINANCIACION[[#This Row],[$ INTERESES]],0)</f>
        <v>2280000</v>
      </c>
    </row>
    <row r="721" spans="1:11" ht="24" customHeight="1" x14ac:dyDescent="0.3">
      <c r="A721" s="112">
        <v>45257</v>
      </c>
      <c r="B721" s="118" t="s">
        <v>1402</v>
      </c>
      <c r="C721" s="113">
        <v>1481481</v>
      </c>
      <c r="D721" s="113">
        <v>777519</v>
      </c>
      <c r="E721" s="113">
        <f>+IF(FINANCIACION[[#This Row],[$ CAPITAL]]&gt;=0,FINANCIACION[[#This Row],[$ CAPITAL]]+FINANCIACION[[#This Row],[$ INTERESES]],"")</f>
        <v>2259000</v>
      </c>
      <c r="F721" s="113">
        <f>+SUMIFS(FINANCIACION[$ CAPITAL],FINANCIACION[Fecha],"&lt;="&amp;FINANCIACION[[#This Row],[Fecha]],FINANCIACION[PRESTAMO],FINANCIACION[[#This Row],[PRESTAMO]])</f>
        <v>-53441541.449999988</v>
      </c>
      <c r="G721" s="113"/>
      <c r="I721" s="119"/>
      <c r="J721" s="113">
        <f>+IF(FINANCIACION[[#This Row],[$ CAPITAL]]&gt;0,FINANCIACION[[#This Row],[$ CAPITAL]])</f>
        <v>1481481</v>
      </c>
      <c r="K721" s="120">
        <f>+IF(FINANCIACION[[#This Row],[$ CAPITAL]]&gt;=0,FINANCIACION[[#This Row],[$ CAPITAL]]+FINANCIACION[[#This Row],[$ INTERESES]],0)</f>
        <v>2259000</v>
      </c>
    </row>
    <row r="722" spans="1:11" ht="24" customHeight="1" x14ac:dyDescent="0.3">
      <c r="A722" s="112">
        <v>45286</v>
      </c>
      <c r="B722" s="118" t="s">
        <v>1402</v>
      </c>
      <c r="C722" s="113">
        <v>1484481</v>
      </c>
      <c r="D722" s="113">
        <v>744678</v>
      </c>
      <c r="E722" s="113">
        <f>+IF(FINANCIACION[[#This Row],[$ CAPITAL]]&gt;=0,FINANCIACION[[#This Row],[$ CAPITAL]]+FINANCIACION[[#This Row],[$ INTERESES]],"")</f>
        <v>2229159</v>
      </c>
      <c r="F722" s="113">
        <f>+SUMIFS(FINANCIACION[$ CAPITAL],FINANCIACION[Fecha],"&lt;="&amp;FINANCIACION[[#This Row],[Fecha]],FINANCIACION[PRESTAMO],FINANCIACION[[#This Row],[PRESTAMO]])</f>
        <v>-51957060.449999988</v>
      </c>
      <c r="G722" s="113"/>
      <c r="I722" s="119"/>
      <c r="J722" s="113">
        <f>+IF(FINANCIACION[[#This Row],[$ CAPITAL]]&gt;0,FINANCIACION[[#This Row],[$ CAPITAL]])</f>
        <v>1484481</v>
      </c>
      <c r="K722" s="120">
        <f>+IF(FINANCIACION[[#This Row],[$ CAPITAL]]&gt;=0,FINANCIACION[[#This Row],[$ CAPITAL]]+FINANCIACION[[#This Row],[$ INTERESES]],0)</f>
        <v>2229159</v>
      </c>
    </row>
    <row r="723" spans="1:11" ht="24" customHeight="1" x14ac:dyDescent="0.3">
      <c r="A723" s="112">
        <v>45300</v>
      </c>
      <c r="B723" s="118" t="s">
        <v>619</v>
      </c>
      <c r="C723" s="113">
        <v>1889477</v>
      </c>
      <c r="D723" s="113">
        <v>70929</v>
      </c>
      <c r="E723" s="113">
        <f>+IF(FINANCIACION[[#This Row],[$ CAPITAL]]&gt;=0,FINANCIACION[[#This Row],[$ CAPITAL]]+FINANCIACION[[#This Row],[$ INTERESES]],"")</f>
        <v>1960406</v>
      </c>
      <c r="F723" s="113">
        <f>+SUMIFS(FINANCIACION[$ CAPITAL],FINANCIACION[Fecha],"&lt;="&amp;FINANCIACION[[#This Row],[Fecha]],FINANCIACION[PRESTAMO],FINANCIACION[[#This Row],[PRESTAMO]])</f>
        <v>-1889477</v>
      </c>
      <c r="G723" s="103"/>
      <c r="I723" s="119"/>
      <c r="J723" s="113">
        <f>+IF(FINANCIACION[[#This Row],[$ CAPITAL]]&gt;0,FINANCIACION[[#This Row],[$ CAPITAL]])</f>
        <v>1889477</v>
      </c>
      <c r="K723" s="120">
        <f>+IF(FINANCIACION[[#This Row],[$ CAPITAL]]&gt;=0,FINANCIACION[[#This Row],[$ CAPITAL]]+FINANCIACION[[#This Row],[$ INTERESES]],0)</f>
        <v>1960406</v>
      </c>
    </row>
    <row r="724" spans="1:11" ht="24" customHeight="1" x14ac:dyDescent="0.3">
      <c r="A724" s="112">
        <v>45301</v>
      </c>
      <c r="B724" s="118" t="s">
        <v>519</v>
      </c>
      <c r="C724" s="113">
        <v>79613625</v>
      </c>
      <c r="D724" s="113"/>
      <c r="E724" s="113">
        <f>+IF(FINANCIACION[[#This Row],[$ CAPITAL]]&gt;=0,FINANCIACION[[#This Row],[$ CAPITAL]]+FINANCIACION[[#This Row],[$ INTERESES]],"")</f>
        <v>79613625</v>
      </c>
      <c r="F724" s="113">
        <f>+SUMIFS(FINANCIACION[$ CAPITAL],FINANCIACION[Fecha],"&lt;="&amp;FINANCIACION[[#This Row],[Fecha]],FINANCIACION[PRESTAMO],FINANCIACION[[#This Row],[PRESTAMO]])</f>
        <v>0</v>
      </c>
      <c r="G724" s="113"/>
      <c r="I724" s="119"/>
      <c r="J724" s="113">
        <f>+IF(FINANCIACION[[#This Row],[$ CAPITAL]]&gt;0,FINANCIACION[[#This Row],[$ CAPITAL]])</f>
        <v>79613625</v>
      </c>
      <c r="K724" s="120">
        <f>+IF(FINANCIACION[[#This Row],[$ CAPITAL]]&gt;=0,FINANCIACION[[#This Row],[$ CAPITAL]]+FINANCIACION[[#This Row],[$ INTERESES]],0)</f>
        <v>79613625</v>
      </c>
    </row>
    <row r="725" spans="1:11" ht="24" customHeight="1" x14ac:dyDescent="0.3">
      <c r="A725" s="112">
        <v>45301</v>
      </c>
      <c r="B725" s="118" t="s">
        <v>519</v>
      </c>
      <c r="C725" s="113">
        <v>5211375</v>
      </c>
      <c r="D725" s="113"/>
      <c r="E725" s="113">
        <f>+IF(FINANCIACION[[#This Row],[$ CAPITAL]]&gt;=0,FINANCIACION[[#This Row],[$ CAPITAL]]+FINANCIACION[[#This Row],[$ INTERESES]],"")</f>
        <v>5211375</v>
      </c>
      <c r="F725" s="113">
        <f>+SUMIFS(FINANCIACION[$ CAPITAL],FINANCIACION[Fecha],"&lt;="&amp;FINANCIACION[[#This Row],[Fecha]],FINANCIACION[PRESTAMO],FINANCIACION[[#This Row],[PRESTAMO]])</f>
        <v>0</v>
      </c>
      <c r="G725" s="113"/>
      <c r="H725" s="119" t="s">
        <v>1453</v>
      </c>
      <c r="I725" s="119"/>
      <c r="J725" s="113">
        <f>+IF(FINANCIACION[[#This Row],[$ CAPITAL]]&gt;0,FINANCIACION[[#This Row],[$ CAPITAL]])</f>
        <v>5211375</v>
      </c>
      <c r="K725" s="120">
        <f>+IF(FINANCIACION[[#This Row],[$ CAPITAL]]&gt;=0,FINANCIACION[[#This Row],[$ CAPITAL]]+FINANCIACION[[#This Row],[$ INTERESES]],0)</f>
        <v>5211375</v>
      </c>
    </row>
    <row r="726" spans="1:11" ht="24" customHeight="1" x14ac:dyDescent="0.3">
      <c r="A726" s="112">
        <v>45310</v>
      </c>
      <c r="B726" s="118" t="s">
        <v>1451</v>
      </c>
      <c r="C726" s="113">
        <f>-24518.81*3910</f>
        <v>-95868547.100000009</v>
      </c>
      <c r="D726" s="113"/>
      <c r="E726" s="113" t="str">
        <f>+IF(FINANCIACION[[#This Row],[$ CAPITAL]]&gt;=0,FINANCIACION[[#This Row],[$ CAPITAL]]+FINANCIACION[[#This Row],[$ INTERESES]],"")</f>
        <v/>
      </c>
      <c r="F726" s="113">
        <f>+SUMIFS(FINANCIACION[$ CAPITAL],FINANCIACION[Fecha],"&lt;="&amp;FINANCIACION[[#This Row],[Fecha]],FINANCIACION[PRESTAMO],FINANCIACION[[#This Row],[PRESTAMO]])</f>
        <v>-95868547.100000009</v>
      </c>
      <c r="G726" s="113"/>
      <c r="H726" s="119" t="s">
        <v>1452</v>
      </c>
      <c r="I726" s="119">
        <v>-24518.81</v>
      </c>
      <c r="J726" s="113" t="b">
        <f>+IF(FINANCIACION[[#This Row],[$ CAPITAL]]&gt;0,FINANCIACION[[#This Row],[$ CAPITAL]])</f>
        <v>0</v>
      </c>
      <c r="K726" s="120">
        <f>+IF(FINANCIACION[[#This Row],[$ CAPITAL]]&gt;=0,FINANCIACION[[#This Row],[$ CAPITAL]]+FINANCIACION[[#This Row],[$ INTERESES]],0)</f>
        <v>0</v>
      </c>
    </row>
    <row r="727" spans="1:11" ht="24" customHeight="1" x14ac:dyDescent="0.3">
      <c r="A727" s="112">
        <v>45310</v>
      </c>
      <c r="B727" s="118" t="s">
        <v>1295</v>
      </c>
      <c r="C727" s="113">
        <v>2778000</v>
      </c>
      <c r="D727" s="113">
        <f>4369385.23-FINANCIACION[[#This Row],[$ CAPITAL]]</f>
        <v>1591385.2300000004</v>
      </c>
      <c r="E727" s="113">
        <f>+IF(FINANCIACION[[#This Row],[$ CAPITAL]]&gt;=0,FINANCIACION[[#This Row],[$ CAPITAL]]+FINANCIACION[[#This Row],[$ INTERESES]],"")</f>
        <v>4369385.2300000004</v>
      </c>
      <c r="F727" s="113">
        <f>+SUMIFS(FINANCIACION[$ CAPITAL],FINANCIACION[Fecha],"&lt;="&amp;FINANCIACION[[#This Row],[Fecha]],FINANCIACION[PRESTAMO],FINANCIACION[[#This Row],[PRESTAMO]])</f>
        <v>-97222000</v>
      </c>
      <c r="G727" s="103"/>
      <c r="I727" s="119"/>
      <c r="J727" s="113">
        <f>+IF(FINANCIACION[[#This Row],[$ CAPITAL]]&gt;0,FINANCIACION[[#This Row],[$ CAPITAL]])</f>
        <v>2778000</v>
      </c>
      <c r="K727" s="120">
        <f>+IF(FINANCIACION[[#This Row],[$ CAPITAL]]&gt;=0,FINANCIACION[[#This Row],[$ CAPITAL]]+FINANCIACION[[#This Row],[$ INTERESES]],0)</f>
        <v>4369385.2300000004</v>
      </c>
    </row>
    <row r="728" spans="1:11" ht="24" customHeight="1" x14ac:dyDescent="0.3">
      <c r="A728" s="112">
        <v>45316</v>
      </c>
      <c r="B728" s="118" t="s">
        <v>1402</v>
      </c>
      <c r="C728" s="113">
        <v>1481481.48</v>
      </c>
      <c r="D728" s="113">
        <v>723518.52</v>
      </c>
      <c r="E728" s="113">
        <f>+IF(FINANCIACION[[#This Row],[$ CAPITAL]]&gt;=0,FINANCIACION[[#This Row],[$ CAPITAL]]+FINANCIACION[[#This Row],[$ INTERESES]],"")</f>
        <v>2205000</v>
      </c>
      <c r="F728" s="113">
        <f>+SUMIFS(FINANCIACION[$ CAPITAL],FINANCIACION[Fecha],"&lt;="&amp;FINANCIACION[[#This Row],[Fecha]],FINANCIACION[PRESTAMO],FINANCIACION[[#This Row],[PRESTAMO]])</f>
        <v>-50475578.969999991</v>
      </c>
      <c r="G728" s="113"/>
      <c r="I728" s="119"/>
      <c r="J728" s="113">
        <f>+IF(FINANCIACION[[#This Row],[$ CAPITAL]]&gt;0,FINANCIACION[[#This Row],[$ CAPITAL]])</f>
        <v>1481481.48</v>
      </c>
      <c r="K728" s="120">
        <f>+IF(FINANCIACION[[#This Row],[$ CAPITAL]]&gt;=0,FINANCIACION[[#This Row],[$ CAPITAL]]+FINANCIACION[[#This Row],[$ INTERESES]],0)</f>
        <v>2205000</v>
      </c>
    </row>
    <row r="729" spans="1:11" ht="24" customHeight="1" x14ac:dyDescent="0.3">
      <c r="A729" s="112">
        <v>45317</v>
      </c>
      <c r="B729" s="118" t="s">
        <v>1402</v>
      </c>
      <c r="C729" s="113">
        <v>1481481.48</v>
      </c>
      <c r="D729" s="113">
        <v>662518.52</v>
      </c>
      <c r="E729" s="113">
        <f>+IF(FINANCIACION[[#This Row],[$ CAPITAL]]&gt;=0,FINANCIACION[[#This Row],[$ CAPITAL]]+FINANCIACION[[#This Row],[$ INTERESES]],"")</f>
        <v>2144000</v>
      </c>
      <c r="F729" s="113">
        <f>+SUMIFS(FINANCIACION[$ CAPITAL],FINANCIACION[Fecha],"&lt;="&amp;FINANCIACION[[#This Row],[Fecha]],FINANCIACION[PRESTAMO],FINANCIACION[[#This Row],[PRESTAMO]])</f>
        <v>-48994097.489999995</v>
      </c>
      <c r="G729" s="113"/>
      <c r="I729" s="119"/>
      <c r="J729" s="113">
        <f>+IF(FINANCIACION[[#This Row],[$ CAPITAL]]&gt;0,FINANCIACION[[#This Row],[$ CAPITAL]])</f>
        <v>1481481.48</v>
      </c>
      <c r="K729" s="120">
        <f>+IF(FINANCIACION[[#This Row],[$ CAPITAL]]&gt;=0,FINANCIACION[[#This Row],[$ CAPITAL]]+FINANCIACION[[#This Row],[$ INTERESES]],0)</f>
        <v>2144000</v>
      </c>
    </row>
    <row r="730" spans="1:11" ht="24" customHeight="1" x14ac:dyDescent="0.3">
      <c r="A730" s="112">
        <v>45307</v>
      </c>
      <c r="B730" s="118" t="s">
        <v>620</v>
      </c>
      <c r="C730" s="113">
        <v>-60000000</v>
      </c>
      <c r="D730" s="113"/>
      <c r="E730" s="113" t="str">
        <f>+IF(FINANCIACION[[#This Row],[$ CAPITAL]]&gt;=0,FINANCIACION[[#This Row],[$ CAPITAL]]+FINANCIACION[[#This Row],[$ INTERESES]],"")</f>
        <v/>
      </c>
      <c r="F730" s="113">
        <f>+SUMIFS(FINANCIACION[$ CAPITAL],FINANCIACION[Fecha],"&lt;="&amp;FINANCIACION[[#This Row],[Fecha]],FINANCIACION[PRESTAMO],FINANCIACION[[#This Row],[PRESTAMO]])</f>
        <v>-60000000</v>
      </c>
      <c r="G730" s="103"/>
      <c r="I730" s="119"/>
      <c r="J730" s="113" t="b">
        <f>+IF(FINANCIACION[[#This Row],[$ CAPITAL]]&gt;0,FINANCIACION[[#This Row],[$ CAPITAL]])</f>
        <v>0</v>
      </c>
      <c r="K730" s="120">
        <f>+IF(FINANCIACION[[#This Row],[$ CAPITAL]]&gt;=0,FINANCIACION[[#This Row],[$ CAPITAL]]+FINANCIACION[[#This Row],[$ INTERESES]],0)</f>
        <v>0</v>
      </c>
    </row>
    <row r="731" spans="1:11" ht="24" customHeight="1" x14ac:dyDescent="0.3">
      <c r="A731" s="112">
        <v>45309</v>
      </c>
      <c r="B731" s="118" t="s">
        <v>347</v>
      </c>
      <c r="C731" s="113">
        <v>1369125</v>
      </c>
      <c r="D731" s="113">
        <f>5596012+174929</f>
        <v>5770941</v>
      </c>
      <c r="E731" s="113">
        <f>+IF(FINANCIACION[[#This Row],[$ CAPITAL]]&gt;=0,FINANCIACION[[#This Row],[$ CAPITAL]]+FINANCIACION[[#This Row],[$ INTERESES]],"")</f>
        <v>7140066</v>
      </c>
      <c r="F731" s="113">
        <f>+SUMIFS(FINANCIACION[$ CAPITAL],FINANCIACION[Fecha],"&lt;="&amp;FINANCIACION[[#This Row],[Fecha]],FINANCIACION[PRESTAMO],FINANCIACION[[#This Row],[PRESTAMO]])</f>
        <v>-317455728</v>
      </c>
      <c r="G731" s="103"/>
      <c r="I731" s="119"/>
      <c r="J731" s="113">
        <f>+IF(FINANCIACION[[#This Row],[$ CAPITAL]]&gt;0,FINANCIACION[[#This Row],[$ CAPITAL]])</f>
        <v>1369125</v>
      </c>
      <c r="K731" s="120">
        <f>+IF(FINANCIACION[[#This Row],[$ CAPITAL]]&gt;=0,FINANCIACION[[#This Row],[$ CAPITAL]]+FINANCIACION[[#This Row],[$ INTERESES]],0)</f>
        <v>7140066</v>
      </c>
    </row>
    <row r="732" spans="1:11" ht="24" customHeight="1" x14ac:dyDescent="0.3">
      <c r="A732" s="112">
        <v>45322</v>
      </c>
      <c r="B732" s="118" t="s">
        <v>1399</v>
      </c>
      <c r="C732" s="125">
        <v>-16864000</v>
      </c>
      <c r="D732" s="113"/>
      <c r="E732" s="113" t="str">
        <f>+IF(FINANCIACION[[#This Row],[$ CAPITAL]]&gt;=0,FINANCIACION[[#This Row],[$ CAPITAL]]+FINANCIACION[[#This Row],[$ INTERESES]],"")</f>
        <v/>
      </c>
      <c r="F732" s="113">
        <f>+SUMIFS(FINANCIACION[$ CAPITAL],FINANCIACION[Fecha],"&lt;="&amp;FINANCIACION[[#This Row],[Fecha]],FINANCIACION[PRESTAMO],FINANCIACION[[#This Row],[PRESTAMO]])</f>
        <v>-16864000</v>
      </c>
      <c r="G732" s="113"/>
      <c r="I732" s="119"/>
      <c r="J732" s="113" t="b">
        <f>+IF(FINANCIACION[[#This Row],[$ CAPITAL]]&gt;0,FINANCIACION[[#This Row],[$ CAPITAL]])</f>
        <v>0</v>
      </c>
      <c r="K732" s="120">
        <f>+IF(FINANCIACION[[#This Row],[$ CAPITAL]]&gt;=0,FINANCIACION[[#This Row],[$ CAPITAL]]+FINANCIACION[[#This Row],[$ INTERESES]],0)</f>
        <v>0</v>
      </c>
    </row>
    <row r="733" spans="1:11" ht="24" customHeight="1" x14ac:dyDescent="0.3">
      <c r="A733" s="112">
        <v>45293</v>
      </c>
      <c r="B733" s="118" t="s">
        <v>1401</v>
      </c>
      <c r="C733" s="113">
        <v>115950</v>
      </c>
      <c r="D733" s="113"/>
      <c r="E733" s="113">
        <f>+IF(FINANCIACION[[#This Row],[$ CAPITAL]]&gt;=0,FINANCIACION[[#This Row],[$ CAPITAL]]+FINANCIACION[[#This Row],[$ INTERESES]],"")</f>
        <v>115950</v>
      </c>
      <c r="F733" s="113">
        <f>+SUMIFS(FINANCIACION[$ CAPITAL],FINANCIACION[Fecha],"&lt;="&amp;FINANCIACION[[#This Row],[Fecha]],FINANCIACION[PRESTAMO],FINANCIACION[[#This Row],[PRESTAMO]])</f>
        <v>0</v>
      </c>
      <c r="G733" s="113"/>
      <c r="I733" s="119"/>
      <c r="J733" s="113">
        <f>+IF(FINANCIACION[[#This Row],[$ CAPITAL]]&gt;0,FINANCIACION[[#This Row],[$ CAPITAL]])</f>
        <v>115950</v>
      </c>
      <c r="K733" s="120">
        <f>+IF(FINANCIACION[[#This Row],[$ CAPITAL]]&gt;=0,FINANCIACION[[#This Row],[$ CAPITAL]]+FINANCIACION[[#This Row],[$ INTERESES]],0)</f>
        <v>115950</v>
      </c>
    </row>
    <row r="734" spans="1:11" ht="24" customHeight="1" x14ac:dyDescent="0.3">
      <c r="A734" s="112">
        <v>45323</v>
      </c>
      <c r="B734" s="118" t="s">
        <v>1483</v>
      </c>
      <c r="C734" s="113">
        <v>-50000000</v>
      </c>
      <c r="D734" s="113">
        <f>-1547000-580940</f>
        <v>-2127940</v>
      </c>
      <c r="E734" s="113" t="str">
        <f>+IF(FINANCIACION[[#This Row],[$ CAPITAL]]&gt;=0,FINANCIACION[[#This Row],[$ CAPITAL]]+FINANCIACION[[#This Row],[$ INTERESES]],"")</f>
        <v/>
      </c>
      <c r="F734" s="113">
        <f>+SUMIFS(FINANCIACION[$ CAPITAL],FINANCIACION[Fecha],"&lt;="&amp;FINANCIACION[[#This Row],[Fecha]],FINANCIACION[PRESTAMO],FINANCIACION[[#This Row],[PRESTAMO]])</f>
        <v>-50000000</v>
      </c>
      <c r="G734" s="103"/>
      <c r="I734" s="119"/>
      <c r="J734" s="113" t="b">
        <f>+IF(FINANCIACION[[#This Row],[$ CAPITAL]]&gt;0,FINANCIACION[[#This Row],[$ CAPITAL]])</f>
        <v>0</v>
      </c>
      <c r="K734" s="120">
        <f>+IF(FINANCIACION[[#This Row],[$ CAPITAL]]&gt;=0,FINANCIACION[[#This Row],[$ CAPITAL]]+FINANCIACION[[#This Row],[$ INTERESES]],0)</f>
        <v>0</v>
      </c>
    </row>
    <row r="735" spans="1:11" ht="24" customHeight="1" x14ac:dyDescent="0.3">
      <c r="A735" s="112">
        <v>45322</v>
      </c>
      <c r="B735" s="118" t="s">
        <v>1401</v>
      </c>
      <c r="C735" s="125">
        <v>-707640</v>
      </c>
      <c r="D735" s="113"/>
      <c r="E735" s="113" t="str">
        <f>+IF(FINANCIACION[[#This Row],[$ CAPITAL]]&gt;=0,FINANCIACION[[#This Row],[$ CAPITAL]]+FINANCIACION[[#This Row],[$ INTERESES]],"")</f>
        <v/>
      </c>
      <c r="F735" s="113">
        <f>+SUMIFS(FINANCIACION[$ CAPITAL],FINANCIACION[Fecha],"&lt;="&amp;FINANCIACION[[#This Row],[Fecha]],FINANCIACION[PRESTAMO],FINANCIACION[[#This Row],[PRESTAMO]])</f>
        <v>-707640</v>
      </c>
      <c r="G735" s="113"/>
      <c r="I735" s="119"/>
      <c r="J735" s="113" t="b">
        <f>+IF(FINANCIACION[[#This Row],[$ CAPITAL]]&gt;0,FINANCIACION[[#This Row],[$ CAPITAL]])</f>
        <v>0</v>
      </c>
      <c r="K735" s="120">
        <f>+IF(FINANCIACION[[#This Row],[$ CAPITAL]]&gt;=0,FINANCIACION[[#This Row],[$ CAPITAL]]+FINANCIACION[[#This Row],[$ INTERESES]],0)</f>
        <v>0</v>
      </c>
    </row>
    <row r="736" spans="1:11" ht="24" customHeight="1" x14ac:dyDescent="0.3">
      <c r="A736" s="112">
        <v>45324</v>
      </c>
      <c r="B736" s="118" t="s">
        <v>354</v>
      </c>
      <c r="C736" s="113"/>
      <c r="D736" s="113">
        <v>300000</v>
      </c>
      <c r="E736" s="113">
        <f>+IF(FINANCIACION[[#This Row],[$ CAPITAL]]&gt;=0,FINANCIACION[[#This Row],[$ CAPITAL]]+FINANCIACION[[#This Row],[$ INTERESES]],"")</f>
        <v>300000</v>
      </c>
      <c r="F736" s="113">
        <f>+SUMIFS(FINANCIACION[$ CAPITAL],FINANCIACION[Fecha],"&lt;="&amp;FINANCIACION[[#This Row],[Fecha]],FINANCIACION[PRESTAMO],FINANCIACION[[#This Row],[PRESTAMO]])</f>
        <v>-30000000</v>
      </c>
      <c r="G736" s="113"/>
      <c r="I736" s="119"/>
      <c r="J736" s="113" t="b">
        <f>+IF(FINANCIACION[[#This Row],[$ CAPITAL]]&gt;0,FINANCIACION[[#This Row],[$ CAPITAL]])</f>
        <v>0</v>
      </c>
      <c r="K736" s="120">
        <f>+IF(FINANCIACION[[#This Row],[$ CAPITAL]]&gt;=0,FINANCIACION[[#This Row],[$ CAPITAL]]+FINANCIACION[[#This Row],[$ INTERESES]],0)</f>
        <v>300000</v>
      </c>
    </row>
    <row r="737" spans="1:11" ht="24" customHeight="1" x14ac:dyDescent="0.3">
      <c r="A737" s="112">
        <v>45310</v>
      </c>
      <c r="B737" s="118" t="s">
        <v>1400</v>
      </c>
      <c r="C737" s="113">
        <v>13879571</v>
      </c>
      <c r="D737" s="113"/>
      <c r="E737" s="113">
        <f>+IF(FINANCIACION[[#This Row],[$ CAPITAL]]&gt;=0,FINANCIACION[[#This Row],[$ CAPITAL]]+FINANCIACION[[#This Row],[$ INTERESES]],"")</f>
        <v>13879571</v>
      </c>
      <c r="F737" s="113">
        <f>+SUMIFS(FINANCIACION[$ CAPITAL],FINANCIACION[Fecha],"&lt;="&amp;FINANCIACION[[#This Row],[Fecha]],FINANCIACION[PRESTAMO],FINANCIACION[[#This Row],[PRESTAMO]])</f>
        <v>-5294530.75</v>
      </c>
      <c r="G737" s="103"/>
      <c r="I737" s="119"/>
      <c r="J737" s="113">
        <f>+IF(FINANCIACION[[#This Row],[$ CAPITAL]]&gt;0,FINANCIACION[[#This Row],[$ CAPITAL]])</f>
        <v>13879571</v>
      </c>
      <c r="K737" s="120">
        <f>+IF(FINANCIACION[[#This Row],[$ CAPITAL]]&gt;=0,FINANCIACION[[#This Row],[$ CAPITAL]]+FINANCIACION[[#This Row],[$ INTERESES]],0)</f>
        <v>13879571</v>
      </c>
    </row>
    <row r="738" spans="1:11" ht="24" customHeight="1" x14ac:dyDescent="0.3">
      <c r="A738" s="112">
        <v>45309</v>
      </c>
      <c r="B738" s="118" t="s">
        <v>1400</v>
      </c>
      <c r="C738" s="113">
        <v>782488.25</v>
      </c>
      <c r="D738" s="113"/>
      <c r="E738" s="113">
        <f>+IF(FINANCIACION[[#This Row],[$ CAPITAL]]&gt;=0,FINANCIACION[[#This Row],[$ CAPITAL]]+FINANCIACION[[#This Row],[$ INTERESES]],"")</f>
        <v>782488.25</v>
      </c>
      <c r="F738" s="113">
        <f>+SUMIFS(FINANCIACION[$ CAPITAL],FINANCIACION[Fecha],"&lt;="&amp;FINANCIACION[[#This Row],[Fecha]],FINANCIACION[PRESTAMO],FINANCIACION[[#This Row],[PRESTAMO]])</f>
        <v>-19174101.75</v>
      </c>
      <c r="G738" s="103"/>
      <c r="I738" s="119"/>
      <c r="J738" s="113">
        <f>+IF(FINANCIACION[[#This Row],[$ CAPITAL]]&gt;0,FINANCIACION[[#This Row],[$ CAPITAL]])</f>
        <v>782488.25</v>
      </c>
      <c r="K738" s="120">
        <f>+IF(FINANCIACION[[#This Row],[$ CAPITAL]]&gt;=0,FINANCIACION[[#This Row],[$ CAPITAL]]+FINANCIACION[[#This Row],[$ INTERESES]],0)</f>
        <v>782488.25</v>
      </c>
    </row>
    <row r="739" spans="1:11" ht="24" customHeight="1" x14ac:dyDescent="0.3">
      <c r="A739" s="112">
        <v>45322</v>
      </c>
      <c r="B739" s="118" t="s">
        <v>1400</v>
      </c>
      <c r="C739" s="125">
        <v>-6325215.25</v>
      </c>
      <c r="D739" s="113"/>
      <c r="E739" s="113" t="str">
        <f>+IF(FINANCIACION[[#This Row],[$ CAPITAL]]&gt;=0,FINANCIACION[[#This Row],[$ CAPITAL]]+FINANCIACION[[#This Row],[$ INTERESES]],"")</f>
        <v/>
      </c>
      <c r="F739" s="113">
        <f>+SUMIFS(FINANCIACION[$ CAPITAL],FINANCIACION[Fecha],"&lt;="&amp;FINANCIACION[[#This Row],[Fecha]],FINANCIACION[PRESTAMO],FINANCIACION[[#This Row],[PRESTAMO]])</f>
        <v>-11619746</v>
      </c>
      <c r="G739" s="103"/>
      <c r="I739" s="119"/>
      <c r="J739" s="113" t="b">
        <f>+IF(FINANCIACION[[#This Row],[$ CAPITAL]]&gt;0,FINANCIACION[[#This Row],[$ CAPITAL]])</f>
        <v>0</v>
      </c>
      <c r="K739" s="120">
        <f>+IF(FINANCIACION[[#This Row],[$ CAPITAL]]&gt;=0,FINANCIACION[[#This Row],[$ CAPITAL]]+FINANCIACION[[#This Row],[$ INTERESES]],0)</f>
        <v>0</v>
      </c>
    </row>
    <row r="740" spans="1:11" ht="24" customHeight="1" x14ac:dyDescent="0.3">
      <c r="A740" s="112">
        <v>45323</v>
      </c>
      <c r="B740" s="118" t="s">
        <v>347</v>
      </c>
      <c r="C740" s="113">
        <v>88320776</v>
      </c>
      <c r="D740" s="113">
        <v>5679224</v>
      </c>
      <c r="E740" s="113">
        <f>+IF(FINANCIACION[[#This Row],[$ CAPITAL]]&gt;=0,FINANCIACION[[#This Row],[$ CAPITAL]]+FINANCIACION[[#This Row],[$ INTERESES]],"")</f>
        <v>94000000</v>
      </c>
      <c r="F740" s="113">
        <f>+SUMIFS(FINANCIACION[$ CAPITAL],FINANCIACION[Fecha],"&lt;="&amp;FINANCIACION[[#This Row],[Fecha]],FINANCIACION[PRESTAMO],FINANCIACION[[#This Row],[PRESTAMO]])</f>
        <v>-229134952</v>
      </c>
      <c r="G740" s="103"/>
      <c r="I740" s="119"/>
      <c r="J740" s="113">
        <f>+IF(FINANCIACION[[#This Row],[$ CAPITAL]]&gt;0,FINANCIACION[[#This Row],[$ CAPITAL]])</f>
        <v>88320776</v>
      </c>
      <c r="K740" s="120">
        <f>+IF(FINANCIACION[[#This Row],[$ CAPITAL]]&gt;=0,FINANCIACION[[#This Row],[$ CAPITAL]]+FINANCIACION[[#This Row],[$ INTERESES]],0)</f>
        <v>94000000</v>
      </c>
    </row>
    <row r="741" spans="1:11" ht="24" customHeight="1" x14ac:dyDescent="0.3">
      <c r="A741" s="112">
        <v>45323</v>
      </c>
      <c r="B741" s="118" t="s">
        <v>349</v>
      </c>
      <c r="C741" s="113">
        <v>-94000000</v>
      </c>
      <c r="D741" s="113"/>
      <c r="E741" s="113" t="str">
        <f>+IF(FINANCIACION[[#This Row],[$ CAPITAL]]&gt;=0,FINANCIACION[[#This Row],[$ CAPITAL]]+FINANCIACION[[#This Row],[$ INTERESES]],"")</f>
        <v/>
      </c>
      <c r="F741" s="113">
        <f>+SUMIFS(FINANCIACION[$ CAPITAL],FINANCIACION[Fecha],"&lt;="&amp;FINANCIACION[[#This Row],[Fecha]],FINANCIACION[PRESTAMO],FINANCIACION[[#This Row],[PRESTAMO]])</f>
        <v>-174000000</v>
      </c>
      <c r="G741" s="113"/>
      <c r="H741" s="119" t="s">
        <v>1639</v>
      </c>
      <c r="I741" s="119"/>
      <c r="J741" s="113" t="b">
        <f>+IF(FINANCIACION[[#This Row],[$ CAPITAL]]&gt;0,FINANCIACION[[#This Row],[$ CAPITAL]])</f>
        <v>0</v>
      </c>
      <c r="K741" s="120">
        <f>+IF(FINANCIACION[[#This Row],[$ CAPITAL]]&gt;=0,FINANCIACION[[#This Row],[$ CAPITAL]]+FINANCIACION[[#This Row],[$ INTERESES]],0)</f>
        <v>0</v>
      </c>
    </row>
    <row r="742" spans="1:11" ht="24" customHeight="1" x14ac:dyDescent="0.3">
      <c r="A742" s="112">
        <v>45334</v>
      </c>
      <c r="B742" s="118" t="s">
        <v>348</v>
      </c>
      <c r="C742" s="113">
        <f>1300000-FINANCIACION[[#This Row],[$ INTERESES]]</f>
        <v>1202385.9099999999</v>
      </c>
      <c r="D742" s="113">
        <f>9761409*0.01</f>
        <v>97614.09</v>
      </c>
      <c r="E742" s="113">
        <f>+IF(FINANCIACION[[#This Row],[$ CAPITAL]]&gt;=0,FINANCIACION[[#This Row],[$ CAPITAL]]+FINANCIACION[[#This Row],[$ INTERESES]],"")</f>
        <v>1300000</v>
      </c>
      <c r="F742" s="113">
        <f>+SUMIFS(FINANCIACION[$ CAPITAL],FINANCIACION[Fecha],"&lt;="&amp;FINANCIACION[[#This Row],[Fecha]],FINANCIACION[PRESTAMO],FINANCIACION[[#This Row],[PRESTAMO]])</f>
        <v>-8559023.0422773473</v>
      </c>
      <c r="G742" s="113"/>
      <c r="I742" s="119"/>
      <c r="J742" s="113">
        <f>+IF(FINANCIACION[[#This Row],[$ CAPITAL]]&gt;0,FINANCIACION[[#This Row],[$ CAPITAL]])</f>
        <v>1202385.9099999999</v>
      </c>
      <c r="K742" s="120">
        <f>+IF(FINANCIACION[[#This Row],[$ CAPITAL]]&gt;=0,FINANCIACION[[#This Row],[$ CAPITAL]]+FINANCIACION[[#This Row],[$ INTERESES]],0)</f>
        <v>1300000</v>
      </c>
    </row>
    <row r="743" spans="1:11" ht="24" customHeight="1" x14ac:dyDescent="0.3">
      <c r="A743" s="112">
        <v>45334</v>
      </c>
      <c r="B743" s="118" t="s">
        <v>346</v>
      </c>
      <c r="C743" s="113">
        <f>2000000-FINANCIACION[[#This Row],[$ INTERESES]]</f>
        <v>1611927.01</v>
      </c>
      <c r="D743" s="113">
        <f>38807299*0.01</f>
        <v>388072.99</v>
      </c>
      <c r="E743" s="113">
        <f>+IF(FINANCIACION[[#This Row],[$ CAPITAL]]&gt;=0,FINANCIACION[[#This Row],[$ CAPITAL]]+FINANCIACION[[#This Row],[$ INTERESES]],"")</f>
        <v>2000000</v>
      </c>
      <c r="F743" s="113">
        <f>+SUMIFS(FINANCIACION[$ CAPITAL],FINANCIACION[Fecha],"&lt;="&amp;FINANCIACION[[#This Row],[Fecha]],FINANCIACION[PRESTAMO],FINANCIACION[[#This Row],[PRESTAMO]])</f>
        <v>-37195371.62256287</v>
      </c>
      <c r="G743" s="113"/>
      <c r="I743" s="119"/>
      <c r="J743" s="113">
        <f>+IF(FINANCIACION[[#This Row],[$ CAPITAL]]&gt;0,FINANCIACION[[#This Row],[$ CAPITAL]])</f>
        <v>1611927.01</v>
      </c>
      <c r="K743" s="120">
        <f>+IF(FINANCIACION[[#This Row],[$ CAPITAL]]&gt;=0,FINANCIACION[[#This Row],[$ CAPITAL]]+FINANCIACION[[#This Row],[$ INTERESES]],0)</f>
        <v>2000000</v>
      </c>
    </row>
    <row r="744" spans="1:11" ht="24" customHeight="1" x14ac:dyDescent="0.3">
      <c r="A744" s="112">
        <v>45334</v>
      </c>
      <c r="B744" s="118" t="s">
        <v>351</v>
      </c>
      <c r="C744" s="113"/>
      <c r="D744" s="113">
        <v>130000</v>
      </c>
      <c r="E744" s="113">
        <f>+IF(FINANCIACION[[#This Row],[$ CAPITAL]]&gt;=0,FINANCIACION[[#This Row],[$ CAPITAL]]+FINANCIACION[[#This Row],[$ INTERESES]],"")</f>
        <v>130000</v>
      </c>
      <c r="F744" s="113">
        <f>+SUMIFS(FINANCIACION[$ CAPITAL],FINANCIACION[Fecha],"&lt;="&amp;FINANCIACION[[#This Row],[Fecha]],FINANCIACION[PRESTAMO],FINANCIACION[[#This Row],[PRESTAMO]])</f>
        <v>-13000000</v>
      </c>
      <c r="G744" s="113"/>
      <c r="I744" s="119"/>
      <c r="J744" s="113" t="b">
        <f>+IF(FINANCIACION[[#This Row],[$ CAPITAL]]&gt;0,FINANCIACION[[#This Row],[$ CAPITAL]])</f>
        <v>0</v>
      </c>
      <c r="K744" s="120">
        <f>+IF(FINANCIACION[[#This Row],[$ CAPITAL]]&gt;=0,FINANCIACION[[#This Row],[$ CAPITAL]]+FINANCIACION[[#This Row],[$ INTERESES]],0)</f>
        <v>130000</v>
      </c>
    </row>
    <row r="745" spans="1:11" ht="24" customHeight="1" x14ac:dyDescent="0.3">
      <c r="A745" s="112">
        <v>45334</v>
      </c>
      <c r="B745" s="118" t="s">
        <v>353</v>
      </c>
      <c r="C745" s="113"/>
      <c r="D745" s="113">
        <v>350000</v>
      </c>
      <c r="E745" s="113">
        <f>+IF(FINANCIACION[[#This Row],[$ CAPITAL]]&gt;=0,FINANCIACION[[#This Row],[$ CAPITAL]]+FINANCIACION[[#This Row],[$ INTERESES]],"")</f>
        <v>350000</v>
      </c>
      <c r="F745" s="113">
        <f>+SUMIFS(FINANCIACION[$ CAPITAL],FINANCIACION[Fecha],"&lt;="&amp;FINANCIACION[[#This Row],[Fecha]],FINANCIACION[PRESTAMO],FINANCIACION[[#This Row],[PRESTAMO]])</f>
        <v>-35000000</v>
      </c>
      <c r="G745" s="113"/>
      <c r="I745" s="119"/>
      <c r="J745" s="113" t="b">
        <f>+IF(FINANCIACION[[#This Row],[$ CAPITAL]]&gt;0,FINANCIACION[[#This Row],[$ CAPITAL]])</f>
        <v>0</v>
      </c>
      <c r="K745" s="120">
        <f>+IF(FINANCIACION[[#This Row],[$ CAPITAL]]&gt;=0,FINANCIACION[[#This Row],[$ CAPITAL]]+FINANCIACION[[#This Row],[$ INTERESES]],0)</f>
        <v>350000</v>
      </c>
    </row>
    <row r="746" spans="1:11" ht="24" customHeight="1" x14ac:dyDescent="0.3">
      <c r="A746" s="112">
        <v>45335</v>
      </c>
      <c r="B746" s="118" t="s">
        <v>345</v>
      </c>
      <c r="C746" s="113">
        <f>1000000-FINANCIACION[[#This Row],[$ INTERESES]]</f>
        <v>710770.47</v>
      </c>
      <c r="D746" s="113">
        <f>28922953*0.01</f>
        <v>289229.53000000003</v>
      </c>
      <c r="E746" s="113">
        <f>+IF(FINANCIACION[[#This Row],[$ CAPITAL]]&gt;=0,FINANCIACION[[#This Row],[$ CAPITAL]]+FINANCIACION[[#This Row],[$ INTERESES]],"")</f>
        <v>1000000</v>
      </c>
      <c r="F746" s="113">
        <f>+SUMIFS(FINANCIACION[$ CAPITAL],FINANCIACION[Fecha],"&lt;="&amp;FINANCIACION[[#This Row],[Fecha]],FINANCIACION[PRESTAMO],FINANCIACION[[#This Row],[PRESTAMO]])</f>
        <v>-28212182.909624796</v>
      </c>
      <c r="G746" s="113"/>
      <c r="I746" s="119"/>
      <c r="J746" s="113">
        <f>+IF(FINANCIACION[[#This Row],[$ CAPITAL]]&gt;0,FINANCIACION[[#This Row],[$ CAPITAL]])</f>
        <v>710770.47</v>
      </c>
      <c r="K746" s="120">
        <f>+IF(FINANCIACION[[#This Row],[$ CAPITAL]]&gt;=0,FINANCIACION[[#This Row],[$ CAPITAL]]+FINANCIACION[[#This Row],[$ INTERESES]],0)</f>
        <v>1000000</v>
      </c>
    </row>
    <row r="747" spans="1:11" ht="24" customHeight="1" x14ac:dyDescent="0.3">
      <c r="A747" s="112">
        <v>45335</v>
      </c>
      <c r="B747" s="118" t="s">
        <v>679</v>
      </c>
      <c r="C747" s="113"/>
      <c r="D747" s="113">
        <v>700000</v>
      </c>
      <c r="E747" s="113">
        <f>+IF(FINANCIACION[[#This Row],[$ CAPITAL]]&gt;=0,FINANCIACION[[#This Row],[$ CAPITAL]]+FINANCIACION[[#This Row],[$ INTERESES]],"")</f>
        <v>700000</v>
      </c>
      <c r="F747" s="113">
        <f>+SUMIFS(FINANCIACION[$ CAPITAL],FINANCIACION[Fecha],"&lt;="&amp;FINANCIACION[[#This Row],[Fecha]],FINANCIACION[PRESTAMO],FINANCIACION[[#This Row],[PRESTAMO]])</f>
        <v>-70000000</v>
      </c>
      <c r="G747" s="113"/>
      <c r="I747" s="119"/>
      <c r="J747" s="113" t="b">
        <f>+IF(FINANCIACION[[#This Row],[$ CAPITAL]]&gt;0,FINANCIACION[[#This Row],[$ CAPITAL]])</f>
        <v>0</v>
      </c>
      <c r="K747" s="120">
        <f>+IF(FINANCIACION[[#This Row],[$ CAPITAL]]&gt;=0,FINANCIACION[[#This Row],[$ CAPITAL]]+FINANCIACION[[#This Row],[$ INTERESES]],0)</f>
        <v>700000</v>
      </c>
    </row>
    <row r="748" spans="1:11" ht="24" customHeight="1" x14ac:dyDescent="0.3">
      <c r="A748" s="112">
        <v>45331</v>
      </c>
      <c r="B748" s="118" t="s">
        <v>619</v>
      </c>
      <c r="C748" s="113">
        <v>1889477</v>
      </c>
      <c r="D748" s="113">
        <v>35070</v>
      </c>
      <c r="E748" s="113">
        <f>+IF(FINANCIACION[[#This Row],[$ CAPITAL]]&gt;=0,FINANCIACION[[#This Row],[$ CAPITAL]]+FINANCIACION[[#This Row],[$ INTERESES]],"")</f>
        <v>1924547</v>
      </c>
      <c r="F748" s="113">
        <f>+SUMIFS(FINANCIACION[$ CAPITAL],FINANCIACION[Fecha],"&lt;="&amp;FINANCIACION[[#This Row],[Fecha]],FINANCIACION[PRESTAMO],FINANCIACION[[#This Row],[PRESTAMO]])</f>
        <v>0</v>
      </c>
      <c r="G748" s="103"/>
      <c r="I748" s="119"/>
      <c r="J748" s="113">
        <f>+IF(FINANCIACION[[#This Row],[$ CAPITAL]]&gt;0,FINANCIACION[[#This Row],[$ CAPITAL]])</f>
        <v>1889477</v>
      </c>
      <c r="K748" s="120">
        <f>+IF(FINANCIACION[[#This Row],[$ CAPITAL]]&gt;=0,FINANCIACION[[#This Row],[$ CAPITAL]]+FINANCIACION[[#This Row],[$ INTERESES]],0)</f>
        <v>1924547</v>
      </c>
    </row>
    <row r="749" spans="1:11" ht="24" customHeight="1" x14ac:dyDescent="0.3">
      <c r="A749" s="112">
        <v>45351</v>
      </c>
      <c r="B749" s="118" t="s">
        <v>1431</v>
      </c>
      <c r="C749" s="113">
        <v>1468400</v>
      </c>
      <c r="D749" s="113">
        <v>47767</v>
      </c>
      <c r="E749" s="113">
        <f>+IF(FINANCIACION[[#This Row],[$ CAPITAL]]&gt;=0,FINANCIACION[[#This Row],[$ CAPITAL]]+FINANCIACION[[#This Row],[$ INTERESES]],"")</f>
        <v>1516167</v>
      </c>
      <c r="F749" s="113">
        <f>+SUMIFS(FINANCIACION[$ CAPITAL],FINANCIACION[Fecha],"&lt;="&amp;FINANCIACION[[#This Row],[Fecha]],FINANCIACION[PRESTAMO],FINANCIACION[[#This Row],[PRESTAMO]])</f>
        <v>-1468400</v>
      </c>
      <c r="G749" s="103"/>
      <c r="I749" s="119"/>
      <c r="J749" s="113">
        <f>+IF(FINANCIACION[[#This Row],[$ CAPITAL]]&gt;0,FINANCIACION[[#This Row],[$ CAPITAL]])</f>
        <v>1468400</v>
      </c>
      <c r="K749" s="120">
        <f>+IF(FINANCIACION[[#This Row],[$ CAPITAL]]&gt;=0,FINANCIACION[[#This Row],[$ CAPITAL]]+FINANCIACION[[#This Row],[$ INTERESES]],0)</f>
        <v>1516167</v>
      </c>
    </row>
    <row r="750" spans="1:11" ht="24" customHeight="1" x14ac:dyDescent="0.3">
      <c r="A750" s="112">
        <v>45342</v>
      </c>
      <c r="B750" s="118" t="s">
        <v>1295</v>
      </c>
      <c r="C750" s="113">
        <v>2778000</v>
      </c>
      <c r="D750" s="113">
        <f>1492529.28-1473.65</f>
        <v>1491055.6300000001</v>
      </c>
      <c r="E750" s="113">
        <f>+IF(FINANCIACION[[#This Row],[$ CAPITAL]]&gt;=0,FINANCIACION[[#This Row],[$ CAPITAL]]+FINANCIACION[[#This Row],[$ INTERESES]],"")</f>
        <v>4269055.63</v>
      </c>
      <c r="F750" s="113">
        <f>+SUMIFS(FINANCIACION[$ CAPITAL],FINANCIACION[Fecha],"&lt;="&amp;FINANCIACION[[#This Row],[Fecha]],FINANCIACION[PRESTAMO],FINANCIACION[[#This Row],[PRESTAMO]])</f>
        <v>-94444000</v>
      </c>
      <c r="G750" s="103"/>
      <c r="I750" s="119"/>
      <c r="J750" s="113">
        <f>+IF(FINANCIACION[[#This Row],[$ CAPITAL]]&gt;0,FINANCIACION[[#This Row],[$ CAPITAL]])</f>
        <v>2778000</v>
      </c>
      <c r="K750" s="120">
        <f>+IF(FINANCIACION[[#This Row],[$ CAPITAL]]&gt;=0,FINANCIACION[[#This Row],[$ CAPITAL]]+FINANCIACION[[#This Row],[$ INTERESES]],0)</f>
        <v>4269055.63</v>
      </c>
    </row>
    <row r="751" spans="1:11" ht="24" customHeight="1" x14ac:dyDescent="0.3">
      <c r="A751" s="112">
        <v>45324</v>
      </c>
      <c r="B751" s="118" t="s">
        <v>620</v>
      </c>
      <c r="C751" s="113">
        <v>-935858</v>
      </c>
      <c r="D751" s="113"/>
      <c r="E751" s="113" t="str">
        <f>+IF(FINANCIACION[[#This Row],[$ CAPITAL]]&gt;=0,FINANCIACION[[#This Row],[$ CAPITAL]]+FINANCIACION[[#This Row],[$ INTERESES]],"")</f>
        <v/>
      </c>
      <c r="F751" s="113">
        <f>+SUMIFS(FINANCIACION[$ CAPITAL],FINANCIACION[Fecha],"&lt;="&amp;FINANCIACION[[#This Row],[Fecha]],FINANCIACION[PRESTAMO],FINANCIACION[[#This Row],[PRESTAMO]])</f>
        <v>-60935858</v>
      </c>
      <c r="G751" s="103"/>
      <c r="H751" s="119" t="s">
        <v>1597</v>
      </c>
      <c r="I751" s="119"/>
      <c r="J751" s="113" t="b">
        <f>+IF(FINANCIACION[[#This Row],[$ CAPITAL]]&gt;0,FINANCIACION[[#This Row],[$ CAPITAL]])</f>
        <v>0</v>
      </c>
      <c r="K751" s="120">
        <f>+IF(FINANCIACION[[#This Row],[$ CAPITAL]]&gt;=0,FINANCIACION[[#This Row],[$ CAPITAL]]+FINANCIACION[[#This Row],[$ INTERESES]],0)</f>
        <v>0</v>
      </c>
    </row>
    <row r="752" spans="1:11" ht="24" customHeight="1" x14ac:dyDescent="0.3">
      <c r="A752" s="112">
        <v>45357</v>
      </c>
      <c r="B752" s="118" t="s">
        <v>620</v>
      </c>
      <c r="C752" s="113">
        <f>3780460-900000</f>
        <v>2880460</v>
      </c>
      <c r="D752" s="113">
        <v>900000</v>
      </c>
      <c r="E752" s="113">
        <f>+IF(FINANCIACION[[#This Row],[$ CAPITAL]]&gt;=0,FINANCIACION[[#This Row],[$ CAPITAL]]+FINANCIACION[[#This Row],[$ INTERESES]],"")</f>
        <v>3780460</v>
      </c>
      <c r="F752" s="113">
        <f>+SUMIFS(FINANCIACION[$ CAPITAL],FINANCIACION[Fecha],"&lt;="&amp;FINANCIACION[[#This Row],[Fecha]],FINANCIACION[PRESTAMO],FINANCIACION[[#This Row],[PRESTAMO]])</f>
        <v>-58055398</v>
      </c>
      <c r="G752" s="103"/>
      <c r="I752" s="119"/>
      <c r="J752" s="113">
        <f>+IF(FINANCIACION[[#This Row],[$ CAPITAL]]&gt;0,FINANCIACION[[#This Row],[$ CAPITAL]])</f>
        <v>2880460</v>
      </c>
      <c r="K752" s="120">
        <f>+IF(FINANCIACION[[#This Row],[$ CAPITAL]]&gt;=0,FINANCIACION[[#This Row],[$ CAPITAL]]+FINANCIACION[[#This Row],[$ INTERESES]],0)</f>
        <v>3780460</v>
      </c>
    </row>
    <row r="753" spans="1:11" ht="24" customHeight="1" x14ac:dyDescent="0.3">
      <c r="A753" s="112">
        <v>45351</v>
      </c>
      <c r="B753" s="118" t="s">
        <v>1400</v>
      </c>
      <c r="C753" s="113">
        <v>3208618</v>
      </c>
      <c r="D753" s="113"/>
      <c r="E753" s="113">
        <f>+IF(FINANCIACION[[#This Row],[$ CAPITAL]]&gt;=0,FINANCIACION[[#This Row],[$ CAPITAL]]+FINANCIACION[[#This Row],[$ INTERESES]],"")</f>
        <v>3208618</v>
      </c>
      <c r="F753" s="113">
        <f>+SUMIFS(FINANCIACION[$ CAPITAL],FINANCIACION[Fecha],"&lt;="&amp;FINANCIACION[[#This Row],[Fecha]],FINANCIACION[PRESTAMO],FINANCIACION[[#This Row],[PRESTAMO]])</f>
        <v>-8411128</v>
      </c>
      <c r="G753" s="103"/>
      <c r="H753" s="119" t="s">
        <v>144</v>
      </c>
      <c r="I753" s="119"/>
      <c r="J753" s="113">
        <f>+IF(FINANCIACION[[#This Row],[$ CAPITAL]]&gt;0,FINANCIACION[[#This Row],[$ CAPITAL]])</f>
        <v>3208618</v>
      </c>
      <c r="K753" s="120">
        <f>+IF(FINANCIACION[[#This Row],[$ CAPITAL]]&gt;=0,FINANCIACION[[#This Row],[$ CAPITAL]]+FINANCIACION[[#This Row],[$ INTERESES]],0)</f>
        <v>3208618</v>
      </c>
    </row>
    <row r="754" spans="1:11" ht="24" customHeight="1" x14ac:dyDescent="0.3">
      <c r="A754" s="112">
        <v>45363</v>
      </c>
      <c r="B754" s="118" t="s">
        <v>348</v>
      </c>
      <c r="C754" s="113">
        <f>1300000-FINANCIACION[[#This Row],[$ INTERESES]]</f>
        <v>1214409.77</v>
      </c>
      <c r="D754" s="113">
        <f>8559023*0.01</f>
        <v>85590.23</v>
      </c>
      <c r="E754" s="113">
        <f>+IF(FINANCIACION[[#This Row],[$ CAPITAL]]&gt;=0,FINANCIACION[[#This Row],[$ CAPITAL]]+FINANCIACION[[#This Row],[$ INTERESES]],"")</f>
        <v>1300000</v>
      </c>
      <c r="F754" s="113">
        <f>+SUMIFS(FINANCIACION[$ CAPITAL],FINANCIACION[Fecha],"&lt;="&amp;FINANCIACION[[#This Row],[Fecha]],FINANCIACION[PRESTAMO],FINANCIACION[[#This Row],[PRESTAMO]])</f>
        <v>-7344613.2722773477</v>
      </c>
      <c r="G754" s="113"/>
      <c r="I754" s="119"/>
      <c r="J754" s="113">
        <f>+IF(FINANCIACION[[#This Row],[$ CAPITAL]]&gt;0,FINANCIACION[[#This Row],[$ CAPITAL]])</f>
        <v>1214409.77</v>
      </c>
      <c r="K754" s="120">
        <f>+IF(FINANCIACION[[#This Row],[$ CAPITAL]]&gt;=0,FINANCIACION[[#This Row],[$ CAPITAL]]+FINANCIACION[[#This Row],[$ INTERESES]],0)</f>
        <v>1300000</v>
      </c>
    </row>
    <row r="755" spans="1:11" ht="24" customHeight="1" x14ac:dyDescent="0.3">
      <c r="A755" s="112">
        <v>45363</v>
      </c>
      <c r="B755" s="118" t="s">
        <v>351</v>
      </c>
      <c r="C755" s="113"/>
      <c r="D755" s="113">
        <v>130000</v>
      </c>
      <c r="E755" s="113">
        <f>+IF(FINANCIACION[[#This Row],[$ CAPITAL]]&gt;=0,FINANCIACION[[#This Row],[$ CAPITAL]]+FINANCIACION[[#This Row],[$ INTERESES]],"")</f>
        <v>130000</v>
      </c>
      <c r="F755" s="113">
        <f>+SUMIFS(FINANCIACION[$ CAPITAL],FINANCIACION[Fecha],"&lt;="&amp;FINANCIACION[[#This Row],[Fecha]],FINANCIACION[PRESTAMO],FINANCIACION[[#This Row],[PRESTAMO]])</f>
        <v>-13000000</v>
      </c>
      <c r="G755" s="113"/>
      <c r="I755" s="119"/>
      <c r="J755" s="113" t="b">
        <f>+IF(FINANCIACION[[#This Row],[$ CAPITAL]]&gt;0,FINANCIACION[[#This Row],[$ CAPITAL]])</f>
        <v>0</v>
      </c>
      <c r="K755" s="120">
        <f>+IF(FINANCIACION[[#This Row],[$ CAPITAL]]&gt;=0,FINANCIACION[[#This Row],[$ CAPITAL]]+FINANCIACION[[#This Row],[$ INTERESES]],0)</f>
        <v>130000</v>
      </c>
    </row>
    <row r="756" spans="1:11" ht="24" customHeight="1" x14ac:dyDescent="0.3">
      <c r="A756" s="112">
        <v>45363</v>
      </c>
      <c r="B756" s="118" t="s">
        <v>346</v>
      </c>
      <c r="C756" s="113">
        <f>2000000-FINANCIACION[[#This Row],[$ INTERESES]]</f>
        <v>1628046.28</v>
      </c>
      <c r="D756" s="113">
        <f>37195372*0.01</f>
        <v>371953.72000000003</v>
      </c>
      <c r="E756" s="113">
        <f>+IF(FINANCIACION[[#This Row],[$ CAPITAL]]&gt;=0,FINANCIACION[[#This Row],[$ CAPITAL]]+FINANCIACION[[#This Row],[$ INTERESES]],"")</f>
        <v>2000000</v>
      </c>
      <c r="F756" s="113">
        <f>+SUMIFS(FINANCIACION[$ CAPITAL],FINANCIACION[Fecha],"&lt;="&amp;FINANCIACION[[#This Row],[Fecha]],FINANCIACION[PRESTAMO],FINANCIACION[[#This Row],[PRESTAMO]])</f>
        <v>-35567325.342562869</v>
      </c>
      <c r="G756" s="113"/>
      <c r="I756" s="119"/>
      <c r="J756" s="113">
        <f>+IF(FINANCIACION[[#This Row],[$ CAPITAL]]&gt;0,FINANCIACION[[#This Row],[$ CAPITAL]])</f>
        <v>1628046.28</v>
      </c>
      <c r="K756" s="120">
        <f>+IF(FINANCIACION[[#This Row],[$ CAPITAL]]&gt;=0,FINANCIACION[[#This Row],[$ CAPITAL]]+FINANCIACION[[#This Row],[$ INTERESES]],0)</f>
        <v>2000000</v>
      </c>
    </row>
    <row r="757" spans="1:11" ht="24" customHeight="1" x14ac:dyDescent="0.3">
      <c r="A757" s="112">
        <v>45363</v>
      </c>
      <c r="B757" s="118" t="s">
        <v>353</v>
      </c>
      <c r="C757" s="113"/>
      <c r="D757" s="113">
        <v>350000</v>
      </c>
      <c r="E757" s="113">
        <f>+IF(FINANCIACION[[#This Row],[$ CAPITAL]]&gt;=0,FINANCIACION[[#This Row],[$ CAPITAL]]+FINANCIACION[[#This Row],[$ INTERESES]],"")</f>
        <v>350000</v>
      </c>
      <c r="F757" s="113">
        <f>+SUMIFS(FINANCIACION[$ CAPITAL],FINANCIACION[Fecha],"&lt;="&amp;FINANCIACION[[#This Row],[Fecha]],FINANCIACION[PRESTAMO],FINANCIACION[[#This Row],[PRESTAMO]])</f>
        <v>-35000000</v>
      </c>
      <c r="G757" s="113"/>
      <c r="I757" s="119"/>
      <c r="J757" s="113" t="b">
        <f>+IF(FINANCIACION[[#This Row],[$ CAPITAL]]&gt;0,FINANCIACION[[#This Row],[$ CAPITAL]])</f>
        <v>0</v>
      </c>
      <c r="K757" s="120">
        <f>+IF(FINANCIACION[[#This Row],[$ CAPITAL]]&gt;=0,FINANCIACION[[#This Row],[$ CAPITAL]]+FINANCIACION[[#This Row],[$ INTERESES]],0)</f>
        <v>350000</v>
      </c>
    </row>
    <row r="758" spans="1:11" ht="24" customHeight="1" x14ac:dyDescent="0.3">
      <c r="A758" s="112">
        <v>45363</v>
      </c>
      <c r="B758" s="118" t="s">
        <v>345</v>
      </c>
      <c r="C758" s="113">
        <f>1000000-FINANCIACION[[#This Row],[$ INTERESES]]</f>
        <v>717878.16999999993</v>
      </c>
      <c r="D758" s="113">
        <f>28212183*0.01</f>
        <v>282121.83</v>
      </c>
      <c r="E758" s="113">
        <f>+IF(FINANCIACION[[#This Row],[$ CAPITAL]]&gt;=0,FINANCIACION[[#This Row],[$ CAPITAL]]+FINANCIACION[[#This Row],[$ INTERESES]],"")</f>
        <v>1000000</v>
      </c>
      <c r="F758" s="113">
        <f>+SUMIFS(FINANCIACION[$ CAPITAL],FINANCIACION[Fecha],"&lt;="&amp;FINANCIACION[[#This Row],[Fecha]],FINANCIACION[PRESTAMO],FINANCIACION[[#This Row],[PRESTAMO]])</f>
        <v>-27494304.739624798</v>
      </c>
      <c r="G758" s="113"/>
      <c r="I758" s="119"/>
      <c r="J758" s="113">
        <f>+IF(FINANCIACION[[#This Row],[$ CAPITAL]]&gt;0,FINANCIACION[[#This Row],[$ CAPITAL]])</f>
        <v>717878.16999999993</v>
      </c>
      <c r="K758" s="120">
        <f>+IF(FINANCIACION[[#This Row],[$ CAPITAL]]&gt;=0,FINANCIACION[[#This Row],[$ CAPITAL]]+FINANCIACION[[#This Row],[$ INTERESES]],0)</f>
        <v>1000000</v>
      </c>
    </row>
    <row r="759" spans="1:11" ht="24" customHeight="1" x14ac:dyDescent="0.3">
      <c r="A759" s="112">
        <v>45363</v>
      </c>
      <c r="B759" s="118" t="s">
        <v>679</v>
      </c>
      <c r="C759" s="113"/>
      <c r="D759" s="113">
        <v>700000</v>
      </c>
      <c r="E759" s="113">
        <f>+IF(FINANCIACION[[#This Row],[$ CAPITAL]]&gt;=0,FINANCIACION[[#This Row],[$ CAPITAL]]+FINANCIACION[[#This Row],[$ INTERESES]],"")</f>
        <v>700000</v>
      </c>
      <c r="F759" s="113">
        <f>+SUMIFS(FINANCIACION[$ CAPITAL],FINANCIACION[Fecha],"&lt;="&amp;FINANCIACION[[#This Row],[Fecha]],FINANCIACION[PRESTAMO],FINANCIACION[[#This Row],[PRESTAMO]])</f>
        <v>-70000000</v>
      </c>
      <c r="G759" s="113"/>
      <c r="I759" s="119"/>
      <c r="J759" s="113" t="b">
        <f>+IF(FINANCIACION[[#This Row],[$ CAPITAL]]&gt;0,FINANCIACION[[#This Row],[$ CAPITAL]])</f>
        <v>0</v>
      </c>
      <c r="K759" s="120">
        <f>+IF(FINANCIACION[[#This Row],[$ CAPITAL]]&gt;=0,FINANCIACION[[#This Row],[$ CAPITAL]]+FINANCIACION[[#This Row],[$ INTERESES]],0)</f>
        <v>700000</v>
      </c>
    </row>
    <row r="760" spans="1:11" ht="24" customHeight="1" x14ac:dyDescent="0.3">
      <c r="A760" s="112">
        <v>45369</v>
      </c>
      <c r="B760" s="118" t="s">
        <v>347</v>
      </c>
      <c r="C760" s="113">
        <f>7167275-FINANCIACION[[#This Row],[$ INTERESES]]</f>
        <v>2694368</v>
      </c>
      <c r="D760" s="113">
        <f>3916692+174929+381286</f>
        <v>4472907</v>
      </c>
      <c r="E760" s="113">
        <f>+IF(FINANCIACION[[#This Row],[$ CAPITAL]]&gt;=0,FINANCIACION[[#This Row],[$ CAPITAL]]+FINANCIACION[[#This Row],[$ INTERESES]],"")</f>
        <v>7167275</v>
      </c>
      <c r="F760" s="113">
        <f>+SUMIFS(FINANCIACION[$ CAPITAL],FINANCIACION[Fecha],"&lt;="&amp;FINANCIACION[[#This Row],[Fecha]],FINANCIACION[PRESTAMO],FINANCIACION[[#This Row],[PRESTAMO]])</f>
        <v>-226440584</v>
      </c>
      <c r="G760" s="113" t="s">
        <v>1517</v>
      </c>
      <c r="I760" s="119"/>
      <c r="J760" s="113">
        <f>+IF(FINANCIACION[[#This Row],[$ CAPITAL]]&gt;0,FINANCIACION[[#This Row],[$ CAPITAL]])</f>
        <v>2694368</v>
      </c>
      <c r="K760" s="120">
        <f>+IF(FINANCIACION[[#This Row],[$ CAPITAL]]&gt;=0,FINANCIACION[[#This Row],[$ CAPITAL]]+FINANCIACION[[#This Row],[$ INTERESES]],0)</f>
        <v>7167275</v>
      </c>
    </row>
    <row r="761" spans="1:11" ht="24" customHeight="1" x14ac:dyDescent="0.3">
      <c r="A761" s="112">
        <v>45370</v>
      </c>
      <c r="B761" s="118" t="s">
        <v>349</v>
      </c>
      <c r="C761" s="113">
        <v>-26000000</v>
      </c>
      <c r="D761" s="113"/>
      <c r="E761" s="113" t="str">
        <f>+IF(FINANCIACION[[#This Row],[$ CAPITAL]]&gt;=0,FINANCIACION[[#This Row],[$ CAPITAL]]+FINANCIACION[[#This Row],[$ INTERESES]],"")</f>
        <v/>
      </c>
      <c r="F761" s="113">
        <f>+SUMIFS(FINANCIACION[$ CAPITAL],FINANCIACION[Fecha],"&lt;="&amp;FINANCIACION[[#This Row],[Fecha]],FINANCIACION[PRESTAMO],FINANCIACION[[#This Row],[PRESTAMO]])</f>
        <v>-200000000</v>
      </c>
      <c r="G761" s="113"/>
      <c r="H761" s="119" t="s">
        <v>1639</v>
      </c>
      <c r="I761" s="119"/>
      <c r="J761" s="113" t="b">
        <f>+IF(FINANCIACION[[#This Row],[$ CAPITAL]]&gt;0,FINANCIACION[[#This Row],[$ CAPITAL]])</f>
        <v>0</v>
      </c>
      <c r="K761" s="120">
        <f>+IF(FINANCIACION[[#This Row],[$ CAPITAL]]&gt;=0,FINANCIACION[[#This Row],[$ CAPITAL]]+FINANCIACION[[#This Row],[$ INTERESES]],0)</f>
        <v>0</v>
      </c>
    </row>
    <row r="762" spans="1:11" ht="24" customHeight="1" x14ac:dyDescent="0.3">
      <c r="A762" s="112">
        <v>45371</v>
      </c>
      <c r="B762" s="118" t="s">
        <v>1295</v>
      </c>
      <c r="C762" s="113">
        <v>2778000</v>
      </c>
      <c r="D762" s="113">
        <v>1400488.28</v>
      </c>
      <c r="E762" s="113">
        <f>+IF(FINANCIACION[[#This Row],[$ CAPITAL]]&gt;=0,FINANCIACION[[#This Row],[$ CAPITAL]]+FINANCIACION[[#This Row],[$ INTERESES]],"")</f>
        <v>4178488.2800000003</v>
      </c>
      <c r="F762" s="113">
        <f>+SUMIFS(FINANCIACION[$ CAPITAL],FINANCIACION[Fecha],"&lt;="&amp;FINANCIACION[[#This Row],[Fecha]],FINANCIACION[PRESTAMO],FINANCIACION[[#This Row],[PRESTAMO]])</f>
        <v>-91666000</v>
      </c>
      <c r="G762" s="113"/>
      <c r="I762" s="119"/>
      <c r="J762" s="113">
        <f>+IF(FINANCIACION[[#This Row],[$ CAPITAL]]&gt;0,FINANCIACION[[#This Row],[$ CAPITAL]])</f>
        <v>2778000</v>
      </c>
      <c r="K762" s="120">
        <f>+IF(FINANCIACION[[#This Row],[$ CAPITAL]]&gt;=0,FINANCIACION[[#This Row],[$ CAPITAL]]+FINANCIACION[[#This Row],[$ INTERESES]],0)</f>
        <v>4178488.2800000003</v>
      </c>
    </row>
    <row r="763" spans="1:11" ht="24" customHeight="1" x14ac:dyDescent="0.3">
      <c r="A763" s="112">
        <v>45291</v>
      </c>
      <c r="B763" s="118" t="s">
        <v>347</v>
      </c>
      <c r="C763" s="113">
        <v>20666178</v>
      </c>
      <c r="D763" s="113"/>
      <c r="E763" s="113">
        <f>+IF(FINANCIACION[[#This Row],[$ CAPITAL]]&gt;=0,FINANCIACION[[#This Row],[$ CAPITAL]]+FINANCIACION[[#This Row],[$ INTERESES]],"")</f>
        <v>20666178</v>
      </c>
      <c r="F763" s="113">
        <f>+SUMIFS(FINANCIACION[$ CAPITAL],FINANCIACION[Fecha],"&lt;="&amp;FINANCIACION[[#This Row],[Fecha]],FINANCIACION[PRESTAMO],FINANCIACION[[#This Row],[PRESTAMO]])</f>
        <v>-318824853</v>
      </c>
      <c r="G763" s="113"/>
      <c r="H763" s="119" t="s">
        <v>897</v>
      </c>
      <c r="I763" s="119"/>
      <c r="J763" s="113">
        <f>+IF(FINANCIACION[[#This Row],[$ CAPITAL]]&gt;0,FINANCIACION[[#This Row],[$ CAPITAL]])</f>
        <v>20666178</v>
      </c>
      <c r="K763" s="120">
        <f>+IF(FINANCIACION[[#This Row],[$ CAPITAL]]&gt;=0,FINANCIACION[[#This Row],[$ CAPITAL]]+FINANCIACION[[#This Row],[$ INTERESES]],0)</f>
        <v>20666178</v>
      </c>
    </row>
    <row r="764" spans="1:11" ht="24" customHeight="1" x14ac:dyDescent="0.3">
      <c r="A764" s="112">
        <v>45385</v>
      </c>
      <c r="B764" s="118" t="s">
        <v>620</v>
      </c>
      <c r="C764" s="113">
        <v>1126394</v>
      </c>
      <c r="D764" s="113">
        <v>1384063</v>
      </c>
      <c r="E764" s="113">
        <f>+IF(FINANCIACION[[#This Row],[$ CAPITAL]]&gt;=0,FINANCIACION[[#This Row],[$ CAPITAL]]+FINANCIACION[[#This Row],[$ INTERESES]],"")</f>
        <v>2510457</v>
      </c>
      <c r="F764" s="113">
        <f>+SUMIFS(FINANCIACION[$ CAPITAL],FINANCIACION[Fecha],"&lt;="&amp;FINANCIACION[[#This Row],[Fecha]],FINANCIACION[PRESTAMO],FINANCIACION[[#This Row],[PRESTAMO]])</f>
        <v>-56929004</v>
      </c>
      <c r="G764" s="113"/>
      <c r="H764" s="119" t="s">
        <v>1777</v>
      </c>
      <c r="I764" s="119"/>
      <c r="J764" s="113">
        <f>+IF(FINANCIACION[[#This Row],[$ CAPITAL]]&gt;0,FINANCIACION[[#This Row],[$ CAPITAL]])</f>
        <v>1126394</v>
      </c>
      <c r="K764" s="120">
        <f>+IF(FINANCIACION[[#This Row],[$ CAPITAL]]&gt;=0,FINANCIACION[[#This Row],[$ CAPITAL]]+FINANCIACION[[#This Row],[$ INTERESES]],0)</f>
        <v>2510457</v>
      </c>
    </row>
    <row r="765" spans="1:11" ht="24" customHeight="1" x14ac:dyDescent="0.3">
      <c r="A765" s="112">
        <v>45376</v>
      </c>
      <c r="B765" s="118" t="s">
        <v>1483</v>
      </c>
      <c r="C765" s="113">
        <v>4167000</v>
      </c>
      <c r="D765" s="113">
        <v>726147</v>
      </c>
      <c r="E765" s="113">
        <f>+IF(FINANCIACION[[#This Row],[$ CAPITAL]]&gt;=0,FINANCIACION[[#This Row],[$ CAPITAL]]+FINANCIACION[[#This Row],[$ INTERESES]],"")</f>
        <v>4893147</v>
      </c>
      <c r="F765" s="113">
        <f>+SUMIFS(FINANCIACION[$ CAPITAL],FINANCIACION[Fecha],"&lt;="&amp;FINANCIACION[[#This Row],[Fecha]],FINANCIACION[PRESTAMO],FINANCIACION[[#This Row],[PRESTAMO]])</f>
        <v>-45833000</v>
      </c>
      <c r="G765" s="113"/>
      <c r="I765" s="119"/>
      <c r="J765" s="113">
        <f>+IF(FINANCIACION[[#This Row],[$ CAPITAL]]&gt;0,FINANCIACION[[#This Row],[$ CAPITAL]])</f>
        <v>4167000</v>
      </c>
      <c r="K765" s="120">
        <f>+IF(FINANCIACION[[#This Row],[$ CAPITAL]]&gt;=0,FINANCIACION[[#This Row],[$ CAPITAL]]+FINANCIACION[[#This Row],[$ INTERESES]],0)</f>
        <v>4893147</v>
      </c>
    </row>
    <row r="766" spans="1:11" ht="24" customHeight="1" x14ac:dyDescent="0.3">
      <c r="A766" s="112">
        <v>45383</v>
      </c>
      <c r="B766" s="118" t="s">
        <v>1431</v>
      </c>
      <c r="C766" s="113">
        <v>1468400</v>
      </c>
      <c r="D766" s="113">
        <v>25044</v>
      </c>
      <c r="E766" s="113">
        <f>+IF(FINANCIACION[[#This Row],[$ CAPITAL]]&gt;=0,FINANCIACION[[#This Row],[$ CAPITAL]]+FINANCIACION[[#This Row],[$ INTERESES]],"")</f>
        <v>1493444</v>
      </c>
      <c r="F766" s="113">
        <f>+SUMIFS(FINANCIACION[$ CAPITAL],FINANCIACION[Fecha],"&lt;="&amp;FINANCIACION[[#This Row],[Fecha]],FINANCIACION[PRESTAMO],FINANCIACION[[#This Row],[PRESTAMO]])</f>
        <v>0</v>
      </c>
      <c r="G766" s="113"/>
      <c r="I766" s="119"/>
      <c r="J766" s="113">
        <f>+IF(FINANCIACION[[#This Row],[$ CAPITAL]]&gt;0,FINANCIACION[[#This Row],[$ CAPITAL]])</f>
        <v>1468400</v>
      </c>
      <c r="K766" s="120">
        <f>+IF(FINANCIACION[[#This Row],[$ CAPITAL]]&gt;=0,FINANCIACION[[#This Row],[$ CAPITAL]]+FINANCIACION[[#This Row],[$ INTERESES]],0)</f>
        <v>1493444</v>
      </c>
    </row>
    <row r="767" spans="1:11" ht="24" customHeight="1" x14ac:dyDescent="0.3">
      <c r="A767" s="112">
        <v>45381</v>
      </c>
      <c r="B767" s="118" t="s">
        <v>1400</v>
      </c>
      <c r="C767" s="113">
        <v>5291353</v>
      </c>
      <c r="D767" s="113"/>
      <c r="E767" s="113">
        <f>+IF(FINANCIACION[[#This Row],[$ CAPITAL]]&gt;=0,FINANCIACION[[#This Row],[$ CAPITAL]]+FINANCIACION[[#This Row],[$ INTERESES]],"")</f>
        <v>5291353</v>
      </c>
      <c r="F767" s="113">
        <f>+SUMIFS(FINANCIACION[$ CAPITAL],FINANCIACION[Fecha],"&lt;="&amp;FINANCIACION[[#This Row],[Fecha]],FINANCIACION[PRESTAMO],FINANCIACION[[#This Row],[PRESTAMO]])</f>
        <v>-3119775</v>
      </c>
      <c r="G767" s="113"/>
      <c r="H767" s="119" t="s">
        <v>144</v>
      </c>
      <c r="I767" s="119"/>
      <c r="J767" s="113">
        <f>+IF(FINANCIACION[[#This Row],[$ CAPITAL]]&gt;0,FINANCIACION[[#This Row],[$ CAPITAL]])</f>
        <v>5291353</v>
      </c>
      <c r="K767" s="120">
        <f>+IF(FINANCIACION[[#This Row],[$ CAPITAL]]&gt;=0,FINANCIACION[[#This Row],[$ CAPITAL]]+FINANCIACION[[#This Row],[$ INTERESES]],0)</f>
        <v>5291353</v>
      </c>
    </row>
    <row r="768" spans="1:11" ht="24" customHeight="1" x14ac:dyDescent="0.3">
      <c r="A768" s="112">
        <v>45381</v>
      </c>
      <c r="B768" s="118" t="s">
        <v>1401</v>
      </c>
      <c r="C768" s="113">
        <v>-1874451</v>
      </c>
      <c r="D768" s="113"/>
      <c r="E768" s="113" t="str">
        <f>+IF(FINANCIACION[[#This Row],[$ CAPITAL]]&gt;=0,FINANCIACION[[#This Row],[$ CAPITAL]]+FINANCIACION[[#This Row],[$ INTERESES]],"")</f>
        <v/>
      </c>
      <c r="F768" s="113">
        <f>+SUMIFS(FINANCIACION[$ CAPITAL],FINANCIACION[Fecha],"&lt;="&amp;FINANCIACION[[#This Row],[Fecha]],FINANCIACION[PRESTAMO],FINANCIACION[[#This Row],[PRESTAMO]])</f>
        <v>-2582091</v>
      </c>
      <c r="G768" s="113"/>
      <c r="I768" s="119"/>
      <c r="J768" s="113" t="b">
        <f>+IF(FINANCIACION[[#This Row],[$ CAPITAL]]&gt;0,FINANCIACION[[#This Row],[$ CAPITAL]])</f>
        <v>0</v>
      </c>
      <c r="K768" s="120">
        <f>+IF(FINANCIACION[[#This Row],[$ CAPITAL]]&gt;=0,FINANCIACION[[#This Row],[$ CAPITAL]]+FINANCIACION[[#This Row],[$ INTERESES]],0)</f>
        <v>0</v>
      </c>
    </row>
    <row r="769" spans="1:11" ht="24" customHeight="1" x14ac:dyDescent="0.3">
      <c r="A769" s="112">
        <v>45381</v>
      </c>
      <c r="B769" s="118" t="s">
        <v>1399</v>
      </c>
      <c r="C769" s="113">
        <v>16864000</v>
      </c>
      <c r="D769" s="113"/>
      <c r="E769" s="113">
        <f>+IF(FINANCIACION[[#This Row],[$ CAPITAL]]&gt;=0,FINANCIACION[[#This Row],[$ CAPITAL]]+FINANCIACION[[#This Row],[$ INTERESES]],"")</f>
        <v>16864000</v>
      </c>
      <c r="F769" s="113">
        <f>+SUMIFS(FINANCIACION[$ CAPITAL],FINANCIACION[Fecha],"&lt;="&amp;FINANCIACION[[#This Row],[Fecha]],FINANCIACION[PRESTAMO],FINANCIACION[[#This Row],[PRESTAMO]])</f>
        <v>0</v>
      </c>
      <c r="G769" s="113"/>
      <c r="I769" s="119"/>
      <c r="J769" s="113">
        <f>+IF(FINANCIACION[[#This Row],[$ CAPITAL]]&gt;0,FINANCIACION[[#This Row],[$ CAPITAL]])</f>
        <v>16864000</v>
      </c>
      <c r="K769" s="120">
        <f>+IF(FINANCIACION[[#This Row],[$ CAPITAL]]&gt;=0,FINANCIACION[[#This Row],[$ CAPITAL]]+FINANCIACION[[#This Row],[$ INTERESES]],0)</f>
        <v>16864000</v>
      </c>
    </row>
    <row r="770" spans="1:11" ht="24" customHeight="1" x14ac:dyDescent="0.3">
      <c r="A770" s="112">
        <v>45393</v>
      </c>
      <c r="B770" s="118" t="s">
        <v>348</v>
      </c>
      <c r="C770" s="113">
        <f>1300000-D770</f>
        <v>1214409.77</v>
      </c>
      <c r="D770" s="113">
        <f>8559023*0.01</f>
        <v>85590.23</v>
      </c>
      <c r="E770" s="113">
        <f>+IF(FINANCIACION[[#This Row],[$ CAPITAL]]&gt;=0,FINANCIACION[[#This Row],[$ CAPITAL]]+FINANCIACION[[#This Row],[$ INTERESES]],"")</f>
        <v>1300000</v>
      </c>
      <c r="F770" s="113">
        <f>+SUMIFS(FINANCIACION[$ CAPITAL],FINANCIACION[Fecha],"&lt;="&amp;FINANCIACION[[#This Row],[Fecha]],FINANCIACION[PRESTAMO],FINANCIACION[[#This Row],[PRESTAMO]])</f>
        <v>-6130203.5022773482</v>
      </c>
      <c r="G770" s="113"/>
      <c r="I770" s="119"/>
      <c r="J770" s="113">
        <f>+IF(FINANCIACION[[#This Row],[$ CAPITAL]]&gt;0,FINANCIACION[[#This Row],[$ CAPITAL]])</f>
        <v>1214409.77</v>
      </c>
      <c r="K770" s="120">
        <f>+IF(FINANCIACION[[#This Row],[$ CAPITAL]]&gt;=0,FINANCIACION[[#This Row],[$ CAPITAL]]+FINANCIACION[[#This Row],[$ INTERESES]],0)</f>
        <v>1300000</v>
      </c>
    </row>
    <row r="771" spans="1:11" ht="24" customHeight="1" x14ac:dyDescent="0.3">
      <c r="A771" s="112">
        <v>45393</v>
      </c>
      <c r="B771" s="118" t="s">
        <v>353</v>
      </c>
      <c r="C771" s="113"/>
      <c r="D771" s="113">
        <v>350000</v>
      </c>
      <c r="E771" s="113">
        <f>+IF(FINANCIACION[[#This Row],[$ CAPITAL]]&gt;=0,FINANCIACION[[#This Row],[$ CAPITAL]]+FINANCIACION[[#This Row],[$ INTERESES]],"")</f>
        <v>350000</v>
      </c>
      <c r="F771" s="113">
        <f>+SUMIFS(FINANCIACION[$ CAPITAL],FINANCIACION[Fecha],"&lt;="&amp;FINANCIACION[[#This Row],[Fecha]],FINANCIACION[PRESTAMO],FINANCIACION[[#This Row],[PRESTAMO]])</f>
        <v>-35000000</v>
      </c>
      <c r="G771" s="113"/>
      <c r="I771" s="119"/>
      <c r="J771" s="113" t="b">
        <f>+IF(FINANCIACION[[#This Row],[$ CAPITAL]]&gt;0,FINANCIACION[[#This Row],[$ CAPITAL]])</f>
        <v>0</v>
      </c>
      <c r="K771" s="120">
        <f>+IF(FINANCIACION[[#This Row],[$ CAPITAL]]&gt;=0,FINANCIACION[[#This Row],[$ CAPITAL]]+FINANCIACION[[#This Row],[$ INTERESES]],0)</f>
        <v>350000</v>
      </c>
    </row>
    <row r="772" spans="1:11" ht="24" customHeight="1" x14ac:dyDescent="0.3">
      <c r="A772" s="112">
        <v>45393</v>
      </c>
      <c r="B772" s="118" t="s">
        <v>351</v>
      </c>
      <c r="C772" s="113"/>
      <c r="D772" s="113">
        <v>130000</v>
      </c>
      <c r="E772" s="113">
        <f>+IF(FINANCIACION[[#This Row],[$ CAPITAL]]&gt;=0,FINANCIACION[[#This Row],[$ CAPITAL]]+FINANCIACION[[#This Row],[$ INTERESES]],"")</f>
        <v>130000</v>
      </c>
      <c r="F772" s="113">
        <f>+SUMIFS(FINANCIACION[$ CAPITAL],FINANCIACION[Fecha],"&lt;="&amp;FINANCIACION[[#This Row],[Fecha]],FINANCIACION[PRESTAMO],FINANCIACION[[#This Row],[PRESTAMO]])</f>
        <v>-13000000</v>
      </c>
      <c r="G772" s="113"/>
      <c r="I772" s="119"/>
      <c r="J772" s="113" t="b">
        <f>+IF(FINANCIACION[[#This Row],[$ CAPITAL]]&gt;0,FINANCIACION[[#This Row],[$ CAPITAL]])</f>
        <v>0</v>
      </c>
      <c r="K772" s="120">
        <f>+IF(FINANCIACION[[#This Row],[$ CAPITAL]]&gt;=0,FINANCIACION[[#This Row],[$ CAPITAL]]+FINANCIACION[[#This Row],[$ INTERESES]],0)</f>
        <v>130000</v>
      </c>
    </row>
    <row r="773" spans="1:11" ht="24" customHeight="1" x14ac:dyDescent="0.3">
      <c r="A773" s="112">
        <v>45393</v>
      </c>
      <c r="B773" s="118" t="s">
        <v>679</v>
      </c>
      <c r="C773" s="113"/>
      <c r="D773" s="113">
        <v>700000</v>
      </c>
      <c r="E773" s="113">
        <f>+IF(FINANCIACION[[#This Row],[$ CAPITAL]]&gt;=0,FINANCIACION[[#This Row],[$ CAPITAL]]+FINANCIACION[[#This Row],[$ INTERESES]],"")</f>
        <v>700000</v>
      </c>
      <c r="F773" s="113">
        <f>+SUMIFS(FINANCIACION[$ CAPITAL],FINANCIACION[Fecha],"&lt;="&amp;FINANCIACION[[#This Row],[Fecha]],FINANCIACION[PRESTAMO],FINANCIACION[[#This Row],[PRESTAMO]])</f>
        <v>-70000000</v>
      </c>
      <c r="G773" s="113"/>
      <c r="I773" s="119"/>
      <c r="J773" s="113" t="b">
        <f>+IF(FINANCIACION[[#This Row],[$ CAPITAL]]&gt;0,FINANCIACION[[#This Row],[$ CAPITAL]])</f>
        <v>0</v>
      </c>
      <c r="K773" s="120">
        <f>+IF(FINANCIACION[[#This Row],[$ CAPITAL]]&gt;=0,FINANCIACION[[#This Row],[$ CAPITAL]]+FINANCIACION[[#This Row],[$ INTERESES]],0)</f>
        <v>700000</v>
      </c>
    </row>
    <row r="774" spans="1:11" ht="24" customHeight="1" x14ac:dyDescent="0.3">
      <c r="A774" s="112">
        <v>45393</v>
      </c>
      <c r="B774" s="118" t="s">
        <v>346</v>
      </c>
      <c r="C774" s="113">
        <f>2000000-FINANCIACION[[#This Row],[$ INTERESES]]</f>
        <v>1628046.28</v>
      </c>
      <c r="D774" s="113">
        <f>37195372*0.01</f>
        <v>371953.72000000003</v>
      </c>
      <c r="E774" s="113">
        <f>+IF(FINANCIACION[[#This Row],[$ CAPITAL]]&gt;=0,FINANCIACION[[#This Row],[$ CAPITAL]]+FINANCIACION[[#This Row],[$ INTERESES]],"")</f>
        <v>2000000</v>
      </c>
      <c r="F774" s="113">
        <f>+SUMIFS(FINANCIACION[$ CAPITAL],FINANCIACION[Fecha],"&lt;="&amp;FINANCIACION[[#This Row],[Fecha]],FINANCIACION[PRESTAMO],FINANCIACION[[#This Row],[PRESTAMO]])</f>
        <v>-33939279.062562868</v>
      </c>
      <c r="G774" s="113"/>
      <c r="I774" s="119"/>
      <c r="J774" s="113">
        <f>+IF(FINANCIACION[[#This Row],[$ CAPITAL]]&gt;0,FINANCIACION[[#This Row],[$ CAPITAL]])</f>
        <v>1628046.28</v>
      </c>
      <c r="K774" s="120">
        <f>+IF(FINANCIACION[[#This Row],[$ CAPITAL]]&gt;=0,FINANCIACION[[#This Row],[$ CAPITAL]]+FINANCIACION[[#This Row],[$ INTERESES]],0)</f>
        <v>2000000</v>
      </c>
    </row>
    <row r="775" spans="1:11" ht="24" customHeight="1" x14ac:dyDescent="0.3">
      <c r="A775" s="112">
        <v>45393</v>
      </c>
      <c r="B775" s="118" t="s">
        <v>345</v>
      </c>
      <c r="C775" s="113">
        <f>1000000-FINANCIACION[[#This Row],[$ INTERESES]]</f>
        <v>717878.16999999993</v>
      </c>
      <c r="D775" s="113">
        <f>28212183*0.01</f>
        <v>282121.83</v>
      </c>
      <c r="E775" s="113">
        <f>+IF(FINANCIACION[[#This Row],[$ CAPITAL]]&gt;=0,FINANCIACION[[#This Row],[$ CAPITAL]]+FINANCIACION[[#This Row],[$ INTERESES]],"")</f>
        <v>1000000</v>
      </c>
      <c r="F775" s="113">
        <f>+SUMIFS(FINANCIACION[$ CAPITAL],FINANCIACION[Fecha],"&lt;="&amp;FINANCIACION[[#This Row],[Fecha]],FINANCIACION[PRESTAMO],FINANCIACION[[#This Row],[PRESTAMO]])</f>
        <v>-26776426.569624797</v>
      </c>
      <c r="G775" s="113"/>
      <c r="I775" s="119"/>
      <c r="J775" s="113">
        <f>+IF(FINANCIACION[[#This Row],[$ CAPITAL]]&gt;0,FINANCIACION[[#This Row],[$ CAPITAL]])</f>
        <v>717878.16999999993</v>
      </c>
      <c r="K775" s="120">
        <f>+IF(FINANCIACION[[#This Row],[$ CAPITAL]]&gt;=0,FINANCIACION[[#This Row],[$ CAPITAL]]+FINANCIACION[[#This Row],[$ INTERESES]],0)</f>
        <v>1000000</v>
      </c>
    </row>
    <row r="776" spans="1:11" ht="24" customHeight="1" x14ac:dyDescent="0.3">
      <c r="A776" s="112">
        <v>45400</v>
      </c>
      <c r="B776" s="118" t="s">
        <v>347</v>
      </c>
      <c r="C776" s="113">
        <f>7167275-FINANCIACION[[#This Row],[$ INTERESES]]</f>
        <v>2861643</v>
      </c>
      <c r="D776" s="113">
        <f>3916692+174929+381286-167275</f>
        <v>4305632</v>
      </c>
      <c r="E776" s="113">
        <f>+IF(FINANCIACION[[#This Row],[$ CAPITAL]]&gt;=0,FINANCIACION[[#This Row],[$ CAPITAL]]+FINANCIACION[[#This Row],[$ INTERESES]],"")</f>
        <v>7167275</v>
      </c>
      <c r="F776" s="113">
        <f>+SUMIFS(FINANCIACION[$ CAPITAL],FINANCIACION[Fecha],"&lt;="&amp;FINANCIACION[[#This Row],[Fecha]],FINANCIACION[PRESTAMO],FINANCIACION[[#This Row],[PRESTAMO]])</f>
        <v>-223578941</v>
      </c>
      <c r="G776" s="113"/>
      <c r="I776" s="119"/>
      <c r="J776" s="113">
        <f>+IF(FINANCIACION[[#This Row],[$ CAPITAL]]&gt;0,FINANCIACION[[#This Row],[$ CAPITAL]])</f>
        <v>2861643</v>
      </c>
      <c r="K776" s="120">
        <f>+IF(FINANCIACION[[#This Row],[$ CAPITAL]]&gt;=0,FINANCIACION[[#This Row],[$ CAPITAL]]+FINANCIACION[[#This Row],[$ INTERESES]],0)</f>
        <v>7167275</v>
      </c>
    </row>
    <row r="777" spans="1:11" ht="24" customHeight="1" x14ac:dyDescent="0.3">
      <c r="A777" s="112">
        <v>45402</v>
      </c>
      <c r="B777" s="118" t="s">
        <v>1295</v>
      </c>
      <c r="C777" s="113">
        <v>2778000</v>
      </c>
      <c r="D777" s="113">
        <v>1343686</v>
      </c>
      <c r="E777" s="113">
        <f>+IF(FINANCIACION[[#This Row],[$ CAPITAL]]&gt;=0,FINANCIACION[[#This Row],[$ CAPITAL]]+FINANCIACION[[#This Row],[$ INTERESES]],"")</f>
        <v>4121686</v>
      </c>
      <c r="F777" s="113">
        <f>+SUMIFS(FINANCIACION[$ CAPITAL],FINANCIACION[Fecha],"&lt;="&amp;FINANCIACION[[#This Row],[Fecha]],FINANCIACION[PRESTAMO],FINANCIACION[[#This Row],[PRESTAMO]])</f>
        <v>-88888000</v>
      </c>
      <c r="G777" s="113"/>
      <c r="I777" s="119"/>
      <c r="J777" s="113">
        <f>+IF(FINANCIACION[[#This Row],[$ CAPITAL]]&gt;0,FINANCIACION[[#This Row],[$ CAPITAL]])</f>
        <v>2778000</v>
      </c>
      <c r="K777" s="120">
        <f>+IF(FINANCIACION[[#This Row],[$ CAPITAL]]&gt;=0,FINANCIACION[[#This Row],[$ CAPITAL]]+FINANCIACION[[#This Row],[$ INTERESES]],0)</f>
        <v>4121686</v>
      </c>
    </row>
    <row r="778" spans="1:11" ht="24" customHeight="1" x14ac:dyDescent="0.3">
      <c r="A778" s="112">
        <v>45407</v>
      </c>
      <c r="B778" s="118" t="s">
        <v>1483</v>
      </c>
      <c r="C778" s="113">
        <v>4167000</v>
      </c>
      <c r="D778" s="113">
        <v>649327</v>
      </c>
      <c r="E778" s="113">
        <f>+IF(FINANCIACION[[#This Row],[$ CAPITAL]]&gt;=0,FINANCIACION[[#This Row],[$ CAPITAL]]+FINANCIACION[[#This Row],[$ INTERESES]],"")</f>
        <v>4816327</v>
      </c>
      <c r="F778" s="113">
        <f>+SUMIFS(FINANCIACION[$ CAPITAL],FINANCIACION[Fecha],"&lt;="&amp;FINANCIACION[[#This Row],[Fecha]],FINANCIACION[PRESTAMO],FINANCIACION[[#This Row],[PRESTAMO]])</f>
        <v>-41666000</v>
      </c>
      <c r="G778" s="113"/>
      <c r="I778" s="119"/>
      <c r="J778" s="113">
        <f>+IF(FINANCIACION[[#This Row],[$ CAPITAL]]&gt;0,FINANCIACION[[#This Row],[$ CAPITAL]])</f>
        <v>4167000</v>
      </c>
      <c r="K778" s="120">
        <f>+IF(FINANCIACION[[#This Row],[$ CAPITAL]]&gt;=0,FINANCIACION[[#This Row],[$ CAPITAL]]+FINANCIACION[[#This Row],[$ INTERESES]],0)</f>
        <v>4816327</v>
      </c>
    </row>
    <row r="779" spans="1:11" ht="24" customHeight="1" x14ac:dyDescent="0.3">
      <c r="A779" s="112">
        <v>45407</v>
      </c>
      <c r="B779" s="118" t="s">
        <v>1402</v>
      </c>
      <c r="C779" s="113">
        <v>1481481.48</v>
      </c>
      <c r="D779" s="113">
        <v>601519</v>
      </c>
      <c r="E779" s="113">
        <f>+IF(FINANCIACION[[#This Row],[$ CAPITAL]]&gt;=0,FINANCIACION[[#This Row],[$ CAPITAL]]+FINANCIACION[[#This Row],[$ INTERESES]],"")</f>
        <v>2083000.48</v>
      </c>
      <c r="F779" s="113">
        <f>+SUMIFS(FINANCIACION[$ CAPITAL],FINANCIACION[Fecha],"&lt;="&amp;FINANCIACION[[#This Row],[Fecha]],FINANCIACION[PRESTAMO],FINANCIACION[[#This Row],[PRESTAMO]])</f>
        <v>-47512616.009999998</v>
      </c>
      <c r="G779" s="113"/>
      <c r="I779" s="119"/>
      <c r="J779" s="113">
        <f>+IF(FINANCIACION[[#This Row],[$ CAPITAL]]&gt;0,FINANCIACION[[#This Row],[$ CAPITAL]])</f>
        <v>1481481.48</v>
      </c>
      <c r="K779" s="120">
        <f>+IF(FINANCIACION[[#This Row],[$ CAPITAL]]&gt;=0,FINANCIACION[[#This Row],[$ CAPITAL]]+FINANCIACION[[#This Row],[$ INTERESES]],0)</f>
        <v>2083000.48</v>
      </c>
    </row>
    <row r="780" spans="1:11" ht="24" customHeight="1" x14ac:dyDescent="0.3">
      <c r="A780" s="112">
        <v>45406</v>
      </c>
      <c r="B780" s="118" t="s">
        <v>1399</v>
      </c>
      <c r="C780" s="113">
        <v>2125650</v>
      </c>
      <c r="D780" s="113"/>
      <c r="E780" s="113">
        <f>+IF(FINANCIACION[[#This Row],[$ CAPITAL]]&gt;=0,FINANCIACION[[#This Row],[$ CAPITAL]]+FINANCIACION[[#This Row],[$ INTERESES]],"")</f>
        <v>2125650</v>
      </c>
      <c r="F780" s="113">
        <f>+SUMIFS(FINANCIACION[$ CAPITAL],FINANCIACION[Fecha],"&lt;="&amp;FINANCIACION[[#This Row],[Fecha]],FINANCIACION[PRESTAMO],FINANCIACION[[#This Row],[PRESTAMO]])</f>
        <v>2125650</v>
      </c>
      <c r="G780" s="113"/>
      <c r="H780" s="119" t="s">
        <v>1743</v>
      </c>
      <c r="I780" s="119"/>
      <c r="J780" s="113">
        <f>+IF(FINANCIACION[[#This Row],[$ CAPITAL]]&gt;0,FINANCIACION[[#This Row],[$ CAPITAL]])</f>
        <v>2125650</v>
      </c>
      <c r="K780" s="120">
        <f>+IF(FINANCIACION[[#This Row],[$ CAPITAL]]&gt;=0,FINANCIACION[[#This Row],[$ CAPITAL]]+FINANCIACION[[#This Row],[$ INTERESES]],0)</f>
        <v>2125650</v>
      </c>
    </row>
    <row r="781" spans="1:11" ht="24" customHeight="1" x14ac:dyDescent="0.3">
      <c r="A781" s="112">
        <v>45401</v>
      </c>
      <c r="B781" s="118" t="s">
        <v>1451</v>
      </c>
      <c r="C781" s="113"/>
      <c r="D781" s="113">
        <v>1028182</v>
      </c>
      <c r="E781" s="113">
        <f>+IF(FINANCIACION[[#This Row],[$ CAPITAL]]&gt;=0,FINANCIACION[[#This Row],[$ CAPITAL]]+FINANCIACION[[#This Row],[$ INTERESES]],"")</f>
        <v>1028182</v>
      </c>
      <c r="F781" s="113">
        <f>+SUMIFS(FINANCIACION[$ CAPITAL],FINANCIACION[Fecha],"&lt;="&amp;FINANCIACION[[#This Row],[Fecha]],FINANCIACION[PRESTAMO],FINANCIACION[[#This Row],[PRESTAMO]])</f>
        <v>-95868547.100000009</v>
      </c>
      <c r="G781" s="113"/>
      <c r="I781" s="119"/>
      <c r="J781" s="113" t="b">
        <f>+IF(FINANCIACION[[#This Row],[$ CAPITAL]]&gt;0,FINANCIACION[[#This Row],[$ CAPITAL]])</f>
        <v>0</v>
      </c>
      <c r="K781" s="120">
        <f>+IF(FINANCIACION[[#This Row],[$ CAPITAL]]&gt;=0,FINANCIACION[[#This Row],[$ CAPITAL]]+FINANCIACION[[#This Row],[$ INTERESES]],0)</f>
        <v>1028182</v>
      </c>
    </row>
    <row r="782" spans="1:11" ht="24" customHeight="1" x14ac:dyDescent="0.3">
      <c r="A782" s="112">
        <v>45412</v>
      </c>
      <c r="B782" s="118" t="s">
        <v>1401</v>
      </c>
      <c r="C782" s="113">
        <v>-1271299</v>
      </c>
      <c r="D782" s="113"/>
      <c r="E782" s="113" t="str">
        <f>+IF(FINANCIACION[[#This Row],[$ CAPITAL]]&gt;=0,FINANCIACION[[#This Row],[$ CAPITAL]]+FINANCIACION[[#This Row],[$ INTERESES]],"")</f>
        <v/>
      </c>
      <c r="F782" s="113">
        <f>+SUMIFS(FINANCIACION[$ CAPITAL],FINANCIACION[Fecha],"&lt;="&amp;FINANCIACION[[#This Row],[Fecha]],FINANCIACION[PRESTAMO],FINANCIACION[[#This Row],[PRESTAMO]])</f>
        <v>-3853390</v>
      </c>
      <c r="G782" s="113"/>
      <c r="H782" s="119" t="s">
        <v>144</v>
      </c>
      <c r="I782" s="119"/>
      <c r="J782" s="113" t="b">
        <f>+IF(FINANCIACION[[#This Row],[$ CAPITAL]]&gt;0,FINANCIACION[[#This Row],[$ CAPITAL]])</f>
        <v>0</v>
      </c>
      <c r="K782" s="120">
        <f>+IF(FINANCIACION[[#This Row],[$ CAPITAL]]&gt;=0,FINANCIACION[[#This Row],[$ CAPITAL]]+FINANCIACION[[#This Row],[$ INTERESES]],0)</f>
        <v>0</v>
      </c>
    </row>
    <row r="783" spans="1:11" ht="24" customHeight="1" x14ac:dyDescent="0.3">
      <c r="A783" s="112">
        <v>45412</v>
      </c>
      <c r="B783" s="118" t="s">
        <v>1399</v>
      </c>
      <c r="C783" s="113">
        <v>-34601950</v>
      </c>
      <c r="D783" s="113"/>
      <c r="E783" s="113" t="str">
        <f>+IF(FINANCIACION[[#This Row],[$ CAPITAL]]&gt;=0,FINANCIACION[[#This Row],[$ CAPITAL]]+FINANCIACION[[#This Row],[$ INTERESES]],"")</f>
        <v/>
      </c>
      <c r="F783" s="113">
        <f>+SUMIFS(FINANCIACION[$ CAPITAL],FINANCIACION[Fecha],"&lt;="&amp;FINANCIACION[[#This Row],[Fecha]],FINANCIACION[PRESTAMO],FINANCIACION[[#This Row],[PRESTAMO]])</f>
        <v>-32476300</v>
      </c>
      <c r="G783" s="113"/>
      <c r="H783" s="119" t="s">
        <v>144</v>
      </c>
      <c r="I783" s="119"/>
      <c r="J783" s="113" t="b">
        <f>+IF(FINANCIACION[[#This Row],[$ CAPITAL]]&gt;0,FINANCIACION[[#This Row],[$ CAPITAL]])</f>
        <v>0</v>
      </c>
      <c r="K783" s="120">
        <f>+IF(FINANCIACION[[#This Row],[$ CAPITAL]]&gt;=0,FINANCIACION[[#This Row],[$ CAPITAL]]+FINANCIACION[[#This Row],[$ INTERESES]],0)</f>
        <v>0</v>
      </c>
    </row>
    <row r="784" spans="1:11" ht="24" customHeight="1" x14ac:dyDescent="0.3">
      <c r="A784" s="112">
        <v>45412</v>
      </c>
      <c r="B784" s="118" t="s">
        <v>1400</v>
      </c>
      <c r="C784" s="113">
        <v>-22286969</v>
      </c>
      <c r="D784" s="113"/>
      <c r="E784" s="113" t="str">
        <f>+IF(FINANCIACION[[#This Row],[$ CAPITAL]]&gt;=0,FINANCIACION[[#This Row],[$ CAPITAL]]+FINANCIACION[[#This Row],[$ INTERESES]],"")</f>
        <v/>
      </c>
      <c r="F784" s="113">
        <f>+SUMIFS(FINANCIACION[$ CAPITAL],FINANCIACION[Fecha],"&lt;="&amp;FINANCIACION[[#This Row],[Fecha]],FINANCIACION[PRESTAMO],FINANCIACION[[#This Row],[PRESTAMO]])</f>
        <v>-25406744</v>
      </c>
      <c r="G784" s="113"/>
      <c r="H784" s="119" t="s">
        <v>144</v>
      </c>
      <c r="I784" s="119"/>
      <c r="J784" s="113" t="b">
        <f>+IF(FINANCIACION[[#This Row],[$ CAPITAL]]&gt;0,FINANCIACION[[#This Row],[$ CAPITAL]])</f>
        <v>0</v>
      </c>
      <c r="K784" s="120">
        <f>+IF(FINANCIACION[[#This Row],[$ CAPITAL]]&gt;=0,FINANCIACION[[#This Row],[$ CAPITAL]]+FINANCIACION[[#This Row],[$ INTERESES]],0)</f>
        <v>0</v>
      </c>
    </row>
    <row r="785" spans="5:6" ht="24" customHeight="1" x14ac:dyDescent="0.3">
      <c r="E785" s="113"/>
    </row>
    <row r="786" spans="5:6" ht="24" customHeight="1" x14ac:dyDescent="0.3">
      <c r="F786" s="113"/>
    </row>
    <row r="788" spans="5:6" ht="24" customHeight="1" x14ac:dyDescent="0.3">
      <c r="F788" s="113"/>
    </row>
  </sheetData>
  <phoneticPr fontId="2" type="noConversion"/>
  <conditionalFormatting sqref="G734 G737:G740 G748:G753">
    <cfRule type="expression" dxfId="24" priority="19" stopIfTrue="1">
      <formula>$S734="Por pagar"</formula>
    </cfRule>
    <cfRule type="expression" dxfId="23" priority="20" stopIfTrue="1">
      <formula>$S734="Vencida"</formula>
    </cfRule>
    <cfRule type="expression" dxfId="22" priority="21" stopIfTrue="1">
      <formula>$S734="Pagada"</formula>
    </cfRule>
  </conditionalFormatting>
  <conditionalFormatting sqref="G730:G731 G727 G723 G693 G676:G690 G516:G604 G420:G431 G418 G415 G413 G411 G409 G406:G407 G404 G402 G400 G398 G396 G394 G344:G392">
    <cfRule type="expression" dxfId="21" priority="16" stopIfTrue="1">
      <formula>$S344="Por pagar"</formula>
    </cfRule>
    <cfRule type="expression" dxfId="20" priority="17" stopIfTrue="1">
      <formula>$S344="Vencida"</formula>
    </cfRule>
    <cfRule type="expression" dxfId="19" priority="18" stopIfTrue="1">
      <formula>$S344="Pagada"</formula>
    </cfRule>
  </conditionalFormatting>
  <conditionalFormatting sqref="G760">
    <cfRule type="expression" dxfId="18" priority="13" stopIfTrue="1">
      <formula>$S760="Por pagar"</formula>
    </cfRule>
    <cfRule type="expression" dxfId="17" priority="14" stopIfTrue="1">
      <formula>$S760="Vencida"</formula>
    </cfRule>
    <cfRule type="expression" dxfId="16" priority="15" stopIfTrue="1">
      <formula>$S760="Pagada"</formula>
    </cfRule>
  </conditionalFormatting>
  <conditionalFormatting sqref="G765">
    <cfRule type="expression" dxfId="15" priority="10" stopIfTrue="1">
      <formula>$S765="Por pagar"</formula>
    </cfRule>
    <cfRule type="expression" dxfId="14" priority="11" stopIfTrue="1">
      <formula>$S765="Vencida"</formula>
    </cfRule>
    <cfRule type="expression" dxfId="13" priority="12" stopIfTrue="1">
      <formula>$S765="Pagada"</formula>
    </cfRule>
  </conditionalFormatting>
  <conditionalFormatting sqref="G766">
    <cfRule type="expression" dxfId="12" priority="7" stopIfTrue="1">
      <formula>$S766="Por pagar"</formula>
    </cfRule>
    <cfRule type="expression" dxfId="11" priority="8" stopIfTrue="1">
      <formula>$S766="Vencida"</formula>
    </cfRule>
    <cfRule type="expression" dxfId="10" priority="9" stopIfTrue="1">
      <formula>$S766="Pagada"</formula>
    </cfRule>
  </conditionalFormatting>
  <conditionalFormatting sqref="G767">
    <cfRule type="expression" dxfId="9" priority="4" stopIfTrue="1">
      <formula>$S767="Por pagar"</formula>
    </cfRule>
    <cfRule type="expression" dxfId="8" priority="5" stopIfTrue="1">
      <formula>$S767="Vencida"</formula>
    </cfRule>
    <cfRule type="expression" dxfId="7" priority="6" stopIfTrue="1">
      <formula>$S767="Pagada"</formula>
    </cfRule>
  </conditionalFormatting>
  <conditionalFormatting sqref="G778">
    <cfRule type="expression" dxfId="6" priority="1" stopIfTrue="1">
      <formula>$S778="Por pagar"</formula>
    </cfRule>
    <cfRule type="expression" dxfId="5" priority="2" stopIfTrue="1">
      <formula>$S778="Vencida"</formula>
    </cfRule>
    <cfRule type="expression" dxfId="4" priority="3" stopIfTrue="1">
      <formula>$S778="Pagada"</formula>
    </cfRule>
  </conditionalFormatting>
  <dataValidations xWindow="542" yWindow="371" count="3">
    <dataValidation allowBlank="1" showInputMessage="1" showErrorMessage="1" prompt="Si es una deuda escribelo negativo._x000a__x000a_Si es un abono que sea positivo." sqref="C364 C384 C3:C336 C742" xr:uid="{00000000-0002-0000-0200-000000000000}"/>
    <dataValidation type="date" allowBlank="1" showInputMessage="1" showErrorMessage="1" error="SOLO FECHAS" sqref="A3:A570 A689 A736" xr:uid="{5BE27017-20B5-4A59-86E4-A766483605B6}">
      <formula1>36526</formula1>
      <formula2>47848</formula2>
    </dataValidation>
    <dataValidation allowBlank="1" showInputMessage="1" showErrorMessage="1" error="Primero crea el proveedor en la hoja &quot;Proveedores&quot;." sqref="G1" xr:uid="{1BC871DF-9A62-4198-AC91-BE91A2569022}"/>
  </dataValidations>
  <pageMargins left="0.7" right="0.7" top="0.75" bottom="0.75" header="0.3" footer="0.3"/>
  <pageSetup scale="5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542" yWindow="371" count="3">
        <x14:dataValidation type="list" allowBlank="1" showInputMessage="1" showErrorMessage="1" xr:uid="{016ED927-600B-4A1F-A49E-FB520E7C4029}">
          <x14:formula1>
            <xm:f>Financiadores!$A:$A</xm:f>
          </x14:formula1>
          <xm:sqref>B415:B433 B451:B730 B1 B358:B413 B344:B355 B440:B447 B732:B735 B737:B741 B748:B753 B761:B762 B764:B769 B777:B1048576</xm:sqref>
        </x14:dataValidation>
        <x14:dataValidation type="list" allowBlank="1" showInputMessage="1" showErrorMessage="1" error="Primero escribe el nombre del crédito en la hoja &quot;Financiadores&quot;" xr:uid="{D998F43E-86ED-4FFF-A8A6-557DE6EC6BB1}">
          <x14:formula1>
            <xm:f>Financiadores!$A:$A</xm:f>
          </x14:formula1>
          <xm:sqref>B356:B357 B731 B448:B450 B434:B439 B414 B2:B343 B736 B742:B747 B754:B760 B763 B770:B776</xm:sqref>
        </x14:dataValidation>
        <x14:dataValidation type="list" allowBlank="1" showInputMessage="1" showErrorMessage="1" xr:uid="{B2B265E2-6663-4D51-9A21-5E882321D57D}">
          <x14:formula1>
            <xm:f>'Palabra que no opera y Listas d'!$C$2:$C$8</xm:f>
          </x14:formula1>
          <xm:sqref>G344:G1048576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C3AA-417B-4233-A1A6-AB2DFB197407}">
  <sheetPr codeName="Hoja9"/>
  <dimension ref="A1:N29"/>
  <sheetViews>
    <sheetView zoomScaleNormal="100" workbookViewId="0">
      <selection activeCell="A5" sqref="A5"/>
    </sheetView>
  </sheetViews>
  <sheetFormatPr defaultColWidth="13.44140625" defaultRowHeight="21.6" customHeight="1" x14ac:dyDescent="0.3"/>
  <cols>
    <col min="1" max="1" width="30.44140625" style="9" customWidth="1"/>
    <col min="2" max="16384" width="13.44140625" style="9"/>
  </cols>
  <sheetData>
    <row r="1" spans="1:2" s="128" customFormat="1" ht="21.6" customHeight="1" x14ac:dyDescent="0.3">
      <c r="A1" s="128" t="s">
        <v>141</v>
      </c>
      <c r="B1" s="128" t="s">
        <v>1742</v>
      </c>
    </row>
    <row r="2" spans="1:2" ht="21.6" customHeight="1" x14ac:dyDescent="0.3">
      <c r="A2" s="9" t="s">
        <v>351</v>
      </c>
      <c r="B2" s="11">
        <f>-SUMIFS(FINANCIACION[$ CAPITAL],
FINANCIACION[Fecha],"&lt;="&amp;EOMONTH(B$1,0),
FINANCIACION[PRESTAMO],$A2)</f>
        <v>13000000</v>
      </c>
    </row>
    <row r="3" spans="1:2" ht="21.6" customHeight="1" x14ac:dyDescent="0.3">
      <c r="A3" s="9" t="s">
        <v>679</v>
      </c>
      <c r="B3" s="11">
        <f>-SUMIFS(FINANCIACION[$ CAPITAL],
FINANCIACION[Fecha],"&lt;="&amp;EOMONTH(B$1,0),
FINANCIACION[PRESTAMO],$A3)</f>
        <v>70000000</v>
      </c>
    </row>
    <row r="4" spans="1:2" ht="21.6" customHeight="1" x14ac:dyDescent="0.3">
      <c r="A4" s="9" t="s">
        <v>349</v>
      </c>
      <c r="B4" s="11">
        <f>-SUMIFS(FINANCIACION[$ CAPITAL],
FINANCIACION[Fecha],"&lt;="&amp;EOMONTH(B$1,0),
FINANCIACION[PRESTAMO],$A4)</f>
        <v>200000000</v>
      </c>
    </row>
    <row r="5" spans="1:2" ht="21.6" customHeight="1" x14ac:dyDescent="0.3">
      <c r="A5" s="9" t="s">
        <v>353</v>
      </c>
      <c r="B5" s="11">
        <f>-SUMIFS(FINANCIACION[$ CAPITAL],
FINANCIACION[Fecha],"&lt;="&amp;EOMONTH(B$1,0),
FINANCIACION[PRESTAMO],$A5)</f>
        <v>35000000</v>
      </c>
    </row>
    <row r="6" spans="1:2" ht="21.6" customHeight="1" x14ac:dyDescent="0.3">
      <c r="A6" s="9" t="s">
        <v>345</v>
      </c>
      <c r="B6" s="11">
        <f>-SUMIFS(FINANCIACION[$ CAPITAL],
FINANCIACION[Fecha],"&lt;="&amp;EOMONTH(B$1,0),
FINANCIACION[PRESTAMO],$A6)</f>
        <v>26776426.569624797</v>
      </c>
    </row>
    <row r="7" spans="1:2" ht="21.6" customHeight="1" x14ac:dyDescent="0.3">
      <c r="A7" s="9" t="s">
        <v>354</v>
      </c>
      <c r="B7" s="11">
        <f>-SUMIFS(FINANCIACION[$ CAPITAL],
FINANCIACION[Fecha],"&lt;="&amp;EOMONTH(B$1,0),
FINANCIACION[PRESTAMO],$A7)</f>
        <v>30000000</v>
      </c>
    </row>
    <row r="8" spans="1:2" ht="21.6" customHeight="1" x14ac:dyDescent="0.3">
      <c r="A8" s="9" t="s">
        <v>348</v>
      </c>
      <c r="B8" s="11">
        <f>-SUMIFS(FINANCIACION[$ CAPITAL],
FINANCIACION[Fecha],"&lt;="&amp;EOMONTH(B$1,0),
FINANCIACION[PRESTAMO],$A8)</f>
        <v>6130203.5022773482</v>
      </c>
    </row>
    <row r="9" spans="1:2" ht="21.6" customHeight="1" x14ac:dyDescent="0.3">
      <c r="A9" s="9" t="s">
        <v>346</v>
      </c>
      <c r="B9" s="11">
        <f>-SUMIFS(FINANCIACION[$ CAPITAL],
FINANCIACION[Fecha],"&lt;="&amp;EOMONTH(B$1,0),
FINANCIACION[PRESTAMO],$A9)</f>
        <v>33939279.062562868</v>
      </c>
    </row>
    <row r="10" spans="1:2" ht="21.6" customHeight="1" x14ac:dyDescent="0.3">
      <c r="A10" s="9" t="s">
        <v>356</v>
      </c>
      <c r="B10" s="11">
        <f>-SUMIFS(FINANCIACION[$ CAPITAL],
FINANCIACION[Fecha],"&lt;="&amp;EOMONTH(B$1,0),
FINANCIACION[PRESTAMO],$A10)</f>
        <v>140000000</v>
      </c>
    </row>
    <row r="11" spans="1:2" ht="21.6" customHeight="1" x14ac:dyDescent="0.3">
      <c r="A11" s="9" t="s">
        <v>355</v>
      </c>
      <c r="B11" s="11">
        <f>-SUMIFS(FINANCIACION[$ CAPITAL],
FINANCIACION[Fecha],"&lt;="&amp;EOMONTH(B$1,0),
FINANCIACION[PRESTAMO],$A11)</f>
        <v>0</v>
      </c>
    </row>
    <row r="12" spans="1:2" ht="21.6" customHeight="1" x14ac:dyDescent="0.3">
      <c r="A12" s="9" t="s">
        <v>350</v>
      </c>
      <c r="B12" s="11">
        <f>-SUMIFS(FINANCIACION[$ CAPITAL],
FINANCIACION[Fecha],"&lt;="&amp;EOMONTH(B$1,0),
FINANCIACION[PRESTAMO],$A12)</f>
        <v>8000000</v>
      </c>
    </row>
    <row r="13" spans="1:2" ht="21.6" customHeight="1" x14ac:dyDescent="0.3">
      <c r="A13" s="9" t="s">
        <v>352</v>
      </c>
      <c r="B13" s="11">
        <f>-SUMIFS(FINANCIACION[$ CAPITAL],
FINANCIACION[Fecha],"&lt;="&amp;EOMONTH(B$1,0),
FINANCIACION[PRESTAMO],$A13)</f>
        <v>0</v>
      </c>
    </row>
    <row r="14" spans="1:2" ht="21.6" customHeight="1" x14ac:dyDescent="0.3">
      <c r="A14" s="9" t="s">
        <v>131</v>
      </c>
      <c r="B14" s="11">
        <f>-SUMIFS(FINANCIACION[$ CAPITAL],
FINANCIACION[Fecha],"&lt;="&amp;EOMONTH(B$1,0),
FINANCIACION[PRESTAMO],$A14)</f>
        <v>0</v>
      </c>
    </row>
    <row r="15" spans="1:2" ht="21.6" customHeight="1" x14ac:dyDescent="0.3">
      <c r="A15" s="9" t="s">
        <v>1431</v>
      </c>
      <c r="B15" s="11">
        <f>-SUMIFS(FINANCIACION[$ CAPITAL],
FINANCIACION[Fecha],"&lt;="&amp;EOMONTH(B$1,0),
FINANCIACION[PRESTAMO],$A15)</f>
        <v>0</v>
      </c>
    </row>
    <row r="16" spans="1:2" ht="21.6" customHeight="1" x14ac:dyDescent="0.3">
      <c r="A16" s="9" t="s">
        <v>619</v>
      </c>
      <c r="B16" s="11">
        <f>-SUMIFS(FINANCIACION[$ CAPITAL],
FINANCIACION[Fecha],"&lt;="&amp;EOMONTH(B$1,0),
FINANCIACION[PRESTAMO],$A16)</f>
        <v>0</v>
      </c>
    </row>
    <row r="17" spans="1:5" ht="21.6" customHeight="1" x14ac:dyDescent="0.3">
      <c r="A17" s="9" t="s">
        <v>132</v>
      </c>
      <c r="B17" s="11">
        <f>-SUMIFS(FINANCIACION[$ CAPITAL],
FINANCIACION[Fecha],"&lt;="&amp;EOMONTH(B$1,0),
FINANCIACION[PRESTAMO],$A17)</f>
        <v>0</v>
      </c>
    </row>
    <row r="18" spans="1:5" ht="21.6" customHeight="1" x14ac:dyDescent="0.3">
      <c r="A18" s="9" t="s">
        <v>519</v>
      </c>
      <c r="B18" s="11">
        <f>-SUMIFS(FINANCIACION[$ CAPITAL],
FINANCIACION[Fecha],"&lt;="&amp;EOMONTH(B$1,0),
FINANCIACION[PRESTAMO],$A18)</f>
        <v>0</v>
      </c>
    </row>
    <row r="19" spans="1:5" ht="21.6" customHeight="1" x14ac:dyDescent="0.3">
      <c r="A19" s="9" t="s">
        <v>617</v>
      </c>
      <c r="B19" s="11">
        <f>-SUMIFS(FINANCIACION[$ CAPITAL],
FINANCIACION[Fecha],"&lt;="&amp;EOMONTH(B$1,0),
FINANCIACION[PRESTAMO],$A19)</f>
        <v>0</v>
      </c>
    </row>
    <row r="20" spans="1:5" ht="21.6" customHeight="1" x14ac:dyDescent="0.3">
      <c r="A20" s="9" t="s">
        <v>1451</v>
      </c>
      <c r="B20" s="11">
        <f>-SUMIFS(FINANCIACION[$ CAPITAL],
FINANCIACION[Fecha],"&lt;="&amp;EOMONTH(B$1,0),
FINANCIACION[PRESTAMO],$A20)</f>
        <v>95868547.100000009</v>
      </c>
    </row>
    <row r="21" spans="1:5" ht="21.6" customHeight="1" x14ac:dyDescent="0.3">
      <c r="A21" s="9" t="s">
        <v>133</v>
      </c>
      <c r="B21" s="11">
        <f>-SUMIFS(FINANCIACION[$ CAPITAL],
FINANCIACION[Fecha],"&lt;="&amp;EOMONTH(B$1,0),
FINANCIACION[PRESTAMO],$A21)</f>
        <v>0</v>
      </c>
    </row>
    <row r="22" spans="1:5" ht="21.6" customHeight="1" x14ac:dyDescent="0.3">
      <c r="A22" s="9" t="s">
        <v>1295</v>
      </c>
      <c r="B22" s="11">
        <f>-SUMIFS(FINANCIACION[$ CAPITAL],
FINANCIACION[Fecha],"&lt;="&amp;EOMONTH(B$1,0),
FINANCIACION[PRESTAMO],$A22)</f>
        <v>88888000</v>
      </c>
    </row>
    <row r="23" spans="1:5" ht="21.6" customHeight="1" x14ac:dyDescent="0.3">
      <c r="A23" s="9" t="s">
        <v>1483</v>
      </c>
      <c r="B23" s="11">
        <f>-SUMIFS(FINANCIACION[$ CAPITAL],
FINANCIACION[Fecha],"&lt;="&amp;EOMONTH(B$1,0),
FINANCIACION[PRESTAMO],$A23)</f>
        <v>41666000</v>
      </c>
    </row>
    <row r="24" spans="1:5" ht="21.6" customHeight="1" x14ac:dyDescent="0.3">
      <c r="A24" s="9" t="s">
        <v>1402</v>
      </c>
      <c r="B24" s="11">
        <f>-SUMIFS(FINANCIACION[$ CAPITAL],
FINANCIACION[Fecha],"&lt;="&amp;EOMONTH(B$1,0),
FINANCIACION[PRESTAMO],$A24)</f>
        <v>47512616.009999998</v>
      </c>
    </row>
    <row r="25" spans="1:5" ht="21.6" customHeight="1" x14ac:dyDescent="0.3">
      <c r="A25" s="9" t="s">
        <v>620</v>
      </c>
      <c r="B25" s="11">
        <f>-SUMIFS(FINANCIACION[$ CAPITAL],
FINANCIACION[Fecha],"&lt;="&amp;EOMONTH(B$1,0),
FINANCIACION[PRESTAMO],$A25)</f>
        <v>56929004</v>
      </c>
    </row>
    <row r="26" spans="1:5" ht="21.6" customHeight="1" x14ac:dyDescent="0.3">
      <c r="A26" s="9" t="s">
        <v>347</v>
      </c>
      <c r="B26" s="11">
        <f>-SUMIFS(FINANCIACION[$ CAPITAL],
FINANCIACION[Fecha],"&lt;="&amp;EOMONTH(B$1,0),
FINANCIACION[PRESTAMO],$A26)</f>
        <v>223578941</v>
      </c>
    </row>
    <row r="27" spans="1:5" ht="21.6" customHeight="1" x14ac:dyDescent="0.3">
      <c r="A27" s="9" t="s">
        <v>1399</v>
      </c>
      <c r="B27" s="11">
        <f>-SUMIFS(FINANCIACION[$ CAPITAL],
FINANCIACION[Fecha],"&lt;="&amp;EOMONTH(B$1,0),
FINANCIACION[PRESTAMO],$A27)</f>
        <v>32476300</v>
      </c>
    </row>
    <row r="28" spans="1:5" ht="21.6" customHeight="1" x14ac:dyDescent="0.3">
      <c r="A28" s="9" t="s">
        <v>1401</v>
      </c>
      <c r="B28" s="11">
        <f>-SUMIFS(FINANCIACION[$ CAPITAL],
FINANCIACION[Fecha],"&lt;="&amp;EOMONTH(B$1,0),
FINANCIACION[PRESTAMO],$A28)</f>
        <v>3853390</v>
      </c>
    </row>
    <row r="29" spans="1:5" ht="21.6" customHeight="1" x14ac:dyDescent="0.3">
      <c r="A29" s="9" t="s">
        <v>1400</v>
      </c>
      <c r="B29" s="11">
        <f>-SUMIFS(FINANCIACION[$ CAPITAL],
FINANCIACION[Fecha],"&lt;="&amp;EOMONTH(B$1,0),
FINANCIACION[PRESTAMO],$A29)</f>
        <v>25406744</v>
      </c>
      <c r="E29" s="11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DC3FA-C97F-4E0C-9420-753270BCDF98}">
  <sheetPr codeName="Hoja13"/>
  <dimension ref="A1:AI7"/>
  <sheetViews>
    <sheetView topLeftCell="G1" zoomScaleNormal="100" workbookViewId="0">
      <selection activeCell="G8" sqref="A8:XFD2995"/>
    </sheetView>
  </sheetViews>
  <sheetFormatPr defaultColWidth="11.5546875" defaultRowHeight="19.5" customHeight="1" x14ac:dyDescent="0.3"/>
  <cols>
    <col min="1" max="3" width="13" style="9" hidden="1" customWidth="1"/>
    <col min="4" max="6" width="11.44140625" style="9" hidden="1" customWidth="1"/>
    <col min="7" max="7" width="17.44140625" style="40" customWidth="1"/>
    <col min="8" max="8" width="27.44140625" style="9" customWidth="1"/>
    <col min="9" max="9" width="24.5546875" style="40" customWidth="1"/>
    <col min="10" max="10" width="11.44140625" style="9" customWidth="1"/>
    <col min="11" max="13" width="11.44140625" style="9" hidden="1" customWidth="1"/>
    <col min="14" max="14" width="28.109375" style="41" hidden="1" customWidth="1"/>
    <col min="15" max="17" width="11.44140625" style="9" hidden="1" customWidth="1"/>
    <col min="18" max="18" width="15.5546875" style="10" customWidth="1"/>
    <col min="19" max="19" width="14.5546875" style="10" hidden="1" customWidth="1"/>
    <col min="20" max="25" width="14.5546875" style="69" hidden="1" customWidth="1"/>
    <col min="26" max="26" width="12.44140625" style="9" hidden="1" customWidth="1"/>
    <col min="27" max="27" width="16.44140625" style="69" hidden="1" customWidth="1"/>
    <col min="28" max="28" width="11.5546875" style="9" hidden="1" customWidth="1"/>
    <col min="29" max="29" width="11.44140625" style="9" hidden="1" customWidth="1"/>
    <col min="30" max="30" width="19.33203125" style="88" customWidth="1"/>
    <col min="31" max="16384" width="11.5546875" style="9"/>
  </cols>
  <sheetData>
    <row r="1" spans="1:35" ht="19.5" customHeight="1" x14ac:dyDescent="0.3">
      <c r="D1" s="80"/>
      <c r="E1" s="80"/>
      <c r="F1" s="80"/>
      <c r="G1" s="80" t="s">
        <v>1829</v>
      </c>
      <c r="H1" s="80"/>
      <c r="I1" s="80"/>
      <c r="J1" s="80"/>
      <c r="K1" s="80"/>
      <c r="L1" s="80"/>
      <c r="M1" s="80"/>
      <c r="N1" s="81"/>
      <c r="O1" s="80"/>
      <c r="P1" s="80"/>
      <c r="Q1" s="80"/>
      <c r="R1" s="82"/>
      <c r="S1" s="82"/>
      <c r="T1" s="83"/>
      <c r="U1" s="83"/>
      <c r="V1" s="83"/>
      <c r="W1" s="83"/>
      <c r="X1" s="83"/>
      <c r="Y1" s="83"/>
      <c r="AD1" s="94" t="s">
        <v>418</v>
      </c>
    </row>
    <row r="2" spans="1:35" ht="19.5" customHeight="1" x14ac:dyDescent="0.3">
      <c r="D2" s="80"/>
      <c r="E2" s="80"/>
      <c r="F2" s="80"/>
      <c r="G2" s="80" t="s">
        <v>789</v>
      </c>
      <c r="H2" s="80"/>
      <c r="I2" s="80"/>
      <c r="J2" s="80"/>
      <c r="K2" s="80"/>
      <c r="L2" s="80"/>
      <c r="M2" s="80"/>
      <c r="N2" s="81"/>
      <c r="O2" s="80"/>
      <c r="P2" s="80"/>
      <c r="Q2" s="80"/>
      <c r="R2" s="82"/>
      <c r="S2" s="82"/>
      <c r="T2" s="83"/>
      <c r="U2" s="83"/>
      <c r="V2" s="83"/>
      <c r="W2" s="83"/>
      <c r="X2" s="83"/>
      <c r="Y2" s="83"/>
      <c r="AD2" s="95"/>
    </row>
    <row r="3" spans="1:35" ht="19.5" customHeight="1" thickBot="1" x14ac:dyDescent="0.35">
      <c r="D3" s="80"/>
      <c r="E3" s="80"/>
      <c r="F3" s="80"/>
      <c r="G3" s="80" t="s">
        <v>419</v>
      </c>
      <c r="H3" s="80"/>
      <c r="I3" s="80"/>
      <c r="J3" s="80"/>
      <c r="K3" s="80"/>
      <c r="L3" s="80"/>
      <c r="M3" s="80"/>
      <c r="N3" s="81"/>
      <c r="O3" s="80"/>
      <c r="P3" s="80"/>
      <c r="Q3" s="80"/>
      <c r="R3" s="82"/>
      <c r="S3" s="82"/>
      <c r="T3" s="83"/>
      <c r="U3" s="83"/>
      <c r="V3" s="83"/>
      <c r="W3" s="83"/>
      <c r="X3" s="83"/>
      <c r="Y3" s="83"/>
      <c r="AD3" s="34">
        <f>+SUMIFS(Tabla2[Total],Tabla2[VENCIDA],"vencida")</f>
        <v>0</v>
      </c>
    </row>
    <row r="4" spans="1:35" ht="19.5" customHeight="1" x14ac:dyDescent="0.3">
      <c r="D4" s="80"/>
      <c r="E4" s="80"/>
      <c r="F4" s="80"/>
      <c r="G4" s="84" t="s">
        <v>422</v>
      </c>
      <c r="H4" s="84"/>
      <c r="I4" s="80"/>
      <c r="J4" s="80"/>
      <c r="K4" s="80"/>
      <c r="L4" s="80"/>
      <c r="M4" s="80"/>
      <c r="N4" s="81"/>
      <c r="O4" s="80"/>
      <c r="P4" s="80"/>
      <c r="Q4" s="80"/>
      <c r="R4" s="82"/>
      <c r="S4" s="82"/>
      <c r="T4" s="83"/>
      <c r="U4" s="83"/>
      <c r="V4" s="83"/>
      <c r="W4" s="83"/>
      <c r="X4" s="83"/>
      <c r="Y4" s="83"/>
      <c r="AD4" s="89" t="s">
        <v>1831</v>
      </c>
      <c r="AI4" s="28"/>
    </row>
    <row r="5" spans="1:35" ht="19.5" customHeight="1" thickBot="1" x14ac:dyDescent="0.35">
      <c r="D5" s="80"/>
      <c r="E5" s="80"/>
      <c r="F5" s="80"/>
      <c r="G5" s="85" t="s">
        <v>1830</v>
      </c>
      <c r="H5" s="85"/>
      <c r="I5" s="80"/>
      <c r="J5" s="84"/>
      <c r="K5" s="84"/>
      <c r="L5" s="84"/>
      <c r="M5" s="84"/>
      <c r="N5" s="81"/>
      <c r="O5" s="80"/>
      <c r="P5" s="80"/>
      <c r="Q5" s="80"/>
      <c r="R5" s="82"/>
      <c r="S5" s="82"/>
      <c r="T5" s="83"/>
      <c r="U5" s="83"/>
      <c r="V5" s="83"/>
      <c r="W5" s="83"/>
      <c r="X5" s="83"/>
      <c r="Y5" s="83"/>
      <c r="AD5" s="79">
        <v>45412</v>
      </c>
    </row>
    <row r="6" spans="1:35" ht="19.5" customHeight="1" x14ac:dyDescent="0.3">
      <c r="A6" s="9" t="s">
        <v>1629</v>
      </c>
      <c r="B6" s="9" t="s">
        <v>130</v>
      </c>
      <c r="C6" s="9" t="s">
        <v>4</v>
      </c>
      <c r="D6" s="9" t="s">
        <v>126</v>
      </c>
      <c r="E6" s="9" t="s">
        <v>5</v>
      </c>
      <c r="F6" s="9" t="s">
        <v>91</v>
      </c>
      <c r="G6" s="40" t="s">
        <v>6</v>
      </c>
      <c r="H6" s="9" t="s">
        <v>3</v>
      </c>
      <c r="I6" s="40" t="s">
        <v>1</v>
      </c>
      <c r="J6" s="9" t="s">
        <v>2</v>
      </c>
      <c r="K6" s="9" t="s">
        <v>1501</v>
      </c>
      <c r="L6" s="9" t="s">
        <v>1514</v>
      </c>
      <c r="M6" s="9" t="s">
        <v>77</v>
      </c>
      <c r="N6" s="41" t="s">
        <v>78</v>
      </c>
      <c r="O6" s="9" t="s">
        <v>1520</v>
      </c>
      <c r="P6" s="9" t="s">
        <v>1524</v>
      </c>
      <c r="Q6" s="9" t="s">
        <v>1521</v>
      </c>
      <c r="R6" s="10" t="s">
        <v>79</v>
      </c>
      <c r="S6" s="10" t="s">
        <v>7</v>
      </c>
      <c r="T6" s="69" t="s">
        <v>307</v>
      </c>
      <c r="U6" s="69" t="s">
        <v>360</v>
      </c>
      <c r="V6" s="69" t="s">
        <v>367</v>
      </c>
      <c r="W6" s="69" t="s">
        <v>369</v>
      </c>
      <c r="X6" s="69" t="s">
        <v>368</v>
      </c>
      <c r="Y6" s="69" t="s">
        <v>370</v>
      </c>
      <c r="Z6" s="28" t="s">
        <v>410</v>
      </c>
      <c r="AA6" s="86" t="s">
        <v>420</v>
      </c>
      <c r="AB6" s="87" t="s">
        <v>421</v>
      </c>
      <c r="AC6" s="87" t="s">
        <v>1827</v>
      </c>
      <c r="AD6" s="88" t="s">
        <v>423</v>
      </c>
    </row>
    <row r="7" spans="1:35" ht="19.5" customHeight="1" x14ac:dyDescent="0.3">
      <c r="A7" s="4" t="s">
        <v>1828</v>
      </c>
      <c r="B7" s="4" t="b">
        <v>0</v>
      </c>
      <c r="C7" s="4">
        <v>30</v>
      </c>
      <c r="D7" s="75">
        <v>0</v>
      </c>
      <c r="E7" s="75"/>
      <c r="F7" s="13" t="s">
        <v>205</v>
      </c>
      <c r="G7" s="17"/>
      <c r="H7" s="42" t="s">
        <v>1785</v>
      </c>
      <c r="I7" s="17">
        <v>45392</v>
      </c>
      <c r="J7" s="8" t="s">
        <v>1721</v>
      </c>
      <c r="K7" s="5" t="s">
        <v>1512</v>
      </c>
      <c r="L7" s="5"/>
      <c r="M7" s="76">
        <v>84000</v>
      </c>
      <c r="N7" s="77">
        <v>0</v>
      </c>
      <c r="O7" s="76">
        <v>0</v>
      </c>
      <c r="P7" s="78">
        <v>0</v>
      </c>
      <c r="Q7" s="76">
        <v>0</v>
      </c>
      <c r="R7" s="5">
        <v>84000</v>
      </c>
      <c r="S7" s="10" t="s">
        <v>1824</v>
      </c>
      <c r="T7" s="69">
        <v>0</v>
      </c>
      <c r="U7" s="69">
        <v>0</v>
      </c>
      <c r="V7" s="69">
        <v>2024</v>
      </c>
      <c r="W7" s="69">
        <v>7</v>
      </c>
      <c r="X7" s="69">
        <v>0</v>
      </c>
      <c r="Y7" s="69">
        <v>0</v>
      </c>
      <c r="Z7" s="10" t="b">
        <v>0</v>
      </c>
      <c r="AA7" s="86">
        <f>+$AD$5-Tabla2[[#This Row],[FECHA DE FACTURACIÓN]]</f>
        <v>20</v>
      </c>
      <c r="AB7" s="87" t="str">
        <f>+IF(Tabla2[[#This Row],[dias de credito]]&gt;=Tabla2[[#This Row],[PLAZO Días]],"venc", "No venc")</f>
        <v>No venc</v>
      </c>
      <c r="AC7" s="87" t="str">
        <f>+IF(Tabla2[[#This Row],[FECHA DE PAGO]]&gt;0,"pagada","por pagar")</f>
        <v>por pagar</v>
      </c>
      <c r="AD7" s="88" t="str">
        <f>+IF(AND(Tabla2[[#This Row],[venc]]="venc",Tabla2[[#This Row],[estado pago]]="por pagar"),"vencida","no")</f>
        <v>no</v>
      </c>
    </row>
  </sheetData>
  <mergeCells count="1">
    <mergeCell ref="AD1:AD2"/>
  </mergeCells>
  <phoneticPr fontId="2" type="noConversion"/>
  <conditionalFormatting sqref="B7:R7">
    <cfRule type="expression" dxfId="3" priority="31" stopIfTrue="1">
      <formula>$Z7="Por pagar"</formula>
    </cfRule>
    <cfRule type="expression" dxfId="2" priority="32" stopIfTrue="1">
      <formula>$Z7="Vencida"</formula>
    </cfRule>
    <cfRule type="expression" dxfId="1" priority="33" stopIfTrue="1">
      <formula>$Z7="Pagada"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1A6544-30B3-475E-8A6F-B99F8B88570A}">
          <x14:formula1>
            <xm:f>Terceros!$A:$A</xm:f>
          </x14:formula1>
          <xm:sqref>H7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inicio</vt:lpstr>
      <vt:lpstr>pagos</vt:lpstr>
      <vt:lpstr>Fecha de hoy</vt:lpstr>
      <vt:lpstr>Retenciones</vt:lpstr>
      <vt:lpstr>Terceros</vt:lpstr>
      <vt:lpstr>Palabra que no opera y Listas d</vt:lpstr>
      <vt:lpstr>F.Proveedores</vt:lpstr>
      <vt:lpstr>USD</vt:lpstr>
      <vt:lpstr>Reporte</vt:lpstr>
      <vt:lpstr>Financiación</vt:lpstr>
      <vt:lpstr>Financiadores</vt:lpstr>
      <vt:lpstr>F.Vencidas</vt:lpstr>
      <vt:lpstr>pagos!Extract</vt:lpstr>
      <vt:lpstr>info</vt:lpstr>
      <vt:lpstr>pagos!Print_Area</vt:lpstr>
      <vt:lpstr>Terceros!Print_Area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Escobar</cp:lastModifiedBy>
  <cp:lastPrinted>2024-05-07T17:43:41Z</cp:lastPrinted>
  <dcterms:created xsi:type="dcterms:W3CDTF">2019-09-20T14:37:58Z</dcterms:created>
  <dcterms:modified xsi:type="dcterms:W3CDTF">2025-01-09T20:50:04Z</dcterms:modified>
</cp:coreProperties>
</file>